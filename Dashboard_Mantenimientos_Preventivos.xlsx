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vo_Tecnico" sheetId="1" state="visible" r:id="rId1"/>
    <sheet xmlns:r="http://schemas.openxmlformats.org/officeDocument/2006/relationships" name="Listas_Validacion" sheetId="2" state="visible" r:id="rId2"/>
    <sheet xmlns:r="http://schemas.openxmlformats.org/officeDocument/2006/relationships" name="Bitacora_Diaria" sheetId="3" state="visible" r:id="rId3"/>
    <sheet xmlns:r="http://schemas.openxmlformats.org/officeDocument/2006/relationships" name="Dashboard_KPIs" sheetId="4" state="visible" r:id="rId4"/>
  </sheets>
  <definedNames>
    <definedName name="REGIONES">Listas_Validacion!$A$3:$A$12</definedName>
    <definedName name="ESTADOS">Listas_Validacion!$C$3:$C$8</definedName>
    <definedName name="CAUSALES">Listas_Validacion!$E$3:$E$9</definedName>
    <definedName name="ESTATUS_ACTA">Listas_Validacion!$G$3:$G$5</definedName>
    <definedName name="SI_NO">Listas_Validacion!$I$3:$I$4</definedName>
    <definedName name="_xlnm._FilterDatabase" localSheetId="2" hidden="1">'Bitacora_Diaria'!$A$1:$V$809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0.0%"/>
  </numFmts>
  <fonts count="14">
    <font>
      <name val="Calibri"/>
      <family val="2"/>
      <color theme="1"/>
      <sz val="11"/>
      <scheme val="minor"/>
    </font>
    <font>
      <b val="1"/>
      <color rgb="001E293B"/>
      <sz val="12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color rgb="000F172A"/>
      <sz val="10"/>
    </font>
    <font>
      <b val="1"/>
      <color rgb="00FFFFFF"/>
      <sz val="16"/>
    </font>
    <font>
      <color rgb="0064748B"/>
      <sz val="9"/>
    </font>
    <font>
      <b val="1"/>
      <color rgb="0064748B"/>
      <sz val="9"/>
    </font>
    <font>
      <b val="1"/>
      <color rgb="001E293B"/>
      <sz val="9"/>
    </font>
    <font>
      <name val="Calibri"/>
      <b val="1"/>
      <color rgb="001E293B"/>
      <sz val="12"/>
    </font>
    <font>
      <name val="Calibri"/>
      <b val="1"/>
      <color rgb="0064748B"/>
      <sz val="9"/>
    </font>
    <font>
      <name val="Calibri"/>
      <b val="1"/>
      <color rgb="000F172A"/>
      <sz val="22"/>
    </font>
    <font>
      <color rgb="0064748B"/>
      <sz val="8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1E293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/>
    </xf>
    <xf numFmtId="165" fontId="8" fillId="0" borderId="0" pivotButton="0" quotePrefix="0" xfId="0"/>
    <xf numFmtId="0" fontId="9" fillId="4" borderId="2" applyAlignment="1" pivotButton="0" quotePrefix="0" xfId="0">
      <alignment horizontal="left" vertical="center"/>
    </xf>
    <xf numFmtId="9" fontId="4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11" fillId="0" borderId="1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 wrapText="1"/>
    </xf>
    <xf numFmtId="165" fontId="4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 vertical="center" wrapText="1"/>
    </xf>
    <xf numFmtId="3" fontId="2" fillId="0" borderId="0" pivotButton="0" quotePrefix="0" xfId="0"/>
    <xf numFmtId="166" fontId="2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5" fontId="6" fillId="0" borderId="1" pivotButton="0" quotePrefix="0" xfId="0"/>
    <xf numFmtId="3" fontId="6" fillId="0" borderId="1" pivotButton="0" quotePrefix="0" xfId="0"/>
    <xf numFmtId="0" fontId="2" fillId="0" borderId="1" pivotButton="0" quotePrefix="0" xfId="0"/>
    <xf numFmtId="167" fontId="4" fillId="0" borderId="1" pivotButton="0" quotePrefix="0" xfId="0"/>
    <xf numFmtId="0" fontId="2" fillId="3" borderId="1" pivotButton="0" quotePrefix="0" xfId="0"/>
    <xf numFmtId="167" fontId="4" fillId="3" borderId="1" pivotButton="0" quotePrefix="0" xfId="0"/>
    <xf numFmtId="0" fontId="2" fillId="4" borderId="1" pivotButton="0" quotePrefix="0" xfId="0"/>
    <xf numFmtId="167" fontId="2" fillId="4" borderId="1" pivotButton="0" quotePrefix="0" xfId="0"/>
    <xf numFmtId="166" fontId="2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9">
    <dxf>
      <font>
        <b val="1"/>
        <color rgb="00FFFFFF"/>
      </font>
      <fill>
        <patternFill patternType="solid">
          <fgColor rgb="00E2E8F0"/>
        </patternFill>
      </fill>
    </dxf>
    <dxf>
      <font>
        <b val="1"/>
        <color rgb="00FFFFFF"/>
      </font>
      <fill>
        <patternFill patternType="solid">
          <fgColor rgb="003B82F6"/>
        </patternFill>
      </fill>
    </dxf>
    <dxf>
      <font>
        <b val="1"/>
        <color rgb="00FFFFFF"/>
      </font>
      <fill>
        <patternFill patternType="solid">
          <fgColor rgb="0016A34A"/>
        </patternFill>
      </fill>
    </dxf>
    <dxf>
      <font>
        <b val="1"/>
        <color rgb="00FFFFFF"/>
      </font>
      <fill>
        <patternFill patternType="solid">
          <fgColor rgb="00F59E0B"/>
        </patternFill>
      </fill>
    </dxf>
    <dxf>
      <font>
        <b val="1"/>
        <color rgb="00FFFFFF"/>
      </font>
      <fill>
        <patternFill patternType="solid">
          <fgColor rgb="001E293B"/>
        </patternFill>
      </fill>
    </dxf>
    <dxf>
      <font>
        <b val="1"/>
        <color rgb="00FFFFFF"/>
      </font>
      <fill>
        <patternFill patternType="solid">
          <fgColor rgb="00DC2626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 vs Ejecutado por día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'Dashboard_KPIs'!O22</f>
            </strRef>
          </tx>
          <spPr>
            <a:solidFill xmlns:a="http://schemas.openxmlformats.org/drawingml/2006/main">
              <a:srgbClr val="1E293B"/>
            </a:solidFill>
            <a:ln xmlns:a="http://schemas.openxmlformats.org/drawingml/2006/main">
              <a:prstDash val="solid"/>
            </a:ln>
          </spPr>
          <cat>
            <numRef>
              <f>'Dashboard_KPIs'!$M$23:$M$54</f>
            </numRef>
          </cat>
          <val>
            <numRef>
              <f>'Dashboard_KPIs'!$O$23:$O$54</f>
            </numRef>
          </val>
        </ser>
        <ser>
          <idx val="1"/>
          <order val="1"/>
          <tx>
            <strRef>
              <f>'Dashboard_KPIs'!N22</f>
            </strRef>
          </tx>
          <spPr>
            <a:solidFill xmlns:a="http://schemas.openxmlformats.org/drawingml/2006/main">
              <a:srgbClr val="16A34A"/>
            </a:solidFill>
            <a:ln xmlns:a="http://schemas.openxmlformats.org/drawingml/2006/main">
              <a:prstDash val="solid"/>
            </a:ln>
          </spPr>
          <cat>
            <numRef>
              <f>'Dashboard_KPIs'!$M$23:$M$54</f>
            </numRef>
          </cat>
          <val>
            <numRef>
              <f>'Dashboard_KPIs'!$N$23:$N$54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 del 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Mantenimientos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 estado</a:t>
            </a:r>
          </a:p>
        </rich>
      </tx>
    </title>
    <plotArea>
      <pieChart>
        <varyColors val="1"/>
        <ser>
          <idx val="0"/>
          <order val="0"/>
          <tx>
            <strRef>
              <f>'Dashboard_KPIs'!B57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'Dashboard_KPIs'!$A$58:$A$63</f>
            </numRef>
          </cat>
          <val>
            <numRef>
              <f>'Dashboard_KPIs'!$B$58:$B$63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Desviaciones por causal (Pareto)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'Dashboard_KPIs'!I57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'Dashboard_KPIs'!$H$58:$H$64</f>
            </numRef>
          </cat>
          <val>
            <numRef>
              <f>'Dashboard_KPIs'!$I$58:$I$64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Acumulado del mes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'Dashboard_KPIs'!P22</f>
            </strRef>
          </tx>
          <spPr>
            <a:ln xmlns:a="http://schemas.openxmlformats.org/drawingml/2006/main">
              <a:solidFill>
                <a:srgbClr val="1E29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'Dashboard_KPIs'!$M$23:$M$54</f>
            </numRef>
          </cat>
          <val>
            <numRef>
              <f>'Dashboard_KPIs'!$P$23:$P$54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Ejecutadas acumuladas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65</row>
      <rowOff>0</rowOff>
    </from>
    <ext cx="72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38" customWidth="1" min="4" max="4"/>
    <col width="34" customWidth="1" min="5" max="5"/>
    <col width="34" customWidth="1" min="6" max="6"/>
    <col width="30" customWidth="1" min="7" max="7"/>
  </cols>
  <sheetData>
    <row r="1" ht="30" customHeight="1">
      <c r="A1" s="1" t="inlineStr">
        <is>
          <t>INSTRUCTIVO TÉCNICO — BITÁCORA DIARIA DE MANTENIMIENTOS Y AUDITORÍA DE CALIDAD</t>
        </is>
      </c>
    </row>
    <row r="3">
      <c r="A3" s="2" t="inlineStr">
        <is>
          <t>CÓMO USAR (resumen)</t>
        </is>
      </c>
    </row>
    <row r="4">
      <c r="A4" s="3" t="inlineStr">
        <is>
          <t>1. Al programar una sede: diligencie ID_Orden, Nombre_Oficina, Municipio, Departamento, Region, Técnicos y las fechas programadas (A-I) y el Estado (L).</t>
        </is>
      </c>
    </row>
    <row r="5">
      <c r="A5" s="3" t="inlineStr">
        <is>
          <t>2. Al iniciar la intervención en campo: registre Fecha_Inicio_Real (J).</t>
        </is>
      </c>
    </row>
    <row r="6">
      <c r="A6" s="3" t="inlineStr">
        <is>
          <t>3. Al terminar en campo: registre Fecha_Cierre_Operativo (K) y ponga Estado = Finalizada (L).</t>
        </is>
      </c>
    </row>
    <row r="7">
      <c r="A7" s="3" t="inlineStr">
        <is>
          <t>4. Si no se pudo ejecutar: Estado = Reprogramada (L), Fecha_Nueva_Programada (M) y Causal_Desviacion (R).</t>
        </is>
      </c>
    </row>
    <row r="8">
      <c r="A8" s="3" t="inlineStr">
        <is>
          <t>5. Calidad: al validar evidencias y firmar, registre Estatus_Acta (S), Fecha_Cierre_Administrativo (T) y Estado = Sede_Cerrada (L).</t>
        </is>
      </c>
    </row>
    <row r="9">
      <c r="A9" s="3" t="inlineStr">
        <is>
          <t>6. NO escriba en las columnas N, O, P, Q: son fórmulas automáticas.</t>
        </is>
      </c>
    </row>
    <row r="10">
      <c r="A10" s="3" t="inlineStr">
        <is>
          <t>7. El Dashboard_KPIs se actualiza solo. Revise Parámetros (Mes, Año, Metas) en esa pestaña.</t>
        </is>
      </c>
    </row>
    <row r="12">
      <c r="A12" s="2" t="inlineStr">
        <is>
          <t>ESPECIFICACIÓN DE CAMPOS — BITACORA_DIARIA</t>
        </is>
      </c>
    </row>
    <row r="13">
      <c r="A13" s="4" t="inlineStr">
        <is>
          <t>Col</t>
        </is>
      </c>
      <c r="B13" s="4" t="inlineStr">
        <is>
          <t>Campo</t>
        </is>
      </c>
      <c r="C13" s="4" t="inlineStr">
        <is>
          <t>Tipo de Dato</t>
        </is>
      </c>
      <c r="D13" s="4" t="inlineStr">
        <is>
          <t>¿Qué información poner?</t>
        </is>
      </c>
      <c r="E13" s="4" t="inlineStr">
        <is>
          <t>Regla de negocio / Validación</t>
        </is>
      </c>
      <c r="F13" s="4" t="inlineStr">
        <is>
          <t>¿Por qué se registra?</t>
        </is>
      </c>
      <c r="G13" s="4" t="inlineStr">
        <is>
          <t>¿Para qué sirve? (KPI/Impacto)</t>
        </is>
      </c>
    </row>
    <row r="14">
      <c r="A14" s="5" t="inlineStr">
        <is>
          <t>A</t>
        </is>
      </c>
      <c r="B14" s="6" t="inlineStr">
        <is>
          <t>ID_Orden</t>
        </is>
      </c>
      <c r="C14" s="6" t="inlineStr">
        <is>
          <t>Texto</t>
        </is>
      </c>
      <c r="D14" s="6" t="inlineStr">
        <is>
          <t>Código único de la sede (SBAN), ej. 1321</t>
        </is>
      </c>
      <c r="E14" s="6" t="inlineStr">
        <is>
          <t>Obligatorio, no repetir</t>
        </is>
      </c>
      <c r="F14" s="6" t="inlineStr">
        <is>
          <t>Identifica la orden de mantenimiento</t>
        </is>
      </c>
      <c r="G14" s="6" t="inlineStr">
        <is>
          <t>Conteo total de mantenimientos (KPI Total)</t>
        </is>
      </c>
    </row>
    <row r="15">
      <c r="A15" s="7" t="inlineStr">
        <is>
          <t>B</t>
        </is>
      </c>
      <c r="B15" s="8" t="inlineStr">
        <is>
          <t>Nombre_Oficina</t>
        </is>
      </c>
      <c r="C15" s="8" t="inlineStr">
        <is>
          <t>Texto</t>
        </is>
      </c>
      <c r="D15" s="8" t="inlineStr">
        <is>
          <t>Nombre de la oficina, ej. CAUCASIA</t>
        </is>
      </c>
      <c r="E15" s="8" t="inlineStr">
        <is>
          <t>Obligatorio</t>
        </is>
      </c>
      <c r="F15" s="8" t="inlineStr">
        <is>
          <t>Ubica geográficamente la intervención</t>
        </is>
      </c>
      <c r="G15" s="8" t="inlineStr">
        <is>
          <t>Filtros y conteos por oficina</t>
        </is>
      </c>
    </row>
    <row r="16">
      <c r="A16" s="5" t="inlineStr">
        <is>
          <t>C</t>
        </is>
      </c>
      <c r="B16" s="6" t="inlineStr">
        <is>
          <t>Municipio</t>
        </is>
      </c>
      <c r="C16" s="6" t="inlineStr">
        <is>
          <t>Texto</t>
        </is>
      </c>
      <c r="D16" s="6" t="inlineStr">
        <is>
          <t>Municipio donde está la sede</t>
        </is>
      </c>
      <c r="E16" s="6" t="inlineStr">
        <is>
          <t>Opcional</t>
        </is>
      </c>
      <c r="F16" s="6" t="inlineStr">
        <is>
          <t>Contexto geográfico</t>
        </is>
      </c>
      <c r="G16" s="6" t="inlineStr">
        <is>
          <t>Desgloses geográficos</t>
        </is>
      </c>
    </row>
    <row r="17">
      <c r="A17" s="7" t="inlineStr">
        <is>
          <t>D</t>
        </is>
      </c>
      <c r="B17" s="8" t="inlineStr">
        <is>
          <t>Departamento</t>
        </is>
      </c>
      <c r="C17" s="8" t="inlineStr">
        <is>
          <t>Texto</t>
        </is>
      </c>
      <c r="D17" s="8" t="inlineStr">
        <is>
          <t>Departamento de la sede</t>
        </is>
      </c>
      <c r="E17" s="8" t="inlineStr">
        <is>
          <t>Opcional; coherente con Region</t>
        </is>
      </c>
      <c r="F17" s="8" t="inlineStr">
        <is>
          <t>Contexto geográfico</t>
        </is>
      </c>
      <c r="G17" s="8" t="inlineStr">
        <is>
          <t>Validación cruzada con Region</t>
        </is>
      </c>
    </row>
    <row r="18">
      <c r="A18" s="5" t="inlineStr">
        <is>
          <t>E</t>
        </is>
      </c>
      <c r="B18" s="6" t="inlineStr">
        <is>
          <t>Region</t>
        </is>
      </c>
      <c r="C18" s="6" t="inlineStr">
        <is>
          <t>Desplegable</t>
        </is>
      </c>
      <c r="D18" s="6" t="inlineStr">
        <is>
          <t>Jefatura operativa: ANTIOQUIA, ORIENTE, COSTA, SUR, OCCIDENTE, SANTANDERES, CAFETERA, BOGOTA, DIRECCION GENERAL, COA</t>
        </is>
      </c>
      <c r="E18" s="6" t="inlineStr">
        <is>
          <t>Obligatorio (lista)</t>
        </is>
      </c>
      <c r="F18" s="6" t="inlineStr">
        <is>
          <t>Agrupa la gestión por jefatura</t>
        </is>
      </c>
      <c r="G18" s="6" t="inlineStr">
        <is>
          <t>Tabla 'Mantenimientos por Región'</t>
        </is>
      </c>
    </row>
    <row r="19">
      <c r="A19" s="7" t="inlineStr">
        <is>
          <t>F</t>
        </is>
      </c>
      <c r="B19" s="8" t="inlineStr">
        <is>
          <t>Tecnico_Operativo</t>
        </is>
      </c>
      <c r="C19" s="8" t="inlineStr">
        <is>
          <t>Texto</t>
        </is>
      </c>
      <c r="D19" s="8" t="inlineStr">
        <is>
          <t>Técnico(s) que interviene(n) en campo</t>
        </is>
      </c>
      <c r="E19" s="8" t="inlineStr">
        <is>
          <t>Obligatorio</t>
        </is>
      </c>
      <c r="F19" s="8" t="inlineStr">
        <is>
          <t>Trazabilidad de la ejecución</t>
        </is>
      </c>
      <c r="G19" s="8" t="inlineStr">
        <is>
          <t>KPI por técnico (cumplimiento y desviación)</t>
        </is>
      </c>
    </row>
    <row r="20">
      <c r="A20" s="5" t="inlineStr">
        <is>
          <t>G</t>
        </is>
      </c>
      <c r="B20" s="6" t="inlineStr">
        <is>
          <t>Tecnico_Calidad</t>
        </is>
      </c>
      <c r="C20" s="6" t="inlineStr">
        <is>
          <t>Texto</t>
        </is>
      </c>
      <c r="D20" s="6" t="inlineStr">
        <is>
          <t>Responsable de calidad que audita</t>
        </is>
      </c>
      <c r="E20" s="6" t="inlineStr">
        <is>
          <t>Obligatorio</t>
        </is>
      </c>
      <c r="F20" s="6" t="inlineStr">
        <is>
          <t>Trazabilidad de la auditoría</t>
        </is>
      </c>
      <c r="G20" s="6" t="inlineStr">
        <is>
          <t>Auditoría de calidad</t>
        </is>
      </c>
    </row>
    <row r="21">
      <c r="A21" s="7" t="inlineStr">
        <is>
          <t>H</t>
        </is>
      </c>
      <c r="B21" s="8" t="inlineStr">
        <is>
          <t>Fecha_Programada_Inicio</t>
        </is>
      </c>
      <c r="C21" s="8" t="inlineStr">
        <is>
          <t>Fecha dd/mm/aaaa (DÍA/MES/AÑO)</t>
        </is>
      </c>
      <c r="D21" s="8" t="inlineStr">
        <is>
          <t>Fecha en que estaba programado iniciar</t>
        </is>
      </c>
      <c r="E21" s="8" t="inlineStr">
        <is>
          <t>Obligatoria; fecha válida</t>
        </is>
      </c>
      <c r="F21" s="8" t="inlineStr">
        <is>
          <t>Define el cronograma comprometido</t>
        </is>
      </c>
      <c r="G21" s="8" t="inlineStr">
        <is>
          <t>Cumpli_Ingreso</t>
        </is>
      </c>
    </row>
    <row r="22">
      <c r="A22" s="5" t="inlineStr">
        <is>
          <t>I</t>
        </is>
      </c>
      <c r="B22" s="6" t="inlineStr">
        <is>
          <t>Fecha_Programada_Fin</t>
        </is>
      </c>
      <c r="C22" s="6" t="inlineStr">
        <is>
          <t>Fecha dd/mm/aaaa (DÍA/MES/AÑO)</t>
        </is>
      </c>
      <c r="D22" s="6" t="inlineStr">
        <is>
          <t>Fecha comprometida de término</t>
        </is>
      </c>
      <c r="E22" s="6" t="inlineStr">
        <is>
          <t>Obligatoria; ≥ H</t>
        </is>
      </c>
      <c r="F22" s="6" t="inlineStr">
        <is>
          <t>Define la meta de cierre</t>
        </is>
      </c>
      <c r="G22" s="6" t="inlineStr">
        <is>
          <t>Cumpli_Salida y desviación en días</t>
        </is>
      </c>
    </row>
    <row r="23">
      <c r="A23" s="7" t="inlineStr">
        <is>
          <t>J</t>
        </is>
      </c>
      <c r="B23" s="8" t="inlineStr">
        <is>
          <t>Fecha_Inicio_Real</t>
        </is>
      </c>
      <c r="C23" s="8" t="inlineStr">
        <is>
          <t>Fecha dd/mm/aaaa (DÍA/MES/AÑO)</t>
        </is>
      </c>
      <c r="D23" s="8" t="inlineStr">
        <is>
          <t>Fecha en que realmente se inició</t>
        </is>
      </c>
      <c r="E23" s="8" t="inlineStr">
        <is>
          <t>Se diligencia al llegar</t>
        </is>
      </c>
      <c r="F23" s="8" t="inlineStr">
        <is>
          <t>Mide el desfase de arranque</t>
        </is>
      </c>
      <c r="G23" s="8" t="inlineStr">
        <is>
          <t>Cumpli_Ingreso</t>
        </is>
      </c>
    </row>
    <row r="24">
      <c r="A24" s="5" t="inlineStr">
        <is>
          <t>K</t>
        </is>
      </c>
      <c r="B24" s="6" t="inlineStr">
        <is>
          <t>Fecha_Cierre_Operativo</t>
        </is>
      </c>
      <c r="C24" s="6" t="inlineStr">
        <is>
          <t>Fecha dd/mm/aaaa (DÍA/MES/AÑO)</t>
        </is>
      </c>
      <c r="D24" s="6" t="inlineStr">
        <is>
          <t>Fecha en que el técnico terminó en campo</t>
        </is>
      </c>
      <c r="E24" s="6" t="inlineStr">
        <is>
          <t>Obligatoria si Estado = Finalizada o Sede_Cerrada</t>
        </is>
      </c>
      <c r="F24" s="6" t="inlineStr">
        <is>
          <t>Es el cierre operativo</t>
        </is>
      </c>
      <c r="G24" s="6" t="inlineStr">
        <is>
          <t>Cumpli_Salida, desviación en días, avance diario y acumulado del mes</t>
        </is>
      </c>
    </row>
    <row r="25">
      <c r="A25" s="7" t="inlineStr">
        <is>
          <t>L</t>
        </is>
      </c>
      <c r="B25" s="8" t="inlineStr">
        <is>
          <t>Estado_Mantenimiento</t>
        </is>
      </c>
      <c r="C25" s="8" t="inlineStr">
        <is>
          <t>Desplegable</t>
        </is>
      </c>
      <c r="D25" s="8" t="inlineStr">
        <is>
          <t>Programada, En Proceso, Finalizada, Reprogramada, Sede_Cerrada, Cancelada</t>
        </is>
      </c>
      <c r="E25" s="8" t="inlineStr">
        <is>
          <t>Obligatorio (lista)</t>
        </is>
      </c>
      <c r="F25" s="8" t="inlineStr">
        <is>
          <t>Ciclo de vida del mantenimiento</t>
        </is>
      </c>
      <c r="G25" s="8" t="inlineStr">
        <is>
          <t>Conteos por estado; Ejecutadas y Pendientes</t>
        </is>
      </c>
    </row>
    <row r="26">
      <c r="A26" s="5" t="inlineStr">
        <is>
          <t>M</t>
        </is>
      </c>
      <c r="B26" s="6" t="inlineStr">
        <is>
          <t>Fecha_Nueva_Programada</t>
        </is>
      </c>
      <c r="C26" s="6" t="inlineStr">
        <is>
          <t>Fecha dd/mm/aaaa (DÍA/MES/AÑO)</t>
        </is>
      </c>
      <c r="D26" s="6" t="inlineStr">
        <is>
          <t>Nueva fecha si hubo reprogramación</t>
        </is>
      </c>
      <c r="E26" s="6" t="inlineStr">
        <is>
          <t>Obligatoria si Estado = Reprogramada</t>
        </is>
      </c>
      <c r="F26" s="6" t="inlineStr">
        <is>
          <t>Define la fecha comprometida vigente</t>
        </is>
      </c>
      <c r="G26" s="6" t="inlineStr">
        <is>
          <t>Cálculo de desviación contra la fecha vigente</t>
        </is>
      </c>
    </row>
    <row r="27">
      <c r="A27" s="7" t="inlineStr">
        <is>
          <t>N</t>
        </is>
      </c>
      <c r="B27" s="8" t="inlineStr">
        <is>
          <t>Cumpli_Ingreso</t>
        </is>
      </c>
      <c r="C27" s="8" t="inlineStr">
        <is>
          <t>Fórmula (SÍ/NO)</t>
        </is>
      </c>
      <c r="D27" s="8" t="inlineStr">
        <is>
          <t>SÍ si Fecha_Inicio_Real ≤ Fecha_Programada_Inicio</t>
        </is>
      </c>
      <c r="E27" s="8" t="inlineStr">
        <is>
          <t>No diligenciar (automática)</t>
        </is>
      </c>
      <c r="F27" s="8" t="inlineStr">
        <is>
          <t>Indica si se inició a tiempo</t>
        </is>
      </c>
      <c r="G27" s="8" t="inlineStr">
        <is>
          <t>Tasa de Cumplimiento</t>
        </is>
      </c>
    </row>
    <row r="28">
      <c r="A28" s="5" t="inlineStr">
        <is>
          <t>O</t>
        </is>
      </c>
      <c r="B28" s="6" t="inlineStr">
        <is>
          <t>Cumpli_Salida</t>
        </is>
      </c>
      <c r="C28" s="6" t="inlineStr">
        <is>
          <t>Fórmula (SÍ/NO)</t>
        </is>
      </c>
      <c r="D28" s="6" t="inlineStr">
        <is>
          <t>SÍ si Fecha_Cierre_Operativo ≤ fecha comprometida vigente (nueva fecha si reprogramada)</t>
        </is>
      </c>
      <c r="E28" s="6" t="inlineStr">
        <is>
          <t>No diligenciar (automática)</t>
        </is>
      </c>
      <c r="F28" s="6" t="inlineStr">
        <is>
          <t>Indica si se cerró a tiempo</t>
        </is>
      </c>
      <c r="G28" s="6" t="inlineStr">
        <is>
          <t>Tasa de Cumplimiento y % Desviación</t>
        </is>
      </c>
    </row>
    <row r="29">
      <c r="A29" s="7" t="inlineStr">
        <is>
          <t>P</t>
        </is>
      </c>
      <c r="B29" s="8" t="inlineStr">
        <is>
          <t>Cumpli_Cronograma</t>
        </is>
      </c>
      <c r="C29" s="8" t="inlineStr">
        <is>
          <t>Fórmula (SÍ/NO)</t>
        </is>
      </c>
      <c r="D29" s="8" t="inlineStr">
        <is>
          <t>SÍ solo si ingreso y salida cumplidos</t>
        </is>
      </c>
      <c r="E29" s="8" t="inlineStr">
        <is>
          <t>No diligenciar (automática)</t>
        </is>
      </c>
      <c r="F29" s="8" t="inlineStr">
        <is>
          <t>Cumplimiento global de la orden</t>
        </is>
      </c>
      <c r="G29" s="8" t="inlineStr">
        <is>
          <t>Tasa de Cumplimiento, % Desviación, semáforos</t>
        </is>
      </c>
    </row>
    <row r="30">
      <c r="A30" s="5" t="inlineStr">
        <is>
          <t>Q</t>
        </is>
      </c>
      <c r="B30" s="6" t="inlineStr">
        <is>
          <t>Dias_Desviacion</t>
        </is>
      </c>
      <c r="C30" s="6" t="inlineStr">
        <is>
          <t>Fórmula (días)</t>
        </is>
      </c>
      <c r="D30" s="6" t="inlineStr">
        <is>
          <t>Días de retraso (≥0) contra la fecha comprometida</t>
        </is>
      </c>
      <c r="E30" s="6" t="inlineStr">
        <is>
          <t>No diligenciar (automática)</t>
        </is>
      </c>
      <c r="F30" s="6" t="inlineStr">
        <is>
          <t>Magnitud del retraso</t>
        </is>
      </c>
      <c r="G30" s="6" t="inlineStr">
        <is>
          <t>Desviación promedio en días y Pareto</t>
        </is>
      </c>
    </row>
    <row r="31">
      <c r="A31" s="7" t="inlineStr">
        <is>
          <t>R</t>
        </is>
      </c>
      <c r="B31" s="8" t="inlineStr">
        <is>
          <t>Causal_Desviacion</t>
        </is>
      </c>
      <c r="C31" s="8" t="inlineStr">
        <is>
          <t>Desplegable</t>
        </is>
      </c>
      <c r="D31" s="8" t="inlineStr">
        <is>
          <t>N/A - A Tiempo, Repuesto Faltante, Director Oficina No Disponible, Clima, Falla Técnica, Reprogramación Cliente, Logística/Acceso</t>
        </is>
      </c>
      <c r="E31" s="8" t="inlineStr">
        <is>
          <t>Si Cumpli = NO o Estado = Reprogramada, elegir causa real</t>
        </is>
      </c>
      <c r="F31" s="8" t="inlineStr">
        <is>
          <t>Explica el porqué de la desviación</t>
        </is>
      </c>
      <c r="G31" s="8" t="inlineStr">
        <is>
          <t>Pareto de desviaciones por causa</t>
        </is>
      </c>
    </row>
    <row r="32">
      <c r="A32" s="5" t="inlineStr">
        <is>
          <t>S</t>
        </is>
      </c>
      <c r="B32" s="6" t="inlineStr">
        <is>
          <t>Estatus_Acta</t>
        </is>
      </c>
      <c r="C32" s="6" t="inlineStr">
        <is>
          <t>Desplegable</t>
        </is>
      </c>
      <c r="D32" s="6" t="inlineStr">
        <is>
          <t>Pendiente Firma, Firmada</t>
        </is>
      </c>
      <c r="E32" s="6" t="inlineStr">
        <is>
          <t>Si Estado = Sede_Cerrada debe quedar Firmada</t>
        </is>
      </c>
      <c r="F32" s="6" t="inlineStr">
        <is>
          <t>Control de la evidencia de cierre</t>
        </is>
      </c>
      <c r="G32" s="6" t="inlineStr">
        <is>
          <t>% Cierre administrativo</t>
        </is>
      </c>
    </row>
    <row r="33">
      <c r="A33" s="7" t="inlineStr">
        <is>
          <t>T</t>
        </is>
      </c>
      <c r="B33" s="8" t="inlineStr">
        <is>
          <t>Fecha_Cierre_Administrativo</t>
        </is>
      </c>
      <c r="C33" s="8" t="inlineStr">
        <is>
          <t>Fecha dd/mm/aaaa (DÍA/MES/AÑO)</t>
        </is>
      </c>
      <c r="D33" s="8" t="inlineStr">
        <is>
          <t>Fecha en que calidad firma y cierra la sede</t>
        </is>
      </c>
      <c r="E33" s="8" t="inlineStr">
        <is>
          <t>Vacía hasta la firma; requerida con Sede_Cerrada</t>
        </is>
      </c>
      <c r="F33" s="8" t="inlineStr">
        <is>
          <t>Cierre administrativo</t>
        </is>
      </c>
      <c r="G33" s="8" t="inlineStr">
        <is>
          <t>% Cierre administrativo</t>
        </is>
      </c>
    </row>
    <row r="34">
      <c r="A34" s="5" t="inlineStr">
        <is>
          <t>U</t>
        </is>
      </c>
      <c r="B34" s="6" t="inlineStr">
        <is>
          <t>Cantidad_Equipos</t>
        </is>
      </c>
      <c r="C34" s="6" t="inlineStr">
        <is>
          <t>Entero ≥ 0</t>
        </is>
      </c>
      <c r="D34" s="6" t="inlineStr">
        <is>
          <t>Total de equipos impactados en la sede</t>
        </is>
      </c>
      <c r="E34" s="6" t="inlineStr">
        <is>
          <t>Número entero</t>
        </is>
      </c>
      <c r="F34" s="6" t="inlineStr">
        <is>
          <t>Volumen de la intervención</t>
        </is>
      </c>
      <c r="G34" s="6" t="inlineStr">
        <is>
          <t>Equipos impactados (cobertura/facturación)</t>
        </is>
      </c>
    </row>
    <row r="35">
      <c r="A35" s="7" t="inlineStr">
        <is>
          <t>V</t>
        </is>
      </c>
      <c r="B35" s="8" t="inlineStr">
        <is>
          <t>Observaciones_Calidad</t>
        </is>
      </c>
      <c r="C35" s="8" t="inlineStr">
        <is>
          <t>Texto</t>
        </is>
      </c>
      <c r="D35" s="8" t="inlineStr">
        <is>
          <t>Novedades, hallazgos, soportes</t>
        </is>
      </c>
      <c r="E35" s="8" t="inlineStr">
        <is>
          <t>Libre</t>
        </is>
      </c>
      <c r="F35" s="8" t="inlineStr">
        <is>
          <t>Contexto de la auditoría</t>
        </is>
      </c>
      <c r="G35" s="8" t="inlineStr">
        <is>
          <t>Análisis cualitativo</t>
        </is>
      </c>
    </row>
    <row r="37">
      <c r="A37" s="2" t="inlineStr">
        <is>
          <t>REGLAS DE NEGOCIO Y DEFINICIÓN DE KPIs</t>
        </is>
      </c>
    </row>
    <row r="38">
      <c r="A38" s="3" t="inlineStr">
        <is>
          <t>Cierre Operativo = Estado Finalizada con Fecha_Cierre_Operativo registrada (el técnico terminó en campo).</t>
        </is>
      </c>
    </row>
    <row r="39">
      <c r="A39" s="3" t="inlineStr">
        <is>
          <t>Cierre Administrativo = Estado Sede_Cerrada con Estatus_Acta = Firmada y Fecha_Cierre_Administrativo (calidad validó y firmó).</t>
        </is>
      </c>
    </row>
    <row r="40">
      <c r="A40" s="3" t="inlineStr">
        <is>
          <t>Ejecutadas = Finalizada + Sede_Cerrada. Pendientes = Programada + En Proceso + Reprogramada.</t>
        </is>
      </c>
    </row>
    <row r="41">
      <c r="A41" s="3" t="inlineStr">
        <is>
          <t>Evaluables = registros con Cumpli_Cronograma SÍ o NO + Reprogramadas (base de cumplimiento y desviación).</t>
        </is>
      </c>
    </row>
    <row r="42">
      <c r="A42" s="3" t="inlineStr">
        <is>
          <t>Desviación (días) = Fecha_Cierre_Operativo − fecha comprometida vigente (Fecha_Nueva_Programada si existe, si no Fecha_Programada_Fin); se toma solo si es &gt; 0.</t>
        </is>
      </c>
    </row>
    <row r="43">
      <c r="A43" s="3" t="inlineStr">
        <is>
          <t>Avance del plan = Ejecutadas / Total. Tasa de Cumplimiento = Cumplen (SÍ) / Evaluables.</t>
        </is>
      </c>
    </row>
    <row r="44">
      <c r="A44" s="3" t="inlineStr">
        <is>
          <t>% Desviación = Desvían (NO + Reprogramadas) / Evaluables. Desviación promedio = promedio de días en registros NO.</t>
        </is>
      </c>
    </row>
    <row r="45">
      <c r="A45" s="3" t="inlineStr">
        <is>
          <t>Acumulado del mes / Promedio diario / Máximo en el día: se calculan con Fecha_Cierre_Operativo del mes indicado en Parámetros.</t>
        </is>
      </c>
    </row>
    <row r="46">
      <c r="A46" s="3" t="inlineStr">
        <is>
          <t>Equipos impactados = suma de Cantidad_Equipos de las sedes Finalizada y Sede_Cerrada.</t>
        </is>
      </c>
    </row>
  </sheetData>
  <mergeCells count="17">
    <mergeCell ref="A44:G44"/>
    <mergeCell ref="A10:F10"/>
    <mergeCell ref="A40:G40"/>
    <mergeCell ref="A45:G45"/>
    <mergeCell ref="A1:F1"/>
    <mergeCell ref="A5:F5"/>
    <mergeCell ref="A9:F9"/>
    <mergeCell ref="A39:G39"/>
    <mergeCell ref="A8:F8"/>
    <mergeCell ref="A6:F6"/>
    <mergeCell ref="A38:G38"/>
    <mergeCell ref="A4:F4"/>
    <mergeCell ref="A43:G43"/>
    <mergeCell ref="A41:G41"/>
    <mergeCell ref="A7:F7"/>
    <mergeCell ref="A42:G42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" customWidth="1" min="2" max="2"/>
    <col width="14" customWidth="1" min="3" max="3"/>
    <col width="2" customWidth="1" min="4" max="4"/>
    <col width="22" customWidth="1" min="5" max="5"/>
    <col width="2" customWidth="1" min="6" max="6"/>
    <col width="18" customWidth="1" min="7" max="7"/>
    <col width="2" customWidth="1" min="8" max="8"/>
    <col width="6" customWidth="1" min="9" max="9"/>
    <col width="2" customWidth="1" min="10" max="10"/>
    <col width="26" customWidth="1" min="11" max="11"/>
    <col width="18" customWidth="1" min="12" max="12"/>
  </cols>
  <sheetData>
    <row r="1">
      <c r="A1" s="9" t="inlineStr">
        <is>
          <t>LISTAS PARA VALIDACIÓN DE DATOS (no editar la posición de las listas)</t>
        </is>
      </c>
    </row>
    <row r="2">
      <c r="A2" s="10" t="inlineStr">
        <is>
          <t>REGIONES</t>
        </is>
      </c>
      <c r="C2" s="10" t="inlineStr">
        <is>
          <t>ESTADOS</t>
        </is>
      </c>
      <c r="E2" s="10" t="inlineStr">
        <is>
          <t>CAUSALES</t>
        </is>
      </c>
      <c r="G2" s="10" t="inlineStr">
        <is>
          <t>ESTATUS_ACTA</t>
        </is>
      </c>
      <c r="I2" s="10" t="inlineStr">
        <is>
          <t>SI_NO</t>
        </is>
      </c>
      <c r="K2" s="10" t="inlineStr">
        <is>
          <t>Departamento</t>
        </is>
      </c>
      <c r="L2" s="10" t="inlineStr">
        <is>
          <t>Region</t>
        </is>
      </c>
    </row>
    <row r="3">
      <c r="A3" t="inlineStr">
        <is>
          <t>ANTIOQUIA</t>
        </is>
      </c>
      <c r="C3" t="inlineStr">
        <is>
          <t>Programada</t>
        </is>
      </c>
      <c r="E3" t="inlineStr">
        <is>
          <t>N/A - A Tiempo</t>
        </is>
      </c>
      <c r="G3" t="inlineStr">
        <is>
          <t>Pendiente Firma</t>
        </is>
      </c>
      <c r="I3" t="inlineStr">
        <is>
          <t>SÍ</t>
        </is>
      </c>
      <c r="K3" t="inlineStr">
        <is>
          <t>Amazonas</t>
        </is>
      </c>
      <c r="L3" t="inlineStr">
        <is>
          <t>BOGOTA</t>
        </is>
      </c>
    </row>
    <row r="4">
      <c r="A4" t="inlineStr">
        <is>
          <t>ORIENTE</t>
        </is>
      </c>
      <c r="C4" t="inlineStr">
        <is>
          <t>En Proceso</t>
        </is>
      </c>
      <c r="E4" t="inlineStr">
        <is>
          <t>Repuesto Faltante</t>
        </is>
      </c>
      <c r="G4" t="inlineStr">
        <is>
          <t>Firmada</t>
        </is>
      </c>
      <c r="I4" t="inlineStr">
        <is>
          <t>NO</t>
        </is>
      </c>
      <c r="K4" t="inlineStr">
        <is>
          <t>Antioquia</t>
        </is>
      </c>
      <c r="L4" t="inlineStr">
        <is>
          <t>ANTIOQUIA</t>
        </is>
      </c>
    </row>
    <row r="5">
      <c r="A5" t="inlineStr">
        <is>
          <t>COSTA</t>
        </is>
      </c>
      <c r="C5" t="inlineStr">
        <is>
          <t>Finalizada</t>
        </is>
      </c>
      <c r="E5" t="inlineStr">
        <is>
          <t>Director Oficina No Disponible</t>
        </is>
      </c>
      <c r="K5" t="inlineStr">
        <is>
          <t>Antioquia</t>
        </is>
      </c>
      <c r="L5" t="inlineStr">
        <is>
          <t>COSTA</t>
        </is>
      </c>
    </row>
    <row r="6">
      <c r="A6" t="inlineStr">
        <is>
          <t>SUR</t>
        </is>
      </c>
      <c r="C6" t="inlineStr">
        <is>
          <t>Reprogramada</t>
        </is>
      </c>
      <c r="E6" t="inlineStr">
        <is>
          <t>Clima</t>
        </is>
      </c>
      <c r="K6" t="inlineStr">
        <is>
          <t>Antioquia</t>
        </is>
      </c>
      <c r="L6" t="inlineStr">
        <is>
          <t>SANTANDERES</t>
        </is>
      </c>
    </row>
    <row r="7">
      <c r="A7" t="inlineStr">
        <is>
          <t>OCCIDENTE</t>
        </is>
      </c>
      <c r="C7" t="inlineStr">
        <is>
          <t>Sede_Cerrada</t>
        </is>
      </c>
      <c r="E7" t="inlineStr">
        <is>
          <t>Falla Técnica</t>
        </is>
      </c>
      <c r="K7" t="inlineStr">
        <is>
          <t>Arauca</t>
        </is>
      </c>
      <c r="L7" t="inlineStr">
        <is>
          <t>BOGOTA</t>
        </is>
      </c>
    </row>
    <row r="8">
      <c r="A8" t="inlineStr">
        <is>
          <t>SANTANDERES</t>
        </is>
      </c>
      <c r="C8" t="inlineStr">
        <is>
          <t>Cancelada</t>
        </is>
      </c>
      <c r="E8" t="inlineStr">
        <is>
          <t>Reprogramación Cliente</t>
        </is>
      </c>
      <c r="K8" t="inlineStr">
        <is>
          <t>Archipiélago de San Andrés, Providencia y Santa Catalina</t>
        </is>
      </c>
      <c r="L8" t="inlineStr">
        <is>
          <t>COSTA</t>
        </is>
      </c>
    </row>
    <row r="9">
      <c r="A9" t="inlineStr">
        <is>
          <t>CAFETERA</t>
        </is>
      </c>
      <c r="E9" t="inlineStr">
        <is>
          <t>Logística/Acceso</t>
        </is>
      </c>
      <c r="K9" t="inlineStr">
        <is>
          <t>Atlántico</t>
        </is>
      </c>
      <c r="L9" t="inlineStr">
        <is>
          <t>COSTA</t>
        </is>
      </c>
    </row>
    <row r="10">
      <c r="A10" t="inlineStr">
        <is>
          <t>BOGOTA</t>
        </is>
      </c>
      <c r="K10" t="inlineStr">
        <is>
          <t>Bogotá D.C</t>
        </is>
      </c>
      <c r="L10" t="inlineStr">
        <is>
          <t>BOGOTA</t>
        </is>
      </c>
    </row>
    <row r="11">
      <c r="A11" t="inlineStr">
        <is>
          <t>DIRECCION GENERAL</t>
        </is>
      </c>
      <c r="K11" t="inlineStr">
        <is>
          <t>Bolívar</t>
        </is>
      </c>
      <c r="L11" t="inlineStr">
        <is>
          <t>COSTA</t>
        </is>
      </c>
    </row>
    <row r="12">
      <c r="A12" t="inlineStr">
        <is>
          <t>COA</t>
        </is>
      </c>
      <c r="K12" t="inlineStr">
        <is>
          <t>Bolívar</t>
        </is>
      </c>
      <c r="L12" t="inlineStr">
        <is>
          <t>SANTANDERES</t>
        </is>
      </c>
    </row>
    <row r="13">
      <c r="K13" t="inlineStr">
        <is>
          <t>Boyacá</t>
        </is>
      </c>
      <c r="L13" t="inlineStr">
        <is>
          <t>BOGOTA</t>
        </is>
      </c>
    </row>
    <row r="14">
      <c r="K14" t="inlineStr">
        <is>
          <t>Boyacá</t>
        </is>
      </c>
      <c r="L14" t="inlineStr">
        <is>
          <t>ORIENTE</t>
        </is>
      </c>
    </row>
    <row r="15">
      <c r="K15" t="inlineStr">
        <is>
          <t>CAUCA</t>
        </is>
      </c>
      <c r="L15" t="inlineStr">
        <is>
          <t>OCCIDENTE</t>
        </is>
      </c>
    </row>
    <row r="16">
      <c r="K16" t="inlineStr">
        <is>
          <t>Caldas</t>
        </is>
      </c>
      <c r="L16" t="inlineStr">
        <is>
          <t>CAFETERA</t>
        </is>
      </c>
    </row>
    <row r="17">
      <c r="K17" t="inlineStr">
        <is>
          <t>Caquetá</t>
        </is>
      </c>
      <c r="L17" t="inlineStr">
        <is>
          <t>SUR</t>
        </is>
      </c>
    </row>
    <row r="18">
      <c r="K18" t="inlineStr">
        <is>
          <t>Casanare</t>
        </is>
      </c>
      <c r="L18" t="inlineStr">
        <is>
          <t>BOGOTA</t>
        </is>
      </c>
    </row>
    <row r="19">
      <c r="K19" t="inlineStr">
        <is>
          <t>Casanare</t>
        </is>
      </c>
      <c r="L19" t="inlineStr">
        <is>
          <t>ORIENTE</t>
        </is>
      </c>
    </row>
    <row r="20">
      <c r="K20" t="inlineStr">
        <is>
          <t>Cauca</t>
        </is>
      </c>
      <c r="L20" t="inlineStr">
        <is>
          <t>OCCIDENTE</t>
        </is>
      </c>
    </row>
    <row r="21">
      <c r="K21" t="inlineStr">
        <is>
          <t>Cauca</t>
        </is>
      </c>
      <c r="L21" t="inlineStr">
        <is>
          <t>SUR</t>
        </is>
      </c>
    </row>
    <row r="22">
      <c r="K22" t="inlineStr">
        <is>
          <t>Cesar</t>
        </is>
      </c>
      <c r="L22" t="inlineStr">
        <is>
          <t>COSTA</t>
        </is>
      </c>
    </row>
    <row r="23">
      <c r="K23" t="inlineStr">
        <is>
          <t>Cesar</t>
        </is>
      </c>
      <c r="L23" t="inlineStr">
        <is>
          <t>SANTANDERES</t>
        </is>
      </c>
    </row>
    <row r="24">
      <c r="K24" t="inlineStr">
        <is>
          <t>Chocó</t>
        </is>
      </c>
      <c r="L24" t="inlineStr">
        <is>
          <t>ANTIOQUIA</t>
        </is>
      </c>
    </row>
    <row r="25">
      <c r="K25" t="inlineStr">
        <is>
          <t>Cundinamarca</t>
        </is>
      </c>
      <c r="L25" t="inlineStr">
        <is>
          <t>BOGOTA</t>
        </is>
      </c>
    </row>
    <row r="26">
      <c r="K26" t="inlineStr">
        <is>
          <t>Cundinamarca</t>
        </is>
      </c>
      <c r="L26" t="inlineStr">
        <is>
          <t>CAFETERA</t>
        </is>
      </c>
    </row>
    <row r="27">
      <c r="K27" t="inlineStr">
        <is>
          <t>Cundinamarca</t>
        </is>
      </c>
      <c r="L27" t="inlineStr">
        <is>
          <t>COA</t>
        </is>
      </c>
    </row>
    <row r="28">
      <c r="K28" t="inlineStr">
        <is>
          <t>Cundinamarca</t>
        </is>
      </c>
      <c r="L28" t="inlineStr">
        <is>
          <t>DIRECCION GENERAL</t>
        </is>
      </c>
    </row>
    <row r="29">
      <c r="K29" t="inlineStr">
        <is>
          <t>Cundinamarca</t>
        </is>
      </c>
      <c r="L29" t="inlineStr">
        <is>
          <t>ORIENTE</t>
        </is>
      </c>
    </row>
    <row r="30">
      <c r="K30" t="inlineStr">
        <is>
          <t>Córdoba</t>
        </is>
      </c>
      <c r="L30" t="inlineStr">
        <is>
          <t>ANTIOQUIA</t>
        </is>
      </c>
    </row>
    <row r="31">
      <c r="K31" t="inlineStr">
        <is>
          <t>Córdoba</t>
        </is>
      </c>
      <c r="L31" t="inlineStr">
        <is>
          <t>COSTA</t>
        </is>
      </c>
    </row>
    <row r="32">
      <c r="K32" t="inlineStr">
        <is>
          <t>Guainía</t>
        </is>
      </c>
      <c r="L32" t="inlineStr">
        <is>
          <t>BOGOTA</t>
        </is>
      </c>
    </row>
    <row r="33">
      <c r="K33" t="inlineStr">
        <is>
          <t>Guaviare</t>
        </is>
      </c>
      <c r="L33" t="inlineStr">
        <is>
          <t>BOGOTA</t>
        </is>
      </c>
    </row>
    <row r="34">
      <c r="K34" t="inlineStr">
        <is>
          <t>Huila</t>
        </is>
      </c>
      <c r="L34" t="inlineStr">
        <is>
          <t>SUR</t>
        </is>
      </c>
    </row>
    <row r="35">
      <c r="K35" t="inlineStr">
        <is>
          <t>La Guajira</t>
        </is>
      </c>
      <c r="L35" t="inlineStr">
        <is>
          <t>COSTA</t>
        </is>
      </c>
    </row>
    <row r="36">
      <c r="K36" t="inlineStr">
        <is>
          <t>Magdalena</t>
        </is>
      </c>
      <c r="L36" t="inlineStr">
        <is>
          <t>COSTA</t>
        </is>
      </c>
    </row>
    <row r="37">
      <c r="K37" t="inlineStr">
        <is>
          <t>Meta</t>
        </is>
      </c>
      <c r="L37" t="inlineStr">
        <is>
          <t>BOGOTA</t>
        </is>
      </c>
    </row>
    <row r="38">
      <c r="K38" t="inlineStr">
        <is>
          <t>Nariño</t>
        </is>
      </c>
      <c r="L38" t="inlineStr">
        <is>
          <t>OCCIDENTE</t>
        </is>
      </c>
    </row>
    <row r="39">
      <c r="K39" t="inlineStr">
        <is>
          <t>Norte de Santander</t>
        </is>
      </c>
      <c r="L39" t="inlineStr">
        <is>
          <t>SANTANDERES</t>
        </is>
      </c>
    </row>
    <row r="40">
      <c r="K40" t="inlineStr">
        <is>
          <t>Putumayo</t>
        </is>
      </c>
      <c r="L40" t="inlineStr">
        <is>
          <t>SUR</t>
        </is>
      </c>
    </row>
    <row r="41">
      <c r="K41" t="inlineStr">
        <is>
          <t>Quindio</t>
        </is>
      </c>
      <c r="L41" t="inlineStr">
        <is>
          <t>CAFETERA</t>
        </is>
      </c>
    </row>
    <row r="42">
      <c r="K42" t="inlineStr">
        <is>
          <t>Risaralda</t>
        </is>
      </c>
      <c r="L42" t="inlineStr">
        <is>
          <t>CAFETERA</t>
        </is>
      </c>
    </row>
    <row r="43">
      <c r="K43" t="inlineStr">
        <is>
          <t>Santander</t>
        </is>
      </c>
      <c r="L43" t="inlineStr">
        <is>
          <t>ORIENTE</t>
        </is>
      </c>
    </row>
    <row r="44">
      <c r="K44" t="inlineStr">
        <is>
          <t>Santander</t>
        </is>
      </c>
      <c r="L44" t="inlineStr">
        <is>
          <t>SANTANDERES</t>
        </is>
      </c>
    </row>
    <row r="45">
      <c r="K45" t="inlineStr">
        <is>
          <t>Sucre</t>
        </is>
      </c>
      <c r="L45" t="inlineStr">
        <is>
          <t>COSTA</t>
        </is>
      </c>
    </row>
    <row r="46">
      <c r="K46" t="inlineStr">
        <is>
          <t>Tolima</t>
        </is>
      </c>
      <c r="L46" t="inlineStr">
        <is>
          <t>CAFETERA</t>
        </is>
      </c>
    </row>
    <row r="47">
      <c r="K47" t="inlineStr">
        <is>
          <t>Tolima</t>
        </is>
      </c>
      <c r="L47" t="inlineStr">
        <is>
          <t>SUR</t>
        </is>
      </c>
    </row>
    <row r="48">
      <c r="K48" t="inlineStr">
        <is>
          <t>Valle del Cauca</t>
        </is>
      </c>
      <c r="L48" t="inlineStr">
        <is>
          <t>CAFETERA</t>
        </is>
      </c>
    </row>
    <row r="49">
      <c r="K49" t="inlineStr">
        <is>
          <t>Valle del Cauca</t>
        </is>
      </c>
      <c r="L49" t="inlineStr">
        <is>
          <t>OCCIDENTE</t>
        </is>
      </c>
    </row>
    <row r="50">
      <c r="K50" t="inlineStr">
        <is>
          <t>Vaupés</t>
        </is>
      </c>
      <c r="L50" t="inlineStr">
        <is>
          <t>BOGOTA</t>
        </is>
      </c>
    </row>
    <row r="51">
      <c r="K51" t="inlineStr">
        <is>
          <t>Vichada</t>
        </is>
      </c>
      <c r="L51" t="inlineStr">
        <is>
          <t>BOGOTA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5" customWidth="1" min="12" max="12"/>
    <col width="13" customWidth="1" min="13" max="13"/>
    <col width="10" customWidth="1" min="14" max="14"/>
    <col width="10" customWidth="1" min="15" max="15"/>
    <col width="12" customWidth="1" min="16" max="16"/>
    <col width="10" customWidth="1" min="17" max="17"/>
    <col width="19" customWidth="1" min="18" max="18"/>
    <col width="15" customWidth="1" min="19" max="19"/>
    <col width="13" customWidth="1" min="20" max="20"/>
    <col width="10" customWidth="1" min="21" max="21"/>
    <col width="42" customWidth="1" min="22" max="22"/>
  </cols>
  <sheetData>
    <row r="1" ht="42" customHeight="1">
      <c r="A1" s="4" t="inlineStr">
        <is>
          <t>ID_Orden</t>
        </is>
      </c>
      <c r="B1" s="4" t="inlineStr">
        <is>
          <t>Nombre_Oficina</t>
        </is>
      </c>
      <c r="C1" s="4" t="inlineStr">
        <is>
          <t>Municipio</t>
        </is>
      </c>
      <c r="D1" s="4" t="inlineStr">
        <is>
          <t>Departamento</t>
        </is>
      </c>
      <c r="E1" s="4" t="inlineStr">
        <is>
          <t>Region</t>
        </is>
      </c>
      <c r="F1" s="4" t="inlineStr">
        <is>
          <t>Tecnico_Operativo</t>
        </is>
      </c>
      <c r="G1" s="4" t="inlineStr">
        <is>
          <t>Tecnico_Calidad</t>
        </is>
      </c>
      <c r="H1" s="4" t="inlineStr">
        <is>
          <t>Fecha_Programada_Inicio</t>
        </is>
      </c>
      <c r="I1" s="4" t="inlineStr">
        <is>
          <t>Fecha_Programada_Fin</t>
        </is>
      </c>
      <c r="J1" s="4" t="inlineStr">
        <is>
          <t>Fecha_Inicio_Real</t>
        </is>
      </c>
      <c r="K1" s="4" t="inlineStr">
        <is>
          <t>Fecha_Cierre_Operativo</t>
        </is>
      </c>
      <c r="L1" s="4" t="inlineStr">
        <is>
          <t>Estado_Mantenimiento</t>
        </is>
      </c>
      <c r="M1" s="4" t="inlineStr">
        <is>
          <t>Fecha_Nueva_Programada</t>
        </is>
      </c>
      <c r="N1" s="4" t="inlineStr">
        <is>
          <t>Cumpli_Ingreso</t>
        </is>
      </c>
      <c r="O1" s="4" t="inlineStr">
        <is>
          <t>Cumpli_Salida</t>
        </is>
      </c>
      <c r="P1" s="4" t="inlineStr">
        <is>
          <t>Cumpli_Cronograma</t>
        </is>
      </c>
      <c r="Q1" s="4" t="inlineStr">
        <is>
          <t>Dias_Desviacion</t>
        </is>
      </c>
      <c r="R1" s="4" t="inlineStr">
        <is>
          <t>Causal_Desviacion</t>
        </is>
      </c>
      <c r="S1" s="4" t="inlineStr">
        <is>
          <t>Estatus_Acta</t>
        </is>
      </c>
      <c r="T1" s="4" t="inlineStr">
        <is>
          <t>Fecha_Cierre_Administrativo</t>
        </is>
      </c>
      <c r="U1" s="4" t="inlineStr">
        <is>
          <t>Cantidad_Equipos</t>
        </is>
      </c>
      <c r="V1" s="4" t="inlineStr">
        <is>
          <t>Observaciones_Calidad</t>
        </is>
      </c>
    </row>
    <row r="2">
      <c r="A2" s="11" t="n">
        <v>1321</v>
      </c>
      <c r="B2" s="11" t="inlineStr">
        <is>
          <t>CAUCASIA</t>
        </is>
      </c>
      <c r="C2" s="11" t="inlineStr">
        <is>
          <t>Caucasia</t>
        </is>
      </c>
      <c r="D2" s="11" t="inlineStr">
        <is>
          <t>Antioquia</t>
        </is>
      </c>
      <c r="E2" s="11" t="inlineStr">
        <is>
          <t>ANTIOQUIA</t>
        </is>
      </c>
      <c r="F2" s="11" t="inlineStr">
        <is>
          <t>Ever Enrique Esquivel Movilla</t>
        </is>
      </c>
      <c r="G2" s="11" t="inlineStr">
        <is>
          <t>8</t>
        </is>
      </c>
      <c r="H2" s="12" t="n">
        <v>46266</v>
      </c>
      <c r="I2" s="12" t="n">
        <v>46267</v>
      </c>
      <c r="J2" s="12" t="n">
        <v>46266</v>
      </c>
      <c r="K2" s="12" t="n"/>
      <c r="L2" s="11" t="inlineStr">
        <is>
          <t>En Proceso</t>
        </is>
      </c>
      <c r="M2" s="12" t="n"/>
      <c r="N2" s="11">
        <f>SI(O(H2="";J2="");"";SI(J2&lt;=H2;"SÍ";"NO"))</f>
        <v/>
      </c>
      <c r="O2" s="11">
        <f>SI(O(I2="";K2="");"";SI(K2&lt;=SI(M2&lt;&gt;"";M2;I2);"SÍ";"NO"))</f>
        <v/>
      </c>
      <c r="P2" s="11">
        <f>SI(O(N2="";O2="");"";SI(Y(N2="SÍ";O2="SÍ");"SÍ";"NO"))</f>
        <v/>
      </c>
      <c r="Q2" s="13">
        <f>SI(O(I2="";K2="");"";MAX(0;ENTERO(K2)-ENTERO(SI(M2&lt;&gt;"";M2;I2))))</f>
        <v/>
      </c>
      <c r="R2" s="11" t="n"/>
      <c r="S2" s="11" t="n"/>
      <c r="T2" s="12" t="n"/>
      <c r="U2" s="11" t="n">
        <v>39</v>
      </c>
      <c r="V2" s="11" t="inlineStr">
        <is>
          <t>No firma el director debido en vacaiones, firma el encergado de la sede</t>
        </is>
      </c>
    </row>
    <row r="3">
      <c r="A3" s="14" t="n">
        <v>1351</v>
      </c>
      <c r="B3" s="14" t="inlineStr">
        <is>
          <t>BELLO</t>
        </is>
      </c>
      <c r="C3" s="14" t="inlineStr">
        <is>
          <t>Bello</t>
        </is>
      </c>
      <c r="D3" s="14" t="inlineStr">
        <is>
          <t>Antioquia</t>
        </is>
      </c>
      <c r="E3" s="14" t="inlineStr">
        <is>
          <t>ANTIOQUIA</t>
        </is>
      </c>
      <c r="F3" s="14" t="inlineStr">
        <is>
          <t>Andrés Mariano Bustamante Castro</t>
        </is>
      </c>
      <c r="G3" s="14" t="inlineStr">
        <is>
          <t>5</t>
        </is>
      </c>
      <c r="H3" s="15" t="n">
        <v>46266</v>
      </c>
      <c r="I3" s="15" t="n">
        <v>46268</v>
      </c>
      <c r="J3" s="15" t="n">
        <v>46266</v>
      </c>
      <c r="K3" s="15" t="n"/>
      <c r="L3" s="14" t="inlineStr">
        <is>
          <t>En Proceso</t>
        </is>
      </c>
      <c r="M3" s="15" t="n"/>
      <c r="N3" s="14">
        <f>SI(O(H3="";J3="");"";SI(J3&lt;=H3;"SÍ";"NO"))</f>
        <v/>
      </c>
      <c r="O3" s="14">
        <f>SI(O(I3="";K3="");"";SI(K3&lt;=SI(M3&lt;&gt;"";M3;I3);"SÍ";"NO"))</f>
        <v/>
      </c>
      <c r="P3" s="14">
        <f>SI(O(N3="";O3="");"";SI(Y(N3="SÍ";O3="SÍ");"SÍ";"NO"))</f>
        <v/>
      </c>
      <c r="Q3" s="16">
        <f>SI(O(I3="";K3="");"";MAX(0;ENTERO(K3)-ENTERO(SI(M3&lt;&gt;"";M3;I3))))</f>
        <v/>
      </c>
      <c r="R3" s="14" t="n"/>
      <c r="S3" s="14" t="n"/>
      <c r="T3" s="15" t="n"/>
      <c r="U3" s="14" t="n">
        <v>36</v>
      </c>
      <c r="V3" s="14" t="n"/>
    </row>
    <row r="4">
      <c r="A4" s="11" t="n">
        <v>1353</v>
      </c>
      <c r="B4" s="11" t="inlineStr">
        <is>
          <t>EBEJICO</t>
        </is>
      </c>
      <c r="C4" s="11" t="inlineStr">
        <is>
          <t>Ebéjico</t>
        </is>
      </c>
      <c r="D4" s="11" t="inlineStr">
        <is>
          <t>Antioquia</t>
        </is>
      </c>
      <c r="E4" s="11" t="inlineStr">
        <is>
          <t>ANTIOQUIA</t>
        </is>
      </c>
      <c r="F4" s="11" t="inlineStr">
        <is>
          <t>Juan Pablo Osorio Ramirez</t>
        </is>
      </c>
      <c r="G4" s="11" t="inlineStr">
        <is>
          <t>1</t>
        </is>
      </c>
      <c r="H4" s="12" t="n">
        <v>46266</v>
      </c>
      <c r="I4" s="12" t="n">
        <v>46266</v>
      </c>
      <c r="J4" s="12" t="n">
        <v>46266</v>
      </c>
      <c r="K4" s="12" t="n">
        <v>46266</v>
      </c>
      <c r="L4" s="11" t="inlineStr">
        <is>
          <t>Finalizada</t>
        </is>
      </c>
      <c r="M4" s="12" t="n"/>
      <c r="N4" s="11">
        <f>SI(O(H4="";J4="");"";SI(J4&lt;=H4;"SÍ";"NO"))</f>
        <v/>
      </c>
      <c r="O4" s="11">
        <f>SI(O(I4="";K4="");"";SI(K4&lt;=SI(M4&lt;&gt;"";M4;I4);"SÍ";"NO"))</f>
        <v/>
      </c>
      <c r="P4" s="11">
        <f>SI(O(N4="";O4="");"";SI(Y(N4="SÍ";O4="SÍ");"SÍ";"NO"))</f>
        <v/>
      </c>
      <c r="Q4" s="13">
        <f>SI(O(I4="";K4="");"";MAX(0;ENTERO(K4)-ENTERO(SI(M4&lt;&gt;"";M4;I4))))</f>
        <v/>
      </c>
      <c r="R4" s="11" t="inlineStr">
        <is>
          <t>N/A - A Tiempo</t>
        </is>
      </c>
      <c r="S4" s="11" t="inlineStr">
        <is>
          <t>Firmada</t>
        </is>
      </c>
      <c r="T4" s="12" t="n"/>
      <c r="U4" s="11" t="n">
        <v>15</v>
      </c>
      <c r="V4" s="11" t="inlineStr">
        <is>
          <t>El directo del Sban se encentra en vacaiones, firma en su nombre el encargdo del cargo durante su ausencia Zayda Cabanzo</t>
        </is>
      </c>
    </row>
    <row r="5">
      <c r="A5" s="14" t="n">
        <v>1444</v>
      </c>
      <c r="B5" s="14" t="inlineStr">
        <is>
          <t>NECHI</t>
        </is>
      </c>
      <c r="C5" s="14" t="inlineStr">
        <is>
          <t>Nechí</t>
        </is>
      </c>
      <c r="D5" s="14" t="inlineStr">
        <is>
          <t>Antioquia</t>
        </is>
      </c>
      <c r="E5" s="14" t="inlineStr">
        <is>
          <t>ANTIOQUIA</t>
        </is>
      </c>
      <c r="F5" s="14" t="inlineStr">
        <is>
          <t>Ever Enrique Esquivel Movilla</t>
        </is>
      </c>
      <c r="G5" s="14" t="inlineStr">
        <is>
          <t>3</t>
        </is>
      </c>
      <c r="H5" s="15" t="n">
        <v>46266</v>
      </c>
      <c r="I5" s="15" t="n">
        <v>46266</v>
      </c>
      <c r="J5" s="15" t="n">
        <v>46266</v>
      </c>
      <c r="K5" s="15" t="n">
        <v>46266</v>
      </c>
      <c r="L5" s="14" t="inlineStr">
        <is>
          <t>Finalizada</t>
        </is>
      </c>
      <c r="M5" s="15" t="n"/>
      <c r="N5" s="14">
        <f>SI(O(H5="";J5="");"";SI(J5&lt;=H5;"SÍ";"NO"))</f>
        <v/>
      </c>
      <c r="O5" s="14">
        <f>SI(O(I5="";K5="");"";SI(K5&lt;=SI(M5&lt;&gt;"";M5;I5);"SÍ";"NO"))</f>
        <v/>
      </c>
      <c r="P5" s="14">
        <f>SI(O(N5="";O5="");"";SI(Y(N5="SÍ";O5="SÍ");"SÍ";"NO"))</f>
        <v/>
      </c>
      <c r="Q5" s="16">
        <f>SI(O(I5="";K5="");"";MAX(0;ENTERO(K5)-ENTERO(SI(M5&lt;&gt;"";M5;I5))))</f>
        <v/>
      </c>
      <c r="R5" s="14" t="inlineStr">
        <is>
          <t>N/A - A Tiempo</t>
        </is>
      </c>
      <c r="S5" s="14" t="inlineStr">
        <is>
          <t>Pendiente Firma</t>
        </is>
      </c>
      <c r="T5" s="15" t="n"/>
      <c r="U5" s="14" t="n">
        <v>18</v>
      </c>
      <c r="V5" s="14" t="n"/>
    </row>
    <row r="6">
      <c r="A6" s="11" t="n">
        <v>1506</v>
      </c>
      <c r="B6" s="11" t="inlineStr">
        <is>
          <t>BOAVITA</t>
        </is>
      </c>
      <c r="C6" s="11" t="inlineStr">
        <is>
          <t>Boavita</t>
        </is>
      </c>
      <c r="D6" s="11" t="inlineStr">
        <is>
          <t>Boyacá</t>
        </is>
      </c>
      <c r="E6" s="11" t="inlineStr">
        <is>
          <t>ORIENTE</t>
        </is>
      </c>
      <c r="F6" s="11" t="inlineStr">
        <is>
          <t>Luz Nélida Barragán Toro</t>
        </is>
      </c>
      <c r="G6" s="11" t="inlineStr">
        <is>
          <t>2</t>
        </is>
      </c>
      <c r="H6" s="12" t="n">
        <v>46266</v>
      </c>
      <c r="I6" s="12" t="n">
        <v>46267</v>
      </c>
      <c r="J6" s="12" t="n">
        <v>46266</v>
      </c>
      <c r="K6" s="12" t="n"/>
      <c r="L6" s="11" t="inlineStr">
        <is>
          <t>En Proceso</t>
        </is>
      </c>
      <c r="M6" s="12" t="n"/>
      <c r="N6" s="11">
        <f>SI(O(H6="";J6="");"";SI(J6&lt;=H6;"SÍ";"NO"))</f>
        <v/>
      </c>
      <c r="O6" s="11">
        <f>SI(O(I6="";K6="");"";SI(K6&lt;=SI(M6&lt;&gt;"";M6;I6);"SÍ";"NO"))</f>
        <v/>
      </c>
      <c r="P6" s="11">
        <f>SI(O(N6="";O6="");"";SI(Y(N6="SÍ";O6="SÍ");"SÍ";"NO"))</f>
        <v/>
      </c>
      <c r="Q6" s="13">
        <f>SI(O(I6="";K6="");"";MAX(0;ENTERO(K6)-ENTERO(SI(M6&lt;&gt;"";M6;I6))))</f>
        <v/>
      </c>
      <c r="R6" s="11" t="n"/>
      <c r="S6" s="11" t="n"/>
      <c r="T6" s="12" t="n"/>
      <c r="U6" s="11" t="n">
        <v>15</v>
      </c>
      <c r="V6" s="11" t="n"/>
    </row>
    <row r="7">
      <c r="A7" s="14" t="n">
        <v>1544</v>
      </c>
      <c r="B7" s="14" t="inlineStr">
        <is>
          <t>LA UVITA</t>
        </is>
      </c>
      <c r="C7" s="14" t="inlineStr">
        <is>
          <t>La Uvita</t>
        </is>
      </c>
      <c r="D7" s="14" t="inlineStr">
        <is>
          <t>Boyacá</t>
        </is>
      </c>
      <c r="E7" s="14" t="inlineStr">
        <is>
          <t>ORIENTE</t>
        </is>
      </c>
      <c r="F7" s="14" t="inlineStr">
        <is>
          <t>Andrés Felipe Díaz Noy</t>
        </is>
      </c>
      <c r="G7" s="14" t="inlineStr">
        <is>
          <t>1</t>
        </is>
      </c>
      <c r="H7" s="15" t="n">
        <v>46266</v>
      </c>
      <c r="I7" s="15" t="n">
        <v>46267</v>
      </c>
      <c r="J7" s="15" t="n">
        <v>46266</v>
      </c>
      <c r="K7" s="15" t="n"/>
      <c r="L7" s="14" t="inlineStr">
        <is>
          <t>En Proceso</t>
        </is>
      </c>
      <c r="M7" s="15" t="n"/>
      <c r="N7" s="14">
        <f>SI(O(H7="";J7="");"";SI(J7&lt;=H7;"SÍ";"NO"))</f>
        <v/>
      </c>
      <c r="O7" s="14">
        <f>SI(O(I7="";K7="");"";SI(K7&lt;=SI(M7&lt;&gt;"";M7;I7);"SÍ";"NO"))</f>
        <v/>
      </c>
      <c r="P7" s="14">
        <f>SI(O(N7="";O7="");"";SI(Y(N7="SÍ";O7="SÍ");"SÍ";"NO"))</f>
        <v/>
      </c>
      <c r="Q7" s="16">
        <f>SI(O(I7="";K7="");"";MAX(0;ENTERO(K7)-ENTERO(SI(M7&lt;&gt;"";M7;I7))))</f>
        <v/>
      </c>
      <c r="R7" s="14" t="n"/>
      <c r="S7" s="14" t="n"/>
      <c r="T7" s="15" t="n"/>
      <c r="U7" s="14" t="n">
        <v>13</v>
      </c>
      <c r="V7" s="14" t="n"/>
    </row>
    <row r="8">
      <c r="A8" s="11" t="n">
        <v>1582</v>
      </c>
      <c r="B8" s="11" t="inlineStr">
        <is>
          <t>SUSACON</t>
        </is>
      </c>
      <c r="C8" s="11" t="inlineStr">
        <is>
          <t>Susacón</t>
        </is>
      </c>
      <c r="D8" s="11" t="inlineStr">
        <is>
          <t>Boyacá</t>
        </is>
      </c>
      <c r="E8" s="11" t="inlineStr">
        <is>
          <t>ORIENTE</t>
        </is>
      </c>
      <c r="F8" s="11" t="inlineStr">
        <is>
          <t>Andrés Felipe Carvajal Pire</t>
        </is>
      </c>
      <c r="G8" s="11" t="inlineStr">
        <is>
          <t>1</t>
        </is>
      </c>
      <c r="H8" s="12" t="n">
        <v>46266</v>
      </c>
      <c r="I8" s="12" t="n">
        <v>46267</v>
      </c>
      <c r="J8" s="12" t="n">
        <v>46266</v>
      </c>
      <c r="K8" s="12" t="n"/>
      <c r="L8" s="11" t="inlineStr">
        <is>
          <t>En Proceso</t>
        </is>
      </c>
      <c r="M8" s="12" t="n"/>
      <c r="N8" s="11">
        <f>SI(O(H8="";J8="");"";SI(J8&lt;=H8;"SÍ";"NO"))</f>
        <v/>
      </c>
      <c r="O8" s="11">
        <f>SI(O(I8="";K8="");"";SI(K8&lt;=SI(M8&lt;&gt;"";M8;I8);"SÍ";"NO"))</f>
        <v/>
      </c>
      <c r="P8" s="11">
        <f>SI(O(N8="";O8="");"";SI(Y(N8="SÍ";O8="SÍ");"SÍ";"NO"))</f>
        <v/>
      </c>
      <c r="Q8" s="13">
        <f>SI(O(I8="";K8="");"";MAX(0;ENTERO(K8)-ENTERO(SI(M8&lt;&gt;"";M8;I8))))</f>
        <v/>
      </c>
      <c r="R8" s="11" t="n"/>
      <c r="S8" s="11" t="n"/>
      <c r="T8" s="12" t="n"/>
      <c r="U8" s="11" t="n">
        <v>13</v>
      </c>
      <c r="V8" s="11" t="n"/>
    </row>
    <row r="9">
      <c r="A9" s="14" t="n">
        <v>1586</v>
      </c>
      <c r="B9" s="14" t="inlineStr">
        <is>
          <t>TIPACOQUE</t>
        </is>
      </c>
      <c r="C9" s="14" t="inlineStr">
        <is>
          <t>Tipacoque</t>
        </is>
      </c>
      <c r="D9" s="14" t="inlineStr">
        <is>
          <t>Boyacá</t>
        </is>
      </c>
      <c r="E9" s="14" t="inlineStr">
        <is>
          <t>ORIENTE</t>
        </is>
      </c>
      <c r="F9" s="14" t="inlineStr">
        <is>
          <t>Mauricio Andrés Rivera Páez</t>
        </is>
      </c>
      <c r="G9" s="14" t="inlineStr">
        <is>
          <t>1</t>
        </is>
      </c>
      <c r="H9" s="15" t="n">
        <v>46266</v>
      </c>
      <c r="I9" s="15" t="n">
        <v>46267</v>
      </c>
      <c r="J9" s="15" t="n">
        <v>46266</v>
      </c>
      <c r="K9" s="15" t="n"/>
      <c r="L9" s="14" t="inlineStr">
        <is>
          <t>En Proceso</t>
        </is>
      </c>
      <c r="M9" s="15" t="n"/>
      <c r="N9" s="14">
        <f>SI(O(H9="";J9="");"";SI(J9&lt;=H9;"SÍ";"NO"))</f>
        <v/>
      </c>
      <c r="O9" s="14">
        <f>SI(O(I9="";K9="");"";SI(K9&lt;=SI(M9&lt;&gt;"";M9;I9);"SÍ";"NO"))</f>
        <v/>
      </c>
      <c r="P9" s="14">
        <f>SI(O(N9="";O9="");"";SI(Y(N9="SÍ";O9="SÍ");"SÍ";"NO"))</f>
        <v/>
      </c>
      <c r="Q9" s="16">
        <f>SI(O(I9="";K9="");"";MAX(0;ENTERO(K9)-ENTERO(SI(M9&lt;&gt;"";M9;I9))))</f>
        <v/>
      </c>
      <c r="R9" s="14" t="n"/>
      <c r="S9" s="14" t="n"/>
      <c r="T9" s="15" t="n"/>
      <c r="U9" s="14" t="n">
        <v>13</v>
      </c>
      <c r="V9" s="14" t="n"/>
    </row>
    <row r="10">
      <c r="A10" s="11" t="n">
        <v>2712</v>
      </c>
      <c r="B10" s="11" t="inlineStr">
        <is>
          <t>BUENAVISTA</t>
        </is>
      </c>
      <c r="C10" s="11" t="inlineStr">
        <is>
          <t>Buenavista</t>
        </is>
      </c>
      <c r="D10" s="11" t="inlineStr">
        <is>
          <t>Córdoba</t>
        </is>
      </c>
      <c r="E10" s="11" t="inlineStr">
        <is>
          <t>ANTIOQUIA</t>
        </is>
      </c>
      <c r="F10" s="11" t="inlineStr">
        <is>
          <t>Jorge Felipe Munive Medina</t>
        </is>
      </c>
      <c r="G10" s="11" t="inlineStr">
        <is>
          <t>2</t>
        </is>
      </c>
      <c r="H10" s="12" t="n">
        <v>46266</v>
      </c>
      <c r="I10" s="12" t="n">
        <v>46266</v>
      </c>
      <c r="J10" s="12" t="n">
        <v>46266</v>
      </c>
      <c r="K10" s="12" t="n">
        <v>46266</v>
      </c>
      <c r="L10" s="11" t="inlineStr">
        <is>
          <t>Finalizada</t>
        </is>
      </c>
      <c r="M10" s="12" t="n"/>
      <c r="N10" s="11">
        <f>SI(O(H10="";J10="");"";SI(J10&lt;=H10;"SÍ";"NO"))</f>
        <v/>
      </c>
      <c r="O10" s="11">
        <f>SI(O(I10="";K10="");"";SI(K10&lt;=SI(M10&lt;&gt;"";M10;I10);"SÍ";"NO"))</f>
        <v/>
      </c>
      <c r="P10" s="11">
        <f>SI(O(N10="";O10="");"";SI(Y(N10="SÍ";O10="SÍ");"SÍ";"NO"))</f>
        <v/>
      </c>
      <c r="Q10" s="13">
        <f>SI(O(I10="";K10="");"";MAX(0;ENTERO(K10)-ENTERO(SI(M10&lt;&gt;"";M10;I10))))</f>
        <v/>
      </c>
      <c r="R10" s="11" t="inlineStr">
        <is>
          <t>N/A - A Tiempo</t>
        </is>
      </c>
      <c r="S10" s="11" t="inlineStr">
        <is>
          <t>Pendiente Firma</t>
        </is>
      </c>
      <c r="T10" s="12" t="n"/>
      <c r="U10" s="11" t="n">
        <v>15</v>
      </c>
      <c r="V10" s="11" t="n"/>
    </row>
    <row r="11">
      <c r="A11" s="14" t="n">
        <v>2777</v>
      </c>
      <c r="B11" s="14" t="inlineStr">
        <is>
          <t>SAN ANTERO</t>
        </is>
      </c>
      <c r="C11" s="14" t="inlineStr">
        <is>
          <t>San Antero</t>
        </is>
      </c>
      <c r="D11" s="14" t="inlineStr">
        <is>
          <t>Córdoba</t>
        </is>
      </c>
      <c r="E11" s="14" t="inlineStr">
        <is>
          <t>COSTA</t>
        </is>
      </c>
      <c r="F11" s="14" t="inlineStr">
        <is>
          <t>Dimar Jose Morelo Cardona</t>
        </is>
      </c>
      <c r="G11" s="14" t="inlineStr">
        <is>
          <t>3</t>
        </is>
      </c>
      <c r="H11" s="15" t="n">
        <v>46266</v>
      </c>
      <c r="I11" s="15" t="n">
        <v>46266</v>
      </c>
      <c r="J11" s="15" t="n">
        <v>46266</v>
      </c>
      <c r="K11" s="15" t="n">
        <v>46266</v>
      </c>
      <c r="L11" s="14" t="inlineStr">
        <is>
          <t>Finalizada</t>
        </is>
      </c>
      <c r="M11" s="15" t="n"/>
      <c r="N11" s="14">
        <f>SI(O(H11="";J11="");"";SI(J11&lt;=H11;"SÍ";"NO"))</f>
        <v/>
      </c>
      <c r="O11" s="14">
        <f>SI(O(I11="";K11="");"";SI(K11&lt;=SI(M11&lt;&gt;"";M11;I11);"SÍ";"NO"))</f>
        <v/>
      </c>
      <c r="P11" s="14">
        <f>SI(O(N11="";O11="");"";SI(Y(N11="SÍ";O11="SÍ");"SÍ";"NO"))</f>
        <v/>
      </c>
      <c r="Q11" s="16">
        <f>SI(O(I11="";K11="");"";MAX(0;ENTERO(K11)-ENTERO(SI(M11&lt;&gt;"";M11;I11))))</f>
        <v/>
      </c>
      <c r="R11" s="14" t="inlineStr">
        <is>
          <t>N/A - A Tiempo</t>
        </is>
      </c>
      <c r="S11" s="14" t="inlineStr">
        <is>
          <t>Pendiente Firma</t>
        </is>
      </c>
      <c r="T11" s="15" t="n"/>
      <c r="U11" s="14" t="n">
        <v>17</v>
      </c>
      <c r="V11" s="14" t="n"/>
    </row>
    <row r="12">
      <c r="A12" s="11" t="n">
        <v>3935</v>
      </c>
      <c r="B12" s="11" t="inlineStr">
        <is>
          <t>IQUIRA</t>
        </is>
      </c>
      <c r="C12" s="11" t="inlineStr">
        <is>
          <t>Iquira</t>
        </is>
      </c>
      <c r="D12" s="11" t="inlineStr">
        <is>
          <t>Huila</t>
        </is>
      </c>
      <c r="E12" s="11" t="inlineStr">
        <is>
          <t>SUR</t>
        </is>
      </c>
      <c r="F12" s="11" t="inlineStr">
        <is>
          <t>ERIKA VARGAS</t>
        </is>
      </c>
      <c r="G12" s="11" t="inlineStr">
        <is>
          <t>2</t>
        </is>
      </c>
      <c r="H12" s="12" t="n">
        <v>46266</v>
      </c>
      <c r="I12" s="12" t="n">
        <v>46266</v>
      </c>
      <c r="J12" s="12" t="n">
        <v>46266</v>
      </c>
      <c r="K12" s="12" t="n">
        <v>46266</v>
      </c>
      <c r="L12" s="11" t="inlineStr">
        <is>
          <t>Finalizada</t>
        </is>
      </c>
      <c r="M12" s="12" t="n"/>
      <c r="N12" s="11">
        <f>SI(O(H12="";J12="");"";SI(J12&lt;=H12;"SÍ";"NO"))</f>
        <v/>
      </c>
      <c r="O12" s="11">
        <f>SI(O(I12="";K12="");"";SI(K12&lt;=SI(M12&lt;&gt;"";M12;I12);"SÍ";"NO"))</f>
        <v/>
      </c>
      <c r="P12" s="11">
        <f>SI(O(N12="";O12="");"";SI(Y(N12="SÍ";O12="SÍ");"SÍ";"NO"))</f>
        <v/>
      </c>
      <c r="Q12" s="13">
        <f>SI(O(I12="";K12="");"";MAX(0;ENTERO(K12)-ENTERO(SI(M12&lt;&gt;"";M12;I12))))</f>
        <v/>
      </c>
      <c r="R12" s="11" t="inlineStr">
        <is>
          <t>N/A - A Tiempo</t>
        </is>
      </c>
      <c r="S12" s="11" t="inlineStr">
        <is>
          <t>Pendiente Firma</t>
        </is>
      </c>
      <c r="T12" s="12" t="n"/>
      <c r="U12" s="11" t="n">
        <v>18</v>
      </c>
      <c r="V12" s="11" t="n"/>
    </row>
    <row r="13">
      <c r="A13" s="14" t="n">
        <v>4540</v>
      </c>
      <c r="B13" s="14" t="inlineStr">
        <is>
          <t>SAN CARLOS DE GUAROA</t>
        </is>
      </c>
      <c r="C13" s="14" t="inlineStr">
        <is>
          <t>San Carlos De Guaroa</t>
        </is>
      </c>
      <c r="D13" s="14" t="inlineStr">
        <is>
          <t>Meta</t>
        </is>
      </c>
      <c r="E13" s="14" t="inlineStr">
        <is>
          <t>BOGOTA</t>
        </is>
      </c>
      <c r="F13" s="14" t="inlineStr">
        <is>
          <t>Andres Felipe Balbin</t>
        </is>
      </c>
      <c r="G13" s="14" t="inlineStr">
        <is>
          <t>3</t>
        </is>
      </c>
      <c r="H13" s="15" t="n">
        <v>46266</v>
      </c>
      <c r="I13" s="15" t="n">
        <v>46266</v>
      </c>
      <c r="J13" s="15" t="n">
        <v>46266</v>
      </c>
      <c r="K13" s="15" t="n">
        <v>46266</v>
      </c>
      <c r="L13" s="14" t="inlineStr">
        <is>
          <t>Finalizada</t>
        </is>
      </c>
      <c r="M13" s="15" t="n"/>
      <c r="N13" s="14">
        <f>SI(O(H13="";J13="");"";SI(J13&lt;=H13;"SÍ";"NO"))</f>
        <v/>
      </c>
      <c r="O13" s="14">
        <f>SI(O(I13="";K13="");"";SI(K13&lt;=SI(M13&lt;&gt;"";M13;I13);"SÍ";"NO"))</f>
        <v/>
      </c>
      <c r="P13" s="14">
        <f>SI(O(N13="";O13="");"";SI(Y(N13="SÍ";O13="SÍ");"SÍ";"NO"))</f>
        <v/>
      </c>
      <c r="Q13" s="16">
        <f>SI(O(I13="";K13="");"";MAX(0;ENTERO(K13)-ENTERO(SI(M13&lt;&gt;"";M13;I13))))</f>
        <v/>
      </c>
      <c r="R13" s="14" t="inlineStr">
        <is>
          <t>N/A - A Tiempo</t>
        </is>
      </c>
      <c r="S13" s="14" t="inlineStr">
        <is>
          <t>Pendiente Firma</t>
        </is>
      </c>
      <c r="T13" s="15" t="n"/>
      <c r="U13" s="14" t="n">
        <v>17</v>
      </c>
      <c r="V13" s="14" t="n"/>
    </row>
    <row r="14">
      <c r="A14" s="11" t="n">
        <v>5170</v>
      </c>
      <c r="B14" s="11" t="inlineStr">
        <is>
          <t>TIBU</t>
        </is>
      </c>
      <c r="C14" s="11" t="inlineStr">
        <is>
          <t>Tibú</t>
        </is>
      </c>
      <c r="D14" s="11" t="inlineStr">
        <is>
          <t>Norte de Santander</t>
        </is>
      </c>
      <c r="E14" s="11" t="inlineStr">
        <is>
          <t>SANTANDERES</t>
        </is>
      </c>
      <c r="F14" s="11" t="inlineStr">
        <is>
          <t>Juan Alfonso Cuberos Buendia-Ali Kassem Issa Sierra</t>
        </is>
      </c>
      <c r="G14" s="11" t="inlineStr">
        <is>
          <t>6</t>
        </is>
      </c>
      <c r="H14" s="12" t="n">
        <v>46266</v>
      </c>
      <c r="I14" s="12" t="n">
        <v>46269</v>
      </c>
      <c r="J14" s="12" t="n">
        <v>46266</v>
      </c>
      <c r="K14" s="12" t="n"/>
      <c r="L14" s="11" t="inlineStr">
        <is>
          <t>En Proceso</t>
        </is>
      </c>
      <c r="M14" s="12" t="n"/>
      <c r="N14" s="11">
        <f>SI(O(H14="";J14="");"";SI(J14&lt;=H14;"SÍ";"NO"))</f>
        <v/>
      </c>
      <c r="O14" s="11">
        <f>SI(O(I14="";K14="");"";SI(K14&lt;=SI(M14&lt;&gt;"";M14;I14);"SÍ";"NO"))</f>
        <v/>
      </c>
      <c r="P14" s="11">
        <f>SI(O(N14="";O14="");"";SI(Y(N14="SÍ";O14="SÍ");"SÍ";"NO"))</f>
        <v/>
      </c>
      <c r="Q14" s="13">
        <f>SI(O(I14="";K14="");"";MAX(0;ENTERO(K14)-ENTERO(SI(M14&lt;&gt;"";M14;I14))))</f>
        <v/>
      </c>
      <c r="R14" s="11" t="n"/>
      <c r="S14" s="11" t="n"/>
      <c r="T14" s="12" t="n"/>
      <c r="U14" s="11" t="n">
        <v>44</v>
      </c>
      <c r="V14" s="11" t="n"/>
    </row>
    <row r="15">
      <c r="A15" s="14" t="n">
        <v>6607</v>
      </c>
      <c r="B15" s="14" t="inlineStr">
        <is>
          <t>CAJAMARCA</t>
        </is>
      </c>
      <c r="C15" s="14" t="inlineStr">
        <is>
          <t>Cajamarca</t>
        </is>
      </c>
      <c r="D15" s="14" t="inlineStr">
        <is>
          <t>Tolima</t>
        </is>
      </c>
      <c r="E15" s="14" t="inlineStr">
        <is>
          <t>SUR</t>
        </is>
      </c>
      <c r="F15" s="14" t="inlineStr">
        <is>
          <t>Fernando Valencia- Bernardo Arango</t>
        </is>
      </c>
      <c r="G15" s="14" t="inlineStr">
        <is>
          <t>3</t>
        </is>
      </c>
      <c r="H15" s="15" t="n">
        <v>46266</v>
      </c>
      <c r="I15" s="15" t="n">
        <v>46267</v>
      </c>
      <c r="J15" s="15" t="n">
        <v>46266</v>
      </c>
      <c r="K15" s="15" t="n"/>
      <c r="L15" s="14" t="inlineStr">
        <is>
          <t>En Proceso</t>
        </is>
      </c>
      <c r="M15" s="15" t="n"/>
      <c r="N15" s="14">
        <f>SI(O(H15="";J15="");"";SI(J15&lt;=H15;"SÍ";"NO"))</f>
        <v/>
      </c>
      <c r="O15" s="14">
        <f>SI(O(I15="";K15="");"";SI(K15&lt;=SI(M15&lt;&gt;"";M15;I15);"SÍ";"NO"))</f>
        <v/>
      </c>
      <c r="P15" s="14">
        <f>SI(O(N15="";O15="");"";SI(Y(N15="SÍ";O15="SÍ");"SÍ";"NO"))</f>
        <v/>
      </c>
      <c r="Q15" s="16">
        <f>SI(O(I15="";K15="");"";MAX(0;ENTERO(K15)-ENTERO(SI(M15&lt;&gt;"";M15;I15))))</f>
        <v/>
      </c>
      <c r="R15" s="14" t="n"/>
      <c r="S15" s="14" t="n"/>
      <c r="T15" s="15" t="n"/>
      <c r="U15" s="14" t="n">
        <v>22</v>
      </c>
      <c r="V15" s="14" t="n"/>
    </row>
    <row r="16">
      <c r="A16" s="11" t="n">
        <v>6627</v>
      </c>
      <c r="B16" s="11" t="inlineStr">
        <is>
          <t>ANZOATEGUI</t>
        </is>
      </c>
      <c r="C16" s="11" t="inlineStr">
        <is>
          <t>Anzoátegui</t>
        </is>
      </c>
      <c r="D16" s="11" t="inlineStr">
        <is>
          <t>Tolima</t>
        </is>
      </c>
      <c r="E16" s="11" t="inlineStr">
        <is>
          <t>SUR</t>
        </is>
      </c>
      <c r="F16" s="11" t="inlineStr">
        <is>
          <t>Yeisson Castaño</t>
        </is>
      </c>
      <c r="G16" s="11" t="inlineStr">
        <is>
          <t>1</t>
        </is>
      </c>
      <c r="H16" s="12" t="n">
        <v>46266</v>
      </c>
      <c r="I16" s="12" t="n">
        <v>46266</v>
      </c>
      <c r="J16" s="12" t="n">
        <v>46266</v>
      </c>
      <c r="K16" s="12" t="n">
        <v>46266</v>
      </c>
      <c r="L16" s="11" t="inlineStr">
        <is>
          <t>Finalizada</t>
        </is>
      </c>
      <c r="M16" s="12" t="n"/>
      <c r="N16" s="11">
        <f>SI(O(H16="";J16="");"";SI(J16&lt;=H16;"SÍ";"NO"))</f>
        <v/>
      </c>
      <c r="O16" s="11">
        <f>SI(O(I16="";K16="");"";SI(K16&lt;=SI(M16&lt;&gt;"";M16;I16);"SÍ";"NO"))</f>
        <v/>
      </c>
      <c r="P16" s="11">
        <f>SI(O(N16="";O16="");"";SI(Y(N16="SÍ";O16="SÍ");"SÍ";"NO"))</f>
        <v/>
      </c>
      <c r="Q16" s="13">
        <f>SI(O(I16="";K16="");"";MAX(0;ENTERO(K16)-ENTERO(SI(M16&lt;&gt;"";M16;I16))))</f>
        <v/>
      </c>
      <c r="R16" s="11" t="inlineStr">
        <is>
          <t>N/A - A Tiempo</t>
        </is>
      </c>
      <c r="S16" s="11" t="inlineStr">
        <is>
          <t>Pendiente Firma</t>
        </is>
      </c>
      <c r="T16" s="12" t="n"/>
      <c r="U16" s="11" t="n">
        <v>16</v>
      </c>
      <c r="V16" s="11" t="n"/>
    </row>
    <row r="17">
      <c r="A17" s="14" t="n">
        <v>6640</v>
      </c>
      <c r="B17" s="14" t="inlineStr">
        <is>
          <t>CARMEN DE APICALA</t>
        </is>
      </c>
      <c r="C17" s="14" t="inlineStr">
        <is>
          <t>Carmen De Apicalá</t>
        </is>
      </c>
      <c r="D17" s="14" t="inlineStr">
        <is>
          <t>Tolima</t>
        </is>
      </c>
      <c r="E17" s="14" t="inlineStr">
        <is>
          <t>SUR</t>
        </is>
      </c>
      <c r="F17" s="14" t="inlineStr">
        <is>
          <t>Johan Molano</t>
        </is>
      </c>
      <c r="G17" s="14" t="inlineStr">
        <is>
          <t>2</t>
        </is>
      </c>
      <c r="H17" s="15" t="n">
        <v>46266</v>
      </c>
      <c r="I17" s="15" t="n">
        <v>46266</v>
      </c>
      <c r="J17" s="15" t="n"/>
      <c r="K17" s="15" t="n"/>
      <c r="L17" s="14" t="inlineStr">
        <is>
          <t>Reprogramada</t>
        </is>
      </c>
      <c r="M17" s="15" t="n">
        <v>46241</v>
      </c>
      <c r="N17" s="14">
        <f>SI(O(H17="";J17="");"";SI(J17&lt;=H17;"SÍ";"NO"))</f>
        <v/>
      </c>
      <c r="O17" s="14">
        <f>SI(O(I17="";K17="");"";SI(K17&lt;=SI(M17&lt;&gt;"";M17;I17);"SÍ";"NO"))</f>
        <v/>
      </c>
      <c r="P17" s="14">
        <f>SI(O(N17="";O17="");"";SI(Y(N17="SÍ";O17="SÍ");"SÍ";"NO"))</f>
        <v/>
      </c>
      <c r="Q17" s="16">
        <f>SI(O(I17="";K17="");"";MAX(0;ENTERO(K17)-ENTERO(SI(M17&lt;&gt;"";M17;I17))))</f>
        <v/>
      </c>
      <c r="R17" s="14" t="inlineStr">
        <is>
          <t>Logística/Acceso</t>
        </is>
      </c>
      <c r="S17" s="14" t="n"/>
      <c r="T17" s="15" t="n"/>
      <c r="U17" s="14" t="n">
        <v>20</v>
      </c>
      <c r="V17" s="14" t="inlineStr">
        <is>
          <t>Derrumbe en la zona que impide el acceso</t>
        </is>
      </c>
    </row>
    <row r="18">
      <c r="A18" s="11" t="n">
        <v>6642</v>
      </c>
      <c r="B18" s="11" t="inlineStr">
        <is>
          <t>PLANADAS</t>
        </is>
      </c>
      <c r="C18" s="11" t="inlineStr">
        <is>
          <t>Planadas</t>
        </is>
      </c>
      <c r="D18" s="11" t="inlineStr">
        <is>
          <t>Tolima</t>
        </is>
      </c>
      <c r="E18" s="11" t="inlineStr">
        <is>
          <t>SUR</t>
        </is>
      </c>
      <c r="F18" s="11" t="inlineStr">
        <is>
          <t>Johan Cardenas</t>
        </is>
      </c>
      <c r="G18" s="11" t="inlineStr">
        <is>
          <t>3</t>
        </is>
      </c>
      <c r="H18" s="12" t="n">
        <v>46266</v>
      </c>
      <c r="I18" s="12" t="n">
        <v>46267</v>
      </c>
      <c r="J18" s="12" t="n">
        <v>46266</v>
      </c>
      <c r="K18" s="12" t="n"/>
      <c r="L18" s="11" t="inlineStr">
        <is>
          <t>En Proceso</t>
        </is>
      </c>
      <c r="M18" s="12" t="n"/>
      <c r="N18" s="11">
        <f>SI(O(H18="";J18="");"";SI(J18&lt;=H18;"SÍ";"NO"))</f>
        <v/>
      </c>
      <c r="O18" s="11">
        <f>SI(O(I18="";K18="");"";SI(K18&lt;=SI(M18&lt;&gt;"";M18;I18);"SÍ";"NO"))</f>
        <v/>
      </c>
      <c r="P18" s="11">
        <f>SI(O(N18="";O18="");"";SI(Y(N18="SÍ";O18="SÍ");"SÍ";"NO"))</f>
        <v/>
      </c>
      <c r="Q18" s="13">
        <f>SI(O(I18="";K18="");"";MAX(0;ENTERO(K18)-ENTERO(SI(M18&lt;&gt;"";M18;I18))))</f>
        <v/>
      </c>
      <c r="R18" s="11" t="n"/>
      <c r="S18" s="11" t="n"/>
      <c r="T18" s="12" t="n"/>
      <c r="U18" s="11" t="n">
        <v>32</v>
      </c>
      <c r="V18" s="11" t="n"/>
    </row>
    <row r="19">
      <c r="A19" s="14" t="n">
        <v>7303</v>
      </c>
      <c r="B19" s="14" t="inlineStr">
        <is>
          <t>ARAUCA</t>
        </is>
      </c>
      <c r="C19" s="14" t="inlineStr">
        <is>
          <t>Arauca</t>
        </is>
      </c>
      <c r="D19" s="14" t="inlineStr">
        <is>
          <t>Arauca</t>
        </is>
      </c>
      <c r="E19" s="14" t="inlineStr">
        <is>
          <t>BOGOTA</t>
        </is>
      </c>
      <c r="F19" s="14" t="inlineStr">
        <is>
          <t>JOAQUIN DE JESUS ROMERO PIÑEREZ</t>
        </is>
      </c>
      <c r="G19" s="14" t="inlineStr">
        <is>
          <t>5</t>
        </is>
      </c>
      <c r="H19" s="15" t="n">
        <v>46266</v>
      </c>
      <c r="I19" s="15" t="n">
        <v>46266</v>
      </c>
      <c r="J19" s="15" t="n">
        <v>46266</v>
      </c>
      <c r="K19" s="15" t="n">
        <v>46266</v>
      </c>
      <c r="L19" s="14" t="inlineStr">
        <is>
          <t>Finalizada</t>
        </is>
      </c>
      <c r="M19" s="15" t="n"/>
      <c r="N19" s="14">
        <f>SI(O(H19="";J19="");"";SI(J19&lt;=H19;"SÍ";"NO"))</f>
        <v/>
      </c>
      <c r="O19" s="14">
        <f>SI(O(I19="";K19="");"";SI(K19&lt;=SI(M19&lt;&gt;"";M19;I19);"SÍ";"NO"))</f>
        <v/>
      </c>
      <c r="P19" s="14">
        <f>SI(O(N19="";O19="");"";SI(Y(N19="SÍ";O19="SÍ");"SÍ";"NO"))</f>
        <v/>
      </c>
      <c r="Q19" s="16">
        <f>SI(O(I19="";K19="");"";MAX(0;ENTERO(K19)-ENTERO(SI(M19&lt;&gt;"";M19;I19))))</f>
        <v/>
      </c>
      <c r="R19" s="14" t="inlineStr">
        <is>
          <t>N/A - A Tiempo</t>
        </is>
      </c>
      <c r="S19" s="14" t="inlineStr">
        <is>
          <t>Pendiente Firma</t>
        </is>
      </c>
      <c r="T19" s="15" t="n"/>
      <c r="U19" s="14" t="n">
        <v>34</v>
      </c>
      <c r="V19" s="14" t="n"/>
    </row>
    <row r="20">
      <c r="A20" s="11" t="n">
        <v>7901</v>
      </c>
      <c r="B20" s="11" t="inlineStr">
        <is>
          <t>SIBUNDOY</t>
        </is>
      </c>
      <c r="C20" s="11" t="inlineStr">
        <is>
          <t>Sibundoy</t>
        </is>
      </c>
      <c r="D20" s="11" t="inlineStr">
        <is>
          <t>Putumayo</t>
        </is>
      </c>
      <c r="E20" s="11" t="inlineStr">
        <is>
          <t>SUR</t>
        </is>
      </c>
      <c r="F20" s="11" t="inlineStr">
        <is>
          <t>JOSE EVANGELISTA PINCHAO PINCHAO</t>
        </is>
      </c>
      <c r="G20" s="11" t="inlineStr">
        <is>
          <t>3</t>
        </is>
      </c>
      <c r="H20" s="12" t="n">
        <v>46266</v>
      </c>
      <c r="I20" s="12" t="n">
        <v>46267</v>
      </c>
      <c r="J20" s="12" t="n">
        <v>46266</v>
      </c>
      <c r="K20" s="12" t="n"/>
      <c r="L20" s="11" t="inlineStr">
        <is>
          <t>En Proceso</t>
        </is>
      </c>
      <c r="M20" s="12" t="n"/>
      <c r="N20" s="11">
        <f>SI(O(H20="";J20="");"";SI(J20&lt;=H20;"SÍ";"NO"))</f>
        <v/>
      </c>
      <c r="O20" s="11">
        <f>SI(O(I20="";K20="");"";SI(K20&lt;=SI(M20&lt;&gt;"";M20;I20);"SÍ";"NO"))</f>
        <v/>
      </c>
      <c r="P20" s="11">
        <f>SI(O(N20="";O20="");"";SI(Y(N20="SÍ";O20="SÍ");"SÍ";"NO"))</f>
        <v/>
      </c>
      <c r="Q20" s="13">
        <f>SI(O(I20="";K20="");"";MAX(0;ENTERO(K20)-ENTERO(SI(M20&lt;&gt;"";M20;I20))))</f>
        <v/>
      </c>
      <c r="R20" s="11" t="n"/>
      <c r="S20" s="11" t="n"/>
      <c r="T20" s="12" t="n"/>
      <c r="U20" s="11" t="n">
        <v>31</v>
      </c>
      <c r="V20" s="11" t="n"/>
    </row>
    <row r="21">
      <c r="A21" s="14" t="n">
        <v>8510</v>
      </c>
      <c r="B21" s="14" t="inlineStr">
        <is>
          <t>LA PRIMAVERA</t>
        </is>
      </c>
      <c r="C21" s="14" t="inlineStr">
        <is>
          <t>La Primavera</t>
        </is>
      </c>
      <c r="D21" s="14" t="inlineStr">
        <is>
          <t>Vichada</t>
        </is>
      </c>
      <c r="E21" s="14" t="inlineStr">
        <is>
          <t>BOGOTA</t>
        </is>
      </c>
      <c r="F21" s="14" t="inlineStr">
        <is>
          <t>Andres Diaz</t>
        </is>
      </c>
      <c r="G21" s="14" t="inlineStr">
        <is>
          <t>2</t>
        </is>
      </c>
      <c r="H21" s="15" t="n">
        <v>46266</v>
      </c>
      <c r="I21" s="15" t="n">
        <v>46272</v>
      </c>
      <c r="J21" s="15" t="n">
        <v>46266</v>
      </c>
      <c r="K21" s="15" t="n"/>
      <c r="L21" s="14" t="inlineStr">
        <is>
          <t>En Proceso</t>
        </is>
      </c>
      <c r="M21" s="15" t="n"/>
      <c r="N21" s="14">
        <f>SI(O(H21="";J21="");"";SI(J21&lt;=H21;"SÍ";"NO"))</f>
        <v/>
      </c>
      <c r="O21" s="14">
        <f>SI(O(I21="";K21="");"";SI(K21&lt;=SI(M21&lt;&gt;"";M21;I21);"SÍ";"NO"))</f>
        <v/>
      </c>
      <c r="P21" s="14">
        <f>SI(O(N21="";O21="");"";SI(Y(N21="SÍ";O21="SÍ");"SÍ";"NO"))</f>
        <v/>
      </c>
      <c r="Q21" s="16">
        <f>SI(O(I21="";K21="");"";MAX(0;ENTERO(K21)-ENTERO(SI(M21&lt;&gt;"";M21;I21))))</f>
        <v/>
      </c>
      <c r="R21" s="14" t="n"/>
      <c r="S21" s="14" t="n"/>
      <c r="T21" s="15" t="n"/>
      <c r="U21" s="14" t="n">
        <v>17</v>
      </c>
      <c r="V21" s="14" t="n"/>
    </row>
    <row r="22">
      <c r="A22" s="11" t="n">
        <v>9000</v>
      </c>
      <c r="B22" s="11" t="inlineStr">
        <is>
          <t>AVIANCA</t>
        </is>
      </c>
      <c r="C22" s="11" t="inlineStr">
        <is>
          <t>Bogotá, D.C.</t>
        </is>
      </c>
      <c r="D22" s="11" t="inlineStr">
        <is>
          <t>Cundinamarca</t>
        </is>
      </c>
      <c r="E22" s="11" t="inlineStr">
        <is>
          <t>DIRECCION GENERAL</t>
        </is>
      </c>
      <c r="F22" s="11" t="inlineStr">
        <is>
          <t>Grupo Bogota</t>
        </is>
      </c>
      <c r="G22" s="11" t="inlineStr">
        <is>
          <t>936</t>
        </is>
      </c>
      <c r="H22" s="12" t="n">
        <v>46266</v>
      </c>
      <c r="I22" s="12" t="n">
        <v>46367</v>
      </c>
      <c r="J22" s="12" t="n">
        <v>46266</v>
      </c>
      <c r="K22" s="12" t="n"/>
      <c r="L22" s="11" t="inlineStr">
        <is>
          <t>En Proceso</t>
        </is>
      </c>
      <c r="M22" s="12" t="n"/>
      <c r="N22" s="11">
        <f>SI(O(H22="";J22="");"";SI(J22&lt;=H22;"SÍ";"NO"))</f>
        <v/>
      </c>
      <c r="O22" s="11">
        <f>SI(O(I22="";K22="");"";SI(K22&lt;=SI(M22&lt;&gt;"";M22;I22);"SÍ";"NO"))</f>
        <v/>
      </c>
      <c r="P22" s="11">
        <f>SI(O(N22="";O22="");"";SI(Y(N22="SÍ";O22="SÍ");"SÍ";"NO"))</f>
        <v/>
      </c>
      <c r="Q22" s="13">
        <f>SI(O(I22="";K22="");"";MAX(0;ENTERO(K22)-ENTERO(SI(M22&lt;&gt;"";M22;I22))))</f>
        <v/>
      </c>
      <c r="R22" s="11" t="n"/>
      <c r="S22" s="11" t="n"/>
      <c r="T22" s="12" t="n"/>
      <c r="U22" s="11" t="n">
        <v>1713</v>
      </c>
      <c r="V22" s="11" t="n"/>
    </row>
    <row r="23">
      <c r="A23" s="14" t="n">
        <v>9000</v>
      </c>
      <c r="B23" s="14" t="inlineStr">
        <is>
          <t>DIRECCION GENERAL</t>
        </is>
      </c>
      <c r="C23" s="14" t="inlineStr">
        <is>
          <t>Bogotá, D.C.</t>
        </is>
      </c>
      <c r="D23" s="14" t="inlineStr">
        <is>
          <t>Cundinamarca</t>
        </is>
      </c>
      <c r="E23" s="14" t="inlineStr">
        <is>
          <t>DIRECCION GENERAL</t>
        </is>
      </c>
      <c r="F23" s="14" t="inlineStr">
        <is>
          <t>Grupo Bogota</t>
        </is>
      </c>
      <c r="G23" s="14" t="inlineStr">
        <is>
          <t>1022</t>
        </is>
      </c>
      <c r="H23" s="15" t="n">
        <v>46266</v>
      </c>
      <c r="I23" s="15" t="n">
        <v>46367</v>
      </c>
      <c r="J23" s="15" t="n">
        <v>46266</v>
      </c>
      <c r="K23" s="15" t="n"/>
      <c r="L23" s="14" t="inlineStr">
        <is>
          <t>En Proceso</t>
        </is>
      </c>
      <c r="M23" s="15" t="n"/>
      <c r="N23" s="14">
        <f>SI(O(H23="";J23="");"";SI(J23&lt;=H23;"SÍ";"NO"))</f>
        <v/>
      </c>
      <c r="O23" s="14">
        <f>SI(O(I23="";K23="");"";SI(K23&lt;=SI(M23&lt;&gt;"";M23;I23);"SÍ";"NO"))</f>
        <v/>
      </c>
      <c r="P23" s="14">
        <f>SI(O(N23="";O23="");"";SI(Y(N23="SÍ";O23="SÍ");"SÍ";"NO"))</f>
        <v/>
      </c>
      <c r="Q23" s="16">
        <f>SI(O(I23="";K23="");"";MAX(0;ENTERO(K23)-ENTERO(SI(M23&lt;&gt;"";M23;I23))))</f>
        <v/>
      </c>
      <c r="R23" s="14" t="n"/>
      <c r="S23" s="14" t="n"/>
      <c r="T23" s="15" t="n"/>
      <c r="U23" s="14" t="n">
        <v>1637</v>
      </c>
      <c r="V23" s="14" t="n"/>
    </row>
    <row r="24">
      <c r="A24" s="11" t="n">
        <v>9000</v>
      </c>
      <c r="B24" s="11" t="inlineStr">
        <is>
          <t>SUDAMERIS</t>
        </is>
      </c>
      <c r="C24" s="11" t="inlineStr">
        <is>
          <t>Bogotá, D.C.</t>
        </is>
      </c>
      <c r="D24" s="11" t="inlineStr">
        <is>
          <t>Cundinamarca</t>
        </is>
      </c>
      <c r="E24" s="11" t="inlineStr">
        <is>
          <t>DIRECCION GENERAL</t>
        </is>
      </c>
      <c r="F24" s="11" t="inlineStr">
        <is>
          <t>Grupo Bogota</t>
        </is>
      </c>
      <c r="G24" s="11" t="inlineStr">
        <is>
          <t>43</t>
        </is>
      </c>
      <c r="H24" s="12" t="n">
        <v>46266</v>
      </c>
      <c r="I24" s="12" t="n">
        <v>46367</v>
      </c>
      <c r="J24" s="12" t="n">
        <v>46266</v>
      </c>
      <c r="K24" s="12" t="n"/>
      <c r="L24" s="11" t="inlineStr">
        <is>
          <t>En Proceso</t>
        </is>
      </c>
      <c r="M24" s="12" t="n"/>
      <c r="N24" s="11">
        <f>SI(O(H24="";J24="");"";SI(J24&lt;=H24;"SÍ";"NO"))</f>
        <v/>
      </c>
      <c r="O24" s="11">
        <f>SI(O(I24="";K24="");"";SI(K24&lt;=SI(M24&lt;&gt;"";M24;I24);"SÍ";"NO"))</f>
        <v/>
      </c>
      <c r="P24" s="11">
        <f>SI(O(N24="";O24="");"";SI(Y(N24="SÍ";O24="SÍ");"SÍ";"NO"))</f>
        <v/>
      </c>
      <c r="Q24" s="13">
        <f>SI(O(I24="";K24="");"";MAX(0;ENTERO(K24)-ENTERO(SI(M24&lt;&gt;"";M24;I24))))</f>
        <v/>
      </c>
      <c r="R24" s="11" t="n"/>
      <c r="S24" s="11" t="n"/>
      <c r="T24" s="12" t="n"/>
      <c r="U24" s="11" t="n">
        <v>73</v>
      </c>
      <c r="V24" s="11" t="n"/>
    </row>
    <row r="25">
      <c r="A25" s="14" t="n">
        <v>1381</v>
      </c>
      <c r="B25" s="14" t="inlineStr">
        <is>
          <t>RIONEGRO</t>
        </is>
      </c>
      <c r="C25" s="14" t="inlineStr">
        <is>
          <t>Rionegro</t>
        </is>
      </c>
      <c r="D25" s="14" t="inlineStr">
        <is>
          <t>Antioquia</t>
        </is>
      </c>
      <c r="E25" s="14" t="inlineStr">
        <is>
          <t>ANTIOQUIA</t>
        </is>
      </c>
      <c r="F25" s="14" t="inlineStr">
        <is>
          <t>Juan Pablo Osorio Ramirez</t>
        </is>
      </c>
      <c r="G25" s="14" t="inlineStr">
        <is>
          <t>8</t>
        </is>
      </c>
      <c r="H25" s="15" t="n">
        <v>46267</v>
      </c>
      <c r="I25" s="15" t="n">
        <v>46267</v>
      </c>
      <c r="J25" s="15" t="n"/>
      <c r="K25" s="15" t="n"/>
      <c r="L25" s="14" t="inlineStr">
        <is>
          <t>Programada</t>
        </is>
      </c>
      <c r="M25" s="15" t="n"/>
      <c r="N25" s="14">
        <f>SI(O(H25="";J25="");"";SI(J25&lt;=H25;"SÍ";"NO"))</f>
        <v/>
      </c>
      <c r="O25" s="14">
        <f>SI(O(I25="";K25="");"";SI(K25&lt;=SI(M25&lt;&gt;"";M25;I25);"SÍ";"NO"))</f>
        <v/>
      </c>
      <c r="P25" s="14">
        <f>SI(O(N25="";O25="");"";SI(Y(N25="SÍ";O25="SÍ");"SÍ";"NO"))</f>
        <v/>
      </c>
      <c r="Q25" s="16">
        <f>SI(O(I25="";K25="");"";MAX(0;ENTERO(K25)-ENTERO(SI(M25&lt;&gt;"";M25;I25))))</f>
        <v/>
      </c>
      <c r="R25" s="14" t="n"/>
      <c r="S25" s="14" t="n"/>
      <c r="T25" s="15" t="n"/>
      <c r="U25" s="14" t="n">
        <v>35</v>
      </c>
      <c r="V25" s="14" t="n"/>
    </row>
    <row r="26">
      <c r="A26" s="11" t="n">
        <v>1504</v>
      </c>
      <c r="B26" s="11" t="inlineStr">
        <is>
          <t>BELEN</t>
        </is>
      </c>
      <c r="C26" s="11" t="inlineStr">
        <is>
          <t>Belén</t>
        </is>
      </c>
      <c r="D26" s="11" t="inlineStr">
        <is>
          <t>Boyacá</t>
        </is>
      </c>
      <c r="E26" s="11" t="inlineStr">
        <is>
          <t>ORIENTE</t>
        </is>
      </c>
      <c r="F26" s="11" t="inlineStr">
        <is>
          <t>Andrés Felipe Carvajal Pire</t>
        </is>
      </c>
      <c r="G26" s="11" t="inlineStr">
        <is>
          <t>4</t>
        </is>
      </c>
      <c r="H26" s="12" t="n">
        <v>46267</v>
      </c>
      <c r="I26" s="12" t="n">
        <v>46268</v>
      </c>
      <c r="J26" s="12" t="n"/>
      <c r="K26" s="12" t="n"/>
      <c r="L26" s="11" t="inlineStr">
        <is>
          <t>Programada</t>
        </is>
      </c>
      <c r="M26" s="12" t="n"/>
      <c r="N26" s="11">
        <f>SI(O(H26="";J26="");"";SI(J26&lt;=H26;"SÍ";"NO"))</f>
        <v/>
      </c>
      <c r="O26" s="11">
        <f>SI(O(I26="";K26="");"";SI(K26&lt;=SI(M26&lt;&gt;"";M26;I26);"SÍ";"NO"))</f>
        <v/>
      </c>
      <c r="P26" s="11">
        <f>SI(O(N26="";O26="");"";SI(Y(N26="SÍ";O26="SÍ");"SÍ";"NO"))</f>
        <v/>
      </c>
      <c r="Q26" s="13">
        <f>SI(O(I26="";K26="");"";MAX(0;ENTERO(K26)-ENTERO(SI(M26&lt;&gt;"";M26;I26))))</f>
        <v/>
      </c>
      <c r="R26" s="11" t="n"/>
      <c r="S26" s="11" t="n"/>
      <c r="T26" s="12" t="n"/>
      <c r="U26" s="11" t="n">
        <v>24</v>
      </c>
      <c r="V26" s="11" t="n"/>
    </row>
    <row r="27">
      <c r="A27" s="14" t="n">
        <v>1522</v>
      </c>
      <c r="B27" s="14" t="inlineStr">
        <is>
          <t>COVARACHIA</t>
        </is>
      </c>
      <c r="C27" s="14" t="inlineStr">
        <is>
          <t>Covarachía</t>
        </is>
      </c>
      <c r="D27" s="14" t="inlineStr">
        <is>
          <t>Boyacá</t>
        </is>
      </c>
      <c r="E27" s="14" t="inlineStr">
        <is>
          <t>ORIENTE</t>
        </is>
      </c>
      <c r="F27" s="14" t="inlineStr">
        <is>
          <t>Mauricio Andrés Rivera Páez</t>
        </is>
      </c>
      <c r="G27" s="14" t="inlineStr">
        <is>
          <t>1</t>
        </is>
      </c>
      <c r="H27" s="15" t="n">
        <v>46267</v>
      </c>
      <c r="I27" s="15" t="n">
        <v>46268</v>
      </c>
      <c r="J27" s="15" t="n"/>
      <c r="K27" s="15" t="n"/>
      <c r="L27" s="14" t="inlineStr">
        <is>
          <t>Programada</t>
        </is>
      </c>
      <c r="M27" s="15" t="n"/>
      <c r="N27" s="14">
        <f>SI(O(H27="";J27="");"";SI(J27&lt;=H27;"SÍ";"NO"))</f>
        <v/>
      </c>
      <c r="O27" s="14">
        <f>SI(O(I27="";K27="");"";SI(K27&lt;=SI(M27&lt;&gt;"";M27;I27);"SÍ";"NO"))</f>
        <v/>
      </c>
      <c r="P27" s="14">
        <f>SI(O(N27="";O27="");"";SI(Y(N27="SÍ";O27="SÍ");"SÍ";"NO"))</f>
        <v/>
      </c>
      <c r="Q27" s="16">
        <f>SI(O(I27="";K27="");"";MAX(0;ENTERO(K27)-ENTERO(SI(M27&lt;&gt;"";M27;I27))))</f>
        <v/>
      </c>
      <c r="R27" s="14" t="n"/>
      <c r="S27" s="14" t="n"/>
      <c r="T27" s="15" t="n"/>
      <c r="U27" s="14" t="n">
        <v>13</v>
      </c>
      <c r="V27" s="14" t="n"/>
    </row>
    <row r="28">
      <c r="A28" s="11" t="n">
        <v>1524</v>
      </c>
      <c r="B28" s="11" t="inlineStr">
        <is>
          <t>EL COCUY</t>
        </is>
      </c>
      <c r="C28" s="11" t="inlineStr">
        <is>
          <t>El Cocuy</t>
        </is>
      </c>
      <c r="D28" s="11" t="inlineStr">
        <is>
          <t>Boyacá</t>
        </is>
      </c>
      <c r="E28" s="11" t="inlineStr">
        <is>
          <t>ORIENTE</t>
        </is>
      </c>
      <c r="F28" s="11" t="inlineStr">
        <is>
          <t>Luz Nélida Barragán Toro</t>
        </is>
      </c>
      <c r="G28" s="11" t="inlineStr">
        <is>
          <t>3</t>
        </is>
      </c>
      <c r="H28" s="12" t="n">
        <v>46267</v>
      </c>
      <c r="I28" s="12" t="n">
        <v>46268</v>
      </c>
      <c r="J28" s="12" t="n"/>
      <c r="K28" s="12" t="n"/>
      <c r="L28" s="11" t="inlineStr">
        <is>
          <t>Programada</t>
        </is>
      </c>
      <c r="M28" s="12" t="n"/>
      <c r="N28" s="11">
        <f>SI(O(H28="";J28="");"";SI(J28&lt;=H28;"SÍ";"NO"))</f>
        <v/>
      </c>
      <c r="O28" s="11">
        <f>SI(O(I28="";K28="");"";SI(K28&lt;=SI(M28&lt;&gt;"";M28;I28);"SÍ";"NO"))</f>
        <v/>
      </c>
      <c r="P28" s="11">
        <f>SI(O(N28="";O28="");"";SI(Y(N28="SÍ";O28="SÍ");"SÍ";"NO"))</f>
        <v/>
      </c>
      <c r="Q28" s="13">
        <f>SI(O(I28="";K28="");"";MAX(0;ENTERO(K28)-ENTERO(SI(M28&lt;&gt;"";M28;I28))))</f>
        <v/>
      </c>
      <c r="R28" s="11" t="n"/>
      <c r="S28" s="11" t="n"/>
      <c r="T28" s="12" t="n"/>
      <c r="U28" s="11" t="n">
        <v>17</v>
      </c>
      <c r="V28" s="11" t="n"/>
    </row>
    <row r="29">
      <c r="A29" s="14" t="n">
        <v>1576</v>
      </c>
      <c r="B29" s="14" t="inlineStr">
        <is>
          <t>SOATA</t>
        </is>
      </c>
      <c r="C29" s="14" t="inlineStr">
        <is>
          <t>Soatá</t>
        </is>
      </c>
      <c r="D29" s="14" t="inlineStr">
        <is>
          <t>Boyacá</t>
        </is>
      </c>
      <c r="E29" s="14" t="inlineStr">
        <is>
          <t>ORIENTE</t>
        </is>
      </c>
      <c r="F29" s="14" t="inlineStr">
        <is>
          <t>Mauricio Andrés Rivera Páez  Y ANDRES FELIPE DIAZ</t>
        </is>
      </c>
      <c r="G29" s="14" t="inlineStr">
        <is>
          <t>5</t>
        </is>
      </c>
      <c r="H29" s="15" t="n">
        <v>46267</v>
      </c>
      <c r="I29" s="15" t="n">
        <v>46269</v>
      </c>
      <c r="J29" s="15" t="n"/>
      <c r="K29" s="15" t="n"/>
      <c r="L29" s="14" t="inlineStr">
        <is>
          <t>Programada</t>
        </is>
      </c>
      <c r="M29" s="15" t="n"/>
      <c r="N29" s="14">
        <f>SI(O(H29="";J29="");"";SI(J29&lt;=H29;"SÍ";"NO"))</f>
        <v/>
      </c>
      <c r="O29" s="14">
        <f>SI(O(I29="";K29="");"";SI(K29&lt;=SI(M29&lt;&gt;"";M29;I29);"SÍ";"NO"))</f>
        <v/>
      </c>
      <c r="P29" s="14">
        <f>SI(O(N29="";O29="");"";SI(Y(N29="SÍ";O29="SÍ");"SÍ";"NO"))</f>
        <v/>
      </c>
      <c r="Q29" s="16">
        <f>SI(O(I29="";K29="");"";MAX(0;ENTERO(K29)-ENTERO(SI(M29&lt;&gt;"";M29;I29))))</f>
        <v/>
      </c>
      <c r="R29" s="14" t="n"/>
      <c r="S29" s="14" t="n"/>
      <c r="T29" s="15" t="n"/>
      <c r="U29" s="14" t="n">
        <v>31</v>
      </c>
      <c r="V29" s="14" t="n"/>
    </row>
    <row r="30">
      <c r="A30" s="11" t="n">
        <v>2413</v>
      </c>
      <c r="B30" s="11" t="inlineStr">
        <is>
          <t>FONSECA</t>
        </is>
      </c>
      <c r="C30" s="11" t="inlineStr">
        <is>
          <t>Fonseca</t>
        </is>
      </c>
      <c r="D30" s="11" t="inlineStr">
        <is>
          <t>La Guajira</t>
        </is>
      </c>
      <c r="E30" s="11" t="inlineStr">
        <is>
          <t>COSTA</t>
        </is>
      </c>
      <c r="F30" s="11" t="inlineStr">
        <is>
          <t>Karen Katerine  Beleño Andrade</t>
        </is>
      </c>
      <c r="G30" s="11" t="inlineStr">
        <is>
          <t>2</t>
        </is>
      </c>
      <c r="H30" s="12" t="n">
        <v>46267</v>
      </c>
      <c r="I30" s="12" t="n">
        <v>46267</v>
      </c>
      <c r="J30" s="12" t="n"/>
      <c r="K30" s="12" t="n"/>
      <c r="L30" s="11" t="inlineStr">
        <is>
          <t>Programada</t>
        </is>
      </c>
      <c r="M30" s="12" t="n"/>
      <c r="N30" s="11">
        <f>SI(O(H30="";J30="");"";SI(J30&lt;=H30;"SÍ";"NO"))</f>
        <v/>
      </c>
      <c r="O30" s="11">
        <f>SI(O(I30="";K30="");"";SI(K30&lt;=SI(M30&lt;&gt;"";M30;I30);"SÍ";"NO"))</f>
        <v/>
      </c>
      <c r="P30" s="11">
        <f>SI(O(N30="";O30="");"";SI(Y(N30="SÍ";O30="SÍ");"SÍ";"NO"))</f>
        <v/>
      </c>
      <c r="Q30" s="13">
        <f>SI(O(I30="";K30="");"";MAX(0;ENTERO(K30)-ENTERO(SI(M30&lt;&gt;"";M30;I30))))</f>
        <v/>
      </c>
      <c r="R30" s="11" t="n"/>
      <c r="S30" s="11" t="n"/>
      <c r="T30" s="12" t="n"/>
      <c r="U30" s="11" t="n">
        <v>22</v>
      </c>
      <c r="V30" s="11" t="n"/>
    </row>
    <row r="31">
      <c r="A31" s="14" t="n">
        <v>2745</v>
      </c>
      <c r="B31" s="14" t="inlineStr">
        <is>
          <t>LORICA</t>
        </is>
      </c>
      <c r="C31" s="14" t="inlineStr">
        <is>
          <t>Lorica</t>
        </is>
      </c>
      <c r="D31" s="14" t="inlineStr">
        <is>
          <t>Córdoba</t>
        </is>
      </c>
      <c r="E31" s="14" t="inlineStr">
        <is>
          <t>COSTA</t>
        </is>
      </c>
      <c r="F31" s="14" t="inlineStr">
        <is>
          <t>Dimar Jose Morelo Cardona</t>
        </is>
      </c>
      <c r="G31" s="14" t="inlineStr">
        <is>
          <t>4</t>
        </is>
      </c>
      <c r="H31" s="15" t="n">
        <v>46267</v>
      </c>
      <c r="I31" s="15" t="n">
        <v>46267</v>
      </c>
      <c r="J31" s="15" t="n"/>
      <c r="K31" s="15" t="n"/>
      <c r="L31" s="14" t="inlineStr">
        <is>
          <t>Programada</t>
        </is>
      </c>
      <c r="M31" s="15" t="n"/>
      <c r="N31" s="14">
        <f>SI(O(H31="";J31="");"";SI(J31&lt;=H31;"SÍ";"NO"))</f>
        <v/>
      </c>
      <c r="O31" s="14">
        <f>SI(O(I31="";K31="");"";SI(K31&lt;=SI(M31&lt;&gt;"";M31;I31);"SÍ";"NO"))</f>
        <v/>
      </c>
      <c r="P31" s="14">
        <f>SI(O(N31="";O31="");"";SI(Y(N31="SÍ";O31="SÍ");"SÍ";"NO"))</f>
        <v/>
      </c>
      <c r="Q31" s="16">
        <f>SI(O(I31="";K31="");"";MAX(0;ENTERO(K31)-ENTERO(SI(M31&lt;&gt;"";M31;I31))))</f>
        <v/>
      </c>
      <c r="R31" s="14" t="n"/>
      <c r="S31" s="14" t="n"/>
      <c r="T31" s="15" t="n"/>
      <c r="U31" s="14" t="n">
        <v>27</v>
      </c>
      <c r="V31" s="14" t="n"/>
    </row>
    <row r="32">
      <c r="A32" s="11" t="n">
        <v>2765</v>
      </c>
      <c r="B32" s="11" t="inlineStr">
        <is>
          <t>PLANETA RICA</t>
        </is>
      </c>
      <c r="C32" s="11" t="inlineStr">
        <is>
          <t>Planeta Rica</t>
        </is>
      </c>
      <c r="D32" s="11" t="inlineStr">
        <is>
          <t>Córdoba</t>
        </is>
      </c>
      <c r="E32" s="11" t="inlineStr">
        <is>
          <t>ANTIOQUIA</t>
        </is>
      </c>
      <c r="F32" s="11" t="inlineStr">
        <is>
          <t>Jorge Felipe Munive Medina</t>
        </is>
      </c>
      <c r="G32" s="11" t="inlineStr">
        <is>
          <t>5</t>
        </is>
      </c>
      <c r="H32" s="12" t="n">
        <v>46267</v>
      </c>
      <c r="I32" s="12" t="n">
        <v>46267</v>
      </c>
      <c r="J32" s="12" t="n"/>
      <c r="K32" s="12" t="n"/>
      <c r="L32" s="11" t="inlineStr">
        <is>
          <t>Programada</t>
        </is>
      </c>
      <c r="M32" s="12" t="n"/>
      <c r="N32" s="11">
        <f>SI(O(H32="";J32="");"";SI(J32&lt;=H32;"SÍ";"NO"))</f>
        <v/>
      </c>
      <c r="O32" s="11">
        <f>SI(O(I32="";K32="");"";SI(K32&lt;=SI(M32&lt;&gt;"";M32;I32);"SÍ";"NO"))</f>
        <v/>
      </c>
      <c r="P32" s="11">
        <f>SI(O(N32="";O32="");"";SI(Y(N32="SÍ";O32="SÍ");"SÍ";"NO"))</f>
        <v/>
      </c>
      <c r="Q32" s="13">
        <f>SI(O(I32="";K32="");"";MAX(0;ENTERO(K32)-ENTERO(SI(M32&lt;&gt;"";M32;I32))))</f>
        <v/>
      </c>
      <c r="R32" s="11" t="n"/>
      <c r="S32" s="11" t="n"/>
      <c r="T32" s="12" t="n"/>
      <c r="U32" s="11" t="n">
        <v>32</v>
      </c>
      <c r="V32" s="11" t="n"/>
    </row>
    <row r="33">
      <c r="A33" s="14" t="n">
        <v>3640</v>
      </c>
      <c r="B33" s="14" t="inlineStr">
        <is>
          <t>SAN JUAN DEL CESAR</t>
        </is>
      </c>
      <c r="C33" s="14" t="inlineStr">
        <is>
          <t>San Juan Del Cesar</t>
        </is>
      </c>
      <c r="D33" s="14" t="inlineStr">
        <is>
          <t>La Guajira</t>
        </is>
      </c>
      <c r="E33" s="14" t="inlineStr">
        <is>
          <t>COSTA</t>
        </is>
      </c>
      <c r="F33" s="14" t="inlineStr">
        <is>
          <t>Alberto Luis Pinto Acosta</t>
        </is>
      </c>
      <c r="G33" s="14" t="inlineStr">
        <is>
          <t>4</t>
        </is>
      </c>
      <c r="H33" s="15" t="n">
        <v>46267</v>
      </c>
      <c r="I33" s="15" t="n">
        <v>46267</v>
      </c>
      <c r="J33" s="15" t="n"/>
      <c r="K33" s="15" t="n"/>
      <c r="L33" s="14" t="inlineStr">
        <is>
          <t>Programada</t>
        </is>
      </c>
      <c r="M33" s="15" t="n"/>
      <c r="N33" s="14">
        <f>SI(O(H33="";J33="");"";SI(J33&lt;=H33;"SÍ";"NO"))</f>
        <v/>
      </c>
      <c r="O33" s="14">
        <f>SI(O(I33="";K33="");"";SI(K33&lt;=SI(M33&lt;&gt;"";M33;I33);"SÍ";"NO"))</f>
        <v/>
      </c>
      <c r="P33" s="14">
        <f>SI(O(N33="";O33="");"";SI(Y(N33="SÍ";O33="SÍ");"SÍ";"NO"))</f>
        <v/>
      </c>
      <c r="Q33" s="16">
        <f>SI(O(I33="";K33="");"";MAX(0;ENTERO(K33)-ENTERO(SI(M33&lt;&gt;"";M33;I33))))</f>
        <v/>
      </c>
      <c r="R33" s="14" t="n"/>
      <c r="S33" s="14" t="n"/>
      <c r="T33" s="15" t="n"/>
      <c r="U33" s="14" t="n">
        <v>30</v>
      </c>
      <c r="V33" s="14" t="n"/>
    </row>
    <row r="34">
      <c r="A34" s="11" t="n">
        <v>3910</v>
      </c>
      <c r="B34" s="11" t="inlineStr">
        <is>
          <t>COLOMBIA</t>
        </is>
      </c>
      <c r="C34" s="11" t="inlineStr">
        <is>
          <t>Colombia</t>
        </is>
      </c>
      <c r="D34" s="11" t="inlineStr">
        <is>
          <t>Huila</t>
        </is>
      </c>
      <c r="E34" s="11" t="inlineStr">
        <is>
          <t>SUR</t>
        </is>
      </c>
      <c r="F34" s="11" t="inlineStr">
        <is>
          <t>HAROLD STEED GARCIA</t>
        </is>
      </c>
      <c r="G34" s="11" t="inlineStr">
        <is>
          <t>1</t>
        </is>
      </c>
      <c r="H34" s="12" t="n">
        <v>46267</v>
      </c>
      <c r="I34" s="12" t="n">
        <v>46268</v>
      </c>
      <c r="J34" s="12" t="n"/>
      <c r="K34" s="12" t="n"/>
      <c r="L34" s="11" t="inlineStr">
        <is>
          <t>Programada</t>
        </is>
      </c>
      <c r="M34" s="12" t="n"/>
      <c r="N34" s="11">
        <f>SI(O(H34="";J34="");"";SI(J34&lt;=H34;"SÍ";"NO"))</f>
        <v/>
      </c>
      <c r="O34" s="11">
        <f>SI(O(I34="";K34="");"";SI(K34&lt;=SI(M34&lt;&gt;"";M34;I34);"SÍ";"NO"))</f>
        <v/>
      </c>
      <c r="P34" s="11">
        <f>SI(O(N34="";O34="");"";SI(Y(N34="SÍ";O34="SÍ");"SÍ";"NO"))</f>
        <v/>
      </c>
      <c r="Q34" s="13">
        <f>SI(O(I34="";K34="");"";MAX(0;ENTERO(K34)-ENTERO(SI(M34&lt;&gt;"";M34;I34))))</f>
        <v/>
      </c>
      <c r="R34" s="11" t="n"/>
      <c r="S34" s="11" t="n"/>
      <c r="T34" s="12" t="n"/>
      <c r="U34" s="11" t="n">
        <v>16</v>
      </c>
      <c r="V34" s="11" t="n"/>
    </row>
    <row r="35">
      <c r="A35" s="14" t="n">
        <v>4509</v>
      </c>
      <c r="B35" s="14" t="inlineStr">
        <is>
          <t>CASTILLA LA NUEVA</t>
        </is>
      </c>
      <c r="C35" s="14" t="inlineStr">
        <is>
          <t>Castilla La Nueva</t>
        </is>
      </c>
      <c r="D35" s="14" t="inlineStr">
        <is>
          <t>Meta</t>
        </is>
      </c>
      <c r="E35" s="14" t="inlineStr">
        <is>
          <t>BOGOTA</t>
        </is>
      </c>
      <c r="F35" s="14" t="inlineStr">
        <is>
          <t>Andres Felipe Balbin</t>
        </is>
      </c>
      <c r="G35" s="14" t="inlineStr">
        <is>
          <t>2</t>
        </is>
      </c>
      <c r="H35" s="15" t="n">
        <v>46267</v>
      </c>
      <c r="I35" s="15" t="n">
        <v>46267</v>
      </c>
      <c r="J35" s="15" t="n"/>
      <c r="K35" s="15" t="n"/>
      <c r="L35" s="14" t="inlineStr">
        <is>
          <t>Programada</t>
        </is>
      </c>
      <c r="M35" s="15" t="n"/>
      <c r="N35" s="14">
        <f>SI(O(H35="";J35="");"";SI(J35&lt;=H35;"SÍ";"NO"))</f>
        <v/>
      </c>
      <c r="O35" s="14">
        <f>SI(O(I35="";K35="");"";SI(K35&lt;=SI(M35&lt;&gt;"";M35;I35);"SÍ";"NO"))</f>
        <v/>
      </c>
      <c r="P35" s="14">
        <f>SI(O(N35="";O35="");"";SI(Y(N35="SÍ";O35="SÍ");"SÍ";"NO"))</f>
        <v/>
      </c>
      <c r="Q35" s="16">
        <f>SI(O(I35="";K35="");"";MAX(0;ENTERO(K35)-ENTERO(SI(M35&lt;&gt;"";M35;I35))))</f>
        <v/>
      </c>
      <c r="R35" s="14" t="n"/>
      <c r="S35" s="14" t="n"/>
      <c r="T35" s="15" t="n"/>
      <c r="U35" s="14" t="n">
        <v>16</v>
      </c>
      <c r="V35" s="14" t="n"/>
    </row>
    <row r="36">
      <c r="A36" s="11" t="n">
        <v>4884</v>
      </c>
      <c r="B36" s="11" t="inlineStr">
        <is>
          <t>CONSACA</t>
        </is>
      </c>
      <c r="C36" s="11" t="inlineStr">
        <is>
          <t>Consacá</t>
        </is>
      </c>
      <c r="D36" s="11" t="inlineStr">
        <is>
          <t>Nariño</t>
        </is>
      </c>
      <c r="E36" s="11" t="inlineStr">
        <is>
          <t>OCCIDENTE</t>
        </is>
      </c>
      <c r="F36" s="11" t="inlineStr">
        <is>
          <t>Juan Carlos Narvaez Acosta / Luis Fernando Ibarra Guio</t>
        </is>
      </c>
      <c r="G36" s="11" t="inlineStr">
        <is>
          <t>2</t>
        </is>
      </c>
      <c r="H36" s="12" t="n">
        <v>46267</v>
      </c>
      <c r="I36" s="12" t="n">
        <v>46267</v>
      </c>
      <c r="J36" s="12" t="n"/>
      <c r="K36" s="12" t="n"/>
      <c r="L36" s="11" t="inlineStr">
        <is>
          <t>Programada</t>
        </is>
      </c>
      <c r="M36" s="12" t="n"/>
      <c r="N36" s="11">
        <f>SI(O(H36="";J36="");"";SI(J36&lt;=H36;"SÍ";"NO"))</f>
        <v/>
      </c>
      <c r="O36" s="11">
        <f>SI(O(I36="";K36="");"";SI(K36&lt;=SI(M36&lt;&gt;"";M36;I36);"SÍ";"NO"))</f>
        <v/>
      </c>
      <c r="P36" s="11">
        <f>SI(O(N36="";O36="");"";SI(Y(N36="SÍ";O36="SÍ");"SÍ";"NO"))</f>
        <v/>
      </c>
      <c r="Q36" s="13">
        <f>SI(O(I36="";K36="");"";MAX(0;ENTERO(K36)-ENTERO(SI(M36&lt;&gt;"";M36;I36))))</f>
        <v/>
      </c>
      <c r="R36" s="11" t="n"/>
      <c r="S36" s="11" t="n"/>
      <c r="T36" s="12" t="n"/>
      <c r="U36" s="11" t="n">
        <v>15</v>
      </c>
      <c r="V36" s="11" t="n"/>
    </row>
    <row r="37">
      <c r="A37" s="14" t="n">
        <v>6631</v>
      </c>
      <c r="B37" s="14" t="inlineStr">
        <is>
          <t>COELLO</t>
        </is>
      </c>
      <c r="C37" s="14" t="inlineStr">
        <is>
          <t>Coello</t>
        </is>
      </c>
      <c r="D37" s="14" t="inlineStr">
        <is>
          <t>Tolima</t>
        </is>
      </c>
      <c r="E37" s="14" t="inlineStr">
        <is>
          <t>SUR</t>
        </is>
      </c>
      <c r="F37" s="14" t="inlineStr">
        <is>
          <t>Johan Molano</t>
        </is>
      </c>
      <c r="G37" s="14" t="inlineStr">
        <is>
          <t>1</t>
        </is>
      </c>
      <c r="H37" s="15" t="n">
        <v>46267</v>
      </c>
      <c r="I37" s="15" t="n">
        <v>46267</v>
      </c>
      <c r="J37" s="15" t="n"/>
      <c r="K37" s="15" t="n"/>
      <c r="L37" s="14" t="inlineStr">
        <is>
          <t>Programada</t>
        </is>
      </c>
      <c r="M37" s="15" t="n"/>
      <c r="N37" s="14">
        <f>SI(O(H37="";J37="");"";SI(J37&lt;=H37;"SÍ";"NO"))</f>
        <v/>
      </c>
      <c r="O37" s="14">
        <f>SI(O(I37="";K37="");"";SI(K37&lt;=SI(M37&lt;&gt;"";M37;I37);"SÍ";"NO"))</f>
        <v/>
      </c>
      <c r="P37" s="14">
        <f>SI(O(N37="";O37="");"";SI(Y(N37="SÍ";O37="SÍ");"SÍ";"NO"))</f>
        <v/>
      </c>
      <c r="Q37" s="16">
        <f>SI(O(I37="";K37="");"";MAX(0;ENTERO(K37)-ENTERO(SI(M37&lt;&gt;"";M37;I37))))</f>
        <v/>
      </c>
      <c r="R37" s="14" t="n"/>
      <c r="S37" s="14" t="n"/>
      <c r="T37" s="15" t="n"/>
      <c r="U37" s="14" t="n">
        <v>13</v>
      </c>
      <c r="V37" s="14" t="n"/>
    </row>
    <row r="38">
      <c r="A38" s="11" t="n">
        <v>6654</v>
      </c>
      <c r="B38" s="11" t="inlineStr">
        <is>
          <t>SANTA ISABEL</t>
        </is>
      </c>
      <c r="C38" s="11" t="inlineStr">
        <is>
          <t>Santa Isabel</t>
        </is>
      </c>
      <c r="D38" s="11" t="inlineStr">
        <is>
          <t>Tolima</t>
        </is>
      </c>
      <c r="E38" s="11" t="inlineStr">
        <is>
          <t>SUR</t>
        </is>
      </c>
      <c r="F38" s="11" t="inlineStr">
        <is>
          <t>Yeisson Castaño</t>
        </is>
      </c>
      <c r="G38" s="11" t="inlineStr">
        <is>
          <t>2</t>
        </is>
      </c>
      <c r="H38" s="12" t="n">
        <v>46267</v>
      </c>
      <c r="I38" s="12" t="n">
        <v>46267</v>
      </c>
      <c r="J38" s="12" t="n"/>
      <c r="K38" s="12" t="n"/>
      <c r="L38" s="11" t="inlineStr">
        <is>
          <t>Programada</t>
        </is>
      </c>
      <c r="M38" s="12" t="n"/>
      <c r="N38" s="11">
        <f>SI(O(H38="";J38="");"";SI(J38&lt;=H38;"SÍ";"NO"))</f>
        <v/>
      </c>
      <c r="O38" s="11">
        <f>SI(O(I38="";K38="");"";SI(K38&lt;=SI(M38&lt;&gt;"";M38;I38);"SÍ";"NO"))</f>
        <v/>
      </c>
      <c r="P38" s="11">
        <f>SI(O(N38="";O38="");"";SI(Y(N38="SÍ";O38="SÍ");"SÍ";"NO"))</f>
        <v/>
      </c>
      <c r="Q38" s="13">
        <f>SI(O(I38="";K38="");"";MAX(0;ENTERO(K38)-ENTERO(SI(M38&lt;&gt;"";M38;I38))))</f>
        <v/>
      </c>
      <c r="R38" s="11" t="n"/>
      <c r="S38" s="11" t="n"/>
      <c r="T38" s="12" t="n"/>
      <c r="U38" s="11" t="n">
        <v>15</v>
      </c>
      <c r="V38" s="11" t="n"/>
    </row>
    <row r="39">
      <c r="A39" s="14" t="n">
        <v>7305</v>
      </c>
      <c r="B39" s="14" t="inlineStr">
        <is>
          <t>ARAUQUITA</t>
        </is>
      </c>
      <c r="C39" s="14" t="inlineStr">
        <is>
          <t>Arauquita</t>
        </is>
      </c>
      <c r="D39" s="14" t="inlineStr">
        <is>
          <t>Arauca</t>
        </is>
      </c>
      <c r="E39" s="14" t="inlineStr">
        <is>
          <t>BOGOTA</t>
        </is>
      </c>
      <c r="F39" s="14" t="inlineStr">
        <is>
          <t>JOAQUIN DE JESUS ROMERO PIÑEREZ</t>
        </is>
      </c>
      <c r="G39" s="14" t="inlineStr">
        <is>
          <t>3</t>
        </is>
      </c>
      <c r="H39" s="15" t="n">
        <v>46267</v>
      </c>
      <c r="I39" s="15" t="n">
        <v>46268</v>
      </c>
      <c r="J39" s="15" t="n"/>
      <c r="K39" s="15" t="n"/>
      <c r="L39" s="14" t="inlineStr">
        <is>
          <t>Programada</t>
        </is>
      </c>
      <c r="M39" s="15" t="n"/>
      <c r="N39" s="14">
        <f>SI(O(H39="";J39="");"";SI(J39&lt;=H39;"SÍ";"NO"))</f>
        <v/>
      </c>
      <c r="O39" s="14">
        <f>SI(O(I39="";K39="");"";SI(K39&lt;=SI(M39&lt;&gt;"";M39;I39);"SÍ";"NO"))</f>
        <v/>
      </c>
      <c r="P39" s="14">
        <f>SI(O(N39="";O39="");"";SI(Y(N39="SÍ";O39="SÍ");"SÍ";"NO"))</f>
        <v/>
      </c>
      <c r="Q39" s="16">
        <f>SI(O(I39="";K39="");"";MAX(0;ENTERO(K39)-ENTERO(SI(M39&lt;&gt;"";M39;I39))))</f>
        <v/>
      </c>
      <c r="R39" s="14" t="n"/>
      <c r="S39" s="14" t="n"/>
      <c r="T39" s="15" t="n"/>
      <c r="U39" s="14" t="n">
        <v>28</v>
      </c>
      <c r="V39" s="14" t="n"/>
    </row>
    <row r="40">
      <c r="A40" s="11" t="n">
        <v>8505</v>
      </c>
      <c r="B40" s="11" t="inlineStr">
        <is>
          <t>CUMARIBO</t>
        </is>
      </c>
      <c r="C40" s="11" t="inlineStr">
        <is>
          <t>Cumaribo</t>
        </is>
      </c>
      <c r="D40" s="11" t="inlineStr">
        <is>
          <t>Vichada</t>
        </is>
      </c>
      <c r="E40" s="11" t="inlineStr">
        <is>
          <t>BOGOTA</t>
        </is>
      </c>
      <c r="F40" s="11" t="inlineStr">
        <is>
          <t>Gerardo Vanegas</t>
        </is>
      </c>
      <c r="G40" s="11" t="inlineStr">
        <is>
          <t>1</t>
        </is>
      </c>
      <c r="H40" s="12" t="n">
        <v>46267</v>
      </c>
      <c r="I40" s="12" t="n">
        <v>46274</v>
      </c>
      <c r="J40" s="12" t="n"/>
      <c r="K40" s="12" t="n"/>
      <c r="L40" s="11" t="inlineStr">
        <is>
          <t>Programada</t>
        </is>
      </c>
      <c r="M40" s="12" t="n"/>
      <c r="N40" s="11">
        <f>SI(O(H40="";J40="");"";SI(J40&lt;=H40;"SÍ";"NO"))</f>
        <v/>
      </c>
      <c r="O40" s="11">
        <f>SI(O(I40="";K40="");"";SI(K40&lt;=SI(M40&lt;&gt;"";M40;I40);"SÍ";"NO"))</f>
        <v/>
      </c>
      <c r="P40" s="11">
        <f>SI(O(N40="";O40="");"";SI(Y(N40="SÍ";O40="SÍ");"SÍ";"NO"))</f>
        <v/>
      </c>
      <c r="Q40" s="13">
        <f>SI(O(I40="";K40="");"";MAX(0;ENTERO(K40)-ENTERO(SI(M40&lt;&gt;"";M40;I40))))</f>
        <v/>
      </c>
      <c r="R40" s="11" t="n"/>
      <c r="S40" s="11" t="n"/>
      <c r="T40" s="12" t="n"/>
      <c r="U40" s="11" t="n">
        <v>13</v>
      </c>
      <c r="V40" s="11" t="n"/>
    </row>
    <row r="41">
      <c r="A41" s="14" t="n">
        <v>8603</v>
      </c>
      <c r="B41" s="14" t="inlineStr">
        <is>
          <t>YOPAL</t>
        </is>
      </c>
      <c r="C41" s="14" t="inlineStr">
        <is>
          <t>Yopal</t>
        </is>
      </c>
      <c r="D41" s="14" t="inlineStr">
        <is>
          <t>Casanare</t>
        </is>
      </c>
      <c r="E41" s="14" t="inlineStr">
        <is>
          <t>ORIENTE</t>
        </is>
      </c>
      <c r="F41" s="14" t="inlineStr">
        <is>
          <t>Juan Sebastian Lopez Acevedo</t>
        </is>
      </c>
      <c r="G41" s="14" t="inlineStr">
        <is>
          <t>11</t>
        </is>
      </c>
      <c r="H41" s="15" t="n">
        <v>46267</v>
      </c>
      <c r="I41" s="15" t="n">
        <v>46269</v>
      </c>
      <c r="J41" s="15" t="n"/>
      <c r="K41" s="15" t="n"/>
      <c r="L41" s="14" t="inlineStr">
        <is>
          <t>Programada</t>
        </is>
      </c>
      <c r="M41" s="15" t="n"/>
      <c r="N41" s="14">
        <f>SI(O(H41="";J41="");"";SI(J41&lt;=H41;"SÍ";"NO"))</f>
        <v/>
      </c>
      <c r="O41" s="14">
        <f>SI(O(I41="";K41="");"";SI(K41&lt;=SI(M41&lt;&gt;"";M41;I41);"SÍ";"NO"))</f>
        <v/>
      </c>
      <c r="P41" s="14">
        <f>SI(O(N41="";O41="");"";SI(Y(N41="SÍ";O41="SÍ");"SÍ";"NO"))</f>
        <v/>
      </c>
      <c r="Q41" s="16">
        <f>SI(O(I41="";K41="");"";MAX(0;ENTERO(K41)-ENTERO(SI(M41&lt;&gt;"";M41;I41))))</f>
        <v/>
      </c>
      <c r="R41" s="14" t="n"/>
      <c r="S41" s="14" t="n"/>
      <c r="T41" s="15" t="n"/>
      <c r="U41" s="14" t="n">
        <v>57</v>
      </c>
      <c r="V41" s="14" t="n"/>
    </row>
    <row r="42">
      <c r="A42" s="11" t="n">
        <v>1368</v>
      </c>
      <c r="B42" s="11" t="inlineStr">
        <is>
          <t>CISNEROS</t>
        </is>
      </c>
      <c r="C42" s="11" t="inlineStr">
        <is>
          <t>Cisneros</t>
        </is>
      </c>
      <c r="D42" s="11" t="inlineStr">
        <is>
          <t>Antioquia</t>
        </is>
      </c>
      <c r="E42" s="11" t="inlineStr">
        <is>
          <t>ANTIOQUIA</t>
        </is>
      </c>
      <c r="F42" s="11" t="inlineStr">
        <is>
          <t>Juan Pablo Osorio Ramirez</t>
        </is>
      </c>
      <c r="G42" s="11" t="inlineStr">
        <is>
          <t>2</t>
        </is>
      </c>
      <c r="H42" s="12" t="n">
        <v>46268</v>
      </c>
      <c r="I42" s="12" t="n">
        <v>46268</v>
      </c>
      <c r="J42" s="12" t="n"/>
      <c r="K42" s="12" t="n"/>
      <c r="L42" s="11" t="inlineStr">
        <is>
          <t>Programada</t>
        </is>
      </c>
      <c r="M42" s="12" t="n"/>
      <c r="N42" s="11">
        <f>SI(O(H42="";J42="");"";SI(J42&lt;=H42;"SÍ";"NO"))</f>
        <v/>
      </c>
      <c r="O42" s="11">
        <f>SI(O(I42="";K42="");"";SI(K42&lt;=SI(M42&lt;&gt;"";M42;I42);"SÍ";"NO"))</f>
        <v/>
      </c>
      <c r="P42" s="11">
        <f>SI(O(N42="";O42="");"";SI(Y(N42="SÍ";O42="SÍ");"SÍ";"NO"))</f>
        <v/>
      </c>
      <c r="Q42" s="13">
        <f>SI(O(I42="";K42="");"";MAX(0;ENTERO(K42)-ENTERO(SI(M42&lt;&gt;"";M42;I42))))</f>
        <v/>
      </c>
      <c r="R42" s="11" t="n"/>
      <c r="S42" s="11" t="n"/>
      <c r="T42" s="12" t="n"/>
      <c r="U42" s="11" t="n">
        <v>25</v>
      </c>
      <c r="V42" s="11" t="n"/>
    </row>
    <row r="43">
      <c r="A43" s="14" t="n">
        <v>1472</v>
      </c>
      <c r="B43" s="14" t="inlineStr">
        <is>
          <t>SAN ROQUE</t>
        </is>
      </c>
      <c r="C43" s="14" t="inlineStr">
        <is>
          <t>San Roque</t>
        </is>
      </c>
      <c r="D43" s="14" t="inlineStr">
        <is>
          <t>Antioquia</t>
        </is>
      </c>
      <c r="E43" s="14" t="inlineStr">
        <is>
          <t>ANTIOQUIA</t>
        </is>
      </c>
      <c r="F43" s="14" t="inlineStr">
        <is>
          <t>Juan Pablo Osorio Ramirez</t>
        </is>
      </c>
      <c r="G43" s="14" t="inlineStr">
        <is>
          <t>2</t>
        </is>
      </c>
      <c r="H43" s="15" t="n">
        <v>46268</v>
      </c>
      <c r="I43" s="15" t="n">
        <v>46268</v>
      </c>
      <c r="J43" s="15" t="n"/>
      <c r="K43" s="15" t="n"/>
      <c r="L43" s="14" t="inlineStr">
        <is>
          <t>Programada</t>
        </is>
      </c>
      <c r="M43" s="15" t="n"/>
      <c r="N43" s="14">
        <f>SI(O(H43="";J43="");"";SI(J43&lt;=H43;"SÍ";"NO"))</f>
        <v/>
      </c>
      <c r="O43" s="14">
        <f>SI(O(I43="";K43="");"";SI(K43&lt;=SI(M43&lt;&gt;"";M43;I43);"SÍ";"NO"))</f>
        <v/>
      </c>
      <c r="P43" s="14">
        <f>SI(O(N43="";O43="");"";SI(Y(N43="SÍ";O43="SÍ");"SÍ";"NO"))</f>
        <v/>
      </c>
      <c r="Q43" s="16">
        <f>SI(O(I43="";K43="");"";MAX(0;ENTERO(K43)-ENTERO(SI(M43&lt;&gt;"";M43;I43))))</f>
        <v/>
      </c>
      <c r="R43" s="14" t="n"/>
      <c r="S43" s="14" t="n"/>
      <c r="T43" s="15" t="n"/>
      <c r="U43" s="14" t="n">
        <v>19</v>
      </c>
      <c r="V43" s="14" t="n"/>
    </row>
    <row r="44">
      <c r="A44" s="11" t="n">
        <v>1478</v>
      </c>
      <c r="B44" s="11" t="inlineStr">
        <is>
          <t>TARAZA</t>
        </is>
      </c>
      <c r="C44" s="11" t="inlineStr">
        <is>
          <t>Tarazá</t>
        </is>
      </c>
      <c r="D44" s="11" t="inlineStr">
        <is>
          <t>Antioquia</t>
        </is>
      </c>
      <c r="E44" s="11" t="inlineStr">
        <is>
          <t>ANTIOQUIA</t>
        </is>
      </c>
      <c r="F44" s="11" t="inlineStr">
        <is>
          <t>Ever Enrique Esquivel Movilla</t>
        </is>
      </c>
      <c r="G44" s="11" t="inlineStr">
        <is>
          <t>3</t>
        </is>
      </c>
      <c r="H44" s="12" t="n">
        <v>46268</v>
      </c>
      <c r="I44" s="12" t="n">
        <v>46268</v>
      </c>
      <c r="J44" s="12" t="n"/>
      <c r="K44" s="12" t="n"/>
      <c r="L44" s="11" t="inlineStr">
        <is>
          <t>Programada</t>
        </is>
      </c>
      <c r="M44" s="12" t="n"/>
      <c r="N44" s="11">
        <f>SI(O(H44="";J44="");"";SI(J44&lt;=H44;"SÍ";"NO"))</f>
        <v/>
      </c>
      <c r="O44" s="11">
        <f>SI(O(I44="";K44="");"";SI(K44&lt;=SI(M44&lt;&gt;"";M44;I44);"SÍ";"NO"))</f>
        <v/>
      </c>
      <c r="P44" s="11">
        <f>SI(O(N44="";O44="");"";SI(Y(N44="SÍ";O44="SÍ");"SÍ";"NO"))</f>
        <v/>
      </c>
      <c r="Q44" s="13">
        <f>SI(O(I44="";K44="");"";MAX(0;ENTERO(K44)-ENTERO(SI(M44&lt;&gt;"";M44;I44))))</f>
        <v/>
      </c>
      <c r="R44" s="11" t="n"/>
      <c r="S44" s="11" t="n"/>
      <c r="T44" s="12" t="n"/>
      <c r="U44" s="11" t="n">
        <v>27</v>
      </c>
      <c r="V44" s="11" t="n"/>
    </row>
    <row r="45">
      <c r="A45" s="14" t="n">
        <v>1514</v>
      </c>
      <c r="B45" s="14" t="inlineStr">
        <is>
          <t>CHISCAS</t>
        </is>
      </c>
      <c r="C45" s="14" t="inlineStr">
        <is>
          <t>Chiscas</t>
        </is>
      </c>
      <c r="D45" s="14" t="inlineStr">
        <is>
          <t>Boyacá</t>
        </is>
      </c>
      <c r="E45" s="14" t="inlineStr">
        <is>
          <t>ORIENTE</t>
        </is>
      </c>
      <c r="F45" s="14" t="inlineStr">
        <is>
          <t>Andrés Felipe Díaz Noy</t>
        </is>
      </c>
      <c r="G45" s="14" t="inlineStr">
        <is>
          <t>1</t>
        </is>
      </c>
      <c r="H45" s="15" t="n">
        <v>46268</v>
      </c>
      <c r="I45" s="15" t="n">
        <v>46269</v>
      </c>
      <c r="J45" s="15" t="n"/>
      <c r="K45" s="15" t="n"/>
      <c r="L45" s="14" t="inlineStr">
        <is>
          <t>Programada</t>
        </is>
      </c>
      <c r="M45" s="15" t="n"/>
      <c r="N45" s="14">
        <f>SI(O(H45="";J45="");"";SI(J45&lt;=H45;"SÍ";"NO"))</f>
        <v/>
      </c>
      <c r="O45" s="14">
        <f>SI(O(I45="";K45="");"";SI(K45&lt;=SI(M45&lt;&gt;"";M45;I45);"SÍ";"NO"))</f>
        <v/>
      </c>
      <c r="P45" s="14">
        <f>SI(O(N45="";O45="");"";SI(Y(N45="SÍ";O45="SÍ");"SÍ";"NO"))</f>
        <v/>
      </c>
      <c r="Q45" s="16">
        <f>SI(O(I45="";K45="");"";MAX(0;ENTERO(K45)-ENTERO(SI(M45&lt;&gt;"";M45;I45))))</f>
        <v/>
      </c>
      <c r="R45" s="14" t="n"/>
      <c r="S45" s="14" t="n"/>
      <c r="T45" s="15" t="n"/>
      <c r="U45" s="14" t="n">
        <v>13</v>
      </c>
      <c r="V45" s="14" t="n"/>
    </row>
    <row r="46">
      <c r="A46" s="11" t="n">
        <v>1526</v>
      </c>
      <c r="B46" s="11" t="inlineStr">
        <is>
          <t>EL ESPINO</t>
        </is>
      </c>
      <c r="C46" s="11" t="inlineStr">
        <is>
          <t>El Espino</t>
        </is>
      </c>
      <c r="D46" s="11" t="inlineStr">
        <is>
          <t>Boyacá</t>
        </is>
      </c>
      <c r="E46" s="11" t="inlineStr">
        <is>
          <t>ORIENTE</t>
        </is>
      </c>
      <c r="F46" s="11" t="inlineStr">
        <is>
          <t>Luz Nélida Barragán Toro</t>
        </is>
      </c>
      <c r="G46" s="11" t="inlineStr">
        <is>
          <t>1</t>
        </is>
      </c>
      <c r="H46" s="12" t="n">
        <v>46268</v>
      </c>
      <c r="I46" s="12" t="n">
        <v>46269</v>
      </c>
      <c r="J46" s="12" t="n"/>
      <c r="K46" s="12" t="n"/>
      <c r="L46" s="11" t="inlineStr">
        <is>
          <t>Programada</t>
        </is>
      </c>
      <c r="M46" s="12" t="n"/>
      <c r="N46" s="11">
        <f>SI(O(H46="";J46="");"";SI(J46&lt;=H46;"SÍ";"NO"))</f>
        <v/>
      </c>
      <c r="O46" s="11">
        <f>SI(O(I46="";K46="");"";SI(K46&lt;=SI(M46&lt;&gt;"";M46;I46);"SÍ";"NO"))</f>
        <v/>
      </c>
      <c r="P46" s="11">
        <f>SI(O(N46="";O46="");"";SI(Y(N46="SÍ";O46="SÍ");"SÍ";"NO"))</f>
        <v/>
      </c>
      <c r="Q46" s="13">
        <f>SI(O(I46="";K46="");"";MAX(0;ENTERO(K46)-ENTERO(SI(M46&lt;&gt;"";M46;I46))))</f>
        <v/>
      </c>
      <c r="R46" s="11" t="n"/>
      <c r="S46" s="11" t="n"/>
      <c r="T46" s="12" t="n"/>
      <c r="U46" s="11" t="n">
        <v>13</v>
      </c>
      <c r="V46" s="11" t="n"/>
    </row>
    <row r="47">
      <c r="A47" s="14" t="n">
        <v>1540</v>
      </c>
      <c r="B47" s="14" t="inlineStr">
        <is>
          <t>GUICAN</t>
        </is>
      </c>
      <c r="C47" s="14" t="inlineStr">
        <is>
          <t>Güicán</t>
        </is>
      </c>
      <c r="D47" s="14" t="inlineStr">
        <is>
          <t>Boyacá</t>
        </is>
      </c>
      <c r="E47" s="14" t="inlineStr">
        <is>
          <t>ORIENTE</t>
        </is>
      </c>
      <c r="F47" s="14" t="inlineStr">
        <is>
          <t>CRISTIAN CAMILO DIAZ NOY</t>
        </is>
      </c>
      <c r="G47" s="14" t="inlineStr">
        <is>
          <t>1</t>
        </is>
      </c>
      <c r="H47" s="15" t="n">
        <v>46268</v>
      </c>
      <c r="I47" s="15" t="n">
        <v>46269</v>
      </c>
      <c r="J47" s="15" t="n"/>
      <c r="K47" s="15" t="n"/>
      <c r="L47" s="14" t="inlineStr">
        <is>
          <t>Programada</t>
        </is>
      </c>
      <c r="M47" s="15" t="n"/>
      <c r="N47" s="14">
        <f>SI(O(H47="";J47="");"";SI(J47&lt;=H47;"SÍ";"NO"))</f>
        <v/>
      </c>
      <c r="O47" s="14">
        <f>SI(O(I47="";K47="");"";SI(K47&lt;=SI(M47&lt;&gt;"";M47;I47);"SÍ";"NO"))</f>
        <v/>
      </c>
      <c r="P47" s="14">
        <f>SI(O(N47="";O47="");"";SI(Y(N47="SÍ";O47="SÍ");"SÍ";"NO"))</f>
        <v/>
      </c>
      <c r="Q47" s="16">
        <f>SI(O(I47="";K47="");"";MAX(0;ENTERO(K47)-ENTERO(SI(M47&lt;&gt;"";M47;I47))))</f>
        <v/>
      </c>
      <c r="R47" s="14" t="n"/>
      <c r="S47" s="14" t="n"/>
      <c r="T47" s="15" t="n"/>
      <c r="U47" s="14" t="n">
        <v>13</v>
      </c>
      <c r="V47" s="14" t="n"/>
    </row>
    <row r="48">
      <c r="A48" s="11" t="n">
        <v>1571</v>
      </c>
      <c r="B48" s="11" t="inlineStr">
        <is>
          <t>SAN MATEO</t>
        </is>
      </c>
      <c r="C48" s="11" t="inlineStr">
        <is>
          <t>San Mateo</t>
        </is>
      </c>
      <c r="D48" s="11" t="inlineStr">
        <is>
          <t>Boyacá</t>
        </is>
      </c>
      <c r="E48" s="11" t="inlineStr">
        <is>
          <t>ORIENTE</t>
        </is>
      </c>
      <c r="F48" s="11" t="inlineStr">
        <is>
          <t>Andrés Felipe Carvajal Pire</t>
        </is>
      </c>
      <c r="G48" s="11" t="inlineStr">
        <is>
          <t>1</t>
        </is>
      </c>
      <c r="H48" s="12" t="n">
        <v>46268</v>
      </c>
      <c r="I48" s="12" t="n">
        <v>46269</v>
      </c>
      <c r="J48" s="12" t="n"/>
      <c r="K48" s="12" t="n"/>
      <c r="L48" s="11" t="inlineStr">
        <is>
          <t>Programada</t>
        </is>
      </c>
      <c r="M48" s="12" t="n"/>
      <c r="N48" s="11">
        <f>SI(O(H48="";J48="");"";SI(J48&lt;=H48;"SÍ";"NO"))</f>
        <v/>
      </c>
      <c r="O48" s="11">
        <f>SI(O(I48="";K48="");"";SI(K48&lt;=SI(M48&lt;&gt;"";M48;I48);"SÍ";"NO"))</f>
        <v/>
      </c>
      <c r="P48" s="11">
        <f>SI(O(N48="";O48="");"";SI(Y(N48="SÍ";O48="SÍ");"SÍ";"NO"))</f>
        <v/>
      </c>
      <c r="Q48" s="13">
        <f>SI(O(I48="";K48="");"";MAX(0;ENTERO(K48)-ENTERO(SI(M48&lt;&gt;"";M48;I48))))</f>
        <v/>
      </c>
      <c r="R48" s="11" t="n"/>
      <c r="S48" s="11" t="n"/>
      <c r="T48" s="12" t="n"/>
      <c r="U48" s="11" t="n">
        <v>13</v>
      </c>
      <c r="V48" s="11" t="n"/>
    </row>
    <row r="49">
      <c r="A49" s="14" t="n">
        <v>2401</v>
      </c>
      <c r="B49" s="14" t="inlineStr">
        <is>
          <t>AGUACHICA</t>
        </is>
      </c>
      <c r="C49" s="14" t="inlineStr">
        <is>
          <t>Aguachica</t>
        </is>
      </c>
      <c r="D49" s="14" t="inlineStr">
        <is>
          <t>Cesar</t>
        </is>
      </c>
      <c r="E49" s="14" t="inlineStr">
        <is>
          <t>SANTANDERES</t>
        </is>
      </c>
      <c r="F49" s="14" t="inlineStr">
        <is>
          <t>Jerson Gregorio Rodriguez Ramirez</t>
        </is>
      </c>
      <c r="G49" s="14" t="inlineStr">
        <is>
          <t>8</t>
        </is>
      </c>
      <c r="H49" s="15" t="n">
        <v>46268</v>
      </c>
      <c r="I49" s="15" t="n">
        <v>46268</v>
      </c>
      <c r="J49" s="15" t="n"/>
      <c r="K49" s="15" t="n"/>
      <c r="L49" s="14" t="inlineStr">
        <is>
          <t>Programada</t>
        </is>
      </c>
      <c r="M49" s="15" t="n"/>
      <c r="N49" s="14">
        <f>SI(O(H49="";J49="");"";SI(J49&lt;=H49;"SÍ";"NO"))</f>
        <v/>
      </c>
      <c r="O49" s="14">
        <f>SI(O(I49="";K49="");"";SI(K49&lt;=SI(M49&lt;&gt;"";M49;I49);"SÍ";"NO"))</f>
        <v/>
      </c>
      <c r="P49" s="14">
        <f>SI(O(N49="";O49="");"";SI(Y(N49="SÍ";O49="SÍ");"SÍ";"NO"))</f>
        <v/>
      </c>
      <c r="Q49" s="16">
        <f>SI(O(I49="";K49="");"";MAX(0;ENTERO(K49)-ENTERO(SI(M49&lt;&gt;"";M49;I49))))</f>
        <v/>
      </c>
      <c r="R49" s="14" t="n"/>
      <c r="S49" s="14" t="n"/>
      <c r="T49" s="15" t="n"/>
      <c r="U49" s="14" t="n">
        <v>42</v>
      </c>
      <c r="V49" s="14" t="n"/>
    </row>
    <row r="50">
      <c r="A50" s="11" t="n">
        <v>2427</v>
      </c>
      <c r="B50" s="11" t="inlineStr">
        <is>
          <t>EL COPEY</t>
        </is>
      </c>
      <c r="C50" s="11" t="inlineStr">
        <is>
          <t>El Copey</t>
        </is>
      </c>
      <c r="D50" s="11" t="inlineStr">
        <is>
          <t>Cesar</t>
        </is>
      </c>
      <c r="E50" s="11" t="inlineStr">
        <is>
          <t>COSTA</t>
        </is>
      </c>
      <c r="F50" s="11" t="inlineStr">
        <is>
          <t>Jorge Mario Rocha Cabarca</t>
        </is>
      </c>
      <c r="G50" s="11" t="inlineStr">
        <is>
          <t>3</t>
        </is>
      </c>
      <c r="H50" s="12" t="n">
        <v>46268</v>
      </c>
      <c r="I50" s="12" t="n">
        <v>46268</v>
      </c>
      <c r="J50" s="12" t="n"/>
      <c r="K50" s="12" t="n"/>
      <c r="L50" s="11" t="inlineStr">
        <is>
          <t>Programada</t>
        </is>
      </c>
      <c r="M50" s="12" t="n"/>
      <c r="N50" s="11">
        <f>SI(O(H50="";J50="");"";SI(J50&lt;=H50;"SÍ";"NO"))</f>
        <v/>
      </c>
      <c r="O50" s="11">
        <f>SI(O(I50="";K50="");"";SI(K50&lt;=SI(M50&lt;&gt;"";M50;I50);"SÍ";"NO"))</f>
        <v/>
      </c>
      <c r="P50" s="11">
        <f>SI(O(N50="";O50="");"";SI(Y(N50="SÍ";O50="SÍ");"SÍ";"NO"))</f>
        <v/>
      </c>
      <c r="Q50" s="13">
        <f>SI(O(I50="";K50="");"";MAX(0;ENTERO(K50)-ENTERO(SI(M50&lt;&gt;"";M50;I50))))</f>
        <v/>
      </c>
      <c r="R50" s="11" t="n"/>
      <c r="S50" s="11" t="n"/>
      <c r="T50" s="12" t="n"/>
      <c r="U50" s="11" t="n">
        <v>25</v>
      </c>
      <c r="V50" s="11" t="n"/>
    </row>
    <row r="51">
      <c r="A51" s="14" t="n">
        <v>2767</v>
      </c>
      <c r="B51" s="14" t="inlineStr">
        <is>
          <t>PUEBLO NUEVO</t>
        </is>
      </c>
      <c r="C51" s="14" t="inlineStr">
        <is>
          <t>Pueblo Nuevo</t>
        </is>
      </c>
      <c r="D51" s="14" t="inlineStr">
        <is>
          <t>Córdoba</t>
        </is>
      </c>
      <c r="E51" s="14" t="inlineStr">
        <is>
          <t>ANTIOQUIA</t>
        </is>
      </c>
      <c r="F51" s="14" t="inlineStr">
        <is>
          <t>Jorge Felipe Munive Medina</t>
        </is>
      </c>
      <c r="G51" s="14" t="inlineStr">
        <is>
          <t>2</t>
        </is>
      </c>
      <c r="H51" s="15" t="n">
        <v>46268</v>
      </c>
      <c r="I51" s="15" t="n">
        <v>46268</v>
      </c>
      <c r="J51" s="15" t="n"/>
      <c r="K51" s="15" t="n"/>
      <c r="L51" s="14" t="inlineStr">
        <is>
          <t>Programada</t>
        </is>
      </c>
      <c r="M51" s="15" t="n"/>
      <c r="N51" s="14">
        <f>SI(O(H51="";J51="");"";SI(J51&lt;=H51;"SÍ";"NO"))</f>
        <v/>
      </c>
      <c r="O51" s="14">
        <f>SI(O(I51="";K51="");"";SI(K51&lt;=SI(M51&lt;&gt;"";M51;I51);"SÍ";"NO"))</f>
        <v/>
      </c>
      <c r="P51" s="14">
        <f>SI(O(N51="";O51="");"";SI(Y(N51="SÍ";O51="SÍ");"SÍ";"NO"))</f>
        <v/>
      </c>
      <c r="Q51" s="16">
        <f>SI(O(I51="";K51="");"";MAX(0;ENTERO(K51)-ENTERO(SI(M51&lt;&gt;"";M51;I51))))</f>
        <v/>
      </c>
      <c r="R51" s="14" t="n"/>
      <c r="S51" s="14" t="n"/>
      <c r="T51" s="15" t="n"/>
      <c r="U51" s="14" t="n">
        <v>15</v>
      </c>
      <c r="V51" s="14" t="n"/>
    </row>
    <row r="52">
      <c r="A52" s="11" t="n">
        <v>3912</v>
      </c>
      <c r="B52" s="11" t="inlineStr">
        <is>
          <t>BARAYA</t>
        </is>
      </c>
      <c r="C52" s="11" t="inlineStr">
        <is>
          <t>Baraya</t>
        </is>
      </c>
      <c r="D52" s="11" t="inlineStr">
        <is>
          <t>Huila</t>
        </is>
      </c>
      <c r="E52" s="11" t="inlineStr">
        <is>
          <t>SUR</t>
        </is>
      </c>
      <c r="F52" s="11" t="inlineStr">
        <is>
          <t>HAROLD STEED GARCIA</t>
        </is>
      </c>
      <c r="G52" s="11" t="inlineStr">
        <is>
          <t>1</t>
        </is>
      </c>
      <c r="H52" s="12" t="n">
        <v>46268</v>
      </c>
      <c r="I52" s="12" t="n">
        <v>46269</v>
      </c>
      <c r="J52" s="12" t="n"/>
      <c r="K52" s="12" t="n"/>
      <c r="L52" s="11" t="inlineStr">
        <is>
          <t>Programada</t>
        </is>
      </c>
      <c r="M52" s="12" t="n"/>
      <c r="N52" s="11">
        <f>SI(O(H52="";J52="");"";SI(J52&lt;=H52;"SÍ";"NO"))</f>
        <v/>
      </c>
      <c r="O52" s="11">
        <f>SI(O(I52="";K52="");"";SI(K52&lt;=SI(M52&lt;&gt;"";M52;I52);"SÍ";"NO"))</f>
        <v/>
      </c>
      <c r="P52" s="11">
        <f>SI(O(N52="";O52="");"";SI(Y(N52="SÍ";O52="SÍ");"SÍ";"NO"))</f>
        <v/>
      </c>
      <c r="Q52" s="13">
        <f>SI(O(I52="";K52="");"";MAX(0;ENTERO(K52)-ENTERO(SI(M52&lt;&gt;"";M52;I52))))</f>
        <v/>
      </c>
      <c r="R52" s="11" t="n"/>
      <c r="S52" s="11" t="n"/>
      <c r="T52" s="12" t="n"/>
      <c r="U52" s="11" t="n">
        <v>12</v>
      </c>
      <c r="V52" s="11" t="n"/>
    </row>
    <row r="53">
      <c r="A53" s="14" t="n">
        <v>3957</v>
      </c>
      <c r="B53" s="14" t="inlineStr">
        <is>
          <t>TERUEL</t>
        </is>
      </c>
      <c r="C53" s="14" t="inlineStr">
        <is>
          <t>Teruel</t>
        </is>
      </c>
      <c r="D53" s="14" t="inlineStr">
        <is>
          <t>Huila</t>
        </is>
      </c>
      <c r="E53" s="14" t="inlineStr">
        <is>
          <t>SUR</t>
        </is>
      </c>
      <c r="F53" s="14" t="inlineStr">
        <is>
          <t>ERIKA VARGAS</t>
        </is>
      </c>
      <c r="G53" s="14" t="inlineStr">
        <is>
          <t>2</t>
        </is>
      </c>
      <c r="H53" s="15" t="n">
        <v>46268</v>
      </c>
      <c r="I53" s="15" t="n">
        <v>46268</v>
      </c>
      <c r="J53" s="15" t="n"/>
      <c r="K53" s="15" t="n"/>
      <c r="L53" s="14" t="inlineStr">
        <is>
          <t>Programada</t>
        </is>
      </c>
      <c r="M53" s="15" t="n"/>
      <c r="N53" s="14">
        <f>SI(O(H53="";J53="");"";SI(J53&lt;=H53;"SÍ";"NO"))</f>
        <v/>
      </c>
      <c r="O53" s="14">
        <f>SI(O(I53="";K53="");"";SI(K53&lt;=SI(M53&lt;&gt;"";M53;I53);"SÍ";"NO"))</f>
        <v/>
      </c>
      <c r="P53" s="14">
        <f>SI(O(N53="";O53="");"";SI(Y(N53="SÍ";O53="SÍ");"SÍ";"NO"))</f>
        <v/>
      </c>
      <c r="Q53" s="16">
        <f>SI(O(I53="";K53="");"";MAX(0;ENTERO(K53)-ENTERO(SI(M53&lt;&gt;"";M53;I53))))</f>
        <v/>
      </c>
      <c r="R53" s="14" t="n"/>
      <c r="S53" s="14" t="n"/>
      <c r="T53" s="15" t="n"/>
      <c r="U53" s="14" t="n">
        <v>15</v>
      </c>
      <c r="V53" s="14" t="n"/>
    </row>
    <row r="54">
      <c r="A54" s="11" t="n">
        <v>4515</v>
      </c>
      <c r="B54" s="11" t="inlineStr">
        <is>
          <t>GUAMAL</t>
        </is>
      </c>
      <c r="C54" s="11" t="inlineStr">
        <is>
          <t>Guamal</t>
        </is>
      </c>
      <c r="D54" s="11" t="inlineStr">
        <is>
          <t>Meta</t>
        </is>
      </c>
      <c r="E54" s="11" t="inlineStr">
        <is>
          <t>BOGOTA</t>
        </is>
      </c>
      <c r="F54" s="11" t="inlineStr">
        <is>
          <t>Andres Felipe Balbin</t>
        </is>
      </c>
      <c r="G54" s="11" t="inlineStr">
        <is>
          <t>3</t>
        </is>
      </c>
      <c r="H54" s="12" t="n">
        <v>46268</v>
      </c>
      <c r="I54" s="12" t="n">
        <v>46268</v>
      </c>
      <c r="J54" s="12" t="n"/>
      <c r="K54" s="12" t="n"/>
      <c r="L54" s="11" t="inlineStr">
        <is>
          <t>Programada</t>
        </is>
      </c>
      <c r="M54" s="12" t="n"/>
      <c r="N54" s="11">
        <f>SI(O(H54="";J54="");"";SI(J54&lt;=H54;"SÍ";"NO"))</f>
        <v/>
      </c>
      <c r="O54" s="11">
        <f>SI(O(I54="";K54="");"";SI(K54&lt;=SI(M54&lt;&gt;"";M54;I54);"SÍ";"NO"))</f>
        <v/>
      </c>
      <c r="P54" s="11">
        <f>SI(O(N54="";O54="");"";SI(Y(N54="SÍ";O54="SÍ");"SÍ";"NO"))</f>
        <v/>
      </c>
      <c r="Q54" s="13">
        <f>SI(O(I54="";K54="");"";MAX(0;ENTERO(K54)-ENTERO(SI(M54&lt;&gt;"";M54;I54))))</f>
        <v/>
      </c>
      <c r="R54" s="11" t="n"/>
      <c r="S54" s="11" t="n"/>
      <c r="T54" s="12" t="n"/>
      <c r="U54" s="11" t="n">
        <v>19</v>
      </c>
      <c r="V54" s="11" t="n"/>
    </row>
    <row r="55">
      <c r="A55" s="14" t="n">
        <v>4524</v>
      </c>
      <c r="B55" s="14" t="inlineStr">
        <is>
          <t>PUERTO GAITAN</t>
        </is>
      </c>
      <c r="C55" s="14" t="inlineStr">
        <is>
          <t>Puerto Gaitán</t>
        </is>
      </c>
      <c r="D55" s="14" t="inlineStr">
        <is>
          <t>Meta</t>
        </is>
      </c>
      <c r="E55" s="14" t="inlineStr">
        <is>
          <t>BOGOTA</t>
        </is>
      </c>
      <c r="F55" s="14" t="inlineStr">
        <is>
          <t>Jhon Andres Urrea Peña</t>
        </is>
      </c>
      <c r="G55" s="14" t="inlineStr">
        <is>
          <t>2</t>
        </is>
      </c>
      <c r="H55" s="15" t="n">
        <v>46268</v>
      </c>
      <c r="I55" s="15" t="n">
        <v>46268</v>
      </c>
      <c r="J55" s="15" t="n"/>
      <c r="K55" s="15" t="n"/>
      <c r="L55" s="14" t="inlineStr">
        <is>
          <t>Programada</t>
        </is>
      </c>
      <c r="M55" s="15" t="n"/>
      <c r="N55" s="14">
        <f>SI(O(H55="";J55="");"";SI(J55&lt;=H55;"SÍ";"NO"))</f>
        <v/>
      </c>
      <c r="O55" s="14">
        <f>SI(O(I55="";K55="");"";SI(K55&lt;=SI(M55&lt;&gt;"";M55;I55);"SÍ";"NO"))</f>
        <v/>
      </c>
      <c r="P55" s="14">
        <f>SI(O(N55="";O55="");"";SI(Y(N55="SÍ";O55="SÍ");"SÍ";"NO"))</f>
        <v/>
      </c>
      <c r="Q55" s="16">
        <f>SI(O(I55="";K55="");"";MAX(0;ENTERO(K55)-ENTERO(SI(M55&lt;&gt;"";M55;I55))))</f>
        <v/>
      </c>
      <c r="R55" s="14" t="n"/>
      <c r="S55" s="14" t="n"/>
      <c r="T55" s="15" t="n"/>
      <c r="U55" s="14" t="n">
        <v>17</v>
      </c>
      <c r="V55" s="14" t="n"/>
    </row>
    <row r="56">
      <c r="A56" s="11" t="n">
        <v>4822</v>
      </c>
      <c r="B56" s="11" t="inlineStr">
        <is>
          <t>YACUANQUER</t>
        </is>
      </c>
      <c r="C56" s="11" t="inlineStr">
        <is>
          <t>Yacuanquer</t>
        </is>
      </c>
      <c r="D56" s="11" t="inlineStr">
        <is>
          <t>Nariño</t>
        </is>
      </c>
      <c r="E56" s="11" t="inlineStr">
        <is>
          <t>OCCIDENTE</t>
        </is>
      </c>
      <c r="F56" s="11" t="inlineStr">
        <is>
          <t>Juan Carlos Narvaez Acosta / Luis Fernando Ibarra Guio</t>
        </is>
      </c>
      <c r="G56" s="11" t="inlineStr">
        <is>
          <t>2</t>
        </is>
      </c>
      <c r="H56" s="12" t="n">
        <v>46268</v>
      </c>
      <c r="I56" s="12" t="n">
        <v>46268</v>
      </c>
      <c r="J56" s="12" t="n"/>
      <c r="K56" s="12" t="n"/>
      <c r="L56" s="11" t="inlineStr">
        <is>
          <t>Programada</t>
        </is>
      </c>
      <c r="M56" s="12" t="n"/>
      <c r="N56" s="11">
        <f>SI(O(H56="";J56="");"";SI(J56&lt;=H56;"SÍ";"NO"))</f>
        <v/>
      </c>
      <c r="O56" s="11">
        <f>SI(O(I56="";K56="");"";SI(K56&lt;=SI(M56&lt;&gt;"";M56;I56);"SÍ";"NO"))</f>
        <v/>
      </c>
      <c r="P56" s="11">
        <f>SI(O(N56="";O56="");"";SI(Y(N56="SÍ";O56="SÍ");"SÍ";"NO"))</f>
        <v/>
      </c>
      <c r="Q56" s="13">
        <f>SI(O(I56="";K56="");"";MAX(0;ENTERO(K56)-ENTERO(SI(M56&lt;&gt;"";M56;I56))))</f>
        <v/>
      </c>
      <c r="R56" s="11" t="n"/>
      <c r="S56" s="11" t="n"/>
      <c r="T56" s="12" t="n"/>
      <c r="U56" s="11" t="n">
        <v>17</v>
      </c>
      <c r="V56" s="11" t="n"/>
    </row>
    <row r="57">
      <c r="A57" s="14" t="n">
        <v>6641</v>
      </c>
      <c r="B57" s="14" t="inlineStr">
        <is>
          <t>PIEDRAS</t>
        </is>
      </c>
      <c r="C57" s="14" t="inlineStr">
        <is>
          <t>Piedras</t>
        </is>
      </c>
      <c r="D57" s="14" t="inlineStr">
        <is>
          <t>Tolima</t>
        </is>
      </c>
      <c r="E57" s="14" t="inlineStr">
        <is>
          <t>SUR</t>
        </is>
      </c>
      <c r="F57" s="14" t="inlineStr">
        <is>
          <t>Yeisson Castaño</t>
        </is>
      </c>
      <c r="G57" s="14" t="inlineStr">
        <is>
          <t>1</t>
        </is>
      </c>
      <c r="H57" s="15" t="n">
        <v>46268</v>
      </c>
      <c r="I57" s="15" t="n">
        <v>46268</v>
      </c>
      <c r="J57" s="15" t="n"/>
      <c r="K57" s="15" t="n"/>
      <c r="L57" s="14" t="inlineStr">
        <is>
          <t>Programada</t>
        </is>
      </c>
      <c r="M57" s="15" t="n"/>
      <c r="N57" s="14">
        <f>SI(O(H57="";J57="");"";SI(J57&lt;=H57;"SÍ";"NO"))</f>
        <v/>
      </c>
      <c r="O57" s="14">
        <f>SI(O(I57="";K57="");"";SI(K57&lt;=SI(M57&lt;&gt;"";M57;I57);"SÍ";"NO"))</f>
        <v/>
      </c>
      <c r="P57" s="14">
        <f>SI(O(N57="";O57="");"";SI(Y(N57="SÍ";O57="SÍ");"SÍ";"NO"))</f>
        <v/>
      </c>
      <c r="Q57" s="16">
        <f>SI(O(I57="";K57="");"";MAX(0;ENTERO(K57)-ENTERO(SI(M57&lt;&gt;"";M57;I57))))</f>
        <v/>
      </c>
      <c r="R57" s="14" t="n"/>
      <c r="S57" s="14" t="n"/>
      <c r="T57" s="15" t="n"/>
      <c r="U57" s="14" t="n">
        <v>13</v>
      </c>
      <c r="V57" s="14" t="n"/>
    </row>
    <row r="58">
      <c r="A58" s="11" t="n">
        <v>6657</v>
      </c>
      <c r="B58" s="11" t="inlineStr">
        <is>
          <t>SUAREZ</t>
        </is>
      </c>
      <c r="C58" s="11" t="inlineStr">
        <is>
          <t>Suárez</t>
        </is>
      </c>
      <c r="D58" s="11" t="inlineStr">
        <is>
          <t>Tolima</t>
        </is>
      </c>
      <c r="E58" s="11" t="inlineStr">
        <is>
          <t>SUR</t>
        </is>
      </c>
      <c r="F58" s="11" t="inlineStr">
        <is>
          <t>Johan molano</t>
        </is>
      </c>
      <c r="G58" s="11" t="inlineStr">
        <is>
          <t>2</t>
        </is>
      </c>
      <c r="H58" s="12" t="n">
        <v>46268</v>
      </c>
      <c r="I58" s="12" t="n">
        <v>46268</v>
      </c>
      <c r="J58" s="12" t="n"/>
      <c r="K58" s="12" t="n"/>
      <c r="L58" s="11" t="inlineStr">
        <is>
          <t>Programada</t>
        </is>
      </c>
      <c r="M58" s="12" t="n"/>
      <c r="N58" s="11">
        <f>SI(O(H58="";J58="");"";SI(J58&lt;=H58;"SÍ";"NO"))</f>
        <v/>
      </c>
      <c r="O58" s="11">
        <f>SI(O(I58="";K58="");"";SI(K58&lt;=SI(M58&lt;&gt;"";M58;I58);"SÍ";"NO"))</f>
        <v/>
      </c>
      <c r="P58" s="11">
        <f>SI(O(N58="";O58="");"";SI(Y(N58="SÍ";O58="SÍ");"SÍ";"NO"))</f>
        <v/>
      </c>
      <c r="Q58" s="13">
        <f>SI(O(I58="";K58="");"";MAX(0;ENTERO(K58)-ENTERO(SI(M58&lt;&gt;"";M58;I58))))</f>
        <v/>
      </c>
      <c r="R58" s="11" t="n"/>
      <c r="S58" s="11" t="n"/>
      <c r="T58" s="12" t="n"/>
      <c r="U58" s="11" t="n">
        <v>15</v>
      </c>
      <c r="V58" s="11" t="n"/>
    </row>
    <row r="59">
      <c r="A59" s="14" t="n">
        <v>6680</v>
      </c>
      <c r="B59" s="14" t="inlineStr">
        <is>
          <t>VALLE DE SAN JUAN</t>
        </is>
      </c>
      <c r="C59" s="14" t="inlineStr">
        <is>
          <t>Valle De San Juan</t>
        </is>
      </c>
      <c r="D59" s="14" t="inlineStr">
        <is>
          <t>Tolima</t>
        </is>
      </c>
      <c r="E59" s="14" t="inlineStr">
        <is>
          <t>SUR</t>
        </is>
      </c>
      <c r="F59" s="14" t="inlineStr">
        <is>
          <t>Fernando Valencia</t>
        </is>
      </c>
      <c r="G59" s="14" t="inlineStr">
        <is>
          <t>2</t>
        </is>
      </c>
      <c r="H59" s="15" t="n">
        <v>46268</v>
      </c>
      <c r="I59" s="15" t="n">
        <v>46268</v>
      </c>
      <c r="J59" s="15" t="n"/>
      <c r="K59" s="15" t="n"/>
      <c r="L59" s="14" t="inlineStr">
        <is>
          <t>Programada</t>
        </is>
      </c>
      <c r="M59" s="15" t="n"/>
      <c r="N59" s="14">
        <f>SI(O(H59="";J59="");"";SI(J59&lt;=H59;"SÍ";"NO"))</f>
        <v/>
      </c>
      <c r="O59" s="14">
        <f>SI(O(I59="";K59="");"";SI(K59&lt;=SI(M59&lt;&gt;"";M59;I59);"SÍ";"NO"))</f>
        <v/>
      </c>
      <c r="P59" s="14">
        <f>SI(O(N59="";O59="");"";SI(Y(N59="SÍ";O59="SÍ");"SÍ";"NO"))</f>
        <v/>
      </c>
      <c r="Q59" s="16">
        <f>SI(O(I59="";K59="");"";MAX(0;ENTERO(K59)-ENTERO(SI(M59&lt;&gt;"";M59;I59))))</f>
        <v/>
      </c>
      <c r="R59" s="14" t="n"/>
      <c r="S59" s="14" t="n"/>
      <c r="T59" s="15" t="n"/>
      <c r="U59" s="14" t="n">
        <v>15</v>
      </c>
      <c r="V59" s="14" t="n"/>
    </row>
    <row r="60">
      <c r="A60" s="11" t="n">
        <v>7703</v>
      </c>
      <c r="B60" s="11" t="inlineStr">
        <is>
          <t>PUERTO INIRIDA</t>
        </is>
      </c>
      <c r="C60" s="11" t="inlineStr">
        <is>
          <t>Inírida</t>
        </is>
      </c>
      <c r="D60" s="11" t="inlineStr">
        <is>
          <t>Guainía</t>
        </is>
      </c>
      <c r="E60" s="11" t="inlineStr">
        <is>
          <t>BOGOTA</t>
        </is>
      </c>
      <c r="F60" s="11" t="inlineStr">
        <is>
          <t>Arnulfo Rojas Gomez</t>
        </is>
      </c>
      <c r="G60" s="11" t="inlineStr">
        <is>
          <t>1</t>
        </is>
      </c>
      <c r="H60" s="12" t="n">
        <v>46268</v>
      </c>
      <c r="I60" s="12" t="n">
        <v>46274</v>
      </c>
      <c r="J60" s="12" t="n"/>
      <c r="K60" s="12" t="n"/>
      <c r="L60" s="11" t="inlineStr">
        <is>
          <t>Programada</t>
        </is>
      </c>
      <c r="M60" s="12" t="n"/>
      <c r="N60" s="11">
        <f>SI(O(H60="";J60="");"";SI(J60&lt;=H60;"SÍ";"NO"))</f>
        <v/>
      </c>
      <c r="O60" s="11">
        <f>SI(O(I60="";K60="");"";SI(K60&lt;=SI(M60&lt;&gt;"";M60;I60);"SÍ";"NO"))</f>
        <v/>
      </c>
      <c r="P60" s="11">
        <f>SI(O(N60="";O60="");"";SI(Y(N60="SÍ";O60="SÍ");"SÍ";"NO"))</f>
        <v/>
      </c>
      <c r="Q60" s="13">
        <f>SI(O(I60="";K60="");"";MAX(0;ENTERO(K60)-ENTERO(SI(M60&lt;&gt;"";M60;I60))))</f>
        <v/>
      </c>
      <c r="R60" s="11" t="n"/>
      <c r="S60" s="11" t="n"/>
      <c r="T60" s="12" t="n"/>
      <c r="U60" s="11" t="n">
        <v>23</v>
      </c>
      <c r="V60" s="11" t="n"/>
    </row>
    <row r="61">
      <c r="A61" s="14" t="n">
        <v>8303</v>
      </c>
      <c r="B61" s="14" t="inlineStr">
        <is>
          <t>SAN JOSE DEL GUAVIARE</t>
        </is>
      </c>
      <c r="C61" s="14" t="inlineStr">
        <is>
          <t>San José Del Guaviare</t>
        </is>
      </c>
      <c r="D61" s="14" t="inlineStr">
        <is>
          <t>Guaviare</t>
        </is>
      </c>
      <c r="E61" s="14" t="inlineStr">
        <is>
          <t>BOGOTA</t>
        </is>
      </c>
      <c r="F61" s="14" t="inlineStr">
        <is>
          <t>EDGARDO LEON CEBALLOS</t>
        </is>
      </c>
      <c r="G61" s="14" t="inlineStr">
        <is>
          <t>6</t>
        </is>
      </c>
      <c r="H61" s="15" t="n">
        <v>46268</v>
      </c>
      <c r="I61" s="15" t="n">
        <v>46269</v>
      </c>
      <c r="J61" s="15" t="n"/>
      <c r="K61" s="15" t="n"/>
      <c r="L61" s="14" t="inlineStr">
        <is>
          <t>Programada</t>
        </is>
      </c>
      <c r="M61" s="15" t="n"/>
      <c r="N61" s="14">
        <f>SI(O(H61="";J61="");"";SI(J61&lt;=H61;"SÍ";"NO"))</f>
        <v/>
      </c>
      <c r="O61" s="14">
        <f>SI(O(I61="";K61="");"";SI(K61&lt;=SI(M61&lt;&gt;"";M61;I61);"SÍ";"NO"))</f>
        <v/>
      </c>
      <c r="P61" s="14">
        <f>SI(O(N61="";O61="");"";SI(Y(N61="SÍ";O61="SÍ");"SÍ";"NO"))</f>
        <v/>
      </c>
      <c r="Q61" s="16">
        <f>SI(O(I61="";K61="");"";MAX(0;ENTERO(K61)-ENTERO(SI(M61&lt;&gt;"";M61;I61))))</f>
        <v/>
      </c>
      <c r="R61" s="14" t="n"/>
      <c r="S61" s="14" t="n"/>
      <c r="T61" s="15" t="n"/>
      <c r="U61" s="14" t="n">
        <v>46</v>
      </c>
      <c r="V61" s="14" t="n"/>
    </row>
    <row r="62">
      <c r="A62" s="11" t="n">
        <v>8503</v>
      </c>
      <c r="B62" s="11" t="inlineStr">
        <is>
          <t>PUERTO CARREÑO</t>
        </is>
      </c>
      <c r="C62" s="11" t="inlineStr">
        <is>
          <t>Puerto Carreño</t>
        </is>
      </c>
      <c r="D62" s="11" t="inlineStr">
        <is>
          <t>Vichada</t>
        </is>
      </c>
      <c r="E62" s="11" t="inlineStr">
        <is>
          <t>BOGOTA</t>
        </is>
      </c>
      <c r="F62" s="11" t="inlineStr">
        <is>
          <t>SALOMON STIVEN OSORIO</t>
        </is>
      </c>
      <c r="G62" s="11" t="inlineStr">
        <is>
          <t>1</t>
        </is>
      </c>
      <c r="H62" s="12" t="n">
        <v>46268</v>
      </c>
      <c r="I62" s="12" t="n">
        <v>46269</v>
      </c>
      <c r="J62" s="12" t="n"/>
      <c r="K62" s="12" t="n"/>
      <c r="L62" s="11" t="inlineStr">
        <is>
          <t>Programada</t>
        </is>
      </c>
      <c r="M62" s="12" t="n"/>
      <c r="N62" s="11">
        <f>SI(O(H62="";J62="");"";SI(J62&lt;=H62;"SÍ";"NO"))</f>
        <v/>
      </c>
      <c r="O62" s="11">
        <f>SI(O(I62="";K62="");"";SI(K62&lt;=SI(M62&lt;&gt;"";M62;I62);"SÍ";"NO"))</f>
        <v/>
      </c>
      <c r="P62" s="11">
        <f>SI(O(N62="";O62="");"";SI(Y(N62="SÍ";O62="SÍ");"SÍ";"NO"))</f>
        <v/>
      </c>
      <c r="Q62" s="13">
        <f>SI(O(I62="";K62="");"";MAX(0;ENTERO(K62)-ENTERO(SI(M62&lt;&gt;"";M62;I62))))</f>
        <v/>
      </c>
      <c r="R62" s="11" t="n"/>
      <c r="S62" s="11" t="n"/>
      <c r="T62" s="12" t="n"/>
      <c r="U62" s="11" t="n">
        <v>15</v>
      </c>
      <c r="V62" s="11" t="n"/>
    </row>
    <row r="63">
      <c r="A63" s="14" t="n">
        <v>1307</v>
      </c>
      <c r="B63" s="14" t="inlineStr">
        <is>
          <t>MEDELLIN AMERICA</t>
        </is>
      </c>
      <c r="C63" s="14" t="inlineStr">
        <is>
          <t>Medellín</t>
        </is>
      </c>
      <c r="D63" s="14" t="inlineStr">
        <is>
          <t>Antioquia</t>
        </is>
      </c>
      <c r="E63" s="14" t="inlineStr">
        <is>
          <t>ANTIOQUIA</t>
        </is>
      </c>
      <c r="F63" s="14" t="inlineStr">
        <is>
          <t>Andrés Mariano Bustamante Castro</t>
        </is>
      </c>
      <c r="G63" s="14" t="inlineStr">
        <is>
          <t>2</t>
        </is>
      </c>
      <c r="H63" s="15" t="n">
        <v>46269</v>
      </c>
      <c r="I63" s="15" t="n">
        <v>46273</v>
      </c>
      <c r="J63" s="15" t="n"/>
      <c r="K63" s="15" t="n"/>
      <c r="L63" s="14" t="inlineStr">
        <is>
          <t>Programada</t>
        </is>
      </c>
      <c r="M63" s="15" t="n"/>
      <c r="N63" s="14">
        <f>SI(O(H63="";J63="");"";SI(J63&lt;=H63;"SÍ";"NO"))</f>
        <v/>
      </c>
      <c r="O63" s="14">
        <f>SI(O(I63="";K63="");"";SI(K63&lt;=SI(M63&lt;&gt;"";M63;I63);"SÍ";"NO"))</f>
        <v/>
      </c>
      <c r="P63" s="14">
        <f>SI(O(N63="";O63="");"";SI(Y(N63="SÍ";O63="SÍ");"SÍ";"NO"))</f>
        <v/>
      </c>
      <c r="Q63" s="16">
        <f>SI(O(I63="";K63="");"";MAX(0;ENTERO(K63)-ENTERO(SI(M63&lt;&gt;"";M63;I63))))</f>
        <v/>
      </c>
      <c r="R63" s="14" t="n"/>
      <c r="S63" s="14" t="n"/>
      <c r="T63" s="15" t="n"/>
      <c r="U63" s="14" t="n">
        <v>27</v>
      </c>
      <c r="V63" s="14" t="n"/>
    </row>
    <row r="64">
      <c r="A64" s="11" t="n">
        <v>1410</v>
      </c>
      <c r="B64" s="11" t="inlineStr">
        <is>
          <t>CARACOLI</t>
        </is>
      </c>
      <c r="C64" s="11" t="inlineStr">
        <is>
          <t>Caracolí</t>
        </is>
      </c>
      <c r="D64" s="11" t="inlineStr">
        <is>
          <t>Antioquia</t>
        </is>
      </c>
      <c r="E64" s="11" t="inlineStr">
        <is>
          <t>ANTIOQUIA</t>
        </is>
      </c>
      <c r="F64" s="11" t="inlineStr">
        <is>
          <t>Juan Pablo Osorio Ramirez</t>
        </is>
      </c>
      <c r="G64" s="11" t="inlineStr">
        <is>
          <t>1</t>
        </is>
      </c>
      <c r="H64" s="12" t="n">
        <v>46269</v>
      </c>
      <c r="I64" s="12" t="n">
        <v>46269</v>
      </c>
      <c r="J64" s="12" t="n"/>
      <c r="K64" s="12" t="n"/>
      <c r="L64" s="11" t="inlineStr">
        <is>
          <t>Programada</t>
        </is>
      </c>
      <c r="M64" s="12" t="n"/>
      <c r="N64" s="11">
        <f>SI(O(H64="";J64="");"";SI(J64&lt;=H64;"SÍ";"NO"))</f>
        <v/>
      </c>
      <c r="O64" s="11">
        <f>SI(O(I64="";K64="");"";SI(K64&lt;=SI(M64&lt;&gt;"";M64;I64);"SÍ";"NO"))</f>
        <v/>
      </c>
      <c r="P64" s="11">
        <f>SI(O(N64="";O64="");"";SI(Y(N64="SÍ";O64="SÍ");"SÍ";"NO"))</f>
        <v/>
      </c>
      <c r="Q64" s="13">
        <f>SI(O(I64="";K64="");"";MAX(0;ENTERO(K64)-ENTERO(SI(M64&lt;&gt;"";M64;I64))))</f>
        <v/>
      </c>
      <c r="R64" s="11" t="n"/>
      <c r="S64" s="11" t="n"/>
      <c r="T64" s="12" t="n"/>
      <c r="U64" s="11" t="n">
        <v>13</v>
      </c>
      <c r="V64" s="11" t="n"/>
    </row>
    <row r="65">
      <c r="A65" s="14" t="n">
        <v>1484</v>
      </c>
      <c r="B65" s="14" t="inlineStr">
        <is>
          <t>VALDIVIA</t>
        </is>
      </c>
      <c r="C65" s="14" t="inlineStr">
        <is>
          <t>Valdivia</t>
        </is>
      </c>
      <c r="D65" s="14" t="inlineStr">
        <is>
          <t>Antioquia</t>
        </is>
      </c>
      <c r="E65" s="14" t="inlineStr">
        <is>
          <t>ANTIOQUIA</t>
        </is>
      </c>
      <c r="F65" s="14" t="inlineStr">
        <is>
          <t>Ever Enrique Esquivel Movilla</t>
        </is>
      </c>
      <c r="G65" s="14" t="inlineStr">
        <is>
          <t>1</t>
        </is>
      </c>
      <c r="H65" s="15" t="n">
        <v>46269</v>
      </c>
      <c r="I65" s="15" t="n">
        <v>46269</v>
      </c>
      <c r="J65" s="15" t="n"/>
      <c r="K65" s="15" t="n"/>
      <c r="L65" s="14" t="inlineStr">
        <is>
          <t>Programada</t>
        </is>
      </c>
      <c r="M65" s="15" t="n"/>
      <c r="N65" s="14">
        <f>SI(O(H65="";J65="");"";SI(J65&lt;=H65;"SÍ";"NO"))</f>
        <v/>
      </c>
      <c r="O65" s="14">
        <f>SI(O(I65="";K65="");"";SI(K65&lt;=SI(M65&lt;&gt;"";M65;I65);"SÍ";"NO"))</f>
        <v/>
      </c>
      <c r="P65" s="14">
        <f>SI(O(N65="";O65="");"";SI(Y(N65="SÍ";O65="SÍ");"SÍ";"NO"))</f>
        <v/>
      </c>
      <c r="Q65" s="16">
        <f>SI(O(I65="";K65="");"";MAX(0;ENTERO(K65)-ENTERO(SI(M65&lt;&gt;"";M65;I65))))</f>
        <v/>
      </c>
      <c r="R65" s="14" t="n"/>
      <c r="S65" s="14" t="n"/>
      <c r="T65" s="15" t="n"/>
      <c r="U65" s="14" t="n">
        <v>14</v>
      </c>
      <c r="V65" s="14" t="n"/>
    </row>
    <row r="66">
      <c r="A66" s="11" t="n">
        <v>1515</v>
      </c>
      <c r="B66" s="11" t="inlineStr">
        <is>
          <t>CHIVOR</t>
        </is>
      </c>
      <c r="C66" s="11" t="inlineStr">
        <is>
          <t>Chivor</t>
        </is>
      </c>
      <c r="D66" s="11" t="inlineStr">
        <is>
          <t>Boyacá</t>
        </is>
      </c>
      <c r="E66" s="11" t="inlineStr">
        <is>
          <t>ORIENTE</t>
        </is>
      </c>
      <c r="F66" s="11" t="inlineStr">
        <is>
          <t>Luz Nélida Barragán Toro</t>
        </is>
      </c>
      <c r="G66" s="11" t="inlineStr">
        <is>
          <t>1</t>
        </is>
      </c>
      <c r="H66" s="12" t="n">
        <v>46269</v>
      </c>
      <c r="I66" s="12" t="n">
        <v>46269</v>
      </c>
      <c r="J66" s="12" t="n"/>
      <c r="K66" s="12" t="n"/>
      <c r="L66" s="11" t="inlineStr">
        <is>
          <t>Programada</t>
        </is>
      </c>
      <c r="M66" s="12" t="n"/>
      <c r="N66" s="11">
        <f>SI(O(H66="";J66="");"";SI(J66&lt;=H66;"SÍ";"NO"))</f>
        <v/>
      </c>
      <c r="O66" s="11">
        <f>SI(O(I66="";K66="");"";SI(K66&lt;=SI(M66&lt;&gt;"";M66;I66);"SÍ";"NO"))</f>
        <v/>
      </c>
      <c r="P66" s="11">
        <f>SI(O(N66="";O66="");"";SI(Y(N66="SÍ";O66="SÍ");"SÍ";"NO"))</f>
        <v/>
      </c>
      <c r="Q66" s="13">
        <f>SI(O(I66="";K66="");"";MAX(0;ENTERO(K66)-ENTERO(SI(M66&lt;&gt;"";M66;I66))))</f>
        <v/>
      </c>
      <c r="R66" s="11" t="n"/>
      <c r="S66" s="11" t="n"/>
      <c r="T66" s="12" t="n"/>
      <c r="U66" s="11" t="n">
        <v>13</v>
      </c>
      <c r="V66" s="11" t="n"/>
    </row>
    <row r="67">
      <c r="A67" s="14" t="n">
        <v>1538</v>
      </c>
      <c r="B67" s="14" t="inlineStr">
        <is>
          <t>GUAYATA</t>
        </is>
      </c>
      <c r="C67" s="14" t="inlineStr">
        <is>
          <t>Guayatá</t>
        </is>
      </c>
      <c r="D67" s="14" t="inlineStr">
        <is>
          <t>Boyacá</t>
        </is>
      </c>
      <c r="E67" s="14" t="inlineStr">
        <is>
          <t>ORIENTE</t>
        </is>
      </c>
      <c r="F67" s="14" t="inlineStr">
        <is>
          <t>Andrés Felipe Díaz Noy</t>
        </is>
      </c>
      <c r="G67" s="14" t="inlineStr">
        <is>
          <t>1</t>
        </is>
      </c>
      <c r="H67" s="15" t="n">
        <v>46269</v>
      </c>
      <c r="I67" s="15" t="n">
        <v>46269</v>
      </c>
      <c r="J67" s="15" t="n"/>
      <c r="K67" s="15" t="n"/>
      <c r="L67" s="14" t="inlineStr">
        <is>
          <t>Programada</t>
        </is>
      </c>
      <c r="M67" s="15" t="n"/>
      <c r="N67" s="14">
        <f>SI(O(H67="";J67="");"";SI(J67&lt;=H67;"SÍ";"NO"))</f>
        <v/>
      </c>
      <c r="O67" s="14">
        <f>SI(O(I67="";K67="");"";SI(K67&lt;=SI(M67&lt;&gt;"";M67;I67);"SÍ";"NO"))</f>
        <v/>
      </c>
      <c r="P67" s="14">
        <f>SI(O(N67="";O67="");"";SI(Y(N67="SÍ";O67="SÍ");"SÍ";"NO"))</f>
        <v/>
      </c>
      <c r="Q67" s="16">
        <f>SI(O(I67="";K67="");"";MAX(0;ENTERO(K67)-ENTERO(SI(M67&lt;&gt;"";M67;I67))))</f>
        <v/>
      </c>
      <c r="R67" s="14" t="n"/>
      <c r="S67" s="14" t="n"/>
      <c r="T67" s="15" t="n"/>
      <c r="U67" s="14" t="n">
        <v>13</v>
      </c>
      <c r="V67" s="14" t="n"/>
    </row>
    <row r="68">
      <c r="A68" s="11" t="n">
        <v>1548</v>
      </c>
      <c r="B68" s="11" t="inlineStr">
        <is>
          <t>MACANAL</t>
        </is>
      </c>
      <c r="C68" s="11" t="inlineStr">
        <is>
          <t>Macanal</t>
        </is>
      </c>
      <c r="D68" s="11" t="inlineStr">
        <is>
          <t>Boyacá</t>
        </is>
      </c>
      <c r="E68" s="11" t="inlineStr">
        <is>
          <t>ORIENTE</t>
        </is>
      </c>
      <c r="F68" s="11" t="inlineStr">
        <is>
          <t>Mauricio Andrés Rivera Páez</t>
        </is>
      </c>
      <c r="G68" s="11" t="inlineStr">
        <is>
          <t>2</t>
        </is>
      </c>
      <c r="H68" s="12" t="n">
        <v>46269</v>
      </c>
      <c r="I68" s="12" t="n">
        <v>46269</v>
      </c>
      <c r="J68" s="12" t="n"/>
      <c r="K68" s="12" t="n"/>
      <c r="L68" s="11" t="inlineStr">
        <is>
          <t>Programada</t>
        </is>
      </c>
      <c r="M68" s="12" t="n"/>
      <c r="N68" s="11">
        <f>SI(O(H68="";J68="");"";SI(J68&lt;=H68;"SÍ";"NO"))</f>
        <v/>
      </c>
      <c r="O68" s="11">
        <f>SI(O(I68="";K68="");"";SI(K68&lt;=SI(M68&lt;&gt;"";M68;I68);"SÍ";"NO"))</f>
        <v/>
      </c>
      <c r="P68" s="11">
        <f>SI(O(N68="";O68="");"";SI(Y(N68="SÍ";O68="SÍ");"SÍ";"NO"))</f>
        <v/>
      </c>
      <c r="Q68" s="13">
        <f>SI(O(I68="";K68="");"";MAX(0;ENTERO(K68)-ENTERO(SI(M68&lt;&gt;"";M68;I68))))</f>
        <v/>
      </c>
      <c r="R68" s="11" t="n"/>
      <c r="S68" s="11" t="n"/>
      <c r="T68" s="12" t="n"/>
      <c r="U68" s="11" t="n">
        <v>15</v>
      </c>
      <c r="V68" s="11" t="n"/>
    </row>
    <row r="69">
      <c r="A69" s="14" t="n">
        <v>1570</v>
      </c>
      <c r="B69" s="14" t="inlineStr">
        <is>
          <t>SAN LUIS DE GACENO</t>
        </is>
      </c>
      <c r="C69" s="14" t="inlineStr">
        <is>
          <t>San Luis De Gaceno</t>
        </is>
      </c>
      <c r="D69" s="14" t="inlineStr">
        <is>
          <t>Boyacá</t>
        </is>
      </c>
      <c r="E69" s="14" t="inlineStr">
        <is>
          <t>ORIENTE</t>
        </is>
      </c>
      <c r="F69" s="14" t="inlineStr">
        <is>
          <t>CRISTIAN CAMILO DIAZ NOY</t>
        </is>
      </c>
      <c r="G69" s="14" t="inlineStr">
        <is>
          <t>3</t>
        </is>
      </c>
      <c r="H69" s="15" t="n">
        <v>46269</v>
      </c>
      <c r="I69" s="15" t="n">
        <v>46269</v>
      </c>
      <c r="J69" s="15" t="n"/>
      <c r="K69" s="15" t="n"/>
      <c r="L69" s="14" t="inlineStr">
        <is>
          <t>Programada</t>
        </is>
      </c>
      <c r="M69" s="15" t="n"/>
      <c r="N69" s="14">
        <f>SI(O(H69="";J69="");"";SI(J69&lt;=H69;"SÍ";"NO"))</f>
        <v/>
      </c>
      <c r="O69" s="14">
        <f>SI(O(I69="";K69="");"";SI(K69&lt;=SI(M69&lt;&gt;"";M69;I69);"SÍ";"NO"))</f>
        <v/>
      </c>
      <c r="P69" s="14">
        <f>SI(O(N69="";O69="");"";SI(Y(N69="SÍ";O69="SÍ");"SÍ";"NO"))</f>
        <v/>
      </c>
      <c r="Q69" s="16">
        <f>SI(O(I69="";K69="");"";MAX(0;ENTERO(K69)-ENTERO(SI(M69&lt;&gt;"";M69;I69))))</f>
        <v/>
      </c>
      <c r="R69" s="14" t="n"/>
      <c r="S69" s="14" t="n"/>
      <c r="T69" s="15" t="n"/>
      <c r="U69" s="14" t="n">
        <v>21</v>
      </c>
      <c r="V69" s="14" t="n"/>
    </row>
    <row r="70">
      <c r="A70" s="11" t="n">
        <v>1573</v>
      </c>
      <c r="B70" s="11" t="inlineStr">
        <is>
          <t>SANTA ROSA DE VITERBO</t>
        </is>
      </c>
      <c r="C70" s="11" t="inlineStr">
        <is>
          <t>Santa Rosa De Viterbo</t>
        </is>
      </c>
      <c r="D70" s="11" t="inlineStr">
        <is>
          <t>Boyacá</t>
        </is>
      </c>
      <c r="E70" s="11" t="inlineStr">
        <is>
          <t>ORIENTE</t>
        </is>
      </c>
      <c r="F70" s="11" t="inlineStr">
        <is>
          <t>Andrés Felipe Carvajal Pire</t>
        </is>
      </c>
      <c r="G70" s="11" t="inlineStr">
        <is>
          <t>4</t>
        </is>
      </c>
      <c r="H70" s="12" t="n">
        <v>46269</v>
      </c>
      <c r="I70" s="12" t="n">
        <v>46269</v>
      </c>
      <c r="J70" s="12" t="n"/>
      <c r="K70" s="12" t="n"/>
      <c r="L70" s="11" t="inlineStr">
        <is>
          <t>Programada</t>
        </is>
      </c>
      <c r="M70" s="12" t="n"/>
      <c r="N70" s="11">
        <f>SI(O(H70="";J70="");"";SI(J70&lt;=H70;"SÍ";"NO"))</f>
        <v/>
      </c>
      <c r="O70" s="11">
        <f>SI(O(I70="";K70="");"";SI(K70&lt;=SI(M70&lt;&gt;"";M70;I70);"SÍ";"NO"))</f>
        <v/>
      </c>
      <c r="P70" s="11">
        <f>SI(O(N70="";O70="");"";SI(Y(N70="SÍ";O70="SÍ");"SÍ";"NO"))</f>
        <v/>
      </c>
      <c r="Q70" s="13">
        <f>SI(O(I70="";K70="");"";MAX(0;ENTERO(K70)-ENTERO(SI(M70&lt;&gt;"";M70;I70))))</f>
        <v/>
      </c>
      <c r="R70" s="11" t="n"/>
      <c r="S70" s="11" t="n"/>
      <c r="T70" s="12" t="n"/>
      <c r="U70" s="11" t="n">
        <v>24</v>
      </c>
      <c r="V70" s="11" t="n"/>
    </row>
    <row r="71">
      <c r="A71" s="14" t="n">
        <v>1634</v>
      </c>
      <c r="B71" s="14" t="inlineStr">
        <is>
          <t>MANATI</t>
        </is>
      </c>
      <c r="C71" s="14" t="inlineStr">
        <is>
          <t>Manatí</t>
        </is>
      </c>
      <c r="D71" s="14" t="inlineStr">
        <is>
          <t>Atlántico</t>
        </is>
      </c>
      <c r="E71" s="14" t="inlineStr">
        <is>
          <t>COSTA</t>
        </is>
      </c>
      <c r="F71" s="14" t="inlineStr">
        <is>
          <t>Hernando Arenas Lambis</t>
        </is>
      </c>
      <c r="G71" s="14" t="inlineStr">
        <is>
          <t>1</t>
        </is>
      </c>
      <c r="H71" s="15" t="n">
        <v>46269</v>
      </c>
      <c r="I71" s="15" t="n">
        <v>46269</v>
      </c>
      <c r="J71" s="15" t="n"/>
      <c r="K71" s="15" t="n"/>
      <c r="L71" s="14" t="inlineStr">
        <is>
          <t>Programada</t>
        </is>
      </c>
      <c r="M71" s="15" t="n"/>
      <c r="N71" s="14">
        <f>SI(O(H71="";J71="");"";SI(J71&lt;=H71;"SÍ";"NO"))</f>
        <v/>
      </c>
      <c r="O71" s="14">
        <f>SI(O(I71="";K71="");"";SI(K71&lt;=SI(M71&lt;&gt;"";M71;I71);"SÍ";"NO"))</f>
        <v/>
      </c>
      <c r="P71" s="14">
        <f>SI(O(N71="";O71="");"";SI(Y(N71="SÍ";O71="SÍ");"SÍ";"NO"))</f>
        <v/>
      </c>
      <c r="Q71" s="16">
        <f>SI(O(I71="";K71="");"";MAX(0;ENTERO(K71)-ENTERO(SI(M71&lt;&gt;"";M71;I71))))</f>
        <v/>
      </c>
      <c r="R71" s="14" t="n"/>
      <c r="S71" s="14" t="n"/>
      <c r="T71" s="15" t="n"/>
      <c r="U71" s="14" t="n">
        <v>13</v>
      </c>
      <c r="V71" s="14" t="n"/>
    </row>
    <row r="72">
      <c r="A72" s="11" t="n">
        <v>2414</v>
      </c>
      <c r="B72" s="11" t="inlineStr">
        <is>
          <t>BOSCONIA</t>
        </is>
      </c>
      <c r="C72" s="11" t="inlineStr">
        <is>
          <t>Bosconia</t>
        </is>
      </c>
      <c r="D72" s="11" t="inlineStr">
        <is>
          <t>Cesar</t>
        </is>
      </c>
      <c r="E72" s="11" t="inlineStr">
        <is>
          <t>COSTA</t>
        </is>
      </c>
      <c r="F72" s="11" t="inlineStr">
        <is>
          <t>Saray Herrera Guette</t>
        </is>
      </c>
      <c r="G72" s="11" t="inlineStr">
        <is>
          <t>4</t>
        </is>
      </c>
      <c r="H72" s="12" t="n">
        <v>46269</v>
      </c>
      <c r="I72" s="12" t="n">
        <v>46269</v>
      </c>
      <c r="J72" s="12" t="n"/>
      <c r="K72" s="12" t="n"/>
      <c r="L72" s="11" t="inlineStr">
        <is>
          <t>Programada</t>
        </is>
      </c>
      <c r="M72" s="12" t="n"/>
      <c r="N72" s="11">
        <f>SI(O(H72="";J72="");"";SI(J72&lt;=H72;"SÍ";"NO"))</f>
        <v/>
      </c>
      <c r="O72" s="11">
        <f>SI(O(I72="";K72="");"";SI(K72&lt;=SI(M72&lt;&gt;"";M72;I72);"SÍ";"NO"))</f>
        <v/>
      </c>
      <c r="P72" s="11">
        <f>SI(O(N72="";O72="");"";SI(Y(N72="SÍ";O72="SÍ");"SÍ";"NO"))</f>
        <v/>
      </c>
      <c r="Q72" s="13">
        <f>SI(O(I72="";K72="");"";MAX(0;ENTERO(K72)-ENTERO(SI(M72&lt;&gt;"";M72;I72))))</f>
        <v/>
      </c>
      <c r="R72" s="11" t="n"/>
      <c r="S72" s="11" t="n"/>
      <c r="T72" s="12" t="n"/>
      <c r="U72" s="11" t="n">
        <v>22</v>
      </c>
      <c r="V72" s="11" t="n"/>
    </row>
    <row r="73">
      <c r="A73" s="14" t="n">
        <v>2470</v>
      </c>
      <c r="B73" s="14" t="inlineStr">
        <is>
          <t>TAMALAMEQUE</t>
        </is>
      </c>
      <c r="C73" s="14" t="inlineStr">
        <is>
          <t>Tamalameque</t>
        </is>
      </c>
      <c r="D73" s="14" t="inlineStr">
        <is>
          <t>Cesar</t>
        </is>
      </c>
      <c r="E73" s="14" t="inlineStr">
        <is>
          <t>COSTA</t>
        </is>
      </c>
      <c r="F73" s="14" t="inlineStr">
        <is>
          <t>Santiago Pupo Cogollo</t>
        </is>
      </c>
      <c r="G73" s="14" t="inlineStr">
        <is>
          <t>1</t>
        </is>
      </c>
      <c r="H73" s="15" t="n">
        <v>46269</v>
      </c>
      <c r="I73" s="15" t="n">
        <v>46269</v>
      </c>
      <c r="J73" s="15" t="n"/>
      <c r="K73" s="15" t="n"/>
      <c r="L73" s="14" t="inlineStr">
        <is>
          <t>Programada</t>
        </is>
      </c>
      <c r="M73" s="15" t="n"/>
      <c r="N73" s="14">
        <f>SI(O(H73="";J73="");"";SI(J73&lt;=H73;"SÍ";"NO"))</f>
        <v/>
      </c>
      <c r="O73" s="14">
        <f>SI(O(I73="";K73="");"";SI(K73&lt;=SI(M73&lt;&gt;"";M73;I73);"SÍ";"NO"))</f>
        <v/>
      </c>
      <c r="P73" s="14">
        <f>SI(O(N73="";O73="");"";SI(Y(N73="SÍ";O73="SÍ");"SÍ";"NO"))</f>
        <v/>
      </c>
      <c r="Q73" s="16">
        <f>SI(O(I73="";K73="");"";MAX(0;ENTERO(K73)-ENTERO(SI(M73&lt;&gt;"";M73;I73))))</f>
        <v/>
      </c>
      <c r="R73" s="14" t="n"/>
      <c r="S73" s="14" t="n"/>
      <c r="T73" s="15" t="n"/>
      <c r="U73" s="14" t="n">
        <v>13</v>
      </c>
      <c r="V73" s="14" t="n"/>
    </row>
    <row r="74">
      <c r="A74" s="11" t="n">
        <v>3925</v>
      </c>
      <c r="B74" s="11" t="inlineStr">
        <is>
          <t>PALERMO</t>
        </is>
      </c>
      <c r="C74" s="11" t="inlineStr">
        <is>
          <t>Palermo</t>
        </is>
      </c>
      <c r="D74" s="11" t="inlineStr">
        <is>
          <t>Huila</t>
        </is>
      </c>
      <c r="E74" s="11" t="inlineStr">
        <is>
          <t>SUR</t>
        </is>
      </c>
      <c r="F74" s="11" t="inlineStr">
        <is>
          <t>ERIKA VARGAS</t>
        </is>
      </c>
      <c r="G74" s="11" t="inlineStr">
        <is>
          <t>3</t>
        </is>
      </c>
      <c r="H74" s="12" t="n">
        <v>46269</v>
      </c>
      <c r="I74" s="12" t="n">
        <v>46269</v>
      </c>
      <c r="J74" s="12" t="n"/>
      <c r="K74" s="12" t="n"/>
      <c r="L74" s="11" t="inlineStr">
        <is>
          <t>Programada</t>
        </is>
      </c>
      <c r="M74" s="12" t="n"/>
      <c r="N74" s="11">
        <f>SI(O(H74="";J74="");"";SI(J74&lt;=H74;"SÍ";"NO"))</f>
        <v/>
      </c>
      <c r="O74" s="11">
        <f>SI(O(I74="";K74="");"";SI(K74&lt;=SI(M74&lt;&gt;"";M74;I74);"SÍ";"NO"))</f>
        <v/>
      </c>
      <c r="P74" s="11">
        <f>SI(O(N74="";O74="");"";SI(Y(N74="SÍ";O74="SÍ");"SÍ";"NO"))</f>
        <v/>
      </c>
      <c r="Q74" s="13">
        <f>SI(O(I74="";K74="");"";MAX(0;ENTERO(K74)-ENTERO(SI(M74&lt;&gt;"";M74;I74))))</f>
        <v/>
      </c>
      <c r="R74" s="11" t="n"/>
      <c r="S74" s="11" t="n"/>
      <c r="T74" s="12" t="n"/>
      <c r="U74" s="11" t="n">
        <v>19</v>
      </c>
      <c r="V74" s="11" t="n"/>
    </row>
    <row r="75">
      <c r="A75" s="14" t="n">
        <v>4503</v>
      </c>
      <c r="B75" s="14" t="inlineStr">
        <is>
          <t>ACACIAS</t>
        </is>
      </c>
      <c r="C75" s="14" t="inlineStr">
        <is>
          <t>Acacías</t>
        </is>
      </c>
      <c r="D75" s="14" t="inlineStr">
        <is>
          <t>Meta</t>
        </is>
      </c>
      <c r="E75" s="14" t="inlineStr">
        <is>
          <t>BOGOTA</t>
        </is>
      </c>
      <c r="F75" s="14" t="inlineStr">
        <is>
          <t>Andres Felipe Balbin</t>
        </is>
      </c>
      <c r="G75" s="14" t="inlineStr">
        <is>
          <t>6</t>
        </is>
      </c>
      <c r="H75" s="15" t="n">
        <v>46269</v>
      </c>
      <c r="I75" s="15" t="n">
        <v>46269</v>
      </c>
      <c r="J75" s="15" t="n"/>
      <c r="K75" s="15" t="n"/>
      <c r="L75" s="14" t="inlineStr">
        <is>
          <t>Programada</t>
        </is>
      </c>
      <c r="M75" s="15" t="n"/>
      <c r="N75" s="14">
        <f>SI(O(H75="";J75="");"";SI(J75&lt;=H75;"SÍ";"NO"))</f>
        <v/>
      </c>
      <c r="O75" s="14">
        <f>SI(O(I75="";K75="");"";SI(K75&lt;=SI(M75&lt;&gt;"";M75;I75);"SÍ";"NO"))</f>
        <v/>
      </c>
      <c r="P75" s="14">
        <f>SI(O(N75="";O75="");"";SI(Y(N75="SÍ";O75="SÍ");"SÍ";"NO"))</f>
        <v/>
      </c>
      <c r="Q75" s="16">
        <f>SI(O(I75="";K75="");"";MAX(0;ENTERO(K75)-ENTERO(SI(M75&lt;&gt;"";M75;I75))))</f>
        <v/>
      </c>
      <c r="R75" s="14" t="n"/>
      <c r="S75" s="14" t="n"/>
      <c r="T75" s="15" t="n"/>
      <c r="U75" s="14" t="n">
        <v>31</v>
      </c>
      <c r="V75" s="14" t="n"/>
    </row>
    <row r="76">
      <c r="A76" s="11" t="n">
        <v>4818</v>
      </c>
      <c r="B76" s="11" t="inlineStr">
        <is>
          <t>CONTADERO</t>
        </is>
      </c>
      <c r="C76" s="11" t="inlineStr">
        <is>
          <t>Contadero</t>
        </is>
      </c>
      <c r="D76" s="11" t="inlineStr">
        <is>
          <t>Nariño</t>
        </is>
      </c>
      <c r="E76" s="11" t="inlineStr">
        <is>
          <t>OCCIDENTE</t>
        </is>
      </c>
      <c r="F76" s="11" t="inlineStr">
        <is>
          <t>Juan Carlos Narvaez Acosta / Luis Fernando Ibarra Guio</t>
        </is>
      </c>
      <c r="G76" s="11" t="inlineStr">
        <is>
          <t>2</t>
        </is>
      </c>
      <c r="H76" s="12" t="n">
        <v>46269</v>
      </c>
      <c r="I76" s="12" t="n">
        <v>46269</v>
      </c>
      <c r="J76" s="12" t="n"/>
      <c r="K76" s="12" t="n"/>
      <c r="L76" s="11" t="inlineStr">
        <is>
          <t>Programada</t>
        </is>
      </c>
      <c r="M76" s="12" t="n"/>
      <c r="N76" s="11">
        <f>SI(O(H76="";J76="");"";SI(J76&lt;=H76;"SÍ";"NO"))</f>
        <v/>
      </c>
      <c r="O76" s="11">
        <f>SI(O(I76="";K76="");"";SI(K76&lt;=SI(M76&lt;&gt;"";M76;I76);"SÍ";"NO"))</f>
        <v/>
      </c>
      <c r="P76" s="11">
        <f>SI(O(N76="";O76="");"";SI(Y(N76="SÍ";O76="SÍ");"SÍ";"NO"))</f>
        <v/>
      </c>
      <c r="Q76" s="13">
        <f>SI(O(I76="";K76="");"";MAX(0;ENTERO(K76)-ENTERO(SI(M76&lt;&gt;"";M76;I76))))</f>
        <v/>
      </c>
      <c r="R76" s="11" t="n"/>
      <c r="S76" s="11" t="n"/>
      <c r="T76" s="12" t="n"/>
      <c r="U76" s="11" t="n">
        <v>15</v>
      </c>
      <c r="V76" s="11" t="n"/>
    </row>
    <row r="77">
      <c r="A77" s="14" t="n">
        <v>6605</v>
      </c>
      <c r="B77" s="14" t="inlineStr">
        <is>
          <t>ALVARADO</t>
        </is>
      </c>
      <c r="C77" s="14" t="inlineStr">
        <is>
          <t>Alvarado</t>
        </is>
      </c>
      <c r="D77" s="14" t="inlineStr">
        <is>
          <t>Tolima</t>
        </is>
      </c>
      <c r="E77" s="14" t="inlineStr">
        <is>
          <t>SUR</t>
        </is>
      </c>
      <c r="F77" s="14" t="inlineStr">
        <is>
          <t>Yeisson Castaño</t>
        </is>
      </c>
      <c r="G77" s="14" t="inlineStr">
        <is>
          <t>1</t>
        </is>
      </c>
      <c r="H77" s="15" t="n">
        <v>46269</v>
      </c>
      <c r="I77" s="15" t="n">
        <v>46269</v>
      </c>
      <c r="J77" s="15" t="n"/>
      <c r="K77" s="15" t="n"/>
      <c r="L77" s="14" t="inlineStr">
        <is>
          <t>Programada</t>
        </is>
      </c>
      <c r="M77" s="15" t="n"/>
      <c r="N77" s="14">
        <f>SI(O(H77="";J77="");"";SI(J77&lt;=H77;"SÍ";"NO"))</f>
        <v/>
      </c>
      <c r="O77" s="14">
        <f>SI(O(I77="";K77="");"";SI(K77&lt;=SI(M77&lt;&gt;"";M77;I77);"SÍ";"NO"))</f>
        <v/>
      </c>
      <c r="P77" s="14">
        <f>SI(O(N77="";O77="");"";SI(Y(N77="SÍ";O77="SÍ");"SÍ";"NO"))</f>
        <v/>
      </c>
      <c r="Q77" s="16">
        <f>SI(O(I77="";K77="");"";MAX(0;ENTERO(K77)-ENTERO(SI(M77&lt;&gt;"";M77;I77))))</f>
        <v/>
      </c>
      <c r="R77" s="14" t="n"/>
      <c r="S77" s="14" t="n"/>
      <c r="T77" s="15" t="n"/>
      <c r="U77" s="14" t="n">
        <v>15</v>
      </c>
      <c r="V77" s="14" t="n"/>
    </row>
    <row r="78">
      <c r="A78" s="11" t="n">
        <v>6609</v>
      </c>
      <c r="B78" s="11" t="inlineStr">
        <is>
          <t>ICONONZO</t>
        </is>
      </c>
      <c r="C78" s="11" t="inlineStr">
        <is>
          <t>Icononzo</t>
        </is>
      </c>
      <c r="D78" s="11" t="inlineStr">
        <is>
          <t>Tolima</t>
        </is>
      </c>
      <c r="E78" s="11" t="inlineStr">
        <is>
          <t>SUR</t>
        </is>
      </c>
      <c r="F78" s="11" t="inlineStr">
        <is>
          <t>Johan Molano</t>
        </is>
      </c>
      <c r="G78" s="11" t="inlineStr">
        <is>
          <t>2</t>
        </is>
      </c>
      <c r="H78" s="12" t="n">
        <v>46269</v>
      </c>
      <c r="I78" s="12" t="n">
        <v>46269</v>
      </c>
      <c r="J78" s="12" t="n"/>
      <c r="K78" s="12" t="n"/>
      <c r="L78" s="11" t="inlineStr">
        <is>
          <t>Programada</t>
        </is>
      </c>
      <c r="M78" s="12" t="n"/>
      <c r="N78" s="11">
        <f>SI(O(H78="";J78="");"";SI(J78&lt;=H78;"SÍ";"NO"))</f>
        <v/>
      </c>
      <c r="O78" s="11">
        <f>SI(O(I78="";K78="");"";SI(K78&lt;=SI(M78&lt;&gt;"";M78;I78);"SÍ";"NO"))</f>
        <v/>
      </c>
      <c r="P78" s="11">
        <f>SI(O(N78="";O78="");"";SI(Y(N78="SÍ";O78="SÍ");"SÍ";"NO"))</f>
        <v/>
      </c>
      <c r="Q78" s="13">
        <f>SI(O(I78="";K78="");"";MAX(0;ENTERO(K78)-ENTERO(SI(M78&lt;&gt;"";M78;I78))))</f>
        <v/>
      </c>
      <c r="R78" s="11" t="n"/>
      <c r="S78" s="11" t="n"/>
      <c r="T78" s="12" t="n"/>
      <c r="U78" s="11" t="n">
        <v>18</v>
      </c>
      <c r="V78" s="11" t="n"/>
    </row>
    <row r="79">
      <c r="A79" s="14" t="n">
        <v>6653</v>
      </c>
      <c r="B79" s="14" t="inlineStr">
        <is>
          <t>SAN LUIS</t>
        </is>
      </c>
      <c r="C79" s="14" t="inlineStr">
        <is>
          <t>San Luis</t>
        </is>
      </c>
      <c r="D79" s="14" t="inlineStr">
        <is>
          <t>Tolima</t>
        </is>
      </c>
      <c r="E79" s="14" t="inlineStr">
        <is>
          <t>SUR</t>
        </is>
      </c>
      <c r="F79" s="14" t="inlineStr">
        <is>
          <t>Fernando Valencia</t>
        </is>
      </c>
      <c r="G79" s="14" t="inlineStr">
        <is>
          <t>1</t>
        </is>
      </c>
      <c r="H79" s="15" t="n">
        <v>46269</v>
      </c>
      <c r="I79" s="15" t="n">
        <v>46269</v>
      </c>
      <c r="J79" s="15" t="n"/>
      <c r="K79" s="15" t="n"/>
      <c r="L79" s="14" t="inlineStr">
        <is>
          <t>Programada</t>
        </is>
      </c>
      <c r="M79" s="15" t="n"/>
      <c r="N79" s="14">
        <f>SI(O(H79="";J79="");"";SI(J79&lt;=H79;"SÍ";"NO"))</f>
        <v/>
      </c>
      <c r="O79" s="14">
        <f>SI(O(I79="";K79="");"";SI(K79&lt;=SI(M79&lt;&gt;"";M79;I79);"SÍ";"NO"))</f>
        <v/>
      </c>
      <c r="P79" s="14">
        <f>SI(O(N79="";O79="");"";SI(Y(N79="SÍ";O79="SÍ");"SÍ";"NO"))</f>
        <v/>
      </c>
      <c r="Q79" s="16">
        <f>SI(O(I79="";K79="");"";MAX(0;ENTERO(K79)-ENTERO(SI(M79&lt;&gt;"";M79;I79))))</f>
        <v/>
      </c>
      <c r="R79" s="14" t="n"/>
      <c r="S79" s="14" t="n"/>
      <c r="T79" s="15" t="n"/>
      <c r="U79" s="14" t="n">
        <v>15</v>
      </c>
      <c r="V79" s="14" t="n"/>
    </row>
    <row r="80">
      <c r="A80" s="11" t="n">
        <v>1320</v>
      </c>
      <c r="B80" s="11" t="inlineStr">
        <is>
          <t>EL BAGRE</t>
        </is>
      </c>
      <c r="C80" s="11" t="inlineStr">
        <is>
          <t>El Bagre</t>
        </is>
      </c>
      <c r="D80" s="11" t="inlineStr">
        <is>
          <t>Antioquia</t>
        </is>
      </c>
      <c r="E80" s="11" t="inlineStr">
        <is>
          <t>ANTIOQUIA</t>
        </is>
      </c>
      <c r="F80" s="11" t="inlineStr">
        <is>
          <t>Ever Enrique Esquivel Movilla</t>
        </is>
      </c>
      <c r="G80" s="11" t="inlineStr">
        <is>
          <t>4</t>
        </is>
      </c>
      <c r="H80" s="12" t="n">
        <v>46272</v>
      </c>
      <c r="I80" s="12" t="n">
        <v>46272</v>
      </c>
      <c r="J80" s="12" t="n"/>
      <c r="K80" s="12" t="n"/>
      <c r="L80" s="11" t="inlineStr">
        <is>
          <t>Programada</t>
        </is>
      </c>
      <c r="M80" s="12" t="n"/>
      <c r="N80" s="11">
        <f>SI(O(H80="";J80="");"";SI(J80&lt;=H80;"SÍ";"NO"))</f>
        <v/>
      </c>
      <c r="O80" s="11">
        <f>SI(O(I80="";K80="");"";SI(K80&lt;=SI(M80&lt;&gt;"";M80;I80);"SÍ";"NO"))</f>
        <v/>
      </c>
      <c r="P80" s="11">
        <f>SI(O(N80="";O80="");"";SI(Y(N80="SÍ";O80="SÍ");"SÍ";"NO"))</f>
        <v/>
      </c>
      <c r="Q80" s="13">
        <f>SI(O(I80="";K80="");"";MAX(0;ENTERO(K80)-ENTERO(SI(M80&lt;&gt;"";M80;I80))))</f>
        <v/>
      </c>
      <c r="R80" s="11" t="n"/>
      <c r="S80" s="11" t="n"/>
      <c r="T80" s="12" t="n"/>
      <c r="U80" s="11" t="n">
        <v>26</v>
      </c>
      <c r="V80" s="11" t="n"/>
    </row>
    <row r="81">
      <c r="A81" s="14" t="n">
        <v>1370</v>
      </c>
      <c r="B81" s="14" t="inlineStr">
        <is>
          <t>LA CEJA</t>
        </is>
      </c>
      <c r="C81" s="14" t="inlineStr">
        <is>
          <t>La Ceja</t>
        </is>
      </c>
      <c r="D81" s="14" t="inlineStr">
        <is>
          <t>Antioquia</t>
        </is>
      </c>
      <c r="E81" s="14" t="inlineStr">
        <is>
          <t>ANTIOQUIA</t>
        </is>
      </c>
      <c r="F81" s="14" t="inlineStr">
        <is>
          <t>Juan Pablo Osorio Ramirez</t>
        </is>
      </c>
      <c r="G81" s="14" t="inlineStr">
        <is>
          <t>4</t>
        </is>
      </c>
      <c r="H81" s="15" t="n">
        <v>46272</v>
      </c>
      <c r="I81" s="15" t="n">
        <v>46272</v>
      </c>
      <c r="J81" s="15" t="n"/>
      <c r="K81" s="15" t="n"/>
      <c r="L81" s="14" t="inlineStr">
        <is>
          <t>Programada</t>
        </is>
      </c>
      <c r="M81" s="15" t="n"/>
      <c r="N81" s="14">
        <f>SI(O(H81="";J81="");"";SI(J81&lt;=H81;"SÍ";"NO"))</f>
        <v/>
      </c>
      <c r="O81" s="14">
        <f>SI(O(I81="";K81="");"";SI(K81&lt;=SI(M81&lt;&gt;"";M81;I81);"SÍ";"NO"))</f>
        <v/>
      </c>
      <c r="P81" s="14">
        <f>SI(O(N81="";O81="");"";SI(Y(N81="SÍ";O81="SÍ");"SÍ";"NO"))</f>
        <v/>
      </c>
      <c r="Q81" s="16">
        <f>SI(O(I81="";K81="");"";MAX(0;ENTERO(K81)-ENTERO(SI(M81&lt;&gt;"";M81;I81))))</f>
        <v/>
      </c>
      <c r="R81" s="14" t="n"/>
      <c r="S81" s="14" t="n"/>
      <c r="T81" s="15" t="n"/>
      <c r="U81" s="14" t="n">
        <v>29</v>
      </c>
      <c r="V81" s="14" t="n"/>
    </row>
    <row r="82">
      <c r="A82" s="11" t="n">
        <v>1534</v>
      </c>
      <c r="B82" s="11" t="inlineStr">
        <is>
          <t>GARAGOA</t>
        </is>
      </c>
      <c r="C82" s="11" t="inlineStr">
        <is>
          <t>Garagoa</t>
        </is>
      </c>
      <c r="D82" s="11" t="inlineStr">
        <is>
          <t>Boyacá</t>
        </is>
      </c>
      <c r="E82" s="11" t="inlineStr">
        <is>
          <t>ORIENTE</t>
        </is>
      </c>
      <c r="F82" s="11" t="inlineStr">
        <is>
          <t>Luz Nélida Barragán Toro</t>
        </is>
      </c>
      <c r="G82" s="11" t="inlineStr">
        <is>
          <t>7</t>
        </is>
      </c>
      <c r="H82" s="12" t="n">
        <v>46272</v>
      </c>
      <c r="I82" s="12" t="n">
        <v>46273</v>
      </c>
      <c r="J82" s="12" t="n"/>
      <c r="K82" s="12" t="n"/>
      <c r="L82" s="11" t="inlineStr">
        <is>
          <t>Programada</t>
        </is>
      </c>
      <c r="M82" s="12" t="n"/>
      <c r="N82" s="11">
        <f>SI(O(H82="";J82="");"";SI(J82&lt;=H82;"SÍ";"NO"))</f>
        <v/>
      </c>
      <c r="O82" s="11">
        <f>SI(O(I82="";K82="");"";SI(K82&lt;=SI(M82&lt;&gt;"";M82;I82);"SÍ";"NO"))</f>
        <v/>
      </c>
      <c r="P82" s="11">
        <f>SI(O(N82="";O82="");"";SI(Y(N82="SÍ";O82="SÍ");"SÍ";"NO"))</f>
        <v/>
      </c>
      <c r="Q82" s="13">
        <f>SI(O(I82="";K82="");"";MAX(0;ENTERO(K82)-ENTERO(SI(M82&lt;&gt;"";M82;I82))))</f>
        <v/>
      </c>
      <c r="R82" s="11" t="n"/>
      <c r="S82" s="11" t="n"/>
      <c r="T82" s="12" t="n"/>
      <c r="U82" s="11" t="n">
        <v>38</v>
      </c>
      <c r="V82" s="11" t="n"/>
    </row>
    <row r="83">
      <c r="A83" s="14" t="n">
        <v>1536</v>
      </c>
      <c r="B83" s="14" t="inlineStr">
        <is>
          <t>GUATEQUE</t>
        </is>
      </c>
      <c r="C83" s="14" t="inlineStr">
        <is>
          <t>Guateque</t>
        </is>
      </c>
      <c r="D83" s="14" t="inlineStr">
        <is>
          <t>Boyacá</t>
        </is>
      </c>
      <c r="E83" s="14" t="inlineStr">
        <is>
          <t>ORIENTE</t>
        </is>
      </c>
      <c r="F83" s="14" t="inlineStr">
        <is>
          <t>Andrés Felipe Díaz Noy</t>
        </is>
      </c>
      <c r="G83" s="14" t="inlineStr">
        <is>
          <t>4</t>
        </is>
      </c>
      <c r="H83" s="15" t="n">
        <v>46272</v>
      </c>
      <c r="I83" s="15" t="n">
        <v>46273</v>
      </c>
      <c r="J83" s="15" t="n"/>
      <c r="K83" s="15" t="n"/>
      <c r="L83" s="14" t="inlineStr">
        <is>
          <t>Programada</t>
        </is>
      </c>
      <c r="M83" s="15" t="n"/>
      <c r="N83" s="14">
        <f>SI(O(H83="";J83="");"";SI(J83&lt;=H83;"SÍ";"NO"))</f>
        <v/>
      </c>
      <c r="O83" s="14">
        <f>SI(O(I83="";K83="");"";SI(K83&lt;=SI(M83&lt;&gt;"";M83;I83);"SÍ";"NO"))</f>
        <v/>
      </c>
      <c r="P83" s="14">
        <f>SI(O(N83="";O83="");"";SI(Y(N83="SÍ";O83="SÍ");"SÍ";"NO"))</f>
        <v/>
      </c>
      <c r="Q83" s="16">
        <f>SI(O(I83="";K83="");"";MAX(0;ENTERO(K83)-ENTERO(SI(M83&lt;&gt;"";M83;I83))))</f>
        <v/>
      </c>
      <c r="R83" s="14" t="n"/>
      <c r="S83" s="14" t="n"/>
      <c r="T83" s="15" t="n"/>
      <c r="U83" s="14" t="n">
        <v>33</v>
      </c>
      <c r="V83" s="14" t="n"/>
    </row>
    <row r="84">
      <c r="A84" s="11" t="n">
        <v>1579</v>
      </c>
      <c r="B84" s="11" t="inlineStr">
        <is>
          <t>SOMONDOCO</t>
        </is>
      </c>
      <c r="C84" s="11" t="inlineStr">
        <is>
          <t>Somondoco</t>
        </is>
      </c>
      <c r="D84" s="11" t="inlineStr">
        <is>
          <t>Boyacá</t>
        </is>
      </c>
      <c r="E84" s="11" t="inlineStr">
        <is>
          <t>ORIENTE</t>
        </is>
      </c>
      <c r="F84" s="11" t="inlineStr">
        <is>
          <t>Andrés Felipe Carvajal Pire</t>
        </is>
      </c>
      <c r="G84" s="11" t="inlineStr">
        <is>
          <t>1</t>
        </is>
      </c>
      <c r="H84" s="12" t="n">
        <v>46272</v>
      </c>
      <c r="I84" s="12" t="n">
        <v>46273</v>
      </c>
      <c r="J84" s="12" t="n"/>
      <c r="K84" s="12" t="n"/>
      <c r="L84" s="11" t="inlineStr">
        <is>
          <t>Programada</t>
        </is>
      </c>
      <c r="M84" s="12" t="n"/>
      <c r="N84" s="11">
        <f>SI(O(H84="";J84="");"";SI(J84&lt;=H84;"SÍ";"NO"))</f>
        <v/>
      </c>
      <c r="O84" s="11">
        <f>SI(O(I84="";K84="");"";SI(K84&lt;=SI(M84&lt;&gt;"";M84;I84);"SÍ";"NO"))</f>
        <v/>
      </c>
      <c r="P84" s="11">
        <f>SI(O(N84="";O84="");"";SI(Y(N84="SÍ";O84="SÍ");"SÍ";"NO"))</f>
        <v/>
      </c>
      <c r="Q84" s="13">
        <f>SI(O(I84="";K84="");"";MAX(0;ENTERO(K84)-ENTERO(SI(M84&lt;&gt;"";M84;I84))))</f>
        <v/>
      </c>
      <c r="R84" s="11" t="n"/>
      <c r="S84" s="11" t="n"/>
      <c r="T84" s="12" t="n"/>
      <c r="U84" s="11" t="n">
        <v>13</v>
      </c>
      <c r="V84" s="11" t="n"/>
    </row>
    <row r="85">
      <c r="A85" s="14" t="n">
        <v>1584</v>
      </c>
      <c r="B85" s="14" t="inlineStr">
        <is>
          <t>TENZA</t>
        </is>
      </c>
      <c r="C85" s="14" t="inlineStr">
        <is>
          <t>Tenza</t>
        </is>
      </c>
      <c r="D85" s="14" t="inlineStr">
        <is>
          <t>Boyacá</t>
        </is>
      </c>
      <c r="E85" s="14" t="inlineStr">
        <is>
          <t>ORIENTE</t>
        </is>
      </c>
      <c r="F85" s="14" t="inlineStr">
        <is>
          <t>Mauricio Andrés Rivera Páez</t>
        </is>
      </c>
      <c r="G85" s="14" t="inlineStr">
        <is>
          <t>2</t>
        </is>
      </c>
      <c r="H85" s="15" t="n">
        <v>46272</v>
      </c>
      <c r="I85" s="15" t="n">
        <v>46273</v>
      </c>
      <c r="J85" s="15" t="n"/>
      <c r="K85" s="15" t="n"/>
      <c r="L85" s="14" t="inlineStr">
        <is>
          <t>Programada</t>
        </is>
      </c>
      <c r="M85" s="15" t="n"/>
      <c r="N85" s="14">
        <f>SI(O(H85="";J85="");"";SI(J85&lt;=H85;"SÍ";"NO"))</f>
        <v/>
      </c>
      <c r="O85" s="14">
        <f>SI(O(I85="";K85="");"";SI(K85&lt;=SI(M85&lt;&gt;"";M85;I85);"SÍ";"NO"))</f>
        <v/>
      </c>
      <c r="P85" s="14">
        <f>SI(O(N85="";O85="");"";SI(Y(N85="SÍ";O85="SÍ");"SÍ";"NO"))</f>
        <v/>
      </c>
      <c r="Q85" s="16">
        <f>SI(O(I85="";K85="");"";MAX(0;ENTERO(K85)-ENTERO(SI(M85&lt;&gt;"";M85;I85))))</f>
        <v/>
      </c>
      <c r="R85" s="14" t="n"/>
      <c r="S85" s="14" t="n"/>
      <c r="T85" s="15" t="n"/>
      <c r="U85" s="14" t="n">
        <v>20</v>
      </c>
      <c r="V85" s="14" t="n"/>
    </row>
    <row r="86">
      <c r="A86" s="11" t="n">
        <v>2440</v>
      </c>
      <c r="B86" s="11" t="inlineStr">
        <is>
          <t>SAN DIEGO</t>
        </is>
      </c>
      <c r="C86" s="11" t="inlineStr">
        <is>
          <t>San Diego</t>
        </is>
      </c>
      <c r="D86" s="11" t="inlineStr">
        <is>
          <t>Cesar</t>
        </is>
      </c>
      <c r="E86" s="11" t="inlineStr">
        <is>
          <t>COSTA</t>
        </is>
      </c>
      <c r="F86" s="11" t="inlineStr">
        <is>
          <t>Antonio Martinez Charris</t>
        </is>
      </c>
      <c r="G86" s="11" t="inlineStr">
        <is>
          <t>1</t>
        </is>
      </c>
      <c r="H86" s="12" t="n">
        <v>46272</v>
      </c>
      <c r="I86" s="12" t="n">
        <v>46272</v>
      </c>
      <c r="J86" s="12" t="n"/>
      <c r="K86" s="12" t="n"/>
      <c r="L86" s="11" t="inlineStr">
        <is>
          <t>Programada</t>
        </is>
      </c>
      <c r="M86" s="12" t="n"/>
      <c r="N86" s="11">
        <f>SI(O(H86="";J86="");"";SI(J86&lt;=H86;"SÍ";"NO"))</f>
        <v/>
      </c>
      <c r="O86" s="11">
        <f>SI(O(I86="";K86="");"";SI(K86&lt;=SI(M86&lt;&gt;"";M86;I86);"SÍ";"NO"))</f>
        <v/>
      </c>
      <c r="P86" s="11">
        <f>SI(O(N86="";O86="");"";SI(Y(N86="SÍ";O86="SÍ");"SÍ";"NO"))</f>
        <v/>
      </c>
      <c r="Q86" s="13">
        <f>SI(O(I86="";K86="");"";MAX(0;ENTERO(K86)-ENTERO(SI(M86&lt;&gt;"";M86;I86))))</f>
        <v/>
      </c>
      <c r="R86" s="11" t="n"/>
      <c r="S86" s="11" t="n"/>
      <c r="T86" s="12" t="n"/>
      <c r="U86" s="11" t="n">
        <v>13</v>
      </c>
      <c r="V86" s="11" t="n"/>
    </row>
    <row r="87">
      <c r="A87" s="14" t="n">
        <v>2455</v>
      </c>
      <c r="B87" s="14" t="inlineStr">
        <is>
          <t>PAILITAS - CESAR</t>
        </is>
      </c>
      <c r="C87" s="14" t="inlineStr">
        <is>
          <t>Pailitas</t>
        </is>
      </c>
      <c r="D87" s="14" t="inlineStr">
        <is>
          <t>Cesar</t>
        </is>
      </c>
      <c r="E87" s="14" t="inlineStr">
        <is>
          <t>COSTA</t>
        </is>
      </c>
      <c r="F87" s="14" t="inlineStr">
        <is>
          <t>Santiago Pupo Cogollo</t>
        </is>
      </c>
      <c r="G87" s="14" t="inlineStr">
        <is>
          <t>3</t>
        </is>
      </c>
      <c r="H87" s="15" t="n">
        <v>46272</v>
      </c>
      <c r="I87" s="15" t="n">
        <v>46272</v>
      </c>
      <c r="J87" s="15" t="n"/>
      <c r="K87" s="15" t="n"/>
      <c r="L87" s="14" t="inlineStr">
        <is>
          <t>Programada</t>
        </is>
      </c>
      <c r="M87" s="15" t="n"/>
      <c r="N87" s="14">
        <f>SI(O(H87="";J87="");"";SI(J87&lt;=H87;"SÍ";"NO"))</f>
        <v/>
      </c>
      <c r="O87" s="14">
        <f>SI(O(I87="";K87="");"";SI(K87&lt;=SI(M87&lt;&gt;"";M87;I87);"SÍ";"NO"))</f>
        <v/>
      </c>
      <c r="P87" s="14">
        <f>SI(O(N87="";O87="");"";SI(Y(N87="SÍ";O87="SÍ");"SÍ";"NO"))</f>
        <v/>
      </c>
      <c r="Q87" s="16">
        <f>SI(O(I87="";K87="");"";MAX(0;ENTERO(K87)-ENTERO(SI(M87&lt;&gt;"";M87;I87))))</f>
        <v/>
      </c>
      <c r="R87" s="14" t="n"/>
      <c r="S87" s="14" t="n"/>
      <c r="T87" s="15" t="n"/>
      <c r="U87" s="14" t="n">
        <v>17</v>
      </c>
      <c r="V87" s="14" t="n"/>
    </row>
    <row r="88">
      <c r="A88" s="11" t="n">
        <v>2719</v>
      </c>
      <c r="B88" s="11" t="inlineStr">
        <is>
          <t>CIENAGA DE ORO</t>
        </is>
      </c>
      <c r="C88" s="11" t="inlineStr">
        <is>
          <t>Ciénaga De Oro</t>
        </is>
      </c>
      <c r="D88" s="11" t="inlineStr">
        <is>
          <t>Córdoba</t>
        </is>
      </c>
      <c r="E88" s="11" t="inlineStr">
        <is>
          <t>COSTA</t>
        </is>
      </c>
      <c r="F88" s="11" t="inlineStr">
        <is>
          <t>Jorge Felipe Munive Medina</t>
        </is>
      </c>
      <c r="G88" s="11" t="inlineStr">
        <is>
          <t>3</t>
        </is>
      </c>
      <c r="H88" s="12" t="n">
        <v>46272</v>
      </c>
      <c r="I88" s="12" t="n">
        <v>46272</v>
      </c>
      <c r="J88" s="12" t="n"/>
      <c r="K88" s="12" t="n"/>
      <c r="L88" s="11" t="inlineStr">
        <is>
          <t>Programada</t>
        </is>
      </c>
      <c r="M88" s="12" t="n"/>
      <c r="N88" s="11">
        <f>SI(O(H88="";J88="");"";SI(J88&lt;=H88;"SÍ";"NO"))</f>
        <v/>
      </c>
      <c r="O88" s="11">
        <f>SI(O(I88="";K88="");"";SI(K88&lt;=SI(M88&lt;&gt;"";M88;I88);"SÍ";"NO"))</f>
        <v/>
      </c>
      <c r="P88" s="11">
        <f>SI(O(N88="";O88="");"";SI(Y(N88="SÍ";O88="SÍ");"SÍ";"NO"))</f>
        <v/>
      </c>
      <c r="Q88" s="13">
        <f>SI(O(I88="";K88="");"";MAX(0;ENTERO(K88)-ENTERO(SI(M88&lt;&gt;"";M88;I88))))</f>
        <v/>
      </c>
      <c r="R88" s="11" t="n"/>
      <c r="S88" s="11" t="n"/>
      <c r="T88" s="12" t="n"/>
      <c r="U88" s="11" t="n">
        <v>20</v>
      </c>
      <c r="V88" s="11" t="n"/>
    </row>
    <row r="89">
      <c r="A89" s="14" t="n">
        <v>3139</v>
      </c>
      <c r="B89" s="14" t="inlineStr">
        <is>
          <t>GUTIERREZ</t>
        </is>
      </c>
      <c r="C89" s="14" t="inlineStr">
        <is>
          <t>Gutiérrez</t>
        </is>
      </c>
      <c r="D89" s="14" t="inlineStr">
        <is>
          <t>Cundinamarca</t>
        </is>
      </c>
      <c r="E89" s="14" t="inlineStr">
        <is>
          <t>BOGOTA</t>
        </is>
      </c>
      <c r="F89" s="14" t="inlineStr">
        <is>
          <t>Nelson Leonardo Paez Suarez</t>
        </is>
      </c>
      <c r="G89" s="14" t="inlineStr">
        <is>
          <t>2</t>
        </is>
      </c>
      <c r="H89" s="15" t="n">
        <v>46272</v>
      </c>
      <c r="I89" s="15" t="n">
        <v>46272</v>
      </c>
      <c r="J89" s="15" t="n"/>
      <c r="K89" s="15" t="n"/>
      <c r="L89" s="14" t="inlineStr">
        <is>
          <t>Programada</t>
        </is>
      </c>
      <c r="M89" s="15" t="n"/>
      <c r="N89" s="14">
        <f>SI(O(H89="";J89="");"";SI(J89&lt;=H89;"SÍ";"NO"))</f>
        <v/>
      </c>
      <c r="O89" s="14">
        <f>SI(O(I89="";K89="");"";SI(K89&lt;=SI(M89&lt;&gt;"";M89;I89);"SÍ";"NO"))</f>
        <v/>
      </c>
      <c r="P89" s="14">
        <f>SI(O(N89="";O89="");"";SI(Y(N89="SÍ";O89="SÍ");"SÍ";"NO"))</f>
        <v/>
      </c>
      <c r="Q89" s="16">
        <f>SI(O(I89="";K89="");"";MAX(0;ENTERO(K89)-ENTERO(SI(M89&lt;&gt;"";M89;I89))))</f>
        <v/>
      </c>
      <c r="R89" s="14" t="n"/>
      <c r="S89" s="14" t="n"/>
      <c r="T89" s="15" t="n"/>
      <c r="U89" s="14" t="n">
        <v>15</v>
      </c>
      <c r="V89" s="14" t="n"/>
    </row>
    <row r="90">
      <c r="A90" s="11" t="n">
        <v>3141</v>
      </c>
      <c r="B90" s="11" t="inlineStr">
        <is>
          <t>LENGUAZAQUE</t>
        </is>
      </c>
      <c r="C90" s="11" t="inlineStr">
        <is>
          <t>Lenguazaque</t>
        </is>
      </c>
      <c r="D90" s="11" t="inlineStr">
        <is>
          <t>Cundinamarca</t>
        </is>
      </c>
      <c r="E90" s="11" t="inlineStr">
        <is>
          <t>BOGOTA</t>
        </is>
      </c>
      <c r="F90" s="11" t="inlineStr">
        <is>
          <t>Edwin Santiago Cuchivaguen Diaz</t>
        </is>
      </c>
      <c r="G90" s="11" t="inlineStr">
        <is>
          <t>2</t>
        </is>
      </c>
      <c r="H90" s="12" t="n">
        <v>46272</v>
      </c>
      <c r="I90" s="12" t="n">
        <v>46272</v>
      </c>
      <c r="J90" s="12" t="n"/>
      <c r="K90" s="12" t="n"/>
      <c r="L90" s="11" t="inlineStr">
        <is>
          <t>Programada</t>
        </is>
      </c>
      <c r="M90" s="12" t="n"/>
      <c r="N90" s="11">
        <f>SI(O(H90="";J90="");"";SI(J90&lt;=H90;"SÍ";"NO"))</f>
        <v/>
      </c>
      <c r="O90" s="11">
        <f>SI(O(I90="";K90="");"";SI(K90&lt;=SI(M90&lt;&gt;"";M90;I90);"SÍ";"NO"))</f>
        <v/>
      </c>
      <c r="P90" s="11">
        <f>SI(O(N90="";O90="");"";SI(Y(N90="SÍ";O90="SÍ");"SÍ";"NO"))</f>
        <v/>
      </c>
      <c r="Q90" s="13">
        <f>SI(O(I90="";K90="");"";MAX(0;ENTERO(K90)-ENTERO(SI(M90&lt;&gt;"";M90;I90))))</f>
        <v/>
      </c>
      <c r="R90" s="11" t="n"/>
      <c r="S90" s="11" t="n"/>
      <c r="T90" s="12" t="n"/>
      <c r="U90" s="11" t="n">
        <v>16</v>
      </c>
      <c r="V90" s="11" t="n"/>
    </row>
    <row r="91">
      <c r="A91" s="14" t="n">
        <v>3143</v>
      </c>
      <c r="B91" s="14" t="inlineStr">
        <is>
          <t>LA PALMA</t>
        </is>
      </c>
      <c r="C91" s="14" t="inlineStr">
        <is>
          <t>La Palma</t>
        </is>
      </c>
      <c r="D91" s="14" t="inlineStr">
        <is>
          <t>Cundinamarca</t>
        </is>
      </c>
      <c r="E91" s="14" t="inlineStr">
        <is>
          <t>BOGOTA</t>
        </is>
      </c>
      <c r="F91" s="14" t="inlineStr">
        <is>
          <t>Jhonatan Felipe Hernandez Gamboa</t>
        </is>
      </c>
      <c r="G91" s="14" t="inlineStr">
        <is>
          <t>2</t>
        </is>
      </c>
      <c r="H91" s="15" t="n">
        <v>46272</v>
      </c>
      <c r="I91" s="15" t="n">
        <v>46272</v>
      </c>
      <c r="J91" s="15" t="n"/>
      <c r="K91" s="15" t="n"/>
      <c r="L91" s="14" t="inlineStr">
        <is>
          <t>Programada</t>
        </is>
      </c>
      <c r="M91" s="15" t="n"/>
      <c r="N91" s="14">
        <f>SI(O(H91="";J91="");"";SI(J91&lt;=H91;"SÍ";"NO"))</f>
        <v/>
      </c>
      <c r="O91" s="14">
        <f>SI(O(I91="";K91="");"";SI(K91&lt;=SI(M91&lt;&gt;"";M91;I91);"SÍ";"NO"))</f>
        <v/>
      </c>
      <c r="P91" s="14">
        <f>SI(O(N91="";O91="");"";SI(Y(N91="SÍ";O91="SÍ");"SÍ";"NO"))</f>
        <v/>
      </c>
      <c r="Q91" s="16">
        <f>SI(O(I91="";K91="");"";MAX(0;ENTERO(K91)-ENTERO(SI(M91&lt;&gt;"";M91;I91))))</f>
        <v/>
      </c>
      <c r="R91" s="14" t="n"/>
      <c r="S91" s="14" t="n"/>
      <c r="T91" s="15" t="n"/>
      <c r="U91" s="14" t="n">
        <v>18</v>
      </c>
      <c r="V91" s="14" t="n"/>
    </row>
    <row r="92">
      <c r="A92" s="11" t="n">
        <v>3147</v>
      </c>
      <c r="B92" s="11" t="inlineStr">
        <is>
          <t>MANTA</t>
        </is>
      </c>
      <c r="C92" s="11" t="inlineStr">
        <is>
          <t>Manta</t>
        </is>
      </c>
      <c r="D92" s="11" t="inlineStr">
        <is>
          <t>Cundinamarca</t>
        </is>
      </c>
      <c r="E92" s="11" t="inlineStr">
        <is>
          <t>BOGOTA</t>
        </is>
      </c>
      <c r="F92" s="11" t="inlineStr">
        <is>
          <t>Carlos Andres Cuchivaguen Diaz</t>
        </is>
      </c>
      <c r="G92" s="11" t="inlineStr">
        <is>
          <t>1</t>
        </is>
      </c>
      <c r="H92" s="12" t="n">
        <v>46272</v>
      </c>
      <c r="I92" s="12" t="n">
        <v>46272</v>
      </c>
      <c r="J92" s="12" t="n"/>
      <c r="K92" s="12" t="n"/>
      <c r="L92" s="11" t="inlineStr">
        <is>
          <t>Programada</t>
        </is>
      </c>
      <c r="M92" s="12" t="n"/>
      <c r="N92" s="11">
        <f>SI(O(H92="";J92="");"";SI(J92&lt;=H92;"SÍ";"NO"))</f>
        <v/>
      </c>
      <c r="O92" s="11">
        <f>SI(O(I92="";K92="");"";SI(K92&lt;=SI(M92&lt;&gt;"";M92;I92);"SÍ";"NO"))</f>
        <v/>
      </c>
      <c r="P92" s="11">
        <f>SI(O(N92="";O92="");"";SI(Y(N92="SÍ";O92="SÍ");"SÍ";"NO"))</f>
        <v/>
      </c>
      <c r="Q92" s="13">
        <f>SI(O(I92="";K92="");"";MAX(0;ENTERO(K92)-ENTERO(SI(M92&lt;&gt;"";M92;I92))))</f>
        <v/>
      </c>
      <c r="R92" s="11" t="n"/>
      <c r="S92" s="11" t="n"/>
      <c r="T92" s="12" t="n"/>
      <c r="U92" s="11" t="n">
        <v>13</v>
      </c>
      <c r="V92" s="11" t="n"/>
    </row>
    <row r="93">
      <c r="A93" s="14" t="n">
        <v>3914</v>
      </c>
      <c r="B93" s="14" t="inlineStr">
        <is>
          <t>CAMPOALEGRE</t>
        </is>
      </c>
      <c r="C93" s="14" t="inlineStr">
        <is>
          <t>Campolegre</t>
        </is>
      </c>
      <c r="D93" s="14" t="inlineStr">
        <is>
          <t>Huila</t>
        </is>
      </c>
      <c r="E93" s="14" t="inlineStr">
        <is>
          <t>SUR</t>
        </is>
      </c>
      <c r="F93" s="14" t="inlineStr">
        <is>
          <t>ERIKA VARGAS</t>
        </is>
      </c>
      <c r="G93" s="14" t="inlineStr">
        <is>
          <t>3</t>
        </is>
      </c>
      <c r="H93" s="15" t="n">
        <v>46272</v>
      </c>
      <c r="I93" s="15" t="n">
        <v>46272</v>
      </c>
      <c r="J93" s="15" t="n"/>
      <c r="K93" s="15" t="n"/>
      <c r="L93" s="14" t="inlineStr">
        <is>
          <t>Programada</t>
        </is>
      </c>
      <c r="M93" s="15" t="n"/>
      <c r="N93" s="14">
        <f>SI(O(H93="";J93="");"";SI(J93&lt;=H93;"SÍ";"NO"))</f>
        <v/>
      </c>
      <c r="O93" s="14">
        <f>SI(O(I93="";K93="");"";SI(K93&lt;=SI(M93&lt;&gt;"";M93;I93);"SÍ";"NO"))</f>
        <v/>
      </c>
      <c r="P93" s="14">
        <f>SI(O(N93="";O93="");"";SI(Y(N93="SÍ";O93="SÍ");"SÍ";"NO"))</f>
        <v/>
      </c>
      <c r="Q93" s="16">
        <f>SI(O(I93="";K93="");"";MAX(0;ENTERO(K93)-ENTERO(SI(M93&lt;&gt;"";M93;I93))))</f>
        <v/>
      </c>
      <c r="R93" s="14" t="n"/>
      <c r="S93" s="14" t="n"/>
      <c r="T93" s="15" t="n"/>
      <c r="U93" s="14" t="n">
        <v>22</v>
      </c>
      <c r="V93" s="14" t="n"/>
    </row>
    <row r="94">
      <c r="A94" s="11" t="n">
        <v>3937</v>
      </c>
      <c r="B94" s="11" t="inlineStr">
        <is>
          <t>ISNOS</t>
        </is>
      </c>
      <c r="C94" s="11" t="inlineStr">
        <is>
          <t>San José de Isnos</t>
        </is>
      </c>
      <c r="D94" s="11" t="inlineStr">
        <is>
          <t>Huila</t>
        </is>
      </c>
      <c r="E94" s="11" t="inlineStr">
        <is>
          <t>SUR</t>
        </is>
      </c>
      <c r="F94" s="11" t="inlineStr">
        <is>
          <t>ERIKA VARGAS</t>
        </is>
      </c>
      <c r="G94" s="11" t="inlineStr">
        <is>
          <t>3</t>
        </is>
      </c>
      <c r="H94" s="12" t="n">
        <v>46272</v>
      </c>
      <c r="I94" s="12" t="n">
        <v>46272</v>
      </c>
      <c r="J94" s="12" t="n"/>
      <c r="K94" s="12" t="n"/>
      <c r="L94" s="11" t="inlineStr">
        <is>
          <t>Programada</t>
        </is>
      </c>
      <c r="M94" s="12" t="n"/>
      <c r="N94" s="11">
        <f>SI(O(H94="";J94="");"";SI(J94&lt;=H94;"SÍ";"NO"))</f>
        <v/>
      </c>
      <c r="O94" s="11">
        <f>SI(O(I94="";K94="");"";SI(K94&lt;=SI(M94&lt;&gt;"";M94;I94);"SÍ";"NO"))</f>
        <v/>
      </c>
      <c r="P94" s="11">
        <f>SI(O(N94="";O94="");"";SI(Y(N94="SÍ";O94="SÍ");"SÍ";"NO"))</f>
        <v/>
      </c>
      <c r="Q94" s="13">
        <f>SI(O(I94="";K94="");"";MAX(0;ENTERO(K94)-ENTERO(SI(M94&lt;&gt;"";M94;I94))))</f>
        <v/>
      </c>
      <c r="R94" s="11" t="n"/>
      <c r="S94" s="11" t="n"/>
      <c r="T94" s="12" t="n"/>
      <c r="U94" s="11" t="n">
        <v>25</v>
      </c>
      <c r="V94" s="11" t="n"/>
    </row>
    <row r="95">
      <c r="A95" s="14" t="n">
        <v>4510</v>
      </c>
      <c r="B95" s="14" t="inlineStr">
        <is>
          <t>CABUYARO</t>
        </is>
      </c>
      <c r="C95" s="14" t="inlineStr">
        <is>
          <t>Cabuyaro</t>
        </is>
      </c>
      <c r="D95" s="14" t="inlineStr">
        <is>
          <t>Meta</t>
        </is>
      </c>
      <c r="E95" s="14" t="inlineStr">
        <is>
          <t>BOGOTA</t>
        </is>
      </c>
      <c r="F95" s="14" t="inlineStr">
        <is>
          <t>Angel Danilo Martinez Tejeiro</t>
        </is>
      </c>
      <c r="G95" s="14" t="inlineStr">
        <is>
          <t>1</t>
        </is>
      </c>
      <c r="H95" s="15" t="n">
        <v>46272</v>
      </c>
      <c r="I95" s="15" t="n">
        <v>46272</v>
      </c>
      <c r="J95" s="15" t="n"/>
      <c r="K95" s="15" t="n"/>
      <c r="L95" s="14" t="inlineStr">
        <is>
          <t>Programada</t>
        </is>
      </c>
      <c r="M95" s="15" t="n"/>
      <c r="N95" s="14">
        <f>SI(O(H95="";J95="");"";SI(J95&lt;=H95;"SÍ";"NO"))</f>
        <v/>
      </c>
      <c r="O95" s="14">
        <f>SI(O(I95="";K95="");"";SI(K95&lt;=SI(M95&lt;&gt;"";M95;I95);"SÍ";"NO"))</f>
        <v/>
      </c>
      <c r="P95" s="14">
        <f>SI(O(N95="";O95="");"";SI(Y(N95="SÍ";O95="SÍ");"SÍ";"NO"))</f>
        <v/>
      </c>
      <c r="Q95" s="16">
        <f>SI(O(I95="";K95="");"";MAX(0;ENTERO(K95)-ENTERO(SI(M95&lt;&gt;"";M95;I95))))</f>
        <v/>
      </c>
      <c r="R95" s="14" t="n"/>
      <c r="S95" s="14" t="n"/>
      <c r="T95" s="15" t="n"/>
      <c r="U95" s="14" t="n">
        <v>13</v>
      </c>
      <c r="V95" s="14" t="n"/>
    </row>
    <row r="96">
      <c r="A96" s="11" t="n">
        <v>4832</v>
      </c>
      <c r="B96" s="11" t="inlineStr">
        <is>
          <t>FUNES</t>
        </is>
      </c>
      <c r="C96" s="11" t="inlineStr">
        <is>
          <t>Funes</t>
        </is>
      </c>
      <c r="D96" s="11" t="inlineStr">
        <is>
          <t>Nariño</t>
        </is>
      </c>
      <c r="E96" s="11" t="inlineStr">
        <is>
          <t>OCCIDENTE</t>
        </is>
      </c>
      <c r="F96" s="11" t="inlineStr">
        <is>
          <t>Juan Carlos Narvaez Acosta / Luis Fernando Ibarra Guio</t>
        </is>
      </c>
      <c r="G96" s="11" t="inlineStr">
        <is>
          <t>1</t>
        </is>
      </c>
      <c r="H96" s="12" t="n">
        <v>46272</v>
      </c>
      <c r="I96" s="12" t="n">
        <v>46272</v>
      </c>
      <c r="J96" s="12" t="n"/>
      <c r="K96" s="12" t="n"/>
      <c r="L96" s="11" t="inlineStr">
        <is>
          <t>Programada</t>
        </is>
      </c>
      <c r="M96" s="12" t="n"/>
      <c r="N96" s="11">
        <f>SI(O(H96="";J96="");"";SI(J96&lt;=H96;"SÍ";"NO"))</f>
        <v/>
      </c>
      <c r="O96" s="11">
        <f>SI(O(I96="";K96="");"";SI(K96&lt;=SI(M96&lt;&gt;"";M96;I96);"SÍ";"NO"))</f>
        <v/>
      </c>
      <c r="P96" s="11">
        <f>SI(O(N96="";O96="");"";SI(Y(N96="SÍ";O96="SÍ");"SÍ";"NO"))</f>
        <v/>
      </c>
      <c r="Q96" s="13">
        <f>SI(O(I96="";K96="");"";MAX(0;ENTERO(K96)-ENTERO(SI(M96&lt;&gt;"";M96;I96))))</f>
        <v/>
      </c>
      <c r="R96" s="11" t="n"/>
      <c r="S96" s="11" t="n"/>
      <c r="T96" s="12" t="n"/>
      <c r="U96" s="11" t="n">
        <v>13</v>
      </c>
      <c r="V96" s="11" t="n"/>
    </row>
    <row r="97">
      <c r="A97" s="14" t="n">
        <v>6380</v>
      </c>
      <c r="B97" s="14" t="inlineStr">
        <is>
          <t>TOLU</t>
        </is>
      </c>
      <c r="C97" s="14" t="inlineStr">
        <is>
          <t>Santiago De Tolú</t>
        </is>
      </c>
      <c r="D97" s="14" t="inlineStr">
        <is>
          <t>Sucre</t>
        </is>
      </c>
      <c r="E97" s="14" t="inlineStr">
        <is>
          <t>COSTA</t>
        </is>
      </c>
      <c r="F97" s="14" t="inlineStr">
        <is>
          <t>Dimar Jose Morelo Cardona</t>
        </is>
      </c>
      <c r="G97" s="14" t="inlineStr">
        <is>
          <t>2</t>
        </is>
      </c>
      <c r="H97" s="15" t="n">
        <v>46272</v>
      </c>
      <c r="I97" s="15" t="n">
        <v>46272</v>
      </c>
      <c r="J97" s="15" t="n"/>
      <c r="K97" s="15" t="n"/>
      <c r="L97" s="14" t="inlineStr">
        <is>
          <t>Programada</t>
        </is>
      </c>
      <c r="M97" s="15" t="n"/>
      <c r="N97" s="14">
        <f>SI(O(H97="";J97="");"";SI(J97&lt;=H97;"SÍ";"NO"))</f>
        <v/>
      </c>
      <c r="O97" s="14">
        <f>SI(O(I97="";K97="");"";SI(K97&lt;=SI(M97&lt;&gt;"";M97;I97);"SÍ";"NO"))</f>
        <v/>
      </c>
      <c r="P97" s="14">
        <f>SI(O(N97="";O97="");"";SI(Y(N97="SÍ";O97="SÍ");"SÍ";"NO"))</f>
        <v/>
      </c>
      <c r="Q97" s="16">
        <f>SI(O(I97="";K97="");"";MAX(0;ENTERO(K97)-ENTERO(SI(M97&lt;&gt;"";M97;I97))))</f>
        <v/>
      </c>
      <c r="R97" s="14" t="n"/>
      <c r="S97" s="14" t="n"/>
      <c r="T97" s="15" t="n"/>
      <c r="U97" s="14" t="n">
        <v>18</v>
      </c>
      <c r="V97" s="14" t="n"/>
    </row>
    <row r="98">
      <c r="A98" s="11" t="n">
        <v>6617</v>
      </c>
      <c r="B98" s="11" t="inlineStr">
        <is>
          <t>GUAMO</t>
        </is>
      </c>
      <c r="C98" s="11" t="inlineStr">
        <is>
          <t>Guamo</t>
        </is>
      </c>
      <c r="D98" s="11" t="inlineStr">
        <is>
          <t>Tolima</t>
        </is>
      </c>
      <c r="E98" s="11" t="inlineStr">
        <is>
          <t>SUR</t>
        </is>
      </c>
      <c r="F98" s="11" t="inlineStr">
        <is>
          <t>Fernando Valencia- Bernardo Arango</t>
        </is>
      </c>
      <c r="G98" s="11" t="inlineStr">
        <is>
          <t>3</t>
        </is>
      </c>
      <c r="H98" s="12" t="n">
        <v>46272</v>
      </c>
      <c r="I98" s="12" t="n">
        <v>46272</v>
      </c>
      <c r="J98" s="12" t="n"/>
      <c r="K98" s="12" t="n"/>
      <c r="L98" s="11" t="inlineStr">
        <is>
          <t>Programada</t>
        </is>
      </c>
      <c r="M98" s="12" t="n"/>
      <c r="N98" s="11">
        <f>SI(O(H98="";J98="");"";SI(J98&lt;=H98;"SÍ";"NO"))</f>
        <v/>
      </c>
      <c r="O98" s="11">
        <f>SI(O(I98="";K98="");"";SI(K98&lt;=SI(M98&lt;&gt;"";M98;I98);"SÍ";"NO"))</f>
        <v/>
      </c>
      <c r="P98" s="11">
        <f>SI(O(N98="";O98="");"";SI(Y(N98="SÍ";O98="SÍ");"SÍ";"NO"))</f>
        <v/>
      </c>
      <c r="Q98" s="13">
        <f>SI(O(I98="";K98="");"";MAX(0;ENTERO(K98)-ENTERO(SI(M98&lt;&gt;"";M98;I98))))</f>
        <v/>
      </c>
      <c r="R98" s="11" t="n"/>
      <c r="S98" s="11" t="n"/>
      <c r="T98" s="12" t="n"/>
      <c r="U98" s="11" t="n">
        <v>25</v>
      </c>
      <c r="V98" s="11" t="n"/>
    </row>
    <row r="99">
      <c r="A99" s="14" t="n">
        <v>7360</v>
      </c>
      <c r="B99" s="14" t="inlineStr">
        <is>
          <t>SARAVENA</t>
        </is>
      </c>
      <c r="C99" s="14" t="inlineStr">
        <is>
          <t>Saravena</t>
        </is>
      </c>
      <c r="D99" s="14" t="inlineStr">
        <is>
          <t>Arauca</t>
        </is>
      </c>
      <c r="E99" s="14" t="inlineStr">
        <is>
          <t>BOGOTA</t>
        </is>
      </c>
      <c r="F99" s="14" t="inlineStr">
        <is>
          <t>JOAQUIN DE JESUS ROMERO PIÑEREZ</t>
        </is>
      </c>
      <c r="G99" s="14" t="inlineStr">
        <is>
          <t>6</t>
        </is>
      </c>
      <c r="H99" s="15" t="n">
        <v>46272</v>
      </c>
      <c r="I99" s="15" t="n">
        <v>46273</v>
      </c>
      <c r="J99" s="15" t="n"/>
      <c r="K99" s="15" t="n"/>
      <c r="L99" s="14" t="inlineStr">
        <is>
          <t>Programada</t>
        </is>
      </c>
      <c r="M99" s="15" t="n"/>
      <c r="N99" s="14">
        <f>SI(O(H99="";J99="");"";SI(J99&lt;=H99;"SÍ";"NO"))</f>
        <v/>
      </c>
      <c r="O99" s="14">
        <f>SI(O(I99="";K99="");"";SI(K99&lt;=SI(M99&lt;&gt;"";M99;I99);"SÍ";"NO"))</f>
        <v/>
      </c>
      <c r="P99" s="14">
        <f>SI(O(N99="";O99="");"";SI(Y(N99="SÍ";O99="SÍ");"SÍ";"NO"))</f>
        <v/>
      </c>
      <c r="Q99" s="16">
        <f>SI(O(I99="";K99="");"";MAX(0;ENTERO(K99)-ENTERO(SI(M99&lt;&gt;"";M99;I99))))</f>
        <v/>
      </c>
      <c r="R99" s="14" t="n"/>
      <c r="S99" s="14" t="n"/>
      <c r="T99" s="15" t="n"/>
      <c r="U99" s="14" t="n">
        <v>38</v>
      </c>
      <c r="V99" s="14" t="n"/>
    </row>
    <row r="100">
      <c r="A100" s="11" t="n">
        <v>8601</v>
      </c>
      <c r="B100" s="11" t="inlineStr">
        <is>
          <t>AGUAZUL</t>
        </is>
      </c>
      <c r="C100" s="11" t="inlineStr">
        <is>
          <t>Aguazul</t>
        </is>
      </c>
      <c r="D100" s="11" t="inlineStr">
        <is>
          <t>Casanare</t>
        </is>
      </c>
      <c r="E100" s="11" t="inlineStr">
        <is>
          <t>ORIENTE</t>
        </is>
      </c>
      <c r="F100" s="11" t="inlineStr">
        <is>
          <t>Juan Sebastian Lopez Acevedo</t>
        </is>
      </c>
      <c r="G100" s="11" t="inlineStr">
        <is>
          <t>3</t>
        </is>
      </c>
      <c r="H100" s="12" t="n">
        <v>46272</v>
      </c>
      <c r="I100" s="12" t="n">
        <v>46273</v>
      </c>
      <c r="J100" s="12" t="n"/>
      <c r="K100" s="12" t="n"/>
      <c r="L100" s="11" t="inlineStr">
        <is>
          <t>Programada</t>
        </is>
      </c>
      <c r="M100" s="12" t="n"/>
      <c r="N100" s="11">
        <f>SI(O(H100="";J100="");"";SI(J100&lt;=H100;"SÍ";"NO"))</f>
        <v/>
      </c>
      <c r="O100" s="11">
        <f>SI(O(I100="";K100="");"";SI(K100&lt;=SI(M100&lt;&gt;"";M100;I100);"SÍ";"NO"))</f>
        <v/>
      </c>
      <c r="P100" s="11">
        <f>SI(O(N100="";O100="");"";SI(Y(N100="SÍ";O100="SÍ");"SÍ";"NO"))</f>
        <v/>
      </c>
      <c r="Q100" s="13">
        <f>SI(O(I100="";K100="");"";MAX(0;ENTERO(K100)-ENTERO(SI(M100&lt;&gt;"";M100;I100))))</f>
        <v/>
      </c>
      <c r="R100" s="11" t="n"/>
      <c r="S100" s="11" t="n"/>
      <c r="T100" s="12" t="n"/>
      <c r="U100" s="11" t="n">
        <v>23</v>
      </c>
      <c r="V100" s="11" t="n"/>
    </row>
    <row r="101">
      <c r="A101" s="14" t="n">
        <v>1300</v>
      </c>
      <c r="B101" s="14" t="inlineStr">
        <is>
          <t>GERENCIA REGIONAL ANTIOQUIA</t>
        </is>
      </c>
      <c r="C101" s="14" t="inlineStr">
        <is>
          <t>Bogota</t>
        </is>
      </c>
      <c r="D101" s="14" t="n"/>
      <c r="E101" s="14" t="inlineStr">
        <is>
          <t>ANTIOQUIA</t>
        </is>
      </c>
      <c r="F101" s="14" t="inlineStr">
        <is>
          <t>JONATHAN  FELIPE JARABE CHALARCA</t>
        </is>
      </c>
      <c r="G101" s="14" t="inlineStr">
        <is>
          <t>119</t>
        </is>
      </c>
      <c r="H101" s="15" t="n">
        <v>46272</v>
      </c>
      <c r="I101" s="15" t="n">
        <v>46367</v>
      </c>
      <c r="J101" s="15" t="n"/>
      <c r="K101" s="15" t="n"/>
      <c r="L101" s="14" t="inlineStr">
        <is>
          <t>Programada</t>
        </is>
      </c>
      <c r="M101" s="15" t="n"/>
      <c r="N101" s="14">
        <f>SI(O(H101="";J101="");"";SI(J101&lt;=H101;"SÍ";"NO"))</f>
        <v/>
      </c>
      <c r="O101" s="14">
        <f>SI(O(I101="";K101="");"";SI(K101&lt;=SI(M101&lt;&gt;"";M101;I101);"SÍ";"NO"))</f>
        <v/>
      </c>
      <c r="P101" s="14">
        <f>SI(O(N101="";O101="");"";SI(Y(N101="SÍ";O101="SÍ");"SÍ";"NO"))</f>
        <v/>
      </c>
      <c r="Q101" s="16">
        <f>SI(O(I101="";K101="");"";MAX(0;ENTERO(K101)-ENTERO(SI(M101&lt;&gt;"";M101;I101))))</f>
        <v/>
      </c>
      <c r="R101" s="14" t="n"/>
      <c r="S101" s="14" t="n"/>
      <c r="T101" s="15" t="n"/>
      <c r="U101" s="14" t="n">
        <v>181</v>
      </c>
      <c r="V101" s="14" t="n"/>
    </row>
    <row r="102">
      <c r="A102" s="11" t="n">
        <v>1500</v>
      </c>
      <c r="B102" s="11" t="inlineStr">
        <is>
          <t>GERENCIA REGIONAL BOGOTA</t>
        </is>
      </c>
      <c r="C102" s="11" t="n"/>
      <c r="D102" s="11" t="n"/>
      <c r="E102" s="11" t="inlineStr">
        <is>
          <t>BOGOTA</t>
        </is>
      </c>
      <c r="F102" s="11" t="inlineStr">
        <is>
          <t>Grupo Bogota</t>
        </is>
      </c>
      <c r="G102" s="11" t="inlineStr">
        <is>
          <t>81</t>
        </is>
      </c>
      <c r="H102" s="12" t="n">
        <v>46272</v>
      </c>
      <c r="I102" s="12" t="n">
        <v>46367</v>
      </c>
      <c r="J102" s="12" t="n"/>
      <c r="K102" s="12" t="n"/>
      <c r="L102" s="11" t="inlineStr">
        <is>
          <t>Programada</t>
        </is>
      </c>
      <c r="M102" s="12" t="n"/>
      <c r="N102" s="11">
        <f>SI(O(H102="";J102="");"";SI(J102&lt;=H102;"SÍ";"NO"))</f>
        <v/>
      </c>
      <c r="O102" s="11">
        <f>SI(O(I102="";K102="");"";SI(K102&lt;=SI(M102&lt;&gt;"";M102;I102);"SÍ";"NO"))</f>
        <v/>
      </c>
      <c r="P102" s="11">
        <f>SI(O(N102="";O102="");"";SI(Y(N102="SÍ";O102="SÍ");"SÍ";"NO"))</f>
        <v/>
      </c>
      <c r="Q102" s="13">
        <f>SI(O(I102="";K102="");"";MAX(0;ENTERO(K102)-ENTERO(SI(M102&lt;&gt;"";M102;I102))))</f>
        <v/>
      </c>
      <c r="R102" s="11" t="n"/>
      <c r="S102" s="11" t="n"/>
      <c r="T102" s="12" t="n"/>
      <c r="U102" s="11" t="n">
        <v>146</v>
      </c>
      <c r="V102" s="11" t="n"/>
    </row>
    <row r="103">
      <c r="A103" s="14" t="n">
        <v>1600</v>
      </c>
      <c r="B103" s="14" t="inlineStr">
        <is>
          <t>REGIONAL REGIONAL CAFETERA</t>
        </is>
      </c>
      <c r="C103" s="14" t="n"/>
      <c r="D103" s="14" t="n"/>
      <c r="E103" s="14" t="inlineStr">
        <is>
          <t>CAFETERA</t>
        </is>
      </c>
      <c r="F103" s="14" t="inlineStr">
        <is>
          <t>DIEGO ALEJANDRO HERNÁNDEZ OROZCO</t>
        </is>
      </c>
      <c r="G103" s="14" t="inlineStr">
        <is>
          <t>92</t>
        </is>
      </c>
      <c r="H103" s="15" t="n">
        <v>46272</v>
      </c>
      <c r="I103" s="15" t="n">
        <v>46367</v>
      </c>
      <c r="J103" s="15" t="n"/>
      <c r="K103" s="15" t="n"/>
      <c r="L103" s="14" t="inlineStr">
        <is>
          <t>Programada</t>
        </is>
      </c>
      <c r="M103" s="15" t="n"/>
      <c r="N103" s="14">
        <f>SI(O(H103="";J103="");"";SI(J103&lt;=H103;"SÍ";"NO"))</f>
        <v/>
      </c>
      <c r="O103" s="14">
        <f>SI(O(I103="";K103="");"";SI(K103&lt;=SI(M103&lt;&gt;"";M103;I103);"SÍ";"NO"))</f>
        <v/>
      </c>
      <c r="P103" s="14">
        <f>SI(O(N103="";O103="");"";SI(Y(N103="SÍ";O103="SÍ");"SÍ";"NO"))</f>
        <v/>
      </c>
      <c r="Q103" s="16">
        <f>SI(O(I103="";K103="");"";MAX(0;ENTERO(K103)-ENTERO(SI(M103&lt;&gt;"";M103;I103))))</f>
        <v/>
      </c>
      <c r="R103" s="14" t="n"/>
      <c r="S103" s="14" t="n"/>
      <c r="T103" s="15" t="n"/>
      <c r="U103" s="14" t="n">
        <v>138</v>
      </c>
      <c r="V103" s="14" t="n"/>
    </row>
    <row r="104">
      <c r="A104" s="11" t="n">
        <v>1800</v>
      </c>
      <c r="B104" s="11" t="inlineStr">
        <is>
          <t>REGIONAL REGIONAL COSTA</t>
        </is>
      </c>
      <c r="C104" s="11" t="n"/>
      <c r="D104" s="11" t="n"/>
      <c r="E104" s="11" t="inlineStr">
        <is>
          <t>COSTA</t>
        </is>
      </c>
      <c r="F104" s="11" t="inlineStr">
        <is>
          <t>JOSÉ CONTRERAS VALERA</t>
        </is>
      </c>
      <c r="G104" s="11" t="inlineStr">
        <is>
          <t>61</t>
        </is>
      </c>
      <c r="H104" s="12" t="n">
        <v>46272</v>
      </c>
      <c r="I104" s="12" t="n">
        <v>46367</v>
      </c>
      <c r="J104" s="12" t="n"/>
      <c r="K104" s="12" t="n"/>
      <c r="L104" s="11" t="inlineStr">
        <is>
          <t>Programada</t>
        </is>
      </c>
      <c r="M104" s="12" t="n"/>
      <c r="N104" s="11">
        <f>SI(O(H104="";J104="");"";SI(J104&lt;=H104;"SÍ";"NO"))</f>
        <v/>
      </c>
      <c r="O104" s="11">
        <f>SI(O(I104="";K104="");"";SI(K104&lt;=SI(M104&lt;&gt;"";M104;I104);"SÍ";"NO"))</f>
        <v/>
      </c>
      <c r="P104" s="11">
        <f>SI(O(N104="";O104="");"";SI(Y(N104="SÍ";O104="SÍ");"SÍ";"NO"))</f>
        <v/>
      </c>
      <c r="Q104" s="13">
        <f>SI(O(I104="";K104="");"";MAX(0;ENTERO(K104)-ENTERO(SI(M104&lt;&gt;"";M104;I104))))</f>
        <v/>
      </c>
      <c r="R104" s="11" t="n"/>
      <c r="S104" s="11" t="n"/>
      <c r="T104" s="12" t="n"/>
      <c r="U104" s="11" t="n">
        <v>92</v>
      </c>
      <c r="V104" s="11" t="n"/>
    </row>
    <row r="105">
      <c r="A105" s="14" t="n">
        <v>3000</v>
      </c>
      <c r="B105" s="14" t="inlineStr">
        <is>
          <t>REGIONAL REGIONAL OCCIDENTE</t>
        </is>
      </c>
      <c r="C105" s="14" t="n"/>
      <c r="D105" s="14" t="n"/>
      <c r="E105" s="14" t="inlineStr">
        <is>
          <t>OCCIDENTE</t>
        </is>
      </c>
      <c r="F105" s="14" t="inlineStr">
        <is>
          <t>CARLOS ANDRES BRAVO MARTINEZ</t>
        </is>
      </c>
      <c r="G105" s="14" t="inlineStr">
        <is>
          <t>75</t>
        </is>
      </c>
      <c r="H105" s="15" t="n">
        <v>46272</v>
      </c>
      <c r="I105" s="15" t="n">
        <v>46367</v>
      </c>
      <c r="J105" s="15" t="n"/>
      <c r="K105" s="15" t="n"/>
      <c r="L105" s="14" t="inlineStr">
        <is>
          <t>Programada</t>
        </is>
      </c>
      <c r="M105" s="15" t="n"/>
      <c r="N105" s="14">
        <f>SI(O(H105="";J105="");"";SI(J105&lt;=H105;"SÍ";"NO"))</f>
        <v/>
      </c>
      <c r="O105" s="14">
        <f>SI(O(I105="";K105="");"";SI(K105&lt;=SI(M105&lt;&gt;"";M105;I105);"SÍ";"NO"))</f>
        <v/>
      </c>
      <c r="P105" s="14">
        <f>SI(O(N105="";O105="");"";SI(Y(N105="SÍ";O105="SÍ");"SÍ";"NO"))</f>
        <v/>
      </c>
      <c r="Q105" s="16">
        <f>SI(O(I105="";K105="");"";MAX(0;ENTERO(K105)-ENTERO(SI(M105&lt;&gt;"";M105;I105))))</f>
        <v/>
      </c>
      <c r="R105" s="14" t="n"/>
      <c r="S105" s="14" t="n"/>
      <c r="T105" s="15" t="n"/>
      <c r="U105" s="14" t="n">
        <v>119</v>
      </c>
      <c r="V105" s="14" t="n"/>
    </row>
    <row r="106">
      <c r="A106" s="11" t="n">
        <v>3900</v>
      </c>
      <c r="B106" s="11" t="inlineStr">
        <is>
          <t>REGIONAL REGIONAL ORIENTE</t>
        </is>
      </c>
      <c r="C106" s="11" t="n"/>
      <c r="D106" s="11" t="n"/>
      <c r="E106" s="11" t="inlineStr">
        <is>
          <t>ORIENTE</t>
        </is>
      </c>
      <c r="F106" s="11" t="inlineStr">
        <is>
          <t>CARLOS ENRIQUE CUCHIVAGUEN FORERO</t>
        </is>
      </c>
      <c r="G106" s="11" t="inlineStr">
        <is>
          <t>95</t>
        </is>
      </c>
      <c r="H106" s="12" t="n">
        <v>46272</v>
      </c>
      <c r="I106" s="12" t="n">
        <v>46367</v>
      </c>
      <c r="J106" s="12" t="n"/>
      <c r="K106" s="12" t="n"/>
      <c r="L106" s="11" t="inlineStr">
        <is>
          <t>Programada</t>
        </is>
      </c>
      <c r="M106" s="12" t="n"/>
      <c r="N106" s="11">
        <f>SI(O(H106="";J106="");"";SI(J106&lt;=H106;"SÍ";"NO"))</f>
        <v/>
      </c>
      <c r="O106" s="11">
        <f>SI(O(I106="";K106="");"";SI(K106&lt;=SI(M106&lt;&gt;"";M106;I106);"SÍ";"NO"))</f>
        <v/>
      </c>
      <c r="P106" s="11">
        <f>SI(O(N106="";O106="");"";SI(Y(N106="SÍ";O106="SÍ");"SÍ";"NO"))</f>
        <v/>
      </c>
      <c r="Q106" s="13">
        <f>SI(O(I106="";K106="");"";MAX(0;ENTERO(K106)-ENTERO(SI(M106&lt;&gt;"";M106;I106))))</f>
        <v/>
      </c>
      <c r="R106" s="11" t="n"/>
      <c r="S106" s="11" t="n"/>
      <c r="T106" s="12" t="n"/>
      <c r="U106" s="11" t="n">
        <v>137</v>
      </c>
      <c r="V106" s="11" t="n"/>
    </row>
    <row r="107">
      <c r="A107" s="14" t="n">
        <v>6000</v>
      </c>
      <c r="B107" s="14" t="inlineStr">
        <is>
          <t>REGIONAL REGIONAL SANTANDERES</t>
        </is>
      </c>
      <c r="C107" s="14" t="n"/>
      <c r="D107" s="14" t="n"/>
      <c r="E107" s="14" t="inlineStr">
        <is>
          <t>SANTANDERES</t>
        </is>
      </c>
      <c r="F107" s="14" t="inlineStr">
        <is>
          <t>CARLOS MIGUEL JIMENEZ</t>
        </is>
      </c>
      <c r="G107" s="14" t="inlineStr">
        <is>
          <t>73</t>
        </is>
      </c>
      <c r="H107" s="15" t="n">
        <v>46272</v>
      </c>
      <c r="I107" s="15" t="n">
        <v>46367</v>
      </c>
      <c r="J107" s="15" t="n"/>
      <c r="K107" s="15" t="n"/>
      <c r="L107" s="14" t="inlineStr">
        <is>
          <t>Programada</t>
        </is>
      </c>
      <c r="M107" s="15" t="n"/>
      <c r="N107" s="14">
        <f>SI(O(H107="";J107="");"";SI(J107&lt;=H107;"SÍ";"NO"))</f>
        <v/>
      </c>
      <c r="O107" s="14">
        <f>SI(O(I107="";K107="");"";SI(K107&lt;=SI(M107&lt;&gt;"";M107;I107);"SÍ";"NO"))</f>
        <v/>
      </c>
      <c r="P107" s="14">
        <f>SI(O(N107="";O107="");"";SI(Y(N107="SÍ";O107="SÍ");"SÍ";"NO"))</f>
        <v/>
      </c>
      <c r="Q107" s="16">
        <f>SI(O(I107="";K107="");"";MAX(0;ENTERO(K107)-ENTERO(SI(M107&lt;&gt;"";M107;I107))))</f>
        <v/>
      </c>
      <c r="R107" s="14" t="n"/>
      <c r="S107" s="14" t="n"/>
      <c r="T107" s="15" t="n"/>
      <c r="U107" s="14" t="n">
        <v>109</v>
      </c>
      <c r="V107" s="14" t="n"/>
    </row>
    <row r="108">
      <c r="A108" s="11" t="n">
        <v>6900</v>
      </c>
      <c r="B108" s="11" t="inlineStr">
        <is>
          <t>REGIONAL REGIONAL SUR</t>
        </is>
      </c>
      <c r="C108" s="11" t="n"/>
      <c r="D108" s="11" t="n"/>
      <c r="E108" s="11" t="inlineStr">
        <is>
          <t>SUR</t>
        </is>
      </c>
      <c r="F108" s="11" t="inlineStr">
        <is>
          <t>WILLIAM FERNANDO ALDANA NIÑO</t>
        </is>
      </c>
      <c r="G108" s="11" t="inlineStr">
        <is>
          <t>90</t>
        </is>
      </c>
      <c r="H108" s="12" t="n">
        <v>46272</v>
      </c>
      <c r="I108" s="12" t="n">
        <v>46367</v>
      </c>
      <c r="J108" s="12" t="n"/>
      <c r="K108" s="12" t="n"/>
      <c r="L108" s="11" t="inlineStr">
        <is>
          <t>Programada</t>
        </is>
      </c>
      <c r="M108" s="12" t="n"/>
      <c r="N108" s="11">
        <f>SI(O(H108="";J108="");"";SI(J108&lt;=H108;"SÍ";"NO"))</f>
        <v/>
      </c>
      <c r="O108" s="11">
        <f>SI(O(I108="";K108="");"";SI(K108&lt;=SI(M108&lt;&gt;"";M108;I108);"SÍ";"NO"))</f>
        <v/>
      </c>
      <c r="P108" s="11">
        <f>SI(O(N108="";O108="");"";SI(Y(N108="SÍ";O108="SÍ");"SÍ";"NO"))</f>
        <v/>
      </c>
      <c r="Q108" s="13">
        <f>SI(O(I108="";K108="");"";MAX(0;ENTERO(K108)-ENTERO(SI(M108&lt;&gt;"";M108;I108))))</f>
        <v/>
      </c>
      <c r="R108" s="11" t="n"/>
      <c r="S108" s="11" t="n"/>
      <c r="T108" s="12" t="n"/>
      <c r="U108" s="11" t="n">
        <v>126</v>
      </c>
      <c r="V108" s="11" t="n"/>
    </row>
    <row r="109">
      <c r="A109" s="14" t="n">
        <v>290</v>
      </c>
      <c r="B109" s="14" t="inlineStr">
        <is>
          <t>UBATE</t>
        </is>
      </c>
      <c r="C109" s="14" t="inlineStr">
        <is>
          <t>Ubate</t>
        </is>
      </c>
      <c r="D109" s="14" t="inlineStr">
        <is>
          <t>Cundinamarca</t>
        </is>
      </c>
      <c r="E109" s="14" t="inlineStr">
        <is>
          <t>BOGOTA</t>
        </is>
      </c>
      <c r="F109" s="14" t="inlineStr">
        <is>
          <t>Edwin Santiago Cuchivaguen Diaz</t>
        </is>
      </c>
      <c r="G109" s="14" t="inlineStr">
        <is>
          <t>7</t>
        </is>
      </c>
      <c r="H109" s="15" t="n">
        <v>46273</v>
      </c>
      <c r="I109" s="15" t="n">
        <v>46273</v>
      </c>
      <c r="J109" s="15" t="n"/>
      <c r="K109" s="15" t="n"/>
      <c r="L109" s="14" t="inlineStr">
        <is>
          <t>Programada</t>
        </is>
      </c>
      <c r="M109" s="15" t="n"/>
      <c r="N109" s="14">
        <f>SI(O(H109="";J109="");"";SI(J109&lt;=H109;"SÍ";"NO"))</f>
        <v/>
      </c>
      <c r="O109" s="14">
        <f>SI(O(I109="";K109="");"";SI(K109&lt;=SI(M109&lt;&gt;"";M109;I109);"SÍ";"NO"))</f>
        <v/>
      </c>
      <c r="P109" s="14">
        <f>SI(O(N109="";O109="");"";SI(Y(N109="SÍ";O109="SÍ");"SÍ";"NO"))</f>
        <v/>
      </c>
      <c r="Q109" s="16">
        <f>SI(O(I109="";K109="");"";MAX(0;ENTERO(K109)-ENTERO(SI(M109&lt;&gt;"";M109;I109))))</f>
        <v/>
      </c>
      <c r="R109" s="14" t="n"/>
      <c r="S109" s="14" t="n"/>
      <c r="T109" s="15" t="n"/>
      <c r="U109" s="14" t="n">
        <v>36</v>
      </c>
      <c r="V109" s="14" t="n"/>
    </row>
    <row r="110">
      <c r="A110" s="11" t="n">
        <v>1255</v>
      </c>
      <c r="B110" s="11" t="inlineStr">
        <is>
          <t>SAN PABLO</t>
        </is>
      </c>
      <c r="C110" s="11" t="inlineStr">
        <is>
          <t>San Pablo</t>
        </is>
      </c>
      <c r="D110" s="11" t="inlineStr">
        <is>
          <t>Bolívar</t>
        </is>
      </c>
      <c r="E110" s="11" t="inlineStr">
        <is>
          <t>SANTANDERES</t>
        </is>
      </c>
      <c r="F110" s="11" t="inlineStr">
        <is>
          <t>Libni Simei Pardo Yanes</t>
        </is>
      </c>
      <c r="G110" s="11" t="inlineStr">
        <is>
          <t>3</t>
        </is>
      </c>
      <c r="H110" s="12" t="n">
        <v>46273</v>
      </c>
      <c r="I110" s="12" t="n">
        <v>46273</v>
      </c>
      <c r="J110" s="12" t="n"/>
      <c r="K110" s="12" t="n"/>
      <c r="L110" s="11" t="inlineStr">
        <is>
          <t>Programada</t>
        </is>
      </c>
      <c r="M110" s="12" t="n"/>
      <c r="N110" s="11">
        <f>SI(O(H110="";J110="");"";SI(J110&lt;=H110;"SÍ";"NO"))</f>
        <v/>
      </c>
      <c r="O110" s="11">
        <f>SI(O(I110="";K110="");"";SI(K110&lt;=SI(M110&lt;&gt;"";M110;I110);"SÍ";"NO"))</f>
        <v/>
      </c>
      <c r="P110" s="11">
        <f>SI(O(N110="";O110="");"";SI(Y(N110="SÍ";O110="SÍ");"SÍ";"NO"))</f>
        <v/>
      </c>
      <c r="Q110" s="13">
        <f>SI(O(I110="";K110="");"";MAX(0;ENTERO(K110)-ENTERO(SI(M110&lt;&gt;"";M110;I110))))</f>
        <v/>
      </c>
      <c r="R110" s="11" t="n"/>
      <c r="S110" s="11" t="n"/>
      <c r="T110" s="12" t="n"/>
      <c r="U110" s="11" t="n">
        <v>27</v>
      </c>
      <c r="V110" s="11" t="n"/>
    </row>
    <row r="111">
      <c r="A111" s="14" t="n">
        <v>1354</v>
      </c>
      <c r="B111" s="14" t="inlineStr">
        <is>
          <t>CAICEDO</t>
        </is>
      </c>
      <c r="C111" s="14" t="inlineStr">
        <is>
          <t>Caicedo</t>
        </is>
      </c>
      <c r="D111" s="14" t="inlineStr">
        <is>
          <t>Antioquia</t>
        </is>
      </c>
      <c r="E111" s="14" t="inlineStr">
        <is>
          <t>ANTIOQUIA</t>
        </is>
      </c>
      <c r="F111" s="14" t="inlineStr">
        <is>
          <t>Juan Pablo Osorio Ramirez</t>
        </is>
      </c>
      <c r="G111" s="14" t="inlineStr">
        <is>
          <t>2</t>
        </is>
      </c>
      <c r="H111" s="15" t="n">
        <v>46273</v>
      </c>
      <c r="I111" s="15" t="n">
        <v>46273</v>
      </c>
      <c r="J111" s="15" t="n"/>
      <c r="K111" s="15" t="n"/>
      <c r="L111" s="14" t="inlineStr">
        <is>
          <t>Programada</t>
        </is>
      </c>
      <c r="M111" s="15" t="n"/>
      <c r="N111" s="14">
        <f>SI(O(H111="";J111="");"";SI(J111&lt;=H111;"SÍ";"NO"))</f>
        <v/>
      </c>
      <c r="O111" s="14">
        <f>SI(O(I111="";K111="");"";SI(K111&lt;=SI(M111&lt;&gt;"";M111;I111);"SÍ";"NO"))</f>
        <v/>
      </c>
      <c r="P111" s="14">
        <f>SI(O(N111="";O111="");"";SI(Y(N111="SÍ";O111="SÍ");"SÍ";"NO"))</f>
        <v/>
      </c>
      <c r="Q111" s="16">
        <f>SI(O(I111="";K111="");"";MAX(0;ENTERO(K111)-ENTERO(SI(M111&lt;&gt;"";M111;I111))))</f>
        <v/>
      </c>
      <c r="R111" s="14" t="n"/>
      <c r="S111" s="14" t="n"/>
      <c r="T111" s="15" t="n"/>
      <c r="U111" s="14" t="n">
        <v>19</v>
      </c>
      <c r="V111" s="14" t="n"/>
    </row>
    <row r="112">
      <c r="A112" s="11" t="n">
        <v>1399</v>
      </c>
      <c r="B112" s="11" t="inlineStr">
        <is>
          <t>ZARAGOZA</t>
        </is>
      </c>
      <c r="C112" s="11" t="inlineStr">
        <is>
          <t>Zaragoza</t>
        </is>
      </c>
      <c r="D112" s="11" t="inlineStr">
        <is>
          <t>Antioquia</t>
        </is>
      </c>
      <c r="E112" s="11" t="inlineStr">
        <is>
          <t>ANTIOQUIA</t>
        </is>
      </c>
      <c r="F112" s="11" t="inlineStr">
        <is>
          <t>Ever Enrique Esquivel Movilla</t>
        </is>
      </c>
      <c r="G112" s="11" t="inlineStr">
        <is>
          <t>2</t>
        </is>
      </c>
      <c r="H112" s="12" t="n">
        <v>46273</v>
      </c>
      <c r="I112" s="12" t="n">
        <v>46273</v>
      </c>
      <c r="J112" s="12" t="n"/>
      <c r="K112" s="12" t="n"/>
      <c r="L112" s="11" t="inlineStr">
        <is>
          <t>Programada</t>
        </is>
      </c>
      <c r="M112" s="12" t="n"/>
      <c r="N112" s="11">
        <f>SI(O(H112="";J112="");"";SI(J112&lt;=H112;"SÍ";"NO"))</f>
        <v/>
      </c>
      <c r="O112" s="11">
        <f>SI(O(I112="";K112="");"";SI(K112&lt;=SI(M112&lt;&gt;"";M112;I112);"SÍ";"NO"))</f>
        <v/>
      </c>
      <c r="P112" s="11">
        <f>SI(O(N112="";O112="");"";SI(Y(N112="SÍ";O112="SÍ");"SÍ";"NO"))</f>
        <v/>
      </c>
      <c r="Q112" s="13">
        <f>SI(O(I112="";K112="");"";MAX(0;ENTERO(K112)-ENTERO(SI(M112&lt;&gt;"";M112;I112))))</f>
        <v/>
      </c>
      <c r="R112" s="11" t="n"/>
      <c r="S112" s="11" t="n"/>
      <c r="T112" s="12" t="n"/>
      <c r="U112" s="11" t="n">
        <v>20</v>
      </c>
      <c r="V112" s="11" t="n"/>
    </row>
    <row r="113">
      <c r="A113" s="14" t="n">
        <v>1512</v>
      </c>
      <c r="B113" s="14" t="inlineStr">
        <is>
          <t>CHINAVITA</t>
        </is>
      </c>
      <c r="C113" s="14" t="inlineStr">
        <is>
          <t>Chinavita</t>
        </is>
      </c>
      <c r="D113" s="14" t="inlineStr">
        <is>
          <t>Boyacá</t>
        </is>
      </c>
      <c r="E113" s="14" t="inlineStr">
        <is>
          <t>ORIENTE</t>
        </is>
      </c>
      <c r="F113" s="14" t="inlineStr">
        <is>
          <t>Andrés Felipe Carvajal Pire</t>
        </is>
      </c>
      <c r="G113" s="14" t="inlineStr">
        <is>
          <t>1</t>
        </is>
      </c>
      <c r="H113" s="15" t="n">
        <v>46273</v>
      </c>
      <c r="I113" s="15" t="n">
        <v>46274</v>
      </c>
      <c r="J113" s="15" t="n"/>
      <c r="K113" s="15" t="n"/>
      <c r="L113" s="14" t="inlineStr">
        <is>
          <t>Programada</t>
        </is>
      </c>
      <c r="M113" s="15" t="n"/>
      <c r="N113" s="14">
        <f>SI(O(H113="";J113="");"";SI(J113&lt;=H113;"SÍ";"NO"))</f>
        <v/>
      </c>
      <c r="O113" s="14">
        <f>SI(O(I113="";K113="");"";SI(K113&lt;=SI(M113&lt;&gt;"";M113;I113);"SÍ";"NO"))</f>
        <v/>
      </c>
      <c r="P113" s="14">
        <f>SI(O(N113="";O113="");"";SI(Y(N113="SÍ";O113="SÍ");"SÍ";"NO"))</f>
        <v/>
      </c>
      <c r="Q113" s="16">
        <f>SI(O(I113="";K113="");"";MAX(0;ENTERO(K113)-ENTERO(SI(M113&lt;&gt;"";M113;I113))))</f>
        <v/>
      </c>
      <c r="R113" s="14" t="n"/>
      <c r="S113" s="14" t="n"/>
      <c r="T113" s="15" t="n"/>
      <c r="U113" s="14" t="n">
        <v>13</v>
      </c>
      <c r="V113" s="14" t="n"/>
    </row>
    <row r="114">
      <c r="A114" s="11" t="n">
        <v>1585</v>
      </c>
      <c r="B114" s="11" t="inlineStr">
        <is>
          <t>TIBANA</t>
        </is>
      </c>
      <c r="C114" s="11" t="inlineStr">
        <is>
          <t>Tibaná</t>
        </is>
      </c>
      <c r="D114" s="11" t="inlineStr">
        <is>
          <t>Boyacá</t>
        </is>
      </c>
      <c r="E114" s="11" t="inlineStr">
        <is>
          <t>ORIENTE</t>
        </is>
      </c>
      <c r="F114" s="11" t="inlineStr">
        <is>
          <t>Mauricio Andrés Rivera Páez</t>
        </is>
      </c>
      <c r="G114" s="11" t="inlineStr">
        <is>
          <t>1</t>
        </is>
      </c>
      <c r="H114" s="12" t="n">
        <v>46273</v>
      </c>
      <c r="I114" s="12" t="n">
        <v>46274</v>
      </c>
      <c r="J114" s="12" t="n"/>
      <c r="K114" s="12" t="n"/>
      <c r="L114" s="11" t="inlineStr">
        <is>
          <t>Programada</t>
        </is>
      </c>
      <c r="M114" s="12" t="n"/>
      <c r="N114" s="11">
        <f>SI(O(H114="";J114="");"";SI(J114&lt;=H114;"SÍ";"NO"))</f>
        <v/>
      </c>
      <c r="O114" s="11">
        <f>SI(O(I114="";K114="");"";SI(K114&lt;=SI(M114&lt;&gt;"";M114;I114);"SÍ";"NO"))</f>
        <v/>
      </c>
      <c r="P114" s="11">
        <f>SI(O(N114="";O114="");"";SI(Y(N114="SÍ";O114="SÍ");"SÍ";"NO"))</f>
        <v/>
      </c>
      <c r="Q114" s="13">
        <f>SI(O(I114="";K114="");"";MAX(0;ENTERO(K114)-ENTERO(SI(M114&lt;&gt;"";M114;I114))))</f>
        <v/>
      </c>
      <c r="R114" s="11" t="n"/>
      <c r="S114" s="11" t="n"/>
      <c r="T114" s="12" t="n"/>
      <c r="U114" s="11" t="n">
        <v>20</v>
      </c>
      <c r="V114" s="11" t="n"/>
    </row>
    <row r="115">
      <c r="A115" s="14" t="n">
        <v>2134</v>
      </c>
      <c r="B115" s="14" t="inlineStr">
        <is>
          <t>PAISPAMBA SOTARA</t>
        </is>
      </c>
      <c r="C115" s="14" t="inlineStr">
        <is>
          <t>Sotara</t>
        </is>
      </c>
      <c r="D115" s="14" t="inlineStr">
        <is>
          <t>Cauca</t>
        </is>
      </c>
      <c r="E115" s="14" t="inlineStr">
        <is>
          <t>OCCIDENTE</t>
        </is>
      </c>
      <c r="F115" s="14" t="inlineStr">
        <is>
          <t>Holmes Arley Astudillo Fajardo</t>
        </is>
      </c>
      <c r="G115" s="14" t="inlineStr">
        <is>
          <t>1</t>
        </is>
      </c>
      <c r="H115" s="15" t="n">
        <v>46273</v>
      </c>
      <c r="I115" s="15" t="n">
        <v>46273</v>
      </c>
      <c r="J115" s="15" t="n"/>
      <c r="K115" s="15" t="n"/>
      <c r="L115" s="14" t="inlineStr">
        <is>
          <t>Programada</t>
        </is>
      </c>
      <c r="M115" s="15" t="n"/>
      <c r="N115" s="14">
        <f>SI(O(H115="";J115="");"";SI(J115&lt;=H115;"SÍ";"NO"))</f>
        <v/>
      </c>
      <c r="O115" s="14">
        <f>SI(O(I115="";K115="");"";SI(K115&lt;=SI(M115&lt;&gt;"";M115;I115);"SÍ";"NO"))</f>
        <v/>
      </c>
      <c r="P115" s="14">
        <f>SI(O(N115="";O115="");"";SI(Y(N115="SÍ";O115="SÍ");"SÍ";"NO"))</f>
        <v/>
      </c>
      <c r="Q115" s="16">
        <f>SI(O(I115="";K115="");"";MAX(0;ENTERO(K115)-ENTERO(SI(M115&lt;&gt;"";M115;I115))))</f>
        <v/>
      </c>
      <c r="R115" s="14" t="n"/>
      <c r="S115" s="14" t="n"/>
      <c r="T115" s="15" t="n"/>
      <c r="U115" s="14" t="n">
        <v>13</v>
      </c>
      <c r="V115" s="14" t="n"/>
    </row>
    <row r="116">
      <c r="A116" s="11" t="n">
        <v>2412</v>
      </c>
      <c r="B116" s="11" t="inlineStr">
        <is>
          <t>LA PAZ ROBLES</t>
        </is>
      </c>
      <c r="C116" s="11" t="inlineStr">
        <is>
          <t>La Paz</t>
        </is>
      </c>
      <c r="D116" s="11" t="inlineStr">
        <is>
          <t>Cesar</t>
        </is>
      </c>
      <c r="E116" s="11" t="inlineStr">
        <is>
          <t>COSTA</t>
        </is>
      </c>
      <c r="F116" s="11" t="inlineStr">
        <is>
          <t>Antonio Martinez Charris</t>
        </is>
      </c>
      <c r="G116" s="11" t="inlineStr">
        <is>
          <t>2</t>
        </is>
      </c>
      <c r="H116" s="12" t="n">
        <v>46273</v>
      </c>
      <c r="I116" s="12" t="n">
        <v>46273</v>
      </c>
      <c r="J116" s="12" t="n"/>
      <c r="K116" s="12" t="n"/>
      <c r="L116" s="11" t="inlineStr">
        <is>
          <t>Programada</t>
        </is>
      </c>
      <c r="M116" s="12" t="n"/>
      <c r="N116" s="11">
        <f>SI(O(H116="";J116="");"";SI(J116&lt;=H116;"SÍ";"NO"))</f>
        <v/>
      </c>
      <c r="O116" s="11">
        <f>SI(O(I116="";K116="");"";SI(K116&lt;=SI(M116&lt;&gt;"";M116;I116);"SÍ";"NO"))</f>
        <v/>
      </c>
      <c r="P116" s="11">
        <f>SI(O(N116="";O116="");"";SI(Y(N116="SÍ";O116="SÍ");"SÍ";"NO"))</f>
        <v/>
      </c>
      <c r="Q116" s="13">
        <f>SI(O(I116="";K116="");"";MAX(0;ENTERO(K116)-ENTERO(SI(M116&lt;&gt;"";M116;I116))))</f>
        <v/>
      </c>
      <c r="R116" s="11" t="n"/>
      <c r="S116" s="11" t="n"/>
      <c r="T116" s="12" t="n"/>
      <c r="U116" s="11" t="n">
        <v>15</v>
      </c>
      <c r="V116" s="11" t="n"/>
    </row>
    <row r="117">
      <c r="A117" s="14" t="n">
        <v>2754</v>
      </c>
      <c r="B117" s="14" t="inlineStr">
        <is>
          <t>MOÑITOS</t>
        </is>
      </c>
      <c r="C117" s="14" t="inlineStr">
        <is>
          <t>Moñitos</t>
        </is>
      </c>
      <c r="D117" s="14" t="inlineStr">
        <is>
          <t>Córdoba</t>
        </is>
      </c>
      <c r="E117" s="14" t="inlineStr">
        <is>
          <t>COSTA</t>
        </is>
      </c>
      <c r="F117" s="14" t="inlineStr">
        <is>
          <t>Dimar Jose Morelo Cardona</t>
        </is>
      </c>
      <c r="G117" s="14" t="inlineStr">
        <is>
          <t>1</t>
        </is>
      </c>
      <c r="H117" s="15" t="n">
        <v>46273</v>
      </c>
      <c r="I117" s="15" t="n">
        <v>46273</v>
      </c>
      <c r="J117" s="15" t="n"/>
      <c r="K117" s="15" t="n"/>
      <c r="L117" s="14" t="inlineStr">
        <is>
          <t>Programada</t>
        </is>
      </c>
      <c r="M117" s="15" t="n"/>
      <c r="N117" s="14">
        <f>SI(O(H117="";J117="");"";SI(J117&lt;=H117;"SÍ";"NO"))</f>
        <v/>
      </c>
      <c r="O117" s="14">
        <f>SI(O(I117="";K117="");"";SI(K117&lt;=SI(M117&lt;&gt;"";M117;I117);"SÍ";"NO"))</f>
        <v/>
      </c>
      <c r="P117" s="14">
        <f>SI(O(N117="";O117="");"";SI(Y(N117="SÍ";O117="SÍ");"SÍ";"NO"))</f>
        <v/>
      </c>
      <c r="Q117" s="16">
        <f>SI(O(I117="";K117="");"";MAX(0;ENTERO(K117)-ENTERO(SI(M117&lt;&gt;"";M117;I117))))</f>
        <v/>
      </c>
      <c r="R117" s="14" t="n"/>
      <c r="S117" s="14" t="n"/>
      <c r="T117" s="15" t="n"/>
      <c r="U117" s="14" t="n">
        <v>13</v>
      </c>
      <c r="V117" s="14" t="n"/>
    </row>
    <row r="118">
      <c r="A118" s="11" t="n">
        <v>2772</v>
      </c>
      <c r="B118" s="11" t="inlineStr">
        <is>
          <t>SAN PELAYO</t>
        </is>
      </c>
      <c r="C118" s="11" t="inlineStr">
        <is>
          <t>San Pelayo</t>
        </is>
      </c>
      <c r="D118" s="11" t="inlineStr">
        <is>
          <t>Córdoba</t>
        </is>
      </c>
      <c r="E118" s="11" t="inlineStr">
        <is>
          <t>COSTA</t>
        </is>
      </c>
      <c r="F118" s="11" t="inlineStr">
        <is>
          <t>Jorge Felipe Munive Medina</t>
        </is>
      </c>
      <c r="G118" s="11" t="inlineStr">
        <is>
          <t>3</t>
        </is>
      </c>
      <c r="H118" s="12" t="n">
        <v>46273</v>
      </c>
      <c r="I118" s="12" t="n">
        <v>46273</v>
      </c>
      <c r="J118" s="12" t="n"/>
      <c r="K118" s="12" t="n"/>
      <c r="L118" s="11" t="inlineStr">
        <is>
          <t>Programada</t>
        </is>
      </c>
      <c r="M118" s="12" t="n"/>
      <c r="N118" s="11">
        <f>SI(O(H118="";J118="");"";SI(J118&lt;=H118;"SÍ";"NO"))</f>
        <v/>
      </c>
      <c r="O118" s="11">
        <f>SI(O(I118="";K118="");"";SI(K118&lt;=SI(M118&lt;&gt;"";M118;I118);"SÍ";"NO"))</f>
        <v/>
      </c>
      <c r="P118" s="11">
        <f>SI(O(N118="";O118="");"";SI(Y(N118="SÍ";O118="SÍ");"SÍ";"NO"))</f>
        <v/>
      </c>
      <c r="Q118" s="13">
        <f>SI(O(I118="";K118="");"";MAX(0;ENTERO(K118)-ENTERO(SI(M118&lt;&gt;"";M118;I118))))</f>
        <v/>
      </c>
      <c r="R118" s="11" t="n"/>
      <c r="S118" s="11" t="n"/>
      <c r="T118" s="12" t="n"/>
      <c r="U118" s="11" t="n">
        <v>20</v>
      </c>
      <c r="V118" s="11" t="n"/>
    </row>
    <row r="119">
      <c r="A119" s="14" t="n">
        <v>3126</v>
      </c>
      <c r="B119" s="14" t="inlineStr">
        <is>
          <t>FOSCA</t>
        </is>
      </c>
      <c r="C119" s="14" t="inlineStr">
        <is>
          <t>Fosca</t>
        </is>
      </c>
      <c r="D119" s="14" t="inlineStr">
        <is>
          <t>Cundinamarca</t>
        </is>
      </c>
      <c r="E119" s="14" t="inlineStr">
        <is>
          <t>BOGOTA</t>
        </is>
      </c>
      <c r="F119" s="14" t="inlineStr">
        <is>
          <t>Nelson Leonardo Paez Suarez</t>
        </is>
      </c>
      <c r="G119" s="14" t="inlineStr">
        <is>
          <t>2</t>
        </is>
      </c>
      <c r="H119" s="15" t="n">
        <v>46273</v>
      </c>
      <c r="I119" s="15" t="n">
        <v>46273</v>
      </c>
      <c r="J119" s="15" t="n"/>
      <c r="K119" s="15" t="n"/>
      <c r="L119" s="14" t="inlineStr">
        <is>
          <t>Programada</t>
        </is>
      </c>
      <c r="M119" s="15" t="n"/>
      <c r="N119" s="14">
        <f>SI(O(H119="";J119="");"";SI(J119&lt;=H119;"SÍ";"NO"))</f>
        <v/>
      </c>
      <c r="O119" s="14">
        <f>SI(O(I119="";K119="");"";SI(K119&lt;=SI(M119&lt;&gt;"";M119;I119);"SÍ";"NO"))</f>
        <v/>
      </c>
      <c r="P119" s="14">
        <f>SI(O(N119="";O119="");"";SI(Y(N119="SÍ";O119="SÍ");"SÍ";"NO"))</f>
        <v/>
      </c>
      <c r="Q119" s="16">
        <f>SI(O(I119="";K119="");"";MAX(0;ENTERO(K119)-ENTERO(SI(M119&lt;&gt;"";M119;I119))))</f>
        <v/>
      </c>
      <c r="R119" s="14" t="n"/>
      <c r="S119" s="14" t="n"/>
      <c r="T119" s="15" t="n"/>
      <c r="U119" s="14" t="n">
        <v>15</v>
      </c>
      <c r="V119" s="14" t="n"/>
    </row>
    <row r="120">
      <c r="A120" s="11" t="n">
        <v>3146</v>
      </c>
      <c r="B120" s="11" t="inlineStr">
        <is>
          <t>MACHETA</t>
        </is>
      </c>
      <c r="C120" s="11" t="inlineStr">
        <is>
          <t>Macheta</t>
        </is>
      </c>
      <c r="D120" s="11" t="inlineStr">
        <is>
          <t>Cundinamarca</t>
        </is>
      </c>
      <c r="E120" s="11" t="inlineStr">
        <is>
          <t>BOGOTA</t>
        </is>
      </c>
      <c r="F120" s="11" t="inlineStr">
        <is>
          <t>Carlos Andres Cuchivaguen Diaz</t>
        </is>
      </c>
      <c r="G120" s="11" t="inlineStr">
        <is>
          <t>2</t>
        </is>
      </c>
      <c r="H120" s="12" t="n">
        <v>46273</v>
      </c>
      <c r="I120" s="12" t="n">
        <v>46273</v>
      </c>
      <c r="J120" s="12" t="n"/>
      <c r="K120" s="12" t="n"/>
      <c r="L120" s="11" t="inlineStr">
        <is>
          <t>Programada</t>
        </is>
      </c>
      <c r="M120" s="12" t="n"/>
      <c r="N120" s="11">
        <f>SI(O(H120="";J120="");"";SI(J120&lt;=H120;"SÍ";"NO"))</f>
        <v/>
      </c>
      <c r="O120" s="11">
        <f>SI(O(I120="";K120="");"";SI(K120&lt;=SI(M120&lt;&gt;"";M120;I120);"SÍ";"NO"))</f>
        <v/>
      </c>
      <c r="P120" s="11">
        <f>SI(O(N120="";O120="");"";SI(Y(N120="SÍ";O120="SÍ");"SÍ";"NO"))</f>
        <v/>
      </c>
      <c r="Q120" s="13">
        <f>SI(O(I120="";K120="");"";MAX(0;ENTERO(K120)-ENTERO(SI(M120&lt;&gt;"";M120;I120))))</f>
        <v/>
      </c>
      <c r="R120" s="11" t="n"/>
      <c r="S120" s="11" t="n"/>
      <c r="T120" s="12" t="n"/>
      <c r="U120" s="11" t="n">
        <v>15</v>
      </c>
      <c r="V120" s="11" t="n"/>
    </row>
    <row r="121">
      <c r="A121" s="14" t="n">
        <v>3190</v>
      </c>
      <c r="B121" s="14" t="inlineStr">
        <is>
          <t>YACOPI</t>
        </is>
      </c>
      <c r="C121" s="14" t="inlineStr">
        <is>
          <t>Yacopí</t>
        </is>
      </c>
      <c r="D121" s="14" t="inlineStr">
        <is>
          <t>Cundinamarca</t>
        </is>
      </c>
      <c r="E121" s="14" t="inlineStr">
        <is>
          <t>BOGOTA</t>
        </is>
      </c>
      <c r="F121" s="14" t="inlineStr">
        <is>
          <t>Jhonatan Felipe Hernandez Gamboa</t>
        </is>
      </c>
      <c r="G121" s="14" t="inlineStr">
        <is>
          <t>3</t>
        </is>
      </c>
      <c r="H121" s="15" t="n">
        <v>46273</v>
      </c>
      <c r="I121" s="15" t="n">
        <v>46273</v>
      </c>
      <c r="J121" s="15" t="n"/>
      <c r="K121" s="15" t="n"/>
      <c r="L121" s="14" t="inlineStr">
        <is>
          <t>Programada</t>
        </is>
      </c>
      <c r="M121" s="15" t="n"/>
      <c r="N121" s="14">
        <f>SI(O(H121="";J121="");"";SI(J121&lt;=H121;"SÍ";"NO"))</f>
        <v/>
      </c>
      <c r="O121" s="14">
        <f>SI(O(I121="";K121="");"";SI(K121&lt;=SI(M121&lt;&gt;"";M121;I121);"SÍ";"NO"))</f>
        <v/>
      </c>
      <c r="P121" s="14">
        <f>SI(O(N121="";O121="");"";SI(Y(N121="SÍ";O121="SÍ");"SÍ";"NO"))</f>
        <v/>
      </c>
      <c r="Q121" s="16">
        <f>SI(O(I121="";K121="");"";MAX(0;ENTERO(K121)-ENTERO(SI(M121&lt;&gt;"";M121;I121))))</f>
        <v/>
      </c>
      <c r="R121" s="14" t="n"/>
      <c r="S121" s="14" t="n"/>
      <c r="T121" s="15" t="n"/>
      <c r="U121" s="14" t="n">
        <v>21</v>
      </c>
      <c r="V121" s="14" t="n"/>
    </row>
    <row r="122">
      <c r="A122" s="11" t="n">
        <v>3930</v>
      </c>
      <c r="B122" s="11" t="inlineStr">
        <is>
          <t>RIVERA</t>
        </is>
      </c>
      <c r="C122" s="11" t="inlineStr">
        <is>
          <t>Rivera</t>
        </is>
      </c>
      <c r="D122" s="11" t="inlineStr">
        <is>
          <t>Huila</t>
        </is>
      </c>
      <c r="E122" s="11" t="inlineStr">
        <is>
          <t>SUR</t>
        </is>
      </c>
      <c r="F122" s="11" t="inlineStr">
        <is>
          <t>ERIKA VARGAS</t>
        </is>
      </c>
      <c r="G122" s="11" t="inlineStr">
        <is>
          <t>2</t>
        </is>
      </c>
      <c r="H122" s="12" t="n">
        <v>46273</v>
      </c>
      <c r="I122" s="12" t="n">
        <v>46273</v>
      </c>
      <c r="J122" s="12" t="n"/>
      <c r="K122" s="12" t="n"/>
      <c r="L122" s="11" t="inlineStr">
        <is>
          <t>Programada</t>
        </is>
      </c>
      <c r="M122" s="12" t="n"/>
      <c r="N122" s="11">
        <f>SI(O(H122="";J122="");"";SI(J122&lt;=H122;"SÍ";"NO"))</f>
        <v/>
      </c>
      <c r="O122" s="11">
        <f>SI(O(I122="";K122="");"";SI(K122&lt;=SI(M122&lt;&gt;"";M122;I122);"SÍ";"NO"))</f>
        <v/>
      </c>
      <c r="P122" s="11">
        <f>SI(O(N122="";O122="");"";SI(Y(N122="SÍ";O122="SÍ");"SÍ";"NO"))</f>
        <v/>
      </c>
      <c r="Q122" s="13">
        <f>SI(O(I122="";K122="");"";MAX(0;ENTERO(K122)-ENTERO(SI(M122&lt;&gt;"";M122;I122))))</f>
        <v/>
      </c>
      <c r="R122" s="11" t="n"/>
      <c r="S122" s="11" t="n"/>
      <c r="T122" s="12" t="n"/>
      <c r="U122" s="11" t="n">
        <v>20</v>
      </c>
      <c r="V122" s="11" t="n"/>
    </row>
    <row r="123">
      <c r="A123" s="14" t="n">
        <v>3960</v>
      </c>
      <c r="B123" s="14" t="inlineStr">
        <is>
          <t>TELLO</t>
        </is>
      </c>
      <c r="C123" s="14" t="inlineStr">
        <is>
          <t>Tello</t>
        </is>
      </c>
      <c r="D123" s="14" t="inlineStr">
        <is>
          <t>Huila</t>
        </is>
      </c>
      <c r="E123" s="14" t="inlineStr">
        <is>
          <t>SUR</t>
        </is>
      </c>
      <c r="F123" s="14" t="inlineStr">
        <is>
          <t>HAROLD STEED GARCIA</t>
        </is>
      </c>
      <c r="G123" s="14" t="inlineStr">
        <is>
          <t>1</t>
        </is>
      </c>
      <c r="H123" s="15" t="n">
        <v>46273</v>
      </c>
      <c r="I123" s="15" t="n">
        <v>46274</v>
      </c>
      <c r="J123" s="15" t="n"/>
      <c r="K123" s="15" t="n"/>
      <c r="L123" s="14" t="inlineStr">
        <is>
          <t>Programada</t>
        </is>
      </c>
      <c r="M123" s="15" t="n"/>
      <c r="N123" s="14">
        <f>SI(O(H123="";J123="");"";SI(J123&lt;=H123;"SÍ";"NO"))</f>
        <v/>
      </c>
      <c r="O123" s="14">
        <f>SI(O(I123="";K123="");"";SI(K123&lt;=SI(M123&lt;&gt;"";M123;I123);"SÍ";"NO"))</f>
        <v/>
      </c>
      <c r="P123" s="14">
        <f>SI(O(N123="";O123="");"";SI(Y(N123="SÍ";O123="SÍ");"SÍ";"NO"))</f>
        <v/>
      </c>
      <c r="Q123" s="16">
        <f>SI(O(I123="";K123="");"";MAX(0;ENTERO(K123)-ENTERO(SI(M123&lt;&gt;"";M123;I123))))</f>
        <v/>
      </c>
      <c r="R123" s="14" t="n"/>
      <c r="S123" s="14" t="n"/>
      <c r="T123" s="15" t="n"/>
      <c r="U123" s="14" t="n">
        <v>16</v>
      </c>
      <c r="V123" s="14" t="n"/>
    </row>
    <row r="124">
      <c r="A124" s="11" t="n">
        <v>4550</v>
      </c>
      <c r="B124" s="11" t="inlineStr">
        <is>
          <t>VISTAHERMOSA</t>
        </is>
      </c>
      <c r="C124" s="11" t="inlineStr">
        <is>
          <t>Vistahermosa</t>
        </is>
      </c>
      <c r="D124" s="11" t="inlineStr">
        <is>
          <t>Meta</t>
        </is>
      </c>
      <c r="E124" s="11" t="inlineStr">
        <is>
          <t>BOGOTA</t>
        </is>
      </c>
      <c r="F124" s="11" t="inlineStr">
        <is>
          <t>Andres Felipe Balbin</t>
        </is>
      </c>
      <c r="G124" s="11" t="inlineStr">
        <is>
          <t>2</t>
        </is>
      </c>
      <c r="H124" s="12" t="n">
        <v>46273</v>
      </c>
      <c r="I124" s="12" t="n">
        <v>46273</v>
      </c>
      <c r="J124" s="12" t="n"/>
      <c r="K124" s="12" t="n"/>
      <c r="L124" s="11" t="inlineStr">
        <is>
          <t>Programada</t>
        </is>
      </c>
      <c r="M124" s="12" t="n"/>
      <c r="N124" s="11">
        <f>SI(O(H124="";J124="");"";SI(J124&lt;=H124;"SÍ";"NO"))</f>
        <v/>
      </c>
      <c r="O124" s="11">
        <f>SI(O(I124="";K124="");"";SI(K124&lt;=SI(M124&lt;&gt;"";M124;I124);"SÍ";"NO"))</f>
        <v/>
      </c>
      <c r="P124" s="11">
        <f>SI(O(N124="";O124="");"";SI(Y(N124="SÍ";O124="SÍ");"SÍ";"NO"))</f>
        <v/>
      </c>
      <c r="Q124" s="13">
        <f>SI(O(I124="";K124="");"";MAX(0;ENTERO(K124)-ENTERO(SI(M124&lt;&gt;"";M124;I124))))</f>
        <v/>
      </c>
      <c r="R124" s="11" t="n"/>
      <c r="S124" s="11" t="n"/>
      <c r="T124" s="12" t="n"/>
      <c r="U124" s="11" t="n">
        <v>18</v>
      </c>
      <c r="V124" s="11" t="n"/>
    </row>
    <row r="125">
      <c r="A125" s="14" t="n">
        <v>4838</v>
      </c>
      <c r="B125" s="14" t="inlineStr">
        <is>
          <t>ILES</t>
        </is>
      </c>
      <c r="C125" s="14" t="inlineStr">
        <is>
          <t>Iles</t>
        </is>
      </c>
      <c r="D125" s="14" t="inlineStr">
        <is>
          <t>Nariño</t>
        </is>
      </c>
      <c r="E125" s="14" t="inlineStr">
        <is>
          <t>OCCIDENTE</t>
        </is>
      </c>
      <c r="F125" s="14" t="inlineStr">
        <is>
          <t>Juan Carlos Narvaez Acosta / Luis Fernando Ibarra Guio</t>
        </is>
      </c>
      <c r="G125" s="14" t="inlineStr">
        <is>
          <t>1</t>
        </is>
      </c>
      <c r="H125" s="15" t="n">
        <v>46273</v>
      </c>
      <c r="I125" s="15" t="n">
        <v>46273</v>
      </c>
      <c r="J125" s="15" t="n"/>
      <c r="K125" s="15" t="n"/>
      <c r="L125" s="14" t="inlineStr">
        <is>
          <t>Programada</t>
        </is>
      </c>
      <c r="M125" s="15" t="n"/>
      <c r="N125" s="14">
        <f>SI(O(H125="";J125="");"";SI(J125&lt;=H125;"SÍ";"NO"))</f>
        <v/>
      </c>
      <c r="O125" s="14">
        <f>SI(O(I125="";K125="");"";SI(K125&lt;=SI(M125&lt;&gt;"";M125;I125);"SÍ";"NO"))</f>
        <v/>
      </c>
      <c r="P125" s="14">
        <f>SI(O(N125="";O125="");"";SI(Y(N125="SÍ";O125="SÍ");"SÍ";"NO"))</f>
        <v/>
      </c>
      <c r="Q125" s="16">
        <f>SI(O(I125="";K125="");"";MAX(0;ENTERO(K125)-ENTERO(SI(M125&lt;&gt;"";M125;I125))))</f>
        <v/>
      </c>
      <c r="R125" s="14" t="n"/>
      <c r="S125" s="14" t="n"/>
      <c r="T125" s="15" t="n"/>
      <c r="U125" s="14" t="n">
        <v>13</v>
      </c>
      <c r="V125" s="14" t="n"/>
    </row>
    <row r="126">
      <c r="A126" s="11" t="n">
        <v>5105</v>
      </c>
      <c r="B126" s="11" t="inlineStr">
        <is>
          <t>PUERTO SANTANDER</t>
        </is>
      </c>
      <c r="C126" s="11" t="inlineStr">
        <is>
          <t>Puerto Santander</t>
        </is>
      </c>
      <c r="D126" s="11" t="inlineStr">
        <is>
          <t>Norte de Santander</t>
        </is>
      </c>
      <c r="E126" s="11" t="inlineStr">
        <is>
          <t>SANTANDERES</t>
        </is>
      </c>
      <c r="F126" s="11" t="inlineStr">
        <is>
          <t>Ali Kassem Issa Sierra</t>
        </is>
      </c>
      <c r="G126" s="11" t="inlineStr">
        <is>
          <t>1</t>
        </is>
      </c>
      <c r="H126" s="12" t="n">
        <v>46273</v>
      </c>
      <c r="I126" s="12" t="n">
        <v>46273</v>
      </c>
      <c r="J126" s="12" t="n"/>
      <c r="K126" s="12" t="n"/>
      <c r="L126" s="11" t="inlineStr">
        <is>
          <t>Programada</t>
        </is>
      </c>
      <c r="M126" s="12" t="n"/>
      <c r="N126" s="11">
        <f>SI(O(H126="";J126="");"";SI(J126&lt;=H126;"SÍ";"NO"))</f>
        <v/>
      </c>
      <c r="O126" s="11">
        <f>SI(O(I126="";K126="");"";SI(K126&lt;=SI(M126&lt;&gt;"";M126;I126);"SÍ";"NO"))</f>
        <v/>
      </c>
      <c r="P126" s="11">
        <f>SI(O(N126="";O126="");"";SI(Y(N126="SÍ";O126="SÍ");"SÍ";"NO"))</f>
        <v/>
      </c>
      <c r="Q126" s="13">
        <f>SI(O(I126="";K126="");"";MAX(0;ENTERO(K126)-ENTERO(SI(M126&lt;&gt;"";M126;I126))))</f>
        <v/>
      </c>
      <c r="R126" s="11" t="n"/>
      <c r="S126" s="11" t="n"/>
      <c r="T126" s="12" t="n"/>
      <c r="U126" s="11" t="n">
        <v>15</v>
      </c>
      <c r="V126" s="11" t="n"/>
    </row>
    <row r="127">
      <c r="A127" s="14" t="n">
        <v>5120</v>
      </c>
      <c r="B127" s="14" t="inlineStr">
        <is>
          <t>OCAÑA</t>
        </is>
      </c>
      <c r="C127" s="14" t="inlineStr">
        <is>
          <t>Ocaña</t>
        </is>
      </c>
      <c r="D127" s="14" t="inlineStr">
        <is>
          <t>Norte de Santander</t>
        </is>
      </c>
      <c r="E127" s="14" t="inlineStr">
        <is>
          <t>SANTANDERES</t>
        </is>
      </c>
      <c r="F127" s="14" t="inlineStr">
        <is>
          <t>Juan Alfonso Cuberos Buendia</t>
        </is>
      </c>
      <c r="G127" s="14" t="inlineStr">
        <is>
          <t>7</t>
        </is>
      </c>
      <c r="H127" s="15" t="n">
        <v>46273</v>
      </c>
      <c r="I127" s="15" t="n">
        <v>46276</v>
      </c>
      <c r="J127" s="15" t="n"/>
      <c r="K127" s="15" t="n"/>
      <c r="L127" s="14" t="inlineStr">
        <is>
          <t>Programada</t>
        </is>
      </c>
      <c r="M127" s="15" t="n"/>
      <c r="N127" s="14">
        <f>SI(O(H127="";J127="");"";SI(J127&lt;=H127;"SÍ";"NO"))</f>
        <v/>
      </c>
      <c r="O127" s="14">
        <f>SI(O(I127="";K127="");"";SI(K127&lt;=SI(M127&lt;&gt;"";M127;I127);"SÍ";"NO"))</f>
        <v/>
      </c>
      <c r="P127" s="14">
        <f>SI(O(N127="";O127="");"";SI(Y(N127="SÍ";O127="SÍ");"SÍ";"NO"))</f>
        <v/>
      </c>
      <c r="Q127" s="16">
        <f>SI(O(I127="";K127="");"";MAX(0;ENTERO(K127)-ENTERO(SI(M127&lt;&gt;"";M127;I127))))</f>
        <v/>
      </c>
      <c r="R127" s="14" t="n"/>
      <c r="S127" s="14" t="n"/>
      <c r="T127" s="15" t="n"/>
      <c r="U127" s="14" t="n">
        <v>45</v>
      </c>
      <c r="V127" s="14" t="n"/>
    </row>
    <row r="128">
      <c r="A128" s="11" t="n">
        <v>6670</v>
      </c>
      <c r="B128" s="11" t="inlineStr">
        <is>
          <t>VENADILLO</t>
        </is>
      </c>
      <c r="C128" s="11" t="inlineStr">
        <is>
          <t>Venadillo</t>
        </is>
      </c>
      <c r="D128" s="11" t="inlineStr">
        <is>
          <t>Tolima</t>
        </is>
      </c>
      <c r="E128" s="11" t="inlineStr">
        <is>
          <t>SUR</t>
        </is>
      </c>
      <c r="F128" s="11" t="inlineStr">
        <is>
          <t>Yeisson Castaño</t>
        </is>
      </c>
      <c r="G128" s="11" t="inlineStr">
        <is>
          <t>3</t>
        </is>
      </c>
      <c r="H128" s="12" t="n">
        <v>46273</v>
      </c>
      <c r="I128" s="12" t="n">
        <v>46273</v>
      </c>
      <c r="J128" s="12" t="n"/>
      <c r="K128" s="12" t="n"/>
      <c r="L128" s="11" t="inlineStr">
        <is>
          <t>Programada</t>
        </is>
      </c>
      <c r="M128" s="12" t="n"/>
      <c r="N128" s="11">
        <f>SI(O(H128="";J128="");"";SI(J128&lt;=H128;"SÍ";"NO"))</f>
        <v/>
      </c>
      <c r="O128" s="11">
        <f>SI(O(I128="";K128="");"";SI(K128&lt;=SI(M128&lt;&gt;"";M128;I128);"SÍ";"NO"))</f>
        <v/>
      </c>
      <c r="P128" s="11">
        <f>SI(O(N128="";O128="");"";SI(Y(N128="SÍ";O128="SÍ");"SÍ";"NO"))</f>
        <v/>
      </c>
      <c r="Q128" s="13">
        <f>SI(O(I128="";K128="");"";MAX(0;ENTERO(K128)-ENTERO(SI(M128&lt;&gt;"";M128;I128))))</f>
        <v/>
      </c>
      <c r="R128" s="11" t="n"/>
      <c r="S128" s="11" t="n"/>
      <c r="T128" s="12" t="n"/>
      <c r="U128" s="11" t="n">
        <v>24</v>
      </c>
      <c r="V128" s="11" t="n"/>
    </row>
    <row r="129">
      <c r="A129" s="14" t="n">
        <v>6917</v>
      </c>
      <c r="B129" s="14" t="inlineStr">
        <is>
          <t>TIMBIO</t>
        </is>
      </c>
      <c r="C129" s="14" t="inlineStr">
        <is>
          <t>Timbío</t>
        </is>
      </c>
      <c r="D129" s="14" t="inlineStr">
        <is>
          <t>Cauca</t>
        </is>
      </c>
      <c r="E129" s="14" t="inlineStr">
        <is>
          <t>OCCIDENTE</t>
        </is>
      </c>
      <c r="F129" s="14" t="inlineStr">
        <is>
          <t>Holmes Arley Astudillo Fajardo</t>
        </is>
      </c>
      <c r="G129" s="14" t="inlineStr">
        <is>
          <t>5</t>
        </is>
      </c>
      <c r="H129" s="15" t="n">
        <v>46273</v>
      </c>
      <c r="I129" s="15" t="n">
        <v>46274</v>
      </c>
      <c r="J129" s="15" t="n"/>
      <c r="K129" s="15" t="n"/>
      <c r="L129" s="14" t="inlineStr">
        <is>
          <t>Programada</t>
        </is>
      </c>
      <c r="M129" s="15" t="n"/>
      <c r="N129" s="14">
        <f>SI(O(H129="";J129="");"";SI(J129&lt;=H129;"SÍ";"NO"))</f>
        <v/>
      </c>
      <c r="O129" s="14">
        <f>SI(O(I129="";K129="");"";SI(K129&lt;=SI(M129&lt;&gt;"";M129;I129);"SÍ";"NO"))</f>
        <v/>
      </c>
      <c r="P129" s="14">
        <f>SI(O(N129="";O129="");"";SI(Y(N129="SÍ";O129="SÍ");"SÍ";"NO"))</f>
        <v/>
      </c>
      <c r="Q129" s="16">
        <f>SI(O(I129="";K129="");"";MAX(0;ENTERO(K129)-ENTERO(SI(M129&lt;&gt;"";M129;I129))))</f>
        <v/>
      </c>
      <c r="R129" s="14" t="n"/>
      <c r="S129" s="14" t="n"/>
      <c r="T129" s="15" t="n"/>
      <c r="U129" s="14" t="n">
        <v>35</v>
      </c>
      <c r="V129" s="14" t="n"/>
    </row>
    <row r="130">
      <c r="A130" s="11" t="n">
        <v>7935</v>
      </c>
      <c r="B130" s="11" t="inlineStr">
        <is>
          <t>PUERTO LEGUIZAMO</t>
        </is>
      </c>
      <c r="C130" s="11" t="inlineStr">
        <is>
          <t>Puerto Leguízamo</t>
        </is>
      </c>
      <c r="D130" s="11" t="inlineStr">
        <is>
          <t>Putumayo</t>
        </is>
      </c>
      <c r="E130" s="11" t="inlineStr">
        <is>
          <t>SUR</t>
        </is>
      </c>
      <c r="F130" s="11" t="inlineStr">
        <is>
          <t>HEIDELVER STELLA HINCHAMON</t>
        </is>
      </c>
      <c r="G130" s="11" t="inlineStr">
        <is>
          <t>1</t>
        </is>
      </c>
      <c r="H130" s="12" t="n">
        <v>46273</v>
      </c>
      <c r="I130" s="12" t="n">
        <v>46273</v>
      </c>
      <c r="J130" s="12" t="n"/>
      <c r="K130" s="12" t="n"/>
      <c r="L130" s="11" t="inlineStr">
        <is>
          <t>Programada</t>
        </is>
      </c>
      <c r="M130" s="12" t="n"/>
      <c r="N130" s="11">
        <f>SI(O(H130="";J130="");"";SI(J130&lt;=H130;"SÍ";"NO"))</f>
        <v/>
      </c>
      <c r="O130" s="11">
        <f>SI(O(I130="";K130="");"";SI(K130&lt;=SI(M130&lt;&gt;"";M130;I130);"SÍ";"NO"))</f>
        <v/>
      </c>
      <c r="P130" s="11">
        <f>SI(O(N130="";O130="");"";SI(Y(N130="SÍ";O130="SÍ");"SÍ";"NO"))</f>
        <v/>
      </c>
      <c r="Q130" s="13">
        <f>SI(O(I130="";K130="");"";MAX(0;ENTERO(K130)-ENTERO(SI(M130&lt;&gt;"";M130;I130))))</f>
        <v/>
      </c>
      <c r="R130" s="11" t="n"/>
      <c r="S130" s="11" t="n"/>
      <c r="T130" s="12" t="n"/>
      <c r="U130" s="11" t="n">
        <v>20</v>
      </c>
      <c r="V130" s="11" t="n"/>
    </row>
    <row r="131">
      <c r="A131" s="14" t="n">
        <v>730</v>
      </c>
      <c r="B131" s="14" t="inlineStr">
        <is>
          <t>UNE</t>
        </is>
      </c>
      <c r="C131" s="14" t="inlineStr">
        <is>
          <t>Une</t>
        </is>
      </c>
      <c r="D131" s="14" t="inlineStr">
        <is>
          <t>Cundinamarca</t>
        </is>
      </c>
      <c r="E131" s="14" t="inlineStr">
        <is>
          <t>BOGOTA</t>
        </is>
      </c>
      <c r="F131" s="14" t="inlineStr">
        <is>
          <t>Nelson Leonardo Paez Suarez</t>
        </is>
      </c>
      <c r="G131" s="14" t="inlineStr">
        <is>
          <t>2</t>
        </is>
      </c>
      <c r="H131" s="15" t="n">
        <v>46274</v>
      </c>
      <c r="I131" s="15" t="n">
        <v>46274</v>
      </c>
      <c r="J131" s="15" t="n"/>
      <c r="K131" s="15" t="n"/>
      <c r="L131" s="14" t="inlineStr">
        <is>
          <t>Programada</t>
        </is>
      </c>
      <c r="M131" s="15" t="n"/>
      <c r="N131" s="14">
        <f>SI(O(H131="";J131="");"";SI(J131&lt;=H131;"SÍ";"NO"))</f>
        <v/>
      </c>
      <c r="O131" s="14">
        <f>SI(O(I131="";K131="");"";SI(K131&lt;=SI(M131&lt;&gt;"";M131;I131);"SÍ";"NO"))</f>
        <v/>
      </c>
      <c r="P131" s="14">
        <f>SI(O(N131="";O131="");"";SI(Y(N131="SÍ";O131="SÍ");"SÍ";"NO"))</f>
        <v/>
      </c>
      <c r="Q131" s="16">
        <f>SI(O(I131="";K131="");"";MAX(0;ENTERO(K131)-ENTERO(SI(M131&lt;&gt;"";M131;I131))))</f>
        <v/>
      </c>
      <c r="R131" s="14" t="n"/>
      <c r="S131" s="14" t="n"/>
      <c r="T131" s="15" t="n"/>
      <c r="U131" s="14" t="n">
        <v>15</v>
      </c>
      <c r="V131" s="14" t="n"/>
    </row>
    <row r="132">
      <c r="A132" s="11" t="n">
        <v>1270</v>
      </c>
      <c r="B132" s="11" t="inlineStr">
        <is>
          <t>SANTA ROSA DEL SUR</t>
        </is>
      </c>
      <c r="C132" s="11" t="inlineStr">
        <is>
          <t>Santa Rosa Del Sur</t>
        </is>
      </c>
      <c r="D132" s="11" t="inlineStr">
        <is>
          <t>Bolívar</t>
        </is>
      </c>
      <c r="E132" s="11" t="inlineStr">
        <is>
          <t>SANTANDERES</t>
        </is>
      </c>
      <c r="F132" s="11" t="inlineStr">
        <is>
          <t>Libni Simei Pardo Yanes</t>
        </is>
      </c>
      <c r="G132" s="11" t="inlineStr">
        <is>
          <t>5</t>
        </is>
      </c>
      <c r="H132" s="12" t="n">
        <v>46274</v>
      </c>
      <c r="I132" s="12" t="n">
        <v>46274</v>
      </c>
      <c r="J132" s="12" t="n"/>
      <c r="K132" s="12" t="n"/>
      <c r="L132" s="11" t="inlineStr">
        <is>
          <t>Programada</t>
        </is>
      </c>
      <c r="M132" s="12" t="n"/>
      <c r="N132" s="11">
        <f>SI(O(H132="";J132="");"";SI(J132&lt;=H132;"SÍ";"NO"))</f>
        <v/>
      </c>
      <c r="O132" s="11">
        <f>SI(O(I132="";K132="");"";SI(K132&lt;=SI(M132&lt;&gt;"";M132;I132);"SÍ";"NO"))</f>
        <v/>
      </c>
      <c r="P132" s="11">
        <f>SI(O(N132="";O132="");"";SI(Y(N132="SÍ";O132="SÍ");"SÍ";"NO"))</f>
        <v/>
      </c>
      <c r="Q132" s="13">
        <f>SI(O(I132="";K132="");"";MAX(0;ENTERO(K132)-ENTERO(SI(M132&lt;&gt;"";M132;I132))))</f>
        <v/>
      </c>
      <c r="R132" s="11" t="n"/>
      <c r="S132" s="11" t="n"/>
      <c r="T132" s="12" t="n"/>
      <c r="U132" s="11" t="n">
        <v>37</v>
      </c>
      <c r="V132" s="11" t="n"/>
    </row>
    <row r="133">
      <c r="A133" s="14" t="n">
        <v>1334</v>
      </c>
      <c r="B133" s="14" t="inlineStr">
        <is>
          <t>ALTAMIRA (Corregimiento del municipio de Betulia - Antioquia)</t>
        </is>
      </c>
      <c r="C133" s="14" t="inlineStr">
        <is>
          <t>Betulia</t>
        </is>
      </c>
      <c r="D133" s="14" t="inlineStr">
        <is>
          <t>Antioquia</t>
        </is>
      </c>
      <c r="E133" s="14" t="inlineStr">
        <is>
          <t>ANTIOQUIA</t>
        </is>
      </c>
      <c r="F133" s="14" t="inlineStr">
        <is>
          <t>Juan Pablo Osorio Ramirez</t>
        </is>
      </c>
      <c r="G133" s="14" t="inlineStr">
        <is>
          <t>1</t>
        </is>
      </c>
      <c r="H133" s="15" t="n">
        <v>46274</v>
      </c>
      <c r="I133" s="15" t="n">
        <v>46274</v>
      </c>
      <c r="J133" s="15" t="n"/>
      <c r="K133" s="15" t="n"/>
      <c r="L133" s="14" t="inlineStr">
        <is>
          <t>Programada</t>
        </is>
      </c>
      <c r="M133" s="15" t="n"/>
      <c r="N133" s="14">
        <f>SI(O(H133="";J133="");"";SI(J133&lt;=H133;"SÍ";"NO"))</f>
        <v/>
      </c>
      <c r="O133" s="14">
        <f>SI(O(I133="";K133="");"";SI(K133&lt;=SI(M133&lt;&gt;"";M133;I133);"SÍ";"NO"))</f>
        <v/>
      </c>
      <c r="P133" s="14">
        <f>SI(O(N133="";O133="");"";SI(Y(N133="SÍ";O133="SÍ");"SÍ";"NO"))</f>
        <v/>
      </c>
      <c r="Q133" s="16">
        <f>SI(O(I133="";K133="");"";MAX(0;ENTERO(K133)-ENTERO(SI(M133&lt;&gt;"";M133;I133))))</f>
        <v/>
      </c>
      <c r="R133" s="14" t="n"/>
      <c r="S133" s="14" t="n"/>
      <c r="T133" s="15" t="n"/>
      <c r="U133" s="14" t="n">
        <v>18</v>
      </c>
      <c r="V133" s="14" t="n"/>
    </row>
    <row r="134">
      <c r="A134" s="11" t="n">
        <v>1359</v>
      </c>
      <c r="B134" s="11" t="inlineStr">
        <is>
          <t>ENVIGADO</t>
        </is>
      </c>
      <c r="C134" s="11" t="inlineStr">
        <is>
          <t>Envigado</t>
        </is>
      </c>
      <c r="D134" s="11" t="inlineStr">
        <is>
          <t>Antioquia</t>
        </is>
      </c>
      <c r="E134" s="11" t="inlineStr">
        <is>
          <t>ANTIOQUIA</t>
        </is>
      </c>
      <c r="F134" s="11" t="inlineStr">
        <is>
          <t>Andrés Mariano Bustamante Castro</t>
        </is>
      </c>
      <c r="G134" s="11" t="inlineStr">
        <is>
          <t>4</t>
        </is>
      </c>
      <c r="H134" s="12" t="n">
        <v>46274</v>
      </c>
      <c r="I134" s="12" t="n">
        <v>46276</v>
      </c>
      <c r="J134" s="12" t="n"/>
      <c r="K134" s="12" t="n"/>
      <c r="L134" s="11" t="inlineStr">
        <is>
          <t>Programada</t>
        </is>
      </c>
      <c r="M134" s="12" t="n"/>
      <c r="N134" s="11">
        <f>SI(O(H134="";J134="");"";SI(J134&lt;=H134;"SÍ";"NO"))</f>
        <v/>
      </c>
      <c r="O134" s="11">
        <f>SI(O(I134="";K134="");"";SI(K134&lt;=SI(M134&lt;&gt;"";M134;I134);"SÍ";"NO"))</f>
        <v/>
      </c>
      <c r="P134" s="11">
        <f>SI(O(N134="";O134="");"";SI(Y(N134="SÍ";O134="SÍ");"SÍ";"NO"))</f>
        <v/>
      </c>
      <c r="Q134" s="13">
        <f>SI(O(I134="";K134="");"";MAX(0;ENTERO(K134)-ENTERO(SI(M134&lt;&gt;"";M134;I134))))</f>
        <v/>
      </c>
      <c r="R134" s="11" t="n"/>
      <c r="S134" s="11" t="n"/>
      <c r="T134" s="12" t="n"/>
      <c r="U134" s="11" t="n">
        <v>32</v>
      </c>
      <c r="V134" s="11" t="n"/>
    </row>
    <row r="135">
      <c r="A135" s="14" t="n">
        <v>1395</v>
      </c>
      <c r="B135" s="14" t="inlineStr">
        <is>
          <t>URRAO</t>
        </is>
      </c>
      <c r="C135" s="14" t="inlineStr">
        <is>
          <t>Urrao</t>
        </is>
      </c>
      <c r="D135" s="14" t="inlineStr">
        <is>
          <t>Antioquia</t>
        </is>
      </c>
      <c r="E135" s="14" t="inlineStr">
        <is>
          <t>ANTIOQUIA</t>
        </is>
      </c>
      <c r="F135" s="14" t="inlineStr">
        <is>
          <t>Juan Pablo Osorio Ramirez</t>
        </is>
      </c>
      <c r="G135" s="14" t="inlineStr">
        <is>
          <t>2</t>
        </is>
      </c>
      <c r="H135" s="15" t="n">
        <v>46274</v>
      </c>
      <c r="I135" s="15" t="n">
        <v>46274</v>
      </c>
      <c r="J135" s="15" t="n"/>
      <c r="K135" s="15" t="n"/>
      <c r="L135" s="14" t="inlineStr">
        <is>
          <t>Programada</t>
        </is>
      </c>
      <c r="M135" s="15" t="n"/>
      <c r="N135" s="14">
        <f>SI(O(H135="";J135="");"";SI(J135&lt;=H135;"SÍ";"NO"))</f>
        <v/>
      </c>
      <c r="O135" s="14">
        <f>SI(O(I135="";K135="");"";SI(K135&lt;=SI(M135&lt;&gt;"";M135;I135);"SÍ";"NO"))</f>
        <v/>
      </c>
      <c r="P135" s="14">
        <f>SI(O(N135="";O135="");"";SI(Y(N135="SÍ";O135="SÍ");"SÍ";"NO"))</f>
        <v/>
      </c>
      <c r="Q135" s="16">
        <f>SI(O(I135="";K135="");"";MAX(0;ENTERO(K135)-ENTERO(SI(M135&lt;&gt;"";M135;I135))))</f>
        <v/>
      </c>
      <c r="R135" s="14" t="n"/>
      <c r="S135" s="14" t="n"/>
      <c r="T135" s="15" t="n"/>
      <c r="U135" s="14" t="n">
        <v>20</v>
      </c>
      <c r="V135" s="14" t="n"/>
    </row>
    <row r="136">
      <c r="A136" s="11" t="n">
        <v>1509</v>
      </c>
      <c r="B136" s="11" t="inlineStr">
        <is>
          <t>CAMPOHERMOSO</t>
        </is>
      </c>
      <c r="C136" s="11" t="inlineStr">
        <is>
          <t>Campohermoso</t>
        </is>
      </c>
      <c r="D136" s="11" t="inlineStr">
        <is>
          <t>Boyacá</t>
        </is>
      </c>
      <c r="E136" s="11" t="inlineStr">
        <is>
          <t>ORIENTE</t>
        </is>
      </c>
      <c r="F136" s="11" t="inlineStr">
        <is>
          <t>Andrés Felipe Carvajal Pire</t>
        </is>
      </c>
      <c r="G136" s="11" t="inlineStr">
        <is>
          <t>1</t>
        </is>
      </c>
      <c r="H136" s="12" t="n">
        <v>46274</v>
      </c>
      <c r="I136" s="12" t="n">
        <v>46275</v>
      </c>
      <c r="J136" s="12" t="n"/>
      <c r="K136" s="12" t="n"/>
      <c r="L136" s="11" t="inlineStr">
        <is>
          <t>Programada</t>
        </is>
      </c>
      <c r="M136" s="12" t="n"/>
      <c r="N136" s="11">
        <f>SI(O(H136="";J136="");"";SI(J136&lt;=H136;"SÍ";"NO"))</f>
        <v/>
      </c>
      <c r="O136" s="11">
        <f>SI(O(I136="";K136="");"";SI(K136&lt;=SI(M136&lt;&gt;"";M136;I136);"SÍ";"NO"))</f>
        <v/>
      </c>
      <c r="P136" s="11">
        <f>SI(O(N136="";O136="");"";SI(Y(N136="SÍ";O136="SÍ");"SÍ";"NO"))</f>
        <v/>
      </c>
      <c r="Q136" s="13">
        <f>SI(O(I136="";K136="");"";MAX(0;ENTERO(K136)-ENTERO(SI(M136&lt;&gt;"";M136;I136))))</f>
        <v/>
      </c>
      <c r="R136" s="11" t="n"/>
      <c r="S136" s="11" t="n"/>
      <c r="T136" s="12" t="n"/>
      <c r="U136" s="11" t="n">
        <v>13</v>
      </c>
      <c r="V136" s="11" t="n"/>
    </row>
    <row r="137">
      <c r="A137" s="14" t="n">
        <v>1535</v>
      </c>
      <c r="B137" s="14" t="inlineStr">
        <is>
          <t>JENESANO</t>
        </is>
      </c>
      <c r="C137" s="14" t="inlineStr">
        <is>
          <t>Jenesano</t>
        </is>
      </c>
      <c r="D137" s="14" t="inlineStr">
        <is>
          <t>Boyacá</t>
        </is>
      </c>
      <c r="E137" s="14" t="inlineStr">
        <is>
          <t>ORIENTE</t>
        </is>
      </c>
      <c r="F137" s="14" t="inlineStr">
        <is>
          <t>Andrés Felipe Díaz Noy</t>
        </is>
      </c>
      <c r="G137" s="14" t="inlineStr">
        <is>
          <t>1</t>
        </is>
      </c>
      <c r="H137" s="15" t="n">
        <v>46274</v>
      </c>
      <c r="I137" s="15" t="n">
        <v>46275</v>
      </c>
      <c r="J137" s="15" t="n"/>
      <c r="K137" s="15" t="n"/>
      <c r="L137" s="14" t="inlineStr">
        <is>
          <t>Programada</t>
        </is>
      </c>
      <c r="M137" s="15" t="n"/>
      <c r="N137" s="14">
        <f>SI(O(H137="";J137="");"";SI(J137&lt;=H137;"SÍ";"NO"))</f>
        <v/>
      </c>
      <c r="O137" s="14">
        <f>SI(O(I137="";K137="");"";SI(K137&lt;=SI(M137&lt;&gt;"";M137;I137);"SÍ";"NO"))</f>
        <v/>
      </c>
      <c r="P137" s="14">
        <f>SI(O(N137="";O137="");"";SI(Y(N137="SÍ";O137="SÍ");"SÍ";"NO"))</f>
        <v/>
      </c>
      <c r="Q137" s="16">
        <f>SI(O(I137="";K137="");"";MAX(0;ENTERO(K137)-ENTERO(SI(M137&lt;&gt;"";M137;I137))))</f>
        <v/>
      </c>
      <c r="R137" s="14" t="n"/>
      <c r="S137" s="14" t="n"/>
      <c r="T137" s="15" t="n"/>
      <c r="U137" s="14" t="n">
        <v>17</v>
      </c>
      <c r="V137" s="14" t="n"/>
    </row>
    <row r="138">
      <c r="A138" s="11" t="n">
        <v>1550</v>
      </c>
      <c r="B138" s="11" t="inlineStr">
        <is>
          <t>MIRAFLORES</t>
        </is>
      </c>
      <c r="C138" s="11" t="inlineStr">
        <is>
          <t>Miraflores</t>
        </is>
      </c>
      <c r="D138" s="11" t="inlineStr">
        <is>
          <t>Boyacá</t>
        </is>
      </c>
      <c r="E138" s="11" t="inlineStr">
        <is>
          <t>ORIENTE</t>
        </is>
      </c>
      <c r="F138" s="11" t="inlineStr">
        <is>
          <t>Luz Nélida Barragán Toro</t>
        </is>
      </c>
      <c r="G138" s="11" t="inlineStr">
        <is>
          <t>3</t>
        </is>
      </c>
      <c r="H138" s="12" t="n">
        <v>46274</v>
      </c>
      <c r="I138" s="12" t="n">
        <v>46275</v>
      </c>
      <c r="J138" s="12" t="n"/>
      <c r="K138" s="12" t="n"/>
      <c r="L138" s="11" t="inlineStr">
        <is>
          <t>Programada</t>
        </is>
      </c>
      <c r="M138" s="12" t="n"/>
      <c r="N138" s="11">
        <f>SI(O(H138="";J138="");"";SI(J138&lt;=H138;"SÍ";"NO"))</f>
        <v/>
      </c>
      <c r="O138" s="11">
        <f>SI(O(I138="";K138="");"";SI(K138&lt;=SI(M138&lt;&gt;"";M138;I138);"SÍ";"NO"))</f>
        <v/>
      </c>
      <c r="P138" s="11">
        <f>SI(O(N138="";O138="");"";SI(Y(N138="SÍ";O138="SÍ");"SÍ";"NO"))</f>
        <v/>
      </c>
      <c r="Q138" s="13">
        <f>SI(O(I138="";K138="");"";MAX(0;ENTERO(K138)-ENTERO(SI(M138&lt;&gt;"";M138;I138))))</f>
        <v/>
      </c>
      <c r="R138" s="11" t="n"/>
      <c r="S138" s="11" t="n"/>
      <c r="T138" s="12" t="n"/>
      <c r="U138" s="11" t="n">
        <v>25</v>
      </c>
      <c r="V138" s="11" t="n"/>
    </row>
    <row r="139">
      <c r="A139" s="14" t="n">
        <v>1563</v>
      </c>
      <c r="B139" s="14" t="inlineStr">
        <is>
          <t>RAMIRIQUI</t>
        </is>
      </c>
      <c r="C139" s="14" t="inlineStr">
        <is>
          <t>Ramiriquí</t>
        </is>
      </c>
      <c r="D139" s="14" t="inlineStr">
        <is>
          <t>Boyacá</t>
        </is>
      </c>
      <c r="E139" s="14" t="inlineStr">
        <is>
          <t>ORIENTE</t>
        </is>
      </c>
      <c r="F139" s="14" t="inlineStr">
        <is>
          <t>Mauricio Andrés Rivera Páez</t>
        </is>
      </c>
      <c r="G139" s="14" t="inlineStr">
        <is>
          <t>3</t>
        </is>
      </c>
      <c r="H139" s="15" t="n">
        <v>46274</v>
      </c>
      <c r="I139" s="15" t="n">
        <v>46275</v>
      </c>
      <c r="J139" s="15" t="n"/>
      <c r="K139" s="15" t="n"/>
      <c r="L139" s="14" t="inlineStr">
        <is>
          <t>Programada</t>
        </is>
      </c>
      <c r="M139" s="15" t="n"/>
      <c r="N139" s="14">
        <f>SI(O(H139="";J139="");"";SI(J139&lt;=H139;"SÍ";"NO"))</f>
        <v/>
      </c>
      <c r="O139" s="14">
        <f>SI(O(I139="";K139="");"";SI(K139&lt;=SI(M139&lt;&gt;"";M139;I139);"SÍ";"NO"))</f>
        <v/>
      </c>
      <c r="P139" s="14">
        <f>SI(O(N139="";O139="");"";SI(Y(N139="SÍ";O139="SÍ");"SÍ";"NO"))</f>
        <v/>
      </c>
      <c r="Q139" s="16">
        <f>SI(O(I139="";K139="");"";MAX(0;ENTERO(K139)-ENTERO(SI(M139&lt;&gt;"";M139;I139))))</f>
        <v/>
      </c>
      <c r="R139" s="14" t="n"/>
      <c r="S139" s="14" t="n"/>
      <c r="T139" s="15" t="n"/>
      <c r="U139" s="14" t="n">
        <v>31</v>
      </c>
      <c r="V139" s="14" t="n"/>
    </row>
    <row r="140">
      <c r="A140" s="11" t="n">
        <v>2420</v>
      </c>
      <c r="B140" s="11" t="inlineStr">
        <is>
          <t>MANAURE</t>
        </is>
      </c>
      <c r="C140" s="11" t="inlineStr">
        <is>
          <t>Manaure</t>
        </is>
      </c>
      <c r="D140" s="11" t="inlineStr">
        <is>
          <t>Cesar</t>
        </is>
      </c>
      <c r="E140" s="11" t="inlineStr">
        <is>
          <t>COSTA</t>
        </is>
      </c>
      <c r="F140" s="11" t="inlineStr">
        <is>
          <t>Antonio Martinez Charris</t>
        </is>
      </c>
      <c r="G140" s="11" t="inlineStr">
        <is>
          <t>1</t>
        </is>
      </c>
      <c r="H140" s="12" t="n">
        <v>46274</v>
      </c>
      <c r="I140" s="12" t="n">
        <v>46274</v>
      </c>
      <c r="J140" s="12" t="n"/>
      <c r="K140" s="12" t="n"/>
      <c r="L140" s="11" t="inlineStr">
        <is>
          <t>Programada</t>
        </is>
      </c>
      <c r="M140" s="12" t="n"/>
      <c r="N140" s="11">
        <f>SI(O(H140="";J140="");"";SI(J140&lt;=H140;"SÍ";"NO"))</f>
        <v/>
      </c>
      <c r="O140" s="11">
        <f>SI(O(I140="";K140="");"";SI(K140&lt;=SI(M140&lt;&gt;"";M140;I140);"SÍ";"NO"))</f>
        <v/>
      </c>
      <c r="P140" s="11">
        <f>SI(O(N140="";O140="");"";SI(Y(N140="SÍ";O140="SÍ");"SÍ";"NO"))</f>
        <v/>
      </c>
      <c r="Q140" s="13">
        <f>SI(O(I140="";K140="");"";MAX(0;ENTERO(K140)-ENTERO(SI(M140&lt;&gt;"";M140;I140))))</f>
        <v/>
      </c>
      <c r="R140" s="11" t="n"/>
      <c r="S140" s="11" t="n"/>
      <c r="T140" s="12" t="n"/>
      <c r="U140" s="11" t="n">
        <v>13</v>
      </c>
      <c r="V140" s="11" t="n"/>
    </row>
    <row r="141">
      <c r="A141" s="14" t="n">
        <v>2730</v>
      </c>
      <c r="B141" s="14" t="inlineStr">
        <is>
          <t>SAN CARLOS</t>
        </is>
      </c>
      <c r="C141" s="14" t="inlineStr">
        <is>
          <t>San Carlos</t>
        </is>
      </c>
      <c r="D141" s="14" t="inlineStr">
        <is>
          <t>Córdoba</t>
        </is>
      </c>
      <c r="E141" s="14" t="inlineStr">
        <is>
          <t>COSTA</t>
        </is>
      </c>
      <c r="F141" s="14" t="inlineStr">
        <is>
          <t>Jorge Felipe Munive Medina</t>
        </is>
      </c>
      <c r="G141" s="14" t="inlineStr">
        <is>
          <t>1</t>
        </is>
      </c>
      <c r="H141" s="15" t="n">
        <v>46274</v>
      </c>
      <c r="I141" s="15" t="n">
        <v>46274</v>
      </c>
      <c r="J141" s="15" t="n"/>
      <c r="K141" s="15" t="n"/>
      <c r="L141" s="14" t="inlineStr">
        <is>
          <t>Programada</t>
        </is>
      </c>
      <c r="M141" s="15" t="n"/>
      <c r="N141" s="14">
        <f>SI(O(H141="";J141="");"";SI(J141&lt;=H141;"SÍ";"NO"))</f>
        <v/>
      </c>
      <c r="O141" s="14">
        <f>SI(O(I141="";K141="");"";SI(K141&lt;=SI(M141&lt;&gt;"";M141;I141);"SÍ";"NO"))</f>
        <v/>
      </c>
      <c r="P141" s="14">
        <f>SI(O(N141="";O141="");"";SI(Y(N141="SÍ";O141="SÍ");"SÍ";"NO"))</f>
        <v/>
      </c>
      <c r="Q141" s="16">
        <f>SI(O(I141="";K141="");"";MAX(0;ENTERO(K141)-ENTERO(SI(M141&lt;&gt;"";M141;I141))))</f>
        <v/>
      </c>
      <c r="R141" s="14" t="n"/>
      <c r="S141" s="14" t="n"/>
      <c r="T141" s="15" t="n"/>
      <c r="U141" s="14" t="n">
        <v>13</v>
      </c>
      <c r="V141" s="14" t="n"/>
    </row>
    <row r="142">
      <c r="A142" s="11" t="n">
        <v>2750</v>
      </c>
      <c r="B142" s="11" t="inlineStr">
        <is>
          <t>MOMIL</t>
        </is>
      </c>
      <c r="C142" s="11" t="inlineStr">
        <is>
          <t>Momil</t>
        </is>
      </c>
      <c r="D142" s="11" t="inlineStr">
        <is>
          <t>Córdoba</t>
        </is>
      </c>
      <c r="E142" s="11" t="inlineStr">
        <is>
          <t>COSTA</t>
        </is>
      </c>
      <c r="F142" s="11" t="inlineStr">
        <is>
          <t>Dimar Jose Morelo Cardona</t>
        </is>
      </c>
      <c r="G142" s="11" t="inlineStr">
        <is>
          <t>1</t>
        </is>
      </c>
      <c r="H142" s="12" t="n">
        <v>46274</v>
      </c>
      <c r="I142" s="12" t="n">
        <v>46274</v>
      </c>
      <c r="J142" s="12" t="n"/>
      <c r="K142" s="12" t="n"/>
      <c r="L142" s="11" t="inlineStr">
        <is>
          <t>Programada</t>
        </is>
      </c>
      <c r="M142" s="12" t="n"/>
      <c r="N142" s="11">
        <f>SI(O(H142="";J142="");"";SI(J142&lt;=H142;"SÍ";"NO"))</f>
        <v/>
      </c>
      <c r="O142" s="11">
        <f>SI(O(I142="";K142="");"";SI(K142&lt;=SI(M142&lt;&gt;"";M142;I142);"SÍ";"NO"))</f>
        <v/>
      </c>
      <c r="P142" s="11">
        <f>SI(O(N142="";O142="");"";SI(Y(N142="SÍ";O142="SÍ");"SÍ";"NO"))</f>
        <v/>
      </c>
      <c r="Q142" s="13">
        <f>SI(O(I142="";K142="");"";MAX(0;ENTERO(K142)-ENTERO(SI(M142&lt;&gt;"";M142;I142))))</f>
        <v/>
      </c>
      <c r="R142" s="11" t="n"/>
      <c r="S142" s="11" t="n"/>
      <c r="T142" s="12" t="n"/>
      <c r="U142" s="11" t="n">
        <v>13</v>
      </c>
      <c r="V142" s="11" t="n"/>
    </row>
    <row r="143">
      <c r="A143" s="14" t="n">
        <v>3118</v>
      </c>
      <c r="B143" s="14" t="inlineStr">
        <is>
          <t>CHOCONTA</t>
        </is>
      </c>
      <c r="C143" s="14" t="inlineStr">
        <is>
          <t>Chocontá</t>
        </is>
      </c>
      <c r="D143" s="14" t="inlineStr">
        <is>
          <t>Cundinamarca</t>
        </is>
      </c>
      <c r="E143" s="14" t="inlineStr">
        <is>
          <t>BOGOTA</t>
        </is>
      </c>
      <c r="F143" s="14" t="inlineStr">
        <is>
          <t>Carlos Andres Cuchivaguen Diaz</t>
        </is>
      </c>
      <c r="G143" s="14" t="inlineStr">
        <is>
          <t>6</t>
        </is>
      </c>
      <c r="H143" s="15" t="n">
        <v>46274</v>
      </c>
      <c r="I143" s="15" t="n">
        <v>46275</v>
      </c>
      <c r="J143" s="15" t="n"/>
      <c r="K143" s="15" t="n"/>
      <c r="L143" s="14" t="inlineStr">
        <is>
          <t>Programada</t>
        </is>
      </c>
      <c r="M143" s="15" t="n"/>
      <c r="N143" s="14">
        <f>SI(O(H143="";J143="");"";SI(J143&lt;=H143;"SÍ";"NO"))</f>
        <v/>
      </c>
      <c r="O143" s="14">
        <f>SI(O(I143="";K143="");"";SI(K143&lt;=SI(M143&lt;&gt;"";M143;I143);"SÍ";"NO"))</f>
        <v/>
      </c>
      <c r="P143" s="14">
        <f>SI(O(N143="";O143="");"";SI(Y(N143="SÍ";O143="SÍ");"SÍ";"NO"))</f>
        <v/>
      </c>
      <c r="Q143" s="16">
        <f>SI(O(I143="";K143="");"";MAX(0;ENTERO(K143)-ENTERO(SI(M143&lt;&gt;"";M143;I143))))</f>
        <v/>
      </c>
      <c r="R143" s="14" t="n"/>
      <c r="S143" s="14" t="n"/>
      <c r="T143" s="15" t="n"/>
      <c r="U143" s="14" t="n">
        <v>35</v>
      </c>
      <c r="V143" s="14" t="n"/>
    </row>
    <row r="144">
      <c r="A144" s="11" t="n">
        <v>3127</v>
      </c>
      <c r="B144" s="11" t="inlineStr">
        <is>
          <t>CARMEN DE CARUPA</t>
        </is>
      </c>
      <c r="C144" s="11" t="inlineStr">
        <is>
          <t>Carmen De Carupa</t>
        </is>
      </c>
      <c r="D144" s="11" t="inlineStr">
        <is>
          <t>Cundinamarca</t>
        </is>
      </c>
      <c r="E144" s="11" t="inlineStr">
        <is>
          <t>BOGOTA</t>
        </is>
      </c>
      <c r="F144" s="11" t="inlineStr">
        <is>
          <t>Edwin Santiago Cuchivaguen Diaz</t>
        </is>
      </c>
      <c r="G144" s="11" t="inlineStr">
        <is>
          <t>2</t>
        </is>
      </c>
      <c r="H144" s="12" t="n">
        <v>46274</v>
      </c>
      <c r="I144" s="12" t="n">
        <v>46274</v>
      </c>
      <c r="J144" s="12" t="n"/>
      <c r="K144" s="12" t="n"/>
      <c r="L144" s="11" t="inlineStr">
        <is>
          <t>Programada</t>
        </is>
      </c>
      <c r="M144" s="12" t="n"/>
      <c r="N144" s="11">
        <f>SI(O(H144="";J144="");"";SI(J144&lt;=H144;"SÍ";"NO"))</f>
        <v/>
      </c>
      <c r="O144" s="11">
        <f>SI(O(I144="";K144="");"";SI(K144&lt;=SI(M144&lt;&gt;"";M144;I144);"SÍ";"NO"))</f>
        <v/>
      </c>
      <c r="P144" s="11">
        <f>SI(O(N144="";O144="");"";SI(Y(N144="SÍ";O144="SÍ");"SÍ";"NO"))</f>
        <v/>
      </c>
      <c r="Q144" s="13">
        <f>SI(O(I144="";K144="");"";MAX(0;ENTERO(K144)-ENTERO(SI(M144&lt;&gt;"";M144;I144))))</f>
        <v/>
      </c>
      <c r="R144" s="11" t="n"/>
      <c r="S144" s="11" t="n"/>
      <c r="T144" s="12" t="n"/>
      <c r="U144" s="11" t="n">
        <v>18</v>
      </c>
      <c r="V144" s="11" t="n"/>
    </row>
    <row r="145">
      <c r="A145" s="14" t="n">
        <v>3172</v>
      </c>
      <c r="B145" s="14" t="inlineStr">
        <is>
          <t>TOPAIPI</t>
        </is>
      </c>
      <c r="C145" s="14" t="inlineStr">
        <is>
          <t>Topaipí</t>
        </is>
      </c>
      <c r="D145" s="14" t="inlineStr">
        <is>
          <t>Cundinamarca</t>
        </is>
      </c>
      <c r="E145" s="14" t="inlineStr">
        <is>
          <t>BOGOTA</t>
        </is>
      </c>
      <c r="F145" s="14" t="inlineStr">
        <is>
          <t>Jhonatan Felipe Hernandez Gamboa</t>
        </is>
      </c>
      <c r="G145" s="14" t="inlineStr">
        <is>
          <t>1</t>
        </is>
      </c>
      <c r="H145" s="15" t="n">
        <v>46274</v>
      </c>
      <c r="I145" s="15" t="n">
        <v>46274</v>
      </c>
      <c r="J145" s="15" t="n"/>
      <c r="K145" s="15" t="n"/>
      <c r="L145" s="14" t="inlineStr">
        <is>
          <t>Programada</t>
        </is>
      </c>
      <c r="M145" s="15" t="n"/>
      <c r="N145" s="14">
        <f>SI(O(H145="";J145="");"";SI(J145&lt;=H145;"SÍ";"NO"))</f>
        <v/>
      </c>
      <c r="O145" s="14">
        <f>SI(O(I145="";K145="");"";SI(K145&lt;=SI(M145&lt;&gt;"";M145;I145);"SÍ";"NO"))</f>
        <v/>
      </c>
      <c r="P145" s="14">
        <f>SI(O(N145="";O145="");"";SI(Y(N145="SÍ";O145="SÍ");"SÍ";"NO"))</f>
        <v/>
      </c>
      <c r="Q145" s="16">
        <f>SI(O(I145="";K145="");"";MAX(0;ENTERO(K145)-ENTERO(SI(M145&lt;&gt;"";M145;I145))))</f>
        <v/>
      </c>
      <c r="R145" s="14" t="n"/>
      <c r="S145" s="14" t="n"/>
      <c r="T145" s="15" t="n"/>
      <c r="U145" s="14" t="n">
        <v>13</v>
      </c>
      <c r="V145" s="14" t="n"/>
    </row>
    <row r="146">
      <c r="A146" s="11" t="n">
        <v>3922</v>
      </c>
      <c r="B146" s="11" t="inlineStr">
        <is>
          <t>HOBO</t>
        </is>
      </c>
      <c r="C146" s="11" t="inlineStr">
        <is>
          <t>Hobo</t>
        </is>
      </c>
      <c r="D146" s="11" t="inlineStr">
        <is>
          <t>Huila</t>
        </is>
      </c>
      <c r="E146" s="11" t="inlineStr">
        <is>
          <t>SUR</t>
        </is>
      </c>
      <c r="F146" s="11" t="inlineStr">
        <is>
          <t>ERIKA VARGAS</t>
        </is>
      </c>
      <c r="G146" s="11" t="inlineStr">
        <is>
          <t>1</t>
        </is>
      </c>
      <c r="H146" s="12" t="n">
        <v>46274</v>
      </c>
      <c r="I146" s="12" t="n">
        <v>46274</v>
      </c>
      <c r="J146" s="12" t="n"/>
      <c r="K146" s="12" t="n"/>
      <c r="L146" s="11" t="inlineStr">
        <is>
          <t>Programada</t>
        </is>
      </c>
      <c r="M146" s="12" t="n"/>
      <c r="N146" s="11">
        <f>SI(O(H146="";J146="");"";SI(J146&lt;=H146;"SÍ";"NO"))</f>
        <v/>
      </c>
      <c r="O146" s="11">
        <f>SI(O(I146="";K146="");"";SI(K146&lt;=SI(M146&lt;&gt;"";M146;I146);"SÍ";"NO"))</f>
        <v/>
      </c>
      <c r="P146" s="11">
        <f>SI(O(N146="";O146="");"";SI(Y(N146="SÍ";O146="SÍ");"SÍ";"NO"))</f>
        <v/>
      </c>
      <c r="Q146" s="13">
        <f>SI(O(I146="";K146="");"";MAX(0;ENTERO(K146)-ENTERO(SI(M146&lt;&gt;"";M146;I146))))</f>
        <v/>
      </c>
      <c r="R146" s="11" t="n"/>
      <c r="S146" s="11" t="n"/>
      <c r="T146" s="12" t="n"/>
      <c r="U146" s="11" t="n">
        <v>16</v>
      </c>
      <c r="V146" s="11" t="n"/>
    </row>
    <row r="147">
      <c r="A147" s="14" t="n">
        <v>4530</v>
      </c>
      <c r="B147" s="14" t="inlineStr">
        <is>
          <t>PUERTO LOPEZ</t>
        </is>
      </c>
      <c r="C147" s="14" t="inlineStr">
        <is>
          <t>Puerto López</t>
        </is>
      </c>
      <c r="D147" s="14" t="inlineStr">
        <is>
          <t>Meta</t>
        </is>
      </c>
      <c r="E147" s="14" t="inlineStr">
        <is>
          <t>BOGOTA</t>
        </is>
      </c>
      <c r="F147" s="14" t="inlineStr">
        <is>
          <t>Angel Danilo Martinez Tejeiro</t>
        </is>
      </c>
      <c r="G147" s="14" t="inlineStr">
        <is>
          <t>5</t>
        </is>
      </c>
      <c r="H147" s="15" t="n">
        <v>46274</v>
      </c>
      <c r="I147" s="15" t="n">
        <v>46274</v>
      </c>
      <c r="J147" s="15" t="n"/>
      <c r="K147" s="15" t="n"/>
      <c r="L147" s="14" t="inlineStr">
        <is>
          <t>Programada</t>
        </is>
      </c>
      <c r="M147" s="15" t="n"/>
      <c r="N147" s="14">
        <f>SI(O(H147="";J147="");"";SI(J147&lt;=H147;"SÍ";"NO"))</f>
        <v/>
      </c>
      <c r="O147" s="14">
        <f>SI(O(I147="";K147="");"";SI(K147&lt;=SI(M147&lt;&gt;"";M147;I147);"SÍ";"NO"))</f>
        <v/>
      </c>
      <c r="P147" s="14">
        <f>SI(O(N147="";O147="");"";SI(Y(N147="SÍ";O147="SÍ");"SÍ";"NO"))</f>
        <v/>
      </c>
      <c r="Q147" s="16">
        <f>SI(O(I147="";K147="");"";MAX(0;ENTERO(K147)-ENTERO(SI(M147&lt;&gt;"";M147;I147))))</f>
        <v/>
      </c>
      <c r="R147" s="14" t="n"/>
      <c r="S147" s="14" t="n"/>
      <c r="T147" s="15" t="n"/>
      <c r="U147" s="14" t="n">
        <v>23</v>
      </c>
      <c r="V147" s="14" t="n"/>
    </row>
    <row r="148">
      <c r="A148" s="11" t="n">
        <v>4532</v>
      </c>
      <c r="B148" s="11" t="inlineStr">
        <is>
          <t>SAN JUAN DE ARAMA</t>
        </is>
      </c>
      <c r="C148" s="11" t="inlineStr">
        <is>
          <t>San Juan De Arama</t>
        </is>
      </c>
      <c r="D148" s="11" t="inlineStr">
        <is>
          <t>Meta</t>
        </is>
      </c>
      <c r="E148" s="11" t="inlineStr">
        <is>
          <t>BOGOTA</t>
        </is>
      </c>
      <c r="F148" s="11" t="inlineStr">
        <is>
          <t>Andres Felipe Balbin</t>
        </is>
      </c>
      <c r="G148" s="11" t="inlineStr">
        <is>
          <t>1</t>
        </is>
      </c>
      <c r="H148" s="12" t="n">
        <v>46274</v>
      </c>
      <c r="I148" s="12" t="n">
        <v>46274</v>
      </c>
      <c r="J148" s="12" t="n"/>
      <c r="K148" s="12" t="n"/>
      <c r="L148" s="11" t="inlineStr">
        <is>
          <t>Programada</t>
        </is>
      </c>
      <c r="M148" s="12" t="n"/>
      <c r="N148" s="11">
        <f>SI(O(H148="";J148="");"";SI(J148&lt;=H148;"SÍ";"NO"))</f>
        <v/>
      </c>
      <c r="O148" s="11">
        <f>SI(O(I148="";K148="");"";SI(K148&lt;=SI(M148&lt;&gt;"";M148;I148);"SÍ";"NO"))</f>
        <v/>
      </c>
      <c r="P148" s="11">
        <f>SI(O(N148="";O148="");"";SI(Y(N148="SÍ";O148="SÍ");"SÍ";"NO"))</f>
        <v/>
      </c>
      <c r="Q148" s="13">
        <f>SI(O(I148="";K148="");"";MAX(0;ENTERO(K148)-ENTERO(SI(M148&lt;&gt;"";M148;I148))))</f>
        <v/>
      </c>
      <c r="R148" s="11" t="n"/>
      <c r="S148" s="11" t="n"/>
      <c r="T148" s="12" t="n"/>
      <c r="U148" s="11" t="n">
        <v>13</v>
      </c>
      <c r="V148" s="11" t="n"/>
    </row>
    <row r="149">
      <c r="A149" s="14" t="n">
        <v>4812</v>
      </c>
      <c r="B149" s="14" t="inlineStr">
        <is>
          <t>PUPIALES</t>
        </is>
      </c>
      <c r="C149" s="14" t="inlineStr">
        <is>
          <t>Pupiales</t>
        </is>
      </c>
      <c r="D149" s="14" t="inlineStr">
        <is>
          <t>Nariño</t>
        </is>
      </c>
      <c r="E149" s="14" t="inlineStr">
        <is>
          <t>OCCIDENTE</t>
        </is>
      </c>
      <c r="F149" s="14" t="inlineStr">
        <is>
          <t>Juan Carlos Narvaez Acosta / Luis Fernando Ibarra Guio</t>
        </is>
      </c>
      <c r="G149" s="14" t="inlineStr">
        <is>
          <t>3</t>
        </is>
      </c>
      <c r="H149" s="15" t="n">
        <v>46274</v>
      </c>
      <c r="I149" s="15" t="n">
        <v>46274</v>
      </c>
      <c r="J149" s="15" t="n"/>
      <c r="K149" s="15" t="n"/>
      <c r="L149" s="14" t="inlineStr">
        <is>
          <t>Programada</t>
        </is>
      </c>
      <c r="M149" s="15" t="n"/>
      <c r="N149" s="14">
        <f>SI(O(H149="";J149="");"";SI(J149&lt;=H149;"SÍ";"NO"))</f>
        <v/>
      </c>
      <c r="O149" s="14">
        <f>SI(O(I149="";K149="");"";SI(K149&lt;=SI(M149&lt;&gt;"";M149;I149);"SÍ";"NO"))</f>
        <v/>
      </c>
      <c r="P149" s="14">
        <f>SI(O(N149="";O149="");"";SI(Y(N149="SÍ";O149="SÍ");"SÍ";"NO"))</f>
        <v/>
      </c>
      <c r="Q149" s="16">
        <f>SI(O(I149="";K149="");"";MAX(0;ENTERO(K149)-ENTERO(SI(M149&lt;&gt;"";M149;I149))))</f>
        <v/>
      </c>
      <c r="R149" s="14" t="n"/>
      <c r="S149" s="14" t="n"/>
      <c r="T149" s="15" t="n"/>
      <c r="U149" s="14" t="n">
        <v>27</v>
      </c>
      <c r="V149" s="14" t="n"/>
    </row>
    <row r="150">
      <c r="A150" s="11" t="n">
        <v>5110</v>
      </c>
      <c r="B150" s="11" t="inlineStr">
        <is>
          <t>EL ZULIA</t>
        </is>
      </c>
      <c r="C150" s="11" t="inlineStr">
        <is>
          <t>El Zulia</t>
        </is>
      </c>
      <c r="D150" s="11" t="inlineStr">
        <is>
          <t>Norte de Santander</t>
        </is>
      </c>
      <c r="E150" s="11" t="inlineStr">
        <is>
          <t>SANTANDERES</t>
        </is>
      </c>
      <c r="F150" s="11" t="inlineStr">
        <is>
          <t>Ali Kassem Issa Sierra</t>
        </is>
      </c>
      <c r="G150" s="11" t="inlineStr">
        <is>
          <t>5</t>
        </is>
      </c>
      <c r="H150" s="12" t="n">
        <v>46274</v>
      </c>
      <c r="I150" s="12" t="n">
        <v>46276</v>
      </c>
      <c r="J150" s="12" t="n"/>
      <c r="K150" s="12" t="n"/>
      <c r="L150" s="11" t="inlineStr">
        <is>
          <t>Programada</t>
        </is>
      </c>
      <c r="M150" s="12" t="n"/>
      <c r="N150" s="11">
        <f>SI(O(H150="";J150="");"";SI(J150&lt;=H150;"SÍ";"NO"))</f>
        <v/>
      </c>
      <c r="O150" s="11">
        <f>SI(O(I150="";K150="");"";SI(K150&lt;=SI(M150&lt;&gt;"";M150;I150);"SÍ";"NO"))</f>
        <v/>
      </c>
      <c r="P150" s="11">
        <f>SI(O(N150="";O150="");"";SI(Y(N150="SÍ";O150="SÍ");"SÍ";"NO"))</f>
        <v/>
      </c>
      <c r="Q150" s="13">
        <f>SI(O(I150="";K150="");"";MAX(0;ENTERO(K150)-ENTERO(SI(M150&lt;&gt;"";M150;I150))))</f>
        <v/>
      </c>
      <c r="R150" s="11" t="n"/>
      <c r="S150" s="11" t="n"/>
      <c r="T150" s="12" t="n"/>
      <c r="U150" s="11" t="n">
        <v>29</v>
      </c>
      <c r="V150" s="11" t="n"/>
    </row>
    <row r="151">
      <c r="A151" s="14" t="n">
        <v>6613</v>
      </c>
      <c r="B151" s="14" t="inlineStr">
        <is>
          <t>CHAPARRAL</t>
        </is>
      </c>
      <c r="C151" s="14" t="inlineStr">
        <is>
          <t>Chaparral</t>
        </is>
      </c>
      <c r="D151" s="14" t="inlineStr">
        <is>
          <t>Tolima</t>
        </is>
      </c>
      <c r="E151" s="14" t="inlineStr">
        <is>
          <t>SUR</t>
        </is>
      </c>
      <c r="F151" s="14" t="inlineStr">
        <is>
          <t>Johan Cardenas</t>
        </is>
      </c>
      <c r="G151" s="14" t="inlineStr">
        <is>
          <t>4</t>
        </is>
      </c>
      <c r="H151" s="15" t="n">
        <v>46274</v>
      </c>
      <c r="I151" s="15" t="n">
        <v>46275</v>
      </c>
      <c r="J151" s="15" t="n"/>
      <c r="K151" s="15" t="n"/>
      <c r="L151" s="14" t="inlineStr">
        <is>
          <t>Programada</t>
        </is>
      </c>
      <c r="M151" s="15" t="n"/>
      <c r="N151" s="14">
        <f>SI(O(H151="";J151="");"";SI(J151&lt;=H151;"SÍ";"NO"))</f>
        <v/>
      </c>
      <c r="O151" s="14">
        <f>SI(O(I151="";K151="");"";SI(K151&lt;=SI(M151&lt;&gt;"";M151;I151);"SÍ";"NO"))</f>
        <v/>
      </c>
      <c r="P151" s="14">
        <f>SI(O(N151="";O151="");"";SI(Y(N151="SÍ";O151="SÍ");"SÍ";"NO"))</f>
        <v/>
      </c>
      <c r="Q151" s="16">
        <f>SI(O(I151="";K151="");"";MAX(0;ENTERO(K151)-ENTERO(SI(M151&lt;&gt;"";M151;I151))))</f>
        <v/>
      </c>
      <c r="R151" s="14" t="n"/>
      <c r="S151" s="14" t="n"/>
      <c r="T151" s="15" t="n"/>
      <c r="U151" s="14" t="n">
        <v>26</v>
      </c>
      <c r="V151" s="14" t="n"/>
    </row>
    <row r="152">
      <c r="A152" s="11" t="n">
        <v>6621</v>
      </c>
      <c r="B152" s="11" t="inlineStr">
        <is>
          <t>ORTEGA</t>
        </is>
      </c>
      <c r="C152" s="11" t="inlineStr">
        <is>
          <t>Ortega</t>
        </is>
      </c>
      <c r="D152" s="11" t="inlineStr">
        <is>
          <t>Tolima</t>
        </is>
      </c>
      <c r="E152" s="11" t="inlineStr">
        <is>
          <t>SUR</t>
        </is>
      </c>
      <c r="F152" s="11" t="inlineStr">
        <is>
          <t>Fernando Valencia- Bernardo Arango</t>
        </is>
      </c>
      <c r="G152" s="11" t="inlineStr">
        <is>
          <t>2</t>
        </is>
      </c>
      <c r="H152" s="12" t="n">
        <v>46274</v>
      </c>
      <c r="I152" s="12" t="n">
        <v>46275</v>
      </c>
      <c r="J152" s="12" t="n"/>
      <c r="K152" s="12" t="n"/>
      <c r="L152" s="11" t="inlineStr">
        <is>
          <t>Programada</t>
        </is>
      </c>
      <c r="M152" s="12" t="n"/>
      <c r="N152" s="11">
        <f>SI(O(H152="";J152="");"";SI(J152&lt;=H152;"SÍ";"NO"))</f>
        <v/>
      </c>
      <c r="O152" s="11">
        <f>SI(O(I152="";K152="");"";SI(K152&lt;=SI(M152&lt;&gt;"";M152;I152);"SÍ";"NO"))</f>
        <v/>
      </c>
      <c r="P152" s="11">
        <f>SI(O(N152="";O152="");"";SI(Y(N152="SÍ";O152="SÍ");"SÍ";"NO"))</f>
        <v/>
      </c>
      <c r="Q152" s="13">
        <f>SI(O(I152="";K152="");"";MAX(0;ENTERO(K152)-ENTERO(SI(M152&lt;&gt;"";M152;I152))))</f>
        <v/>
      </c>
      <c r="R152" s="11" t="n"/>
      <c r="S152" s="11" t="n"/>
      <c r="T152" s="12" t="n"/>
      <c r="U152" s="11" t="n">
        <v>23</v>
      </c>
      <c r="V152" s="11" t="n"/>
    </row>
    <row r="153">
      <c r="A153" s="14" t="n">
        <v>3980</v>
      </c>
      <c r="B153" s="14" t="inlineStr">
        <is>
          <t>VILLAVIEJA</t>
        </is>
      </c>
      <c r="C153" s="14" t="inlineStr">
        <is>
          <t>Villavieja</t>
        </is>
      </c>
      <c r="D153" s="14" t="inlineStr">
        <is>
          <t>Huila</t>
        </is>
      </c>
      <c r="E153" s="14" t="inlineStr">
        <is>
          <t>SUR</t>
        </is>
      </c>
      <c r="F153" s="14" t="inlineStr">
        <is>
          <t>HAROLD STEED GARCIA</t>
        </is>
      </c>
      <c r="G153" s="14" t="inlineStr">
        <is>
          <t>1</t>
        </is>
      </c>
      <c r="H153" s="15" t="n">
        <v>46274</v>
      </c>
      <c r="I153" s="15" t="n">
        <v>46275</v>
      </c>
      <c r="J153" s="15" t="n"/>
      <c r="K153" s="15" t="n"/>
      <c r="L153" s="14" t="inlineStr">
        <is>
          <t>Programada</t>
        </is>
      </c>
      <c r="M153" s="15" t="n"/>
      <c r="N153" s="14">
        <f>SI(O(H153="";J153="");"";SI(J153&lt;=H153;"SÍ";"NO"))</f>
        <v/>
      </c>
      <c r="O153" s="14">
        <f>SI(O(I153="";K153="");"";SI(K153&lt;=SI(M153&lt;&gt;"";M153;I153);"SÍ";"NO"))</f>
        <v/>
      </c>
      <c r="P153" s="14">
        <f>SI(O(N153="";O153="");"";SI(Y(N153="SÍ";O153="SÍ");"SÍ";"NO"))</f>
        <v/>
      </c>
      <c r="Q153" s="16">
        <f>SI(O(I153="";K153="");"";MAX(0;ENTERO(K153)-ENTERO(SI(M153&lt;&gt;"";M153;I153))))</f>
        <v/>
      </c>
      <c r="R153" s="14" t="n"/>
      <c r="S153" s="14" t="n"/>
      <c r="T153" s="15" t="n"/>
      <c r="U153" s="14" t="n">
        <v>13</v>
      </c>
      <c r="V153" s="14" t="n"/>
    </row>
    <row r="154">
      <c r="A154" s="11" t="n">
        <v>7940</v>
      </c>
      <c r="B154" s="11" t="inlineStr">
        <is>
          <t>SAN MIGUEL</t>
        </is>
      </c>
      <c r="C154" s="11" t="inlineStr">
        <is>
          <t>San Miguel</t>
        </is>
      </c>
      <c r="D154" s="11" t="inlineStr">
        <is>
          <t>Putumayo</t>
        </is>
      </c>
      <c r="E154" s="11" t="inlineStr">
        <is>
          <t>SUR</t>
        </is>
      </c>
      <c r="F154" s="11" t="inlineStr">
        <is>
          <t>JOSE ARTEAGA BRAVO</t>
        </is>
      </c>
      <c r="G154" s="11" t="inlineStr">
        <is>
          <t>2</t>
        </is>
      </c>
      <c r="H154" s="12" t="n">
        <v>46274</v>
      </c>
      <c r="I154" s="12" t="n">
        <v>46274</v>
      </c>
      <c r="J154" s="12" t="n"/>
      <c r="K154" s="12" t="n"/>
      <c r="L154" s="11" t="inlineStr">
        <is>
          <t>Programada</t>
        </is>
      </c>
      <c r="M154" s="12" t="n"/>
      <c r="N154" s="11">
        <f>SI(O(H154="";J154="");"";SI(J154&lt;=H154;"SÍ";"NO"))</f>
        <v/>
      </c>
      <c r="O154" s="11">
        <f>SI(O(I154="";K154="");"";SI(K154&lt;=SI(M154&lt;&gt;"";M154;I154);"SÍ";"NO"))</f>
        <v/>
      </c>
      <c r="P154" s="11">
        <f>SI(O(N154="";O154="");"";SI(Y(N154="SÍ";O154="SÍ");"SÍ";"NO"))</f>
        <v/>
      </c>
      <c r="Q154" s="13">
        <f>SI(O(I154="";K154="");"";MAX(0;ENTERO(K154)-ENTERO(SI(M154&lt;&gt;"";M154;I154))))</f>
        <v/>
      </c>
      <c r="R154" s="11" t="n"/>
      <c r="S154" s="11" t="n"/>
      <c r="T154" s="12" t="n"/>
      <c r="U154" s="11" t="n">
        <v>20</v>
      </c>
      <c r="V154" s="11" t="n"/>
    </row>
    <row r="155">
      <c r="A155" s="14" t="n">
        <v>8103</v>
      </c>
      <c r="B155" s="14" t="inlineStr">
        <is>
          <t>SAN ANDRES</t>
        </is>
      </c>
      <c r="C155" s="14" t="inlineStr">
        <is>
          <t>San Andrés</t>
        </is>
      </c>
      <c r="D155" s="14" t="inlineStr">
        <is>
          <t>Archipiélago de San Andrés, Providencia y Santa Catalina</t>
        </is>
      </c>
      <c r="E155" s="14" t="inlineStr">
        <is>
          <t>COSTA</t>
        </is>
      </c>
      <c r="F155" s="14" t="inlineStr">
        <is>
          <t>LUIS BALLESTEROS</t>
        </is>
      </c>
      <c r="G155" s="14" t="inlineStr">
        <is>
          <t>4</t>
        </is>
      </c>
      <c r="H155" s="15" t="n">
        <v>46274</v>
      </c>
      <c r="I155" s="15" t="n">
        <v>46275</v>
      </c>
      <c r="J155" s="15" t="n"/>
      <c r="K155" s="15" t="n"/>
      <c r="L155" s="14" t="inlineStr">
        <is>
          <t>Programada</t>
        </is>
      </c>
      <c r="M155" s="15" t="n"/>
      <c r="N155" s="14">
        <f>SI(O(H155="";J155="");"";SI(J155&lt;=H155;"SÍ";"NO"))</f>
        <v/>
      </c>
      <c r="O155" s="14">
        <f>SI(O(I155="";K155="");"";SI(K155&lt;=SI(M155&lt;&gt;"";M155;I155);"SÍ";"NO"))</f>
        <v/>
      </c>
      <c r="P155" s="14">
        <f>SI(O(N155="";O155="");"";SI(Y(N155="SÍ";O155="SÍ");"SÍ";"NO"))</f>
        <v/>
      </c>
      <c r="Q155" s="16">
        <f>SI(O(I155="";K155="");"";MAX(0;ENTERO(K155)-ENTERO(SI(M155&lt;&gt;"";M155;I155))))</f>
        <v/>
      </c>
      <c r="R155" s="14" t="n"/>
      <c r="S155" s="14" t="n"/>
      <c r="T155" s="15" t="n"/>
      <c r="U155" s="14" t="n">
        <v>29</v>
      </c>
      <c r="V155" s="14" t="n"/>
    </row>
    <row r="156">
      <c r="A156" s="11" t="n">
        <v>8110</v>
      </c>
      <c r="B156" s="11" t="inlineStr">
        <is>
          <t>PROVIDENCIA</t>
        </is>
      </c>
      <c r="C156" s="11" t="inlineStr">
        <is>
          <t>Providencia</t>
        </is>
      </c>
      <c r="D156" s="11" t="inlineStr">
        <is>
          <t>Archipiélago de San Andrés, Providencia y Santa Catalina</t>
        </is>
      </c>
      <c r="E156" s="11" t="inlineStr">
        <is>
          <t>COSTA</t>
        </is>
      </c>
      <c r="F156" s="11" t="inlineStr">
        <is>
          <t>YAMID ALBERTO THYME THYME</t>
        </is>
      </c>
      <c r="G156" s="11" t="inlineStr">
        <is>
          <t>1</t>
        </is>
      </c>
      <c r="H156" s="12" t="n">
        <v>46274</v>
      </c>
      <c r="I156" s="12" t="n">
        <v>46275</v>
      </c>
      <c r="J156" s="12" t="n"/>
      <c r="K156" s="12" t="n"/>
      <c r="L156" s="11" t="inlineStr">
        <is>
          <t>Programada</t>
        </is>
      </c>
      <c r="M156" s="12" t="n"/>
      <c r="N156" s="11">
        <f>SI(O(H156="";J156="");"";SI(J156&lt;=H156;"SÍ";"NO"))</f>
        <v/>
      </c>
      <c r="O156" s="11">
        <f>SI(O(I156="";K156="");"";SI(K156&lt;=SI(M156&lt;&gt;"";M156;I156);"SÍ";"NO"))</f>
        <v/>
      </c>
      <c r="P156" s="11">
        <f>SI(O(N156="";O156="");"";SI(Y(N156="SÍ";O156="SÍ");"SÍ";"NO"))</f>
        <v/>
      </c>
      <c r="Q156" s="13">
        <f>SI(O(I156="";K156="");"";MAX(0;ENTERO(K156)-ENTERO(SI(M156&lt;&gt;"";M156;I156))))</f>
        <v/>
      </c>
      <c r="R156" s="11" t="n"/>
      <c r="S156" s="11" t="n"/>
      <c r="T156" s="12" t="n"/>
      <c r="U156" s="11" t="n">
        <v>13</v>
      </c>
      <c r="V156" s="11" t="n"/>
    </row>
    <row r="157">
      <c r="A157" s="14" t="n">
        <v>8623</v>
      </c>
      <c r="B157" s="14" t="inlineStr">
        <is>
          <t>NUNCHIA</t>
        </is>
      </c>
      <c r="C157" s="14" t="inlineStr">
        <is>
          <t>Nunchía</t>
        </is>
      </c>
      <c r="D157" s="14" t="inlineStr">
        <is>
          <t>Casanare</t>
        </is>
      </c>
      <c r="E157" s="14" t="inlineStr">
        <is>
          <t>ORIENTE</t>
        </is>
      </c>
      <c r="F157" s="14" t="inlineStr">
        <is>
          <t>Juan Sebastian Lopez Acevedo</t>
        </is>
      </c>
      <c r="G157" s="14" t="inlineStr">
        <is>
          <t>2</t>
        </is>
      </c>
      <c r="H157" s="15" t="n">
        <v>46274</v>
      </c>
      <c r="I157" s="15" t="n">
        <v>46275</v>
      </c>
      <c r="J157" s="15" t="n"/>
      <c r="K157" s="15" t="n"/>
      <c r="L157" s="14" t="inlineStr">
        <is>
          <t>Programada</t>
        </is>
      </c>
      <c r="M157" s="15" t="n"/>
      <c r="N157" s="14">
        <f>SI(O(H157="";J157="");"";SI(J157&lt;=H157;"SÍ";"NO"))</f>
        <v/>
      </c>
      <c r="O157" s="14">
        <f>SI(O(I157="";K157="");"";SI(K157&lt;=SI(M157&lt;&gt;"";M157;I157);"SÍ";"NO"))</f>
        <v/>
      </c>
      <c r="P157" s="14">
        <f>SI(O(N157="";O157="");"";SI(Y(N157="SÍ";O157="SÍ");"SÍ";"NO"))</f>
        <v/>
      </c>
      <c r="Q157" s="16">
        <f>SI(O(I157="";K157="");"";MAX(0;ENTERO(K157)-ENTERO(SI(M157&lt;&gt;"";M157;I157))))</f>
        <v/>
      </c>
      <c r="R157" s="14" t="n"/>
      <c r="S157" s="14" t="n"/>
      <c r="T157" s="15" t="n"/>
      <c r="U157" s="14" t="n">
        <v>15</v>
      </c>
      <c r="V157" s="14" t="n"/>
    </row>
    <row r="158">
      <c r="A158" s="11" t="n">
        <v>1265</v>
      </c>
      <c r="B158" s="11" t="inlineStr">
        <is>
          <t>SIMITI</t>
        </is>
      </c>
      <c r="C158" s="11" t="inlineStr">
        <is>
          <t>Simití</t>
        </is>
      </c>
      <c r="D158" s="11" t="inlineStr">
        <is>
          <t>Bolívar</t>
        </is>
      </c>
      <c r="E158" s="11" t="inlineStr">
        <is>
          <t>SANTANDERES</t>
        </is>
      </c>
      <c r="F158" s="11" t="inlineStr">
        <is>
          <t>Libni Simei Pardo Yanes</t>
        </is>
      </c>
      <c r="G158" s="11" t="inlineStr">
        <is>
          <t>2</t>
        </is>
      </c>
      <c r="H158" s="12" t="n">
        <v>46275</v>
      </c>
      <c r="I158" s="12" t="n">
        <v>46275</v>
      </c>
      <c r="J158" s="12" t="n"/>
      <c r="K158" s="12" t="n"/>
      <c r="L158" s="11" t="inlineStr">
        <is>
          <t>Programada</t>
        </is>
      </c>
      <c r="M158" s="12" t="n"/>
      <c r="N158" s="11">
        <f>SI(O(H158="";J158="");"";SI(J158&lt;=H158;"SÍ";"NO"))</f>
        <v/>
      </c>
      <c r="O158" s="11">
        <f>SI(O(I158="";K158="");"";SI(K158&lt;=SI(M158&lt;&gt;"";M158;I158);"SÍ";"NO"))</f>
        <v/>
      </c>
      <c r="P158" s="11">
        <f>SI(O(N158="";O158="");"";SI(Y(N158="SÍ";O158="SÍ");"SÍ";"NO"))</f>
        <v/>
      </c>
      <c r="Q158" s="13">
        <f>SI(O(I158="";K158="");"";MAX(0;ENTERO(K158)-ENTERO(SI(M158&lt;&gt;"";M158;I158))))</f>
        <v/>
      </c>
      <c r="R158" s="11" t="n"/>
      <c r="S158" s="11" t="n"/>
      <c r="T158" s="12" t="n"/>
      <c r="U158" s="11" t="n">
        <v>18</v>
      </c>
      <c r="V158" s="11" t="n"/>
    </row>
    <row r="159">
      <c r="A159" s="14" t="n">
        <v>1341</v>
      </c>
      <c r="B159" s="14" t="inlineStr">
        <is>
          <t>BETANIA</t>
        </is>
      </c>
      <c r="C159" s="14" t="inlineStr">
        <is>
          <t>Betania</t>
        </is>
      </c>
      <c r="D159" s="14" t="inlineStr">
        <is>
          <t>Antioquia</t>
        </is>
      </c>
      <c r="E159" s="14" t="inlineStr">
        <is>
          <t>ANTIOQUIA</t>
        </is>
      </c>
      <c r="F159" s="14" t="inlineStr">
        <is>
          <t>Juan Pablo Osorio Ramirez</t>
        </is>
      </c>
      <c r="G159" s="14" t="inlineStr">
        <is>
          <t>2</t>
        </is>
      </c>
      <c r="H159" s="15" t="n">
        <v>46275</v>
      </c>
      <c r="I159" s="15" t="n">
        <v>46275</v>
      </c>
      <c r="J159" s="15" t="n"/>
      <c r="K159" s="15" t="n"/>
      <c r="L159" s="14" t="inlineStr">
        <is>
          <t>Programada</t>
        </is>
      </c>
      <c r="M159" s="15" t="n"/>
      <c r="N159" s="14">
        <f>SI(O(H159="";J159="");"";SI(J159&lt;=H159;"SÍ";"NO"))</f>
        <v/>
      </c>
      <c r="O159" s="14">
        <f>SI(O(I159="";K159="");"";SI(K159&lt;=SI(M159&lt;&gt;"";M159;I159);"SÍ";"NO"))</f>
        <v/>
      </c>
      <c r="P159" s="14">
        <f>SI(O(N159="";O159="");"";SI(Y(N159="SÍ";O159="SÍ");"SÍ";"NO"))</f>
        <v/>
      </c>
      <c r="Q159" s="16">
        <f>SI(O(I159="";K159="");"";MAX(0;ENTERO(K159)-ENTERO(SI(M159&lt;&gt;"";M159;I159))))</f>
        <v/>
      </c>
      <c r="R159" s="14" t="n"/>
      <c r="S159" s="14" t="n"/>
      <c r="T159" s="15" t="n"/>
      <c r="U159" s="14" t="n">
        <v>14</v>
      </c>
      <c r="V159" s="14" t="n"/>
    </row>
    <row r="160">
      <c r="A160" s="11" t="n">
        <v>1342</v>
      </c>
      <c r="B160" s="11" t="inlineStr">
        <is>
          <t>BOLIVAR</t>
        </is>
      </c>
      <c r="C160" s="11" t="inlineStr">
        <is>
          <t>Ciudad Bolívar</t>
        </is>
      </c>
      <c r="D160" s="11" t="inlineStr">
        <is>
          <t>Antioquia</t>
        </is>
      </c>
      <c r="E160" s="11" t="inlineStr">
        <is>
          <t>ANTIOQUIA</t>
        </is>
      </c>
      <c r="F160" s="11" t="inlineStr">
        <is>
          <t>Juan Pablo Osorio Ramirez</t>
        </is>
      </c>
      <c r="G160" s="11" t="inlineStr">
        <is>
          <t>5</t>
        </is>
      </c>
      <c r="H160" s="12" t="n">
        <v>46275</v>
      </c>
      <c r="I160" s="12" t="n">
        <v>46275</v>
      </c>
      <c r="J160" s="12" t="n"/>
      <c r="K160" s="12" t="n"/>
      <c r="L160" s="11" t="inlineStr">
        <is>
          <t>Programada</t>
        </is>
      </c>
      <c r="M160" s="12" t="n"/>
      <c r="N160" s="11">
        <f>SI(O(H160="";J160="");"";SI(J160&lt;=H160;"SÍ";"NO"))</f>
        <v/>
      </c>
      <c r="O160" s="11">
        <f>SI(O(I160="";K160="");"";SI(K160&lt;=SI(M160&lt;&gt;"";M160;I160);"SÍ";"NO"))</f>
        <v/>
      </c>
      <c r="P160" s="11">
        <f>SI(O(N160="";O160="");"";SI(Y(N160="SÍ";O160="SÍ");"SÍ";"NO"))</f>
        <v/>
      </c>
      <c r="Q160" s="13">
        <f>SI(O(I160="";K160="");"";MAX(0;ENTERO(K160)-ENTERO(SI(M160&lt;&gt;"";M160;I160))))</f>
        <v/>
      </c>
      <c r="R160" s="11" t="n"/>
      <c r="S160" s="11" t="n"/>
      <c r="T160" s="12" t="n"/>
      <c r="U160" s="11" t="n">
        <v>25</v>
      </c>
      <c r="V160" s="11" t="n"/>
    </row>
    <row r="161">
      <c r="A161" s="14" t="n">
        <v>1446</v>
      </c>
      <c r="B161" s="14" t="inlineStr">
        <is>
          <t>NECOCLI</t>
        </is>
      </c>
      <c r="C161" s="14" t="inlineStr">
        <is>
          <t>Necoclí</t>
        </is>
      </c>
      <c r="D161" s="14" t="inlineStr">
        <is>
          <t>Antioquia</t>
        </is>
      </c>
      <c r="E161" s="14" t="inlineStr">
        <is>
          <t>ANTIOQUIA</t>
        </is>
      </c>
      <c r="F161" s="14" t="inlineStr">
        <is>
          <t>Ever Enrique Esquivel Movilla</t>
        </is>
      </c>
      <c r="G161" s="14" t="inlineStr">
        <is>
          <t>3</t>
        </is>
      </c>
      <c r="H161" s="15" t="n">
        <v>46275</v>
      </c>
      <c r="I161" s="15" t="n">
        <v>46275</v>
      </c>
      <c r="J161" s="15" t="n"/>
      <c r="K161" s="15" t="n"/>
      <c r="L161" s="14" t="inlineStr">
        <is>
          <t>Programada</t>
        </is>
      </c>
      <c r="M161" s="15" t="n"/>
      <c r="N161" s="14">
        <f>SI(O(H161="";J161="");"";SI(J161&lt;=H161;"SÍ";"NO"))</f>
        <v/>
      </c>
      <c r="O161" s="14">
        <f>SI(O(I161="";K161="");"";SI(K161&lt;=SI(M161&lt;&gt;"";M161;I161);"SÍ";"NO"))</f>
        <v/>
      </c>
      <c r="P161" s="14">
        <f>SI(O(N161="";O161="");"";SI(Y(N161="SÍ";O161="SÍ");"SÍ";"NO"))</f>
        <v/>
      </c>
      <c r="Q161" s="16">
        <f>SI(O(I161="";K161="");"";MAX(0;ENTERO(K161)-ENTERO(SI(M161&lt;&gt;"";M161;I161))))</f>
        <v/>
      </c>
      <c r="R161" s="14" t="n"/>
      <c r="S161" s="14" t="n"/>
      <c r="T161" s="15" t="n"/>
      <c r="U161" s="14" t="n">
        <v>27</v>
      </c>
      <c r="V161" s="14" t="n"/>
    </row>
    <row r="162">
      <c r="A162" s="11" t="n">
        <v>1505</v>
      </c>
      <c r="B162" s="11" t="inlineStr">
        <is>
          <t>PAZ DE RIO</t>
        </is>
      </c>
      <c r="C162" s="11" t="inlineStr">
        <is>
          <t>Paz de Río</t>
        </is>
      </c>
      <c r="D162" s="11" t="inlineStr">
        <is>
          <t>Boyacá</t>
        </is>
      </c>
      <c r="E162" s="11" t="inlineStr">
        <is>
          <t>ORIENTE</t>
        </is>
      </c>
      <c r="F162" s="11" t="inlineStr">
        <is>
          <t>CRISTIAN CAMILO DIAZ NOY</t>
        </is>
      </c>
      <c r="G162" s="11" t="inlineStr">
        <is>
          <t>1</t>
        </is>
      </c>
      <c r="H162" s="12" t="n">
        <v>46275</v>
      </c>
      <c r="I162" s="12" t="n">
        <v>46276</v>
      </c>
      <c r="J162" s="12" t="n"/>
      <c r="K162" s="12" t="n"/>
      <c r="L162" s="11" t="inlineStr">
        <is>
          <t>Programada</t>
        </is>
      </c>
      <c r="M162" s="12" t="n"/>
      <c r="N162" s="11">
        <f>SI(O(H162="";J162="");"";SI(J162&lt;=H162;"SÍ";"NO"))</f>
        <v/>
      </c>
      <c r="O162" s="11">
        <f>SI(O(I162="";K162="");"";SI(K162&lt;=SI(M162&lt;&gt;"";M162;I162);"SÍ";"NO"))</f>
        <v/>
      </c>
      <c r="P162" s="11">
        <f>SI(O(N162="";O162="");"";SI(Y(N162="SÍ";O162="SÍ");"SÍ";"NO"))</f>
        <v/>
      </c>
      <c r="Q162" s="13">
        <f>SI(O(I162="";K162="");"";MAX(0;ENTERO(K162)-ENTERO(SI(M162&lt;&gt;"";M162;I162))))</f>
        <v/>
      </c>
      <c r="R162" s="11" t="n"/>
      <c r="S162" s="11" t="n"/>
      <c r="T162" s="12" t="n"/>
      <c r="U162" s="11" t="n">
        <v>14</v>
      </c>
      <c r="V162" s="11" t="n"/>
    </row>
    <row r="163">
      <c r="A163" s="14" t="n">
        <v>1518</v>
      </c>
      <c r="B163" s="14" t="inlineStr">
        <is>
          <t>CHITA</t>
        </is>
      </c>
      <c r="C163" s="14" t="inlineStr">
        <is>
          <t>Chita</t>
        </is>
      </c>
      <c r="D163" s="14" t="inlineStr">
        <is>
          <t>Boyacá</t>
        </is>
      </c>
      <c r="E163" s="14" t="inlineStr">
        <is>
          <t>ORIENTE</t>
        </is>
      </c>
      <c r="F163" s="14" t="inlineStr">
        <is>
          <t>Mauricio Andrés Rivera Páez</t>
        </is>
      </c>
      <c r="G163" s="14" t="inlineStr">
        <is>
          <t>2</t>
        </is>
      </c>
      <c r="H163" s="15" t="n">
        <v>46275</v>
      </c>
      <c r="I163" s="15" t="n">
        <v>46276</v>
      </c>
      <c r="J163" s="15" t="n"/>
      <c r="K163" s="15" t="n"/>
      <c r="L163" s="14" t="inlineStr">
        <is>
          <t>Programada</t>
        </is>
      </c>
      <c r="M163" s="15" t="n"/>
      <c r="N163" s="14">
        <f>SI(O(H163="";J163="");"";SI(J163&lt;=H163;"SÍ";"NO"))</f>
        <v/>
      </c>
      <c r="O163" s="14">
        <f>SI(O(I163="";K163="");"";SI(K163&lt;=SI(M163&lt;&gt;"";M163;I163);"SÍ";"NO"))</f>
        <v/>
      </c>
      <c r="P163" s="14">
        <f>SI(O(N163="";O163="");"";SI(Y(N163="SÍ";O163="SÍ");"SÍ";"NO"))</f>
        <v/>
      </c>
      <c r="Q163" s="16">
        <f>SI(O(I163="";K163="");"";MAX(0;ENTERO(K163)-ENTERO(SI(M163&lt;&gt;"";M163;I163))))</f>
        <v/>
      </c>
      <c r="R163" s="14" t="n"/>
      <c r="S163" s="14" t="n"/>
      <c r="T163" s="15" t="n"/>
      <c r="U163" s="14" t="n">
        <v>16</v>
      </c>
      <c r="V163" s="14" t="n"/>
    </row>
    <row r="164">
      <c r="A164" s="11" t="n">
        <v>1553</v>
      </c>
      <c r="B164" s="11" t="inlineStr">
        <is>
          <t>PAEZ</t>
        </is>
      </c>
      <c r="C164" s="11" t="inlineStr">
        <is>
          <t>Páez</t>
        </is>
      </c>
      <c r="D164" s="11" t="inlineStr">
        <is>
          <t>Boyacá</t>
        </is>
      </c>
      <c r="E164" s="11" t="inlineStr">
        <is>
          <t>ORIENTE</t>
        </is>
      </c>
      <c r="F164" s="11" t="inlineStr">
        <is>
          <t>Andrés Felipe Carvajal Pire</t>
        </is>
      </c>
      <c r="G164" s="11" t="inlineStr">
        <is>
          <t>1</t>
        </is>
      </c>
      <c r="H164" s="12" t="n">
        <v>46275</v>
      </c>
      <c r="I164" s="12" t="n">
        <v>46276</v>
      </c>
      <c r="J164" s="12" t="n"/>
      <c r="K164" s="12" t="n"/>
      <c r="L164" s="11" t="inlineStr">
        <is>
          <t>Programada</t>
        </is>
      </c>
      <c r="M164" s="12" t="n"/>
      <c r="N164" s="11">
        <f>SI(O(H164="";J164="");"";SI(J164&lt;=H164;"SÍ";"NO"))</f>
        <v/>
      </c>
      <c r="O164" s="11">
        <f>SI(O(I164="";K164="");"";SI(K164&lt;=SI(M164&lt;&gt;"";M164;I164);"SÍ";"NO"))</f>
        <v/>
      </c>
      <c r="P164" s="11">
        <f>SI(O(N164="";O164="");"";SI(Y(N164="SÍ";O164="SÍ");"SÍ";"NO"))</f>
        <v/>
      </c>
      <c r="Q164" s="13">
        <f>SI(O(I164="";K164="");"";MAX(0;ENTERO(K164)-ENTERO(SI(M164&lt;&gt;"";M164;I164))))</f>
        <v/>
      </c>
      <c r="R164" s="11" t="n"/>
      <c r="S164" s="11" t="n"/>
      <c r="T164" s="12" t="n"/>
      <c r="U164" s="11" t="n">
        <v>13</v>
      </c>
      <c r="V164" s="11" t="n"/>
    </row>
    <row r="165">
      <c r="A165" s="14" t="n">
        <v>1577</v>
      </c>
      <c r="B165" s="14" t="inlineStr">
        <is>
          <t>SOCOTA</t>
        </is>
      </c>
      <c r="C165" s="14" t="inlineStr">
        <is>
          <t>Socotá</t>
        </is>
      </c>
      <c r="D165" s="14" t="inlineStr">
        <is>
          <t>Boyacá</t>
        </is>
      </c>
      <c r="E165" s="14" t="inlineStr">
        <is>
          <t>ORIENTE</t>
        </is>
      </c>
      <c r="F165" s="14" t="inlineStr">
        <is>
          <t>Andrés Felipe Díaz Noy</t>
        </is>
      </c>
      <c r="G165" s="14" t="inlineStr">
        <is>
          <t>2</t>
        </is>
      </c>
      <c r="H165" s="15" t="n">
        <v>46275</v>
      </c>
      <c r="I165" s="15" t="n">
        <v>46276</v>
      </c>
      <c r="J165" s="15" t="n"/>
      <c r="K165" s="15" t="n"/>
      <c r="L165" s="14" t="inlineStr">
        <is>
          <t>Programada</t>
        </is>
      </c>
      <c r="M165" s="15" t="n"/>
      <c r="N165" s="14">
        <f>SI(O(H165="";J165="");"";SI(J165&lt;=H165;"SÍ";"NO"))</f>
        <v/>
      </c>
      <c r="O165" s="14">
        <f>SI(O(I165="";K165="");"";SI(K165&lt;=SI(M165&lt;&gt;"";M165;I165);"SÍ";"NO"))</f>
        <v/>
      </c>
      <c r="P165" s="14">
        <f>SI(O(N165="";O165="");"";SI(Y(N165="SÍ";O165="SÍ");"SÍ";"NO"))</f>
        <v/>
      </c>
      <c r="Q165" s="16">
        <f>SI(O(I165="";K165="");"";MAX(0;ENTERO(K165)-ENTERO(SI(M165&lt;&gt;"";M165;I165))))</f>
        <v/>
      </c>
      <c r="R165" s="14" t="n"/>
      <c r="S165" s="14" t="n"/>
      <c r="T165" s="15" t="n"/>
      <c r="U165" s="14" t="n">
        <v>14</v>
      </c>
      <c r="V165" s="14" t="n"/>
    </row>
    <row r="166">
      <c r="A166" s="11" t="n">
        <v>1578</v>
      </c>
      <c r="B166" s="11" t="inlineStr">
        <is>
          <t>SOCHA</t>
        </is>
      </c>
      <c r="C166" s="11" t="inlineStr">
        <is>
          <t>Socha</t>
        </is>
      </c>
      <c r="D166" s="11" t="inlineStr">
        <is>
          <t>Boyacá</t>
        </is>
      </c>
      <c r="E166" s="11" t="inlineStr">
        <is>
          <t>ORIENTE</t>
        </is>
      </c>
      <c r="F166" s="11" t="inlineStr">
        <is>
          <t>Luz Nélida Barragán Toro</t>
        </is>
      </c>
      <c r="G166" s="11" t="inlineStr">
        <is>
          <t>1</t>
        </is>
      </c>
      <c r="H166" s="12" t="n">
        <v>46275</v>
      </c>
      <c r="I166" s="12" t="n">
        <v>46276</v>
      </c>
      <c r="J166" s="12" t="n"/>
      <c r="K166" s="12" t="n"/>
      <c r="L166" s="11" t="inlineStr">
        <is>
          <t>Programada</t>
        </is>
      </c>
      <c r="M166" s="12" t="n"/>
      <c r="N166" s="11">
        <f>SI(O(H166="";J166="");"";SI(J166&lt;=H166;"SÍ";"NO"))</f>
        <v/>
      </c>
      <c r="O166" s="11">
        <f>SI(O(I166="";K166="");"";SI(K166&lt;=SI(M166&lt;&gt;"";M166;I166);"SÍ";"NO"))</f>
        <v/>
      </c>
      <c r="P166" s="11">
        <f>SI(O(N166="";O166="");"";SI(Y(N166="SÍ";O166="SÍ");"SÍ";"NO"))</f>
        <v/>
      </c>
      <c r="Q166" s="13">
        <f>SI(O(I166="";K166="");"";MAX(0;ENTERO(K166)-ENTERO(SI(M166&lt;&gt;"";M166;I166))))</f>
        <v/>
      </c>
      <c r="R166" s="11" t="n"/>
      <c r="S166" s="11" t="n"/>
      <c r="T166" s="12" t="n"/>
      <c r="U166" s="11" t="n">
        <v>16</v>
      </c>
      <c r="V166" s="11" t="n"/>
    </row>
    <row r="167">
      <c r="A167" s="14" t="n">
        <v>1648</v>
      </c>
      <c r="B167" s="14" t="inlineStr">
        <is>
          <t>JUAN DE ACOSTA</t>
        </is>
      </c>
      <c r="C167" s="14" t="inlineStr">
        <is>
          <t>Juan De Acosta</t>
        </is>
      </c>
      <c r="D167" s="14" t="inlineStr">
        <is>
          <t>Atlántico</t>
        </is>
      </c>
      <c r="E167" s="14" t="inlineStr">
        <is>
          <t>COSTA</t>
        </is>
      </c>
      <c r="F167" s="14" t="inlineStr">
        <is>
          <t>Saudy Enrique Amaya Hernadez</t>
        </is>
      </c>
      <c r="G167" s="14" t="inlineStr">
        <is>
          <t>1</t>
        </is>
      </c>
      <c r="H167" s="15" t="n">
        <v>46275</v>
      </c>
      <c r="I167" s="15" t="n">
        <v>46275</v>
      </c>
      <c r="J167" s="15" t="n"/>
      <c r="K167" s="15" t="n"/>
      <c r="L167" s="14" t="inlineStr">
        <is>
          <t>Programada</t>
        </is>
      </c>
      <c r="M167" s="15" t="n"/>
      <c r="N167" s="14">
        <f>SI(O(H167="";J167="");"";SI(J167&lt;=H167;"SÍ";"NO"))</f>
        <v/>
      </c>
      <c r="O167" s="14">
        <f>SI(O(I167="";K167="");"";SI(K167&lt;=SI(M167&lt;&gt;"";M167;I167);"SÍ";"NO"))</f>
        <v/>
      </c>
      <c r="P167" s="14">
        <f>SI(O(N167="";O167="");"";SI(Y(N167="SÍ";O167="SÍ");"SÍ";"NO"))</f>
        <v/>
      </c>
      <c r="Q167" s="16">
        <f>SI(O(I167="";K167="");"";MAX(0;ENTERO(K167)-ENTERO(SI(M167&lt;&gt;"";M167;I167))))</f>
        <v/>
      </c>
      <c r="R167" s="14" t="n"/>
      <c r="S167" s="14" t="n"/>
      <c r="T167" s="15" t="n"/>
      <c r="U167" s="14" t="n">
        <v>14</v>
      </c>
      <c r="V167" s="14" t="n"/>
    </row>
    <row r="168">
      <c r="A168" s="11" t="n">
        <v>2171</v>
      </c>
      <c r="B168" s="11" t="inlineStr">
        <is>
          <t>ALMAGUER</t>
        </is>
      </c>
      <c r="C168" s="11" t="inlineStr">
        <is>
          <t>Almaguer</t>
        </is>
      </c>
      <c r="D168" s="11" t="inlineStr">
        <is>
          <t>Cauca</t>
        </is>
      </c>
      <c r="E168" s="11" t="inlineStr">
        <is>
          <t>OCCIDENTE</t>
        </is>
      </c>
      <c r="F168" s="11" t="inlineStr">
        <is>
          <t>Holmes Arley Astudillo Fajardo</t>
        </is>
      </c>
      <c r="G168" s="11" t="inlineStr">
        <is>
          <t>1</t>
        </is>
      </c>
      <c r="H168" s="12" t="n">
        <v>46275</v>
      </c>
      <c r="I168" s="12" t="n">
        <v>46275</v>
      </c>
      <c r="J168" s="12" t="n"/>
      <c r="K168" s="12" t="n"/>
      <c r="L168" s="11" t="inlineStr">
        <is>
          <t>Programada</t>
        </is>
      </c>
      <c r="M168" s="12" t="n"/>
      <c r="N168" s="11">
        <f>SI(O(H168="";J168="");"";SI(J168&lt;=H168;"SÍ";"NO"))</f>
        <v/>
      </c>
      <c r="O168" s="11">
        <f>SI(O(I168="";K168="");"";SI(K168&lt;=SI(M168&lt;&gt;"";M168;I168);"SÍ";"NO"))</f>
        <v/>
      </c>
      <c r="P168" s="11">
        <f>SI(O(N168="";O168="");"";SI(Y(N168="SÍ";O168="SÍ");"SÍ";"NO"))</f>
        <v/>
      </c>
      <c r="Q168" s="13">
        <f>SI(O(I168="";K168="");"";MAX(0;ENTERO(K168)-ENTERO(SI(M168&lt;&gt;"";M168;I168))))</f>
        <v/>
      </c>
      <c r="R168" s="11" t="n"/>
      <c r="S168" s="11" t="n"/>
      <c r="T168" s="12" t="n"/>
      <c r="U168" s="11" t="n">
        <v>13</v>
      </c>
      <c r="V168" s="11" t="n"/>
    </row>
    <row r="169">
      <c r="A169" s="14" t="n">
        <v>2172</v>
      </c>
      <c r="B169" s="14" t="inlineStr">
        <is>
          <t>LA VEGA</t>
        </is>
      </c>
      <c r="C169" s="14" t="inlineStr">
        <is>
          <t>La Vega</t>
        </is>
      </c>
      <c r="D169" s="14" t="inlineStr">
        <is>
          <t>Cauca</t>
        </is>
      </c>
      <c r="E169" s="14" t="inlineStr">
        <is>
          <t>OCCIDENTE</t>
        </is>
      </c>
      <c r="F169" s="14" t="inlineStr">
        <is>
          <t>Holmes Arley Astudillo Fajardo</t>
        </is>
      </c>
      <c r="G169" s="14" t="inlineStr">
        <is>
          <t>1</t>
        </is>
      </c>
      <c r="H169" s="15" t="n">
        <v>46275</v>
      </c>
      <c r="I169" s="15" t="n">
        <v>46275</v>
      </c>
      <c r="J169" s="15" t="n"/>
      <c r="K169" s="15" t="n"/>
      <c r="L169" s="14" t="inlineStr">
        <is>
          <t>Programada</t>
        </is>
      </c>
      <c r="M169" s="15" t="n"/>
      <c r="N169" s="14">
        <f>SI(O(H169="";J169="");"";SI(J169&lt;=H169;"SÍ";"NO"))</f>
        <v/>
      </c>
      <c r="O169" s="14">
        <f>SI(O(I169="";K169="");"";SI(K169&lt;=SI(M169&lt;&gt;"";M169;I169);"SÍ";"NO"))</f>
        <v/>
      </c>
      <c r="P169" s="14">
        <f>SI(O(N169="";O169="");"";SI(Y(N169="SÍ";O169="SÍ");"SÍ";"NO"))</f>
        <v/>
      </c>
      <c r="Q169" s="16">
        <f>SI(O(I169="";K169="");"";MAX(0;ENTERO(K169)-ENTERO(SI(M169&lt;&gt;"";M169;I169))))</f>
        <v/>
      </c>
      <c r="R169" s="14" t="n"/>
      <c r="S169" s="14" t="n"/>
      <c r="T169" s="15" t="n"/>
      <c r="U169" s="14" t="n">
        <v>14</v>
      </c>
      <c r="V169" s="14" t="n"/>
    </row>
    <row r="170">
      <c r="A170" s="11" t="n">
        <v>2408</v>
      </c>
      <c r="B170" s="11" t="inlineStr">
        <is>
          <t>CODAZZI</t>
        </is>
      </c>
      <c r="C170" s="11" t="inlineStr">
        <is>
          <t>Agustín Codazzi</t>
        </is>
      </c>
      <c r="D170" s="11" t="inlineStr">
        <is>
          <t>Cesar</t>
        </is>
      </c>
      <c r="E170" s="11" t="inlineStr">
        <is>
          <t>COSTA</t>
        </is>
      </c>
      <c r="F170" s="11" t="inlineStr">
        <is>
          <t>Antonio Martinez Charris</t>
        </is>
      </c>
      <c r="G170" s="11" t="inlineStr">
        <is>
          <t>5</t>
        </is>
      </c>
      <c r="H170" s="12" t="n">
        <v>46275</v>
      </c>
      <c r="I170" s="12" t="n">
        <v>46275</v>
      </c>
      <c r="J170" s="12" t="n"/>
      <c r="K170" s="12" t="n"/>
      <c r="L170" s="11" t="inlineStr">
        <is>
          <t>Programada</t>
        </is>
      </c>
      <c r="M170" s="12" t="n"/>
      <c r="N170" s="11">
        <f>SI(O(H170="";J170="");"";SI(J170&lt;=H170;"SÍ";"NO"))</f>
        <v/>
      </c>
      <c r="O170" s="11">
        <f>SI(O(I170="";K170="");"";SI(K170&lt;=SI(M170&lt;&gt;"";M170;I170);"SÍ";"NO"))</f>
        <v/>
      </c>
      <c r="P170" s="11">
        <f>SI(O(N170="";O170="");"";SI(Y(N170="SÍ";O170="SÍ");"SÍ";"NO"))</f>
        <v/>
      </c>
      <c r="Q170" s="13">
        <f>SI(O(I170="";K170="");"";MAX(0;ENTERO(K170)-ENTERO(SI(M170&lt;&gt;"";M170;I170))))</f>
        <v/>
      </c>
      <c r="R170" s="11" t="n"/>
      <c r="S170" s="11" t="n"/>
      <c r="T170" s="12" t="n"/>
      <c r="U170" s="11" t="n">
        <v>28</v>
      </c>
      <c r="V170" s="11" t="n"/>
    </row>
    <row r="171">
      <c r="A171" s="14" t="n">
        <v>2715</v>
      </c>
      <c r="B171" s="14" t="inlineStr">
        <is>
          <t>CERETE</t>
        </is>
      </c>
      <c r="C171" s="14" t="inlineStr">
        <is>
          <t>Cereté</t>
        </is>
      </c>
      <c r="D171" s="14" t="inlineStr">
        <is>
          <t>Córdoba</t>
        </is>
      </c>
      <c r="E171" s="14" t="inlineStr">
        <is>
          <t>COSTA</t>
        </is>
      </c>
      <c r="F171" s="14" t="inlineStr">
        <is>
          <t>Jorge Felipe Munive Medina</t>
        </is>
      </c>
      <c r="G171" s="14" t="inlineStr">
        <is>
          <t>4</t>
        </is>
      </c>
      <c r="H171" s="15" t="n">
        <v>46275</v>
      </c>
      <c r="I171" s="15" t="n">
        <v>46275</v>
      </c>
      <c r="J171" s="15" t="n"/>
      <c r="K171" s="15" t="n"/>
      <c r="L171" s="14" t="inlineStr">
        <is>
          <t>Programada</t>
        </is>
      </c>
      <c r="M171" s="15" t="n"/>
      <c r="N171" s="14">
        <f>SI(O(H171="";J171="");"";SI(J171&lt;=H171;"SÍ";"NO"))</f>
        <v/>
      </c>
      <c r="O171" s="14">
        <f>SI(O(I171="";K171="");"";SI(K171&lt;=SI(M171&lt;&gt;"";M171;I171);"SÍ";"NO"))</f>
        <v/>
      </c>
      <c r="P171" s="14">
        <f>SI(O(N171="";O171="");"";SI(Y(N171="SÍ";O171="SÍ");"SÍ";"NO"))</f>
        <v/>
      </c>
      <c r="Q171" s="16">
        <f>SI(O(I171="";K171="");"";MAX(0;ENTERO(K171)-ENTERO(SI(M171&lt;&gt;"";M171;I171))))</f>
        <v/>
      </c>
      <c r="R171" s="14" t="n"/>
      <c r="S171" s="14" t="n"/>
      <c r="T171" s="15" t="n"/>
      <c r="U171" s="14" t="n">
        <v>29</v>
      </c>
      <c r="V171" s="14" t="n"/>
    </row>
    <row r="172">
      <c r="A172" s="11" t="n">
        <v>2721</v>
      </c>
      <c r="B172" s="11" t="inlineStr">
        <is>
          <t>CHIMA</t>
        </is>
      </c>
      <c r="C172" s="11" t="inlineStr">
        <is>
          <t>Chimá</t>
        </is>
      </c>
      <c r="D172" s="11" t="inlineStr">
        <is>
          <t>Córdoba</t>
        </is>
      </c>
      <c r="E172" s="11" t="inlineStr">
        <is>
          <t>COSTA</t>
        </is>
      </c>
      <c r="F172" s="11" t="inlineStr">
        <is>
          <t>Dimar Jose Morelo Cardona</t>
        </is>
      </c>
      <c r="G172" s="11" t="inlineStr">
        <is>
          <t>1</t>
        </is>
      </c>
      <c r="H172" s="12" t="n">
        <v>46275</v>
      </c>
      <c r="I172" s="12" t="n">
        <v>46275</v>
      </c>
      <c r="J172" s="12" t="n"/>
      <c r="K172" s="12" t="n"/>
      <c r="L172" s="11" t="inlineStr">
        <is>
          <t>Programada</t>
        </is>
      </c>
      <c r="M172" s="12" t="n"/>
      <c r="N172" s="11">
        <f>SI(O(H172="";J172="");"";SI(J172&lt;=H172;"SÍ";"NO"))</f>
        <v/>
      </c>
      <c r="O172" s="11">
        <f>SI(O(I172="";K172="");"";SI(K172&lt;=SI(M172&lt;&gt;"";M172;I172);"SÍ";"NO"))</f>
        <v/>
      </c>
      <c r="P172" s="11">
        <f>SI(O(N172="";O172="");"";SI(Y(N172="SÍ";O172="SÍ");"SÍ";"NO"))</f>
        <v/>
      </c>
      <c r="Q172" s="13">
        <f>SI(O(I172="";K172="");"";MAX(0;ENTERO(K172)-ENTERO(SI(M172&lt;&gt;"";M172;I172))))</f>
        <v/>
      </c>
      <c r="R172" s="11" t="n"/>
      <c r="S172" s="11" t="n"/>
      <c r="T172" s="12" t="n"/>
      <c r="U172" s="11" t="n">
        <v>14</v>
      </c>
      <c r="V172" s="11" t="n"/>
    </row>
    <row r="173">
      <c r="A173" s="14" t="n">
        <v>3130</v>
      </c>
      <c r="B173" s="14" t="inlineStr">
        <is>
          <t>FOMEQUE</t>
        </is>
      </c>
      <c r="C173" s="14" t="inlineStr">
        <is>
          <t>Fomeque</t>
        </is>
      </c>
      <c r="D173" s="14" t="inlineStr">
        <is>
          <t>Cundinamarca</t>
        </is>
      </c>
      <c r="E173" s="14" t="inlineStr">
        <is>
          <t>BOGOTA</t>
        </is>
      </c>
      <c r="F173" s="14" t="inlineStr">
        <is>
          <t>Nelson Leonardo Paez Suarez</t>
        </is>
      </c>
      <c r="G173" s="14" t="inlineStr">
        <is>
          <t>4</t>
        </is>
      </c>
      <c r="H173" s="15" t="n">
        <v>46275</v>
      </c>
      <c r="I173" s="15" t="n">
        <v>46275</v>
      </c>
      <c r="J173" s="15" t="n"/>
      <c r="K173" s="15" t="n"/>
      <c r="L173" s="14" t="inlineStr">
        <is>
          <t>Programada</t>
        </is>
      </c>
      <c r="M173" s="15" t="n"/>
      <c r="N173" s="14">
        <f>SI(O(H173="";J173="");"";SI(J173&lt;=H173;"SÍ";"NO"))</f>
        <v/>
      </c>
      <c r="O173" s="14">
        <f>SI(O(I173="";K173="");"";SI(K173&lt;=SI(M173&lt;&gt;"";M173;I173);"SÍ";"NO"))</f>
        <v/>
      </c>
      <c r="P173" s="14">
        <f>SI(O(N173="";O173="");"";SI(Y(N173="SÍ";O173="SÍ");"SÍ";"NO"))</f>
        <v/>
      </c>
      <c r="Q173" s="16">
        <f>SI(O(I173="";K173="");"";MAX(0;ENTERO(K173)-ENTERO(SI(M173&lt;&gt;"";M173;I173))))</f>
        <v/>
      </c>
      <c r="R173" s="14" t="n"/>
      <c r="S173" s="14" t="n"/>
      <c r="T173" s="15" t="n"/>
      <c r="U173" s="14" t="n">
        <v>23</v>
      </c>
      <c r="V173" s="14" t="n"/>
    </row>
    <row r="174">
      <c r="A174" s="11" t="n">
        <v>3152</v>
      </c>
      <c r="B174" s="11" t="inlineStr">
        <is>
          <t>PAIME</t>
        </is>
      </c>
      <c r="C174" s="11" t="inlineStr">
        <is>
          <t>Paime</t>
        </is>
      </c>
      <c r="D174" s="11" t="inlineStr">
        <is>
          <t>Cundinamarca</t>
        </is>
      </c>
      <c r="E174" s="11" t="inlineStr">
        <is>
          <t>BOGOTA</t>
        </is>
      </c>
      <c r="F174" s="11" t="inlineStr">
        <is>
          <t>Jhonatan Felipe Hernandez Gamboa</t>
        </is>
      </c>
      <c r="G174" s="11" t="inlineStr">
        <is>
          <t>1</t>
        </is>
      </c>
      <c r="H174" s="12" t="n">
        <v>46275</v>
      </c>
      <c r="I174" s="12" t="n">
        <v>46275</v>
      </c>
      <c r="J174" s="12" t="n"/>
      <c r="K174" s="12" t="n"/>
      <c r="L174" s="11" t="inlineStr">
        <is>
          <t>Programada</t>
        </is>
      </c>
      <c r="M174" s="12" t="n"/>
      <c r="N174" s="11">
        <f>SI(O(H174="";J174="");"";SI(J174&lt;=H174;"SÍ";"NO"))</f>
        <v/>
      </c>
      <c r="O174" s="11">
        <f>SI(O(I174="";K174="");"";SI(K174&lt;=SI(M174&lt;&gt;"";M174;I174);"SÍ";"NO"))</f>
        <v/>
      </c>
      <c r="P174" s="11">
        <f>SI(O(N174="";O174="");"";SI(Y(N174="SÍ";O174="SÍ");"SÍ";"NO"))</f>
        <v/>
      </c>
      <c r="Q174" s="13">
        <f>SI(O(I174="";K174="");"";MAX(0;ENTERO(K174)-ENTERO(SI(M174&lt;&gt;"";M174;I174))))</f>
        <v/>
      </c>
      <c r="R174" s="11" t="n"/>
      <c r="S174" s="11" t="n"/>
      <c r="T174" s="12" t="n"/>
      <c r="U174" s="11" t="n">
        <v>13</v>
      </c>
      <c r="V174" s="11" t="n"/>
    </row>
    <row r="175">
      <c r="A175" s="14" t="n">
        <v>3168</v>
      </c>
      <c r="B175" s="14" t="inlineStr">
        <is>
          <t>SUSA</t>
        </is>
      </c>
      <c r="C175" s="14" t="inlineStr">
        <is>
          <t>Susa</t>
        </is>
      </c>
      <c r="D175" s="14" t="inlineStr">
        <is>
          <t>Cundinamarca</t>
        </is>
      </c>
      <c r="E175" s="14" t="inlineStr">
        <is>
          <t>BOGOTA</t>
        </is>
      </c>
      <c r="F175" s="14" t="inlineStr">
        <is>
          <t>Edwin Santiago Cuchivaguen Diaz</t>
        </is>
      </c>
      <c r="G175" s="14" t="inlineStr">
        <is>
          <t>1</t>
        </is>
      </c>
      <c r="H175" s="15" t="n">
        <v>46275</v>
      </c>
      <c r="I175" s="15" t="n">
        <v>46275</v>
      </c>
      <c r="J175" s="15" t="n"/>
      <c r="K175" s="15" t="n"/>
      <c r="L175" s="14" t="inlineStr">
        <is>
          <t>Programada</t>
        </is>
      </c>
      <c r="M175" s="15" t="n"/>
      <c r="N175" s="14">
        <f>SI(O(H175="";J175="");"";SI(J175&lt;=H175;"SÍ";"NO"))</f>
        <v/>
      </c>
      <c r="O175" s="14">
        <f>SI(O(I175="";K175="");"";SI(K175&lt;=SI(M175&lt;&gt;"";M175;I175);"SÍ";"NO"))</f>
        <v/>
      </c>
      <c r="P175" s="14">
        <f>SI(O(N175="";O175="");"";SI(Y(N175="SÍ";O175="SÍ");"SÍ";"NO"))</f>
        <v/>
      </c>
      <c r="Q175" s="16">
        <f>SI(O(I175="";K175="");"";MAX(0;ENTERO(K175)-ENTERO(SI(M175&lt;&gt;"";M175;I175))))</f>
        <v/>
      </c>
      <c r="R175" s="14" t="n"/>
      <c r="S175" s="14" t="n"/>
      <c r="T175" s="15" t="n"/>
      <c r="U175" s="14" t="n">
        <v>17</v>
      </c>
      <c r="V175" s="14" t="n"/>
    </row>
    <row r="176">
      <c r="A176" s="11" t="n">
        <v>3180</v>
      </c>
      <c r="B176" s="11" t="inlineStr">
        <is>
          <t>VILLAPINZON</t>
        </is>
      </c>
      <c r="C176" s="11" t="inlineStr">
        <is>
          <t>Villapinzón</t>
        </is>
      </c>
      <c r="D176" s="11" t="inlineStr">
        <is>
          <t>Cundinamarca</t>
        </is>
      </c>
      <c r="E176" s="11" t="inlineStr">
        <is>
          <t>ORIENTE</t>
        </is>
      </c>
      <c r="F176" s="11" t="inlineStr">
        <is>
          <t>Carlos Andres Cuchivaguen Diaz</t>
        </is>
      </c>
      <c r="G176" s="11" t="inlineStr">
        <is>
          <t>4</t>
        </is>
      </c>
      <c r="H176" s="12" t="n">
        <v>46275</v>
      </c>
      <c r="I176" s="12" t="n">
        <v>46276</v>
      </c>
      <c r="J176" s="12" t="n"/>
      <c r="K176" s="12" t="n"/>
      <c r="L176" s="11" t="inlineStr">
        <is>
          <t>Programada</t>
        </is>
      </c>
      <c r="M176" s="12" t="n"/>
      <c r="N176" s="11">
        <f>SI(O(H176="";J176="");"";SI(J176&lt;=H176;"SÍ";"NO"))</f>
        <v/>
      </c>
      <c r="O176" s="11">
        <f>SI(O(I176="";K176="");"";SI(K176&lt;=SI(M176&lt;&gt;"";M176;I176);"SÍ";"NO"))</f>
        <v/>
      </c>
      <c r="P176" s="11">
        <f>SI(O(N176="";O176="");"";SI(Y(N176="SÍ";O176="SÍ");"SÍ";"NO"))</f>
        <v/>
      </c>
      <c r="Q176" s="13">
        <f>SI(O(I176="";K176="");"";MAX(0;ENTERO(K176)-ENTERO(SI(M176&lt;&gt;"";M176;I176))))</f>
        <v/>
      </c>
      <c r="R176" s="11" t="n"/>
      <c r="S176" s="11" t="n"/>
      <c r="T176" s="12" t="n"/>
      <c r="U176" s="11" t="n">
        <v>25</v>
      </c>
      <c r="V176" s="11" t="n"/>
    </row>
    <row r="177">
      <c r="A177" s="14" t="n">
        <v>3908</v>
      </c>
      <c r="B177" s="14" t="inlineStr">
        <is>
          <t>AIPE</t>
        </is>
      </c>
      <c r="C177" s="14" t="inlineStr">
        <is>
          <t>Aipe</t>
        </is>
      </c>
      <c r="D177" s="14" t="inlineStr">
        <is>
          <t>Huila</t>
        </is>
      </c>
      <c r="E177" s="14" t="inlineStr">
        <is>
          <t>SUR</t>
        </is>
      </c>
      <c r="F177" s="14" t="inlineStr">
        <is>
          <t>HAROLD STEED GARCIA</t>
        </is>
      </c>
      <c r="G177" s="14" t="inlineStr">
        <is>
          <t>2</t>
        </is>
      </c>
      <c r="H177" s="15" t="n">
        <v>46275</v>
      </c>
      <c r="I177" s="15" t="n">
        <v>46276</v>
      </c>
      <c r="J177" s="15" t="n"/>
      <c r="K177" s="15" t="n"/>
      <c r="L177" s="14" t="inlineStr">
        <is>
          <t>Programada</t>
        </is>
      </c>
      <c r="M177" s="15" t="n"/>
      <c r="N177" s="14">
        <f>SI(O(H177="";J177="");"";SI(J177&lt;=H177;"SÍ";"NO"))</f>
        <v/>
      </c>
      <c r="O177" s="14">
        <f>SI(O(I177="";K177="");"";SI(K177&lt;=SI(M177&lt;&gt;"";M177;I177);"SÍ";"NO"))</f>
        <v/>
      </c>
      <c r="P177" s="14">
        <f>SI(O(N177="";O177="");"";SI(Y(N177="SÍ";O177="SÍ");"SÍ";"NO"))</f>
        <v/>
      </c>
      <c r="Q177" s="16">
        <f>SI(O(I177="";K177="");"";MAX(0;ENTERO(K177)-ENTERO(SI(M177&lt;&gt;"";M177;I177))))</f>
        <v/>
      </c>
      <c r="R177" s="14" t="n"/>
      <c r="S177" s="14" t="n"/>
      <c r="T177" s="15" t="n"/>
      <c r="U177" s="14" t="n">
        <v>17</v>
      </c>
      <c r="V177" s="14" t="n"/>
    </row>
    <row r="178">
      <c r="A178" s="11" t="n">
        <v>3918</v>
      </c>
      <c r="B178" s="11" t="inlineStr">
        <is>
          <t>GIGANTE</t>
        </is>
      </c>
      <c r="C178" s="11" t="inlineStr">
        <is>
          <t>Gigante</t>
        </is>
      </c>
      <c r="D178" s="11" t="inlineStr">
        <is>
          <t>Huila</t>
        </is>
      </c>
      <c r="E178" s="11" t="inlineStr">
        <is>
          <t>SUR</t>
        </is>
      </c>
      <c r="F178" s="11" t="inlineStr">
        <is>
          <t>ERIKA VARGAS</t>
        </is>
      </c>
      <c r="G178" s="11" t="inlineStr">
        <is>
          <t>3</t>
        </is>
      </c>
      <c r="H178" s="12" t="n">
        <v>46275</v>
      </c>
      <c r="I178" s="12" t="n">
        <v>46275</v>
      </c>
      <c r="J178" s="12" t="n"/>
      <c r="K178" s="12" t="n"/>
      <c r="L178" s="11" t="inlineStr">
        <is>
          <t>Programada</t>
        </is>
      </c>
      <c r="M178" s="12" t="n"/>
      <c r="N178" s="11">
        <f>SI(O(H178="";J178="");"";SI(J178&lt;=H178;"SÍ";"NO"))</f>
        <v/>
      </c>
      <c r="O178" s="11">
        <f>SI(O(I178="";K178="");"";SI(K178&lt;=SI(M178&lt;&gt;"";M178;I178);"SÍ";"NO"))</f>
        <v/>
      </c>
      <c r="P178" s="11">
        <f>SI(O(N178="";O178="");"";SI(Y(N178="SÍ";O178="SÍ");"SÍ";"NO"))</f>
        <v/>
      </c>
      <c r="Q178" s="13">
        <f>SI(O(I178="";K178="");"";MAX(0;ENTERO(K178)-ENTERO(SI(M178&lt;&gt;"";M178;I178))))</f>
        <v/>
      </c>
      <c r="R178" s="11" t="n"/>
      <c r="S178" s="11" t="n"/>
      <c r="T178" s="12" t="n"/>
      <c r="U178" s="11" t="n">
        <v>30</v>
      </c>
      <c r="V178" s="11" t="n"/>
    </row>
    <row r="179">
      <c r="A179" s="14" t="n">
        <v>4517</v>
      </c>
      <c r="B179" s="14" t="inlineStr">
        <is>
          <t>GRANADA</t>
        </is>
      </c>
      <c r="C179" s="14" t="inlineStr">
        <is>
          <t>Granada</t>
        </is>
      </c>
      <c r="D179" s="14" t="inlineStr">
        <is>
          <t>Meta</t>
        </is>
      </c>
      <c r="E179" s="14" t="inlineStr">
        <is>
          <t>BOGOTA</t>
        </is>
      </c>
      <c r="F179" s="14" t="inlineStr">
        <is>
          <t>Andres Felipe Balbin</t>
        </is>
      </c>
      <c r="G179" s="14" t="inlineStr">
        <is>
          <t>9</t>
        </is>
      </c>
      <c r="H179" s="15" t="n">
        <v>46275</v>
      </c>
      <c r="I179" s="15" t="n">
        <v>46275</v>
      </c>
      <c r="J179" s="15" t="n"/>
      <c r="K179" s="15" t="n"/>
      <c r="L179" s="14" t="inlineStr">
        <is>
          <t>Programada</t>
        </is>
      </c>
      <c r="M179" s="15" t="n"/>
      <c r="N179" s="14">
        <f>SI(O(H179="";J179="");"";SI(J179&lt;=H179;"SÍ";"NO"))</f>
        <v/>
      </c>
      <c r="O179" s="14">
        <f>SI(O(I179="";K179="");"";SI(K179&lt;=SI(M179&lt;&gt;"";M179;I179);"SÍ";"NO"))</f>
        <v/>
      </c>
      <c r="P179" s="14">
        <f>SI(O(N179="";O179="");"";SI(Y(N179="SÍ";O179="SÍ");"SÍ";"NO"))</f>
        <v/>
      </c>
      <c r="Q179" s="16">
        <f>SI(O(I179="";K179="");"";MAX(0;ENTERO(K179)-ENTERO(SI(M179&lt;&gt;"";M179;I179))))</f>
        <v/>
      </c>
      <c r="R179" s="14" t="n"/>
      <c r="S179" s="14" t="n"/>
      <c r="T179" s="15" t="n"/>
      <c r="U179" s="14" t="n">
        <v>38</v>
      </c>
      <c r="V179" s="14" t="n"/>
    </row>
    <row r="180">
      <c r="A180" s="11" t="n">
        <v>4525</v>
      </c>
      <c r="B180" s="11" t="inlineStr">
        <is>
          <t>RESTREPO</t>
        </is>
      </c>
      <c r="C180" s="11" t="inlineStr">
        <is>
          <t>Restrepo</t>
        </is>
      </c>
      <c r="D180" s="11" t="inlineStr">
        <is>
          <t>Meta</t>
        </is>
      </c>
      <c r="E180" s="11" t="inlineStr">
        <is>
          <t>BOGOTA</t>
        </is>
      </c>
      <c r="F180" s="11" t="inlineStr">
        <is>
          <t>Angel Danilo Martinez Tejeiro</t>
        </is>
      </c>
      <c r="G180" s="11" t="inlineStr">
        <is>
          <t>1</t>
        </is>
      </c>
      <c r="H180" s="12" t="n">
        <v>46275</v>
      </c>
      <c r="I180" s="12" t="n">
        <v>46275</v>
      </c>
      <c r="J180" s="12" t="n"/>
      <c r="K180" s="12" t="n"/>
      <c r="L180" s="11" t="inlineStr">
        <is>
          <t>Programada</t>
        </is>
      </c>
      <c r="M180" s="12" t="n"/>
      <c r="N180" s="11">
        <f>SI(O(H180="";J180="");"";SI(J180&lt;=H180;"SÍ";"NO"))</f>
        <v/>
      </c>
      <c r="O180" s="11">
        <f>SI(O(I180="";K180="");"";SI(K180&lt;=SI(M180&lt;&gt;"";M180;I180);"SÍ";"NO"))</f>
        <v/>
      </c>
      <c r="P180" s="11">
        <f>SI(O(N180="";O180="");"";SI(Y(N180="SÍ";O180="SÍ");"SÍ";"NO"))</f>
        <v/>
      </c>
      <c r="Q180" s="13">
        <f>SI(O(I180="";K180="");"";MAX(0;ENTERO(K180)-ENTERO(SI(M180&lt;&gt;"";M180;I180))))</f>
        <v/>
      </c>
      <c r="R180" s="11" t="n"/>
      <c r="S180" s="11" t="n"/>
      <c r="T180" s="12" t="n"/>
      <c r="U180" s="11" t="n">
        <v>13</v>
      </c>
      <c r="V180" s="11" t="n"/>
    </row>
    <row r="181">
      <c r="A181" s="14" t="n">
        <v>4806</v>
      </c>
      <c r="B181" s="14" t="inlineStr">
        <is>
          <t>IPIALES</t>
        </is>
      </c>
      <c r="C181" s="14" t="inlineStr">
        <is>
          <t>Ipiales</t>
        </is>
      </c>
      <c r="D181" s="14" t="inlineStr">
        <is>
          <t>Nariño</t>
        </is>
      </c>
      <c r="E181" s="14" t="inlineStr">
        <is>
          <t>OCCIDENTE</t>
        </is>
      </c>
      <c r="F181" s="14" t="inlineStr">
        <is>
          <t>Juan Carlos Narvaez Acosta / Luis Fernando Ibarra Guio</t>
        </is>
      </c>
      <c r="G181" s="14" t="inlineStr">
        <is>
          <t>12</t>
        </is>
      </c>
      <c r="H181" s="15" t="n">
        <v>46275</v>
      </c>
      <c r="I181" s="15" t="n">
        <v>46275</v>
      </c>
      <c r="J181" s="15" t="n"/>
      <c r="K181" s="15" t="n"/>
      <c r="L181" s="14" t="inlineStr">
        <is>
          <t>Programada</t>
        </is>
      </c>
      <c r="M181" s="15" t="n"/>
      <c r="N181" s="14">
        <f>SI(O(H181="";J181="");"";SI(J181&lt;=H181;"SÍ";"NO"))</f>
        <v/>
      </c>
      <c r="O181" s="14">
        <f>SI(O(I181="";K181="");"";SI(K181&lt;=SI(M181&lt;&gt;"";M181;I181);"SÍ";"NO"))</f>
        <v/>
      </c>
      <c r="P181" s="14">
        <f>SI(O(N181="";O181="");"";SI(Y(N181="SÍ";O181="SÍ");"SÍ";"NO"))</f>
        <v/>
      </c>
      <c r="Q181" s="16">
        <f>SI(O(I181="";K181="");"";MAX(0;ENTERO(K181)-ENTERO(SI(M181&lt;&gt;"";M181;I181))))</f>
        <v/>
      </c>
      <c r="R181" s="14" t="n"/>
      <c r="S181" s="14" t="n"/>
      <c r="T181" s="15" t="n"/>
      <c r="U181" s="14" t="n">
        <v>59</v>
      </c>
      <c r="V181" s="14" t="n"/>
    </row>
    <row r="182">
      <c r="A182" s="11" t="n">
        <v>6606</v>
      </c>
      <c r="B182" s="11" t="inlineStr">
        <is>
          <t>LÉRIDA</t>
        </is>
      </c>
      <c r="C182" s="11" t="inlineStr">
        <is>
          <t>Lérida</t>
        </is>
      </c>
      <c r="D182" s="11" t="inlineStr">
        <is>
          <t>Tolima</t>
        </is>
      </c>
      <c r="E182" s="11" t="inlineStr">
        <is>
          <t>SUR</t>
        </is>
      </c>
      <c r="F182" s="11" t="inlineStr">
        <is>
          <t>Yeisson Castaño</t>
        </is>
      </c>
      <c r="G182" s="11" t="inlineStr">
        <is>
          <t>3</t>
        </is>
      </c>
      <c r="H182" s="12" t="n">
        <v>46275</v>
      </c>
      <c r="I182" s="12" t="n">
        <v>46275</v>
      </c>
      <c r="J182" s="12" t="n"/>
      <c r="K182" s="12" t="n"/>
      <c r="L182" s="11" t="inlineStr">
        <is>
          <t>Programada</t>
        </is>
      </c>
      <c r="M182" s="12" t="n"/>
      <c r="N182" s="11">
        <f>SI(O(H182="";J182="");"";SI(J182&lt;=H182;"SÍ";"NO"))</f>
        <v/>
      </c>
      <c r="O182" s="11">
        <f>SI(O(I182="";K182="");"";SI(K182&lt;=SI(M182&lt;&gt;"";M182;I182);"SÍ";"NO"))</f>
        <v/>
      </c>
      <c r="P182" s="11">
        <f>SI(O(N182="";O182="");"";SI(Y(N182="SÍ";O182="SÍ");"SÍ";"NO"))</f>
        <v/>
      </c>
      <c r="Q182" s="13">
        <f>SI(O(I182="";K182="");"";MAX(0;ENTERO(K182)-ENTERO(SI(M182&lt;&gt;"";M182;I182))))</f>
        <v/>
      </c>
      <c r="R182" s="11" t="n"/>
      <c r="S182" s="11" t="n"/>
      <c r="T182" s="12" t="n"/>
      <c r="U182" s="11" t="n">
        <v>19</v>
      </c>
      <c r="V182" s="11" t="n"/>
    </row>
    <row r="183">
      <c r="A183" s="14" t="n">
        <v>1244</v>
      </c>
      <c r="B183" s="14" t="inlineStr">
        <is>
          <t>MORALES</t>
        </is>
      </c>
      <c r="C183" s="14" t="inlineStr">
        <is>
          <t>Morales</t>
        </is>
      </c>
      <c r="D183" s="14" t="inlineStr">
        <is>
          <t>Bolívar</t>
        </is>
      </c>
      <c r="E183" s="14" t="inlineStr">
        <is>
          <t>SANTANDERES</t>
        </is>
      </c>
      <c r="F183" s="14" t="inlineStr">
        <is>
          <t>Libni Simei Pardo Yanes</t>
        </is>
      </c>
      <c r="G183" s="14" t="inlineStr">
        <is>
          <t>2</t>
        </is>
      </c>
      <c r="H183" s="15" t="n">
        <v>46276</v>
      </c>
      <c r="I183" s="15" t="n">
        <v>46276</v>
      </c>
      <c r="J183" s="15" t="n"/>
      <c r="K183" s="15" t="n"/>
      <c r="L183" s="14" t="inlineStr">
        <is>
          <t>Programada</t>
        </is>
      </c>
      <c r="M183" s="15" t="n"/>
      <c r="N183" s="14">
        <f>SI(O(H183="";J183="");"";SI(J183&lt;=H183;"SÍ";"NO"))</f>
        <v/>
      </c>
      <c r="O183" s="14">
        <f>SI(O(I183="";K183="");"";SI(K183&lt;=SI(M183&lt;&gt;"";M183;I183);"SÍ";"NO"))</f>
        <v/>
      </c>
      <c r="P183" s="14">
        <f>SI(O(N183="";O183="");"";SI(Y(N183="SÍ";O183="SÍ");"SÍ";"NO"))</f>
        <v/>
      </c>
      <c r="Q183" s="16">
        <f>SI(O(I183="";K183="");"";MAX(0;ENTERO(K183)-ENTERO(SI(M183&lt;&gt;"";M183;I183))))</f>
        <v/>
      </c>
      <c r="R183" s="14" t="n"/>
      <c r="S183" s="14" t="n"/>
      <c r="T183" s="15" t="n"/>
      <c r="U183" s="14" t="n">
        <v>16</v>
      </c>
      <c r="V183" s="14" t="n"/>
    </row>
    <row r="184">
      <c r="A184" s="11" t="n">
        <v>1263</v>
      </c>
      <c r="B184" s="11" t="inlineStr">
        <is>
          <t>SAN JACINTO</t>
        </is>
      </c>
      <c r="C184" s="11" t="inlineStr">
        <is>
          <t>San Jacinto</t>
        </is>
      </c>
      <c r="D184" s="11" t="inlineStr">
        <is>
          <t>Bolívar</t>
        </is>
      </c>
      <c r="E184" s="11" t="inlineStr">
        <is>
          <t>COSTA</t>
        </is>
      </c>
      <c r="F184" s="11" t="inlineStr">
        <is>
          <t>Gabriel Eduardo Tapias Castellar</t>
        </is>
      </c>
      <c r="G184" s="11" t="inlineStr">
        <is>
          <t>2</t>
        </is>
      </c>
      <c r="H184" s="12" t="n">
        <v>46276</v>
      </c>
      <c r="I184" s="12" t="n">
        <v>46276</v>
      </c>
      <c r="J184" s="12" t="n"/>
      <c r="K184" s="12" t="n"/>
      <c r="L184" s="11" t="inlineStr">
        <is>
          <t>Programada</t>
        </is>
      </c>
      <c r="M184" s="12" t="n"/>
      <c r="N184" s="11">
        <f>SI(O(H184="";J184="");"";SI(J184&lt;=H184;"SÍ";"NO"))</f>
        <v/>
      </c>
      <c r="O184" s="11">
        <f>SI(O(I184="";K184="");"";SI(K184&lt;=SI(M184&lt;&gt;"";M184;I184);"SÍ";"NO"))</f>
        <v/>
      </c>
      <c r="P184" s="11">
        <f>SI(O(N184="";O184="");"";SI(Y(N184="SÍ";O184="SÍ");"SÍ";"NO"))</f>
        <v/>
      </c>
      <c r="Q184" s="13">
        <f>SI(O(I184="";K184="");"";MAX(0;ENTERO(K184)-ENTERO(SI(M184&lt;&gt;"";M184;I184))))</f>
        <v/>
      </c>
      <c r="R184" s="11" t="n"/>
      <c r="S184" s="11" t="n"/>
      <c r="T184" s="12" t="n"/>
      <c r="U184" s="11" t="n">
        <v>22</v>
      </c>
      <c r="V184" s="11" t="n"/>
    </row>
    <row r="185">
      <c r="A185" s="14" t="n">
        <v>1301</v>
      </c>
      <c r="B185" s="14" t="inlineStr">
        <is>
          <t>ANDES</t>
        </is>
      </c>
      <c r="C185" s="14" t="inlineStr">
        <is>
          <t>Andes</t>
        </is>
      </c>
      <c r="D185" s="14" t="inlineStr">
        <is>
          <t>Antioquia</t>
        </is>
      </c>
      <c r="E185" s="14" t="inlineStr">
        <is>
          <t>ANTIOQUIA</t>
        </is>
      </c>
      <c r="F185" s="14" t="inlineStr">
        <is>
          <t>Juan Pablo Osorio Ramirez</t>
        </is>
      </c>
      <c r="G185" s="14" t="inlineStr">
        <is>
          <t>4</t>
        </is>
      </c>
      <c r="H185" s="15" t="n">
        <v>46276</v>
      </c>
      <c r="I185" s="15" t="n">
        <v>46276</v>
      </c>
      <c r="J185" s="15" t="n"/>
      <c r="K185" s="15" t="n"/>
      <c r="L185" s="14" t="inlineStr">
        <is>
          <t>Programada</t>
        </is>
      </c>
      <c r="M185" s="15" t="n"/>
      <c r="N185" s="14">
        <f>SI(O(H185="";J185="");"";SI(J185&lt;=H185;"SÍ";"NO"))</f>
        <v/>
      </c>
      <c r="O185" s="14">
        <f>SI(O(I185="";K185="");"";SI(K185&lt;=SI(M185&lt;&gt;"";M185;I185);"SÍ";"NO"))</f>
        <v/>
      </c>
      <c r="P185" s="14">
        <f>SI(O(N185="";O185="");"";SI(Y(N185="SÍ";O185="SÍ");"SÍ";"NO"))</f>
        <v/>
      </c>
      <c r="Q185" s="16">
        <f>SI(O(I185="";K185="");"";MAX(0;ENTERO(K185)-ENTERO(SI(M185&lt;&gt;"";M185;I185))))</f>
        <v/>
      </c>
      <c r="R185" s="14" t="n"/>
      <c r="S185" s="14" t="n"/>
      <c r="T185" s="15" t="n"/>
      <c r="U185" s="14" t="n">
        <v>25</v>
      </c>
      <c r="V185" s="14" t="n"/>
    </row>
    <row r="186">
      <c r="A186" s="11" t="n">
        <v>1325</v>
      </c>
      <c r="B186" s="11" t="inlineStr">
        <is>
          <t>CHIGORODO</t>
        </is>
      </c>
      <c r="C186" s="11" t="inlineStr">
        <is>
          <t>Chigorodó</t>
        </is>
      </c>
      <c r="D186" s="11" t="inlineStr">
        <is>
          <t>Antioquia</t>
        </is>
      </c>
      <c r="E186" s="11" t="inlineStr">
        <is>
          <t>ANTIOQUIA</t>
        </is>
      </c>
      <c r="F186" s="11" t="inlineStr">
        <is>
          <t>Ever Enrique Esquivel Movilla</t>
        </is>
      </c>
      <c r="G186" s="11" t="inlineStr">
        <is>
          <t>5</t>
        </is>
      </c>
      <c r="H186" s="12" t="n">
        <v>46276</v>
      </c>
      <c r="I186" s="12" t="n">
        <v>46276</v>
      </c>
      <c r="J186" s="12" t="n"/>
      <c r="K186" s="12" t="n"/>
      <c r="L186" s="11" t="inlineStr">
        <is>
          <t>Programada</t>
        </is>
      </c>
      <c r="M186" s="12" t="n"/>
      <c r="N186" s="11">
        <f>SI(O(H186="";J186="");"";SI(J186&lt;=H186;"SÍ";"NO"))</f>
        <v/>
      </c>
      <c r="O186" s="11">
        <f>SI(O(I186="";K186="");"";SI(K186&lt;=SI(M186&lt;&gt;"";M186;I186);"SÍ";"NO"))</f>
        <v/>
      </c>
      <c r="P186" s="11">
        <f>SI(O(N186="";O186="");"";SI(Y(N186="SÍ";O186="SÍ");"SÍ";"NO"))</f>
        <v/>
      </c>
      <c r="Q186" s="13">
        <f>SI(O(I186="";K186="");"";MAX(0;ENTERO(K186)-ENTERO(SI(M186&lt;&gt;"";M186;I186))))</f>
        <v/>
      </c>
      <c r="R186" s="11" t="n"/>
      <c r="S186" s="11" t="n"/>
      <c r="T186" s="12" t="n"/>
      <c r="U186" s="11" t="n">
        <v>33</v>
      </c>
      <c r="V186" s="11" t="n"/>
    </row>
    <row r="187">
      <c r="A187" s="14" t="n">
        <v>1336</v>
      </c>
      <c r="B187" s="14" t="inlineStr">
        <is>
          <t>JARDIN</t>
        </is>
      </c>
      <c r="C187" s="14" t="inlineStr">
        <is>
          <t>Jardín</t>
        </is>
      </c>
      <c r="D187" s="14" t="inlineStr">
        <is>
          <t>Antioquia</t>
        </is>
      </c>
      <c r="E187" s="14" t="inlineStr">
        <is>
          <t>ANTIOQUIA</t>
        </is>
      </c>
      <c r="F187" s="14" t="inlineStr">
        <is>
          <t>Juan Pablo Osorio Ramirez</t>
        </is>
      </c>
      <c r="G187" s="14" t="inlineStr">
        <is>
          <t>2</t>
        </is>
      </c>
      <c r="H187" s="15" t="n">
        <v>46276</v>
      </c>
      <c r="I187" s="15" t="n">
        <v>46276</v>
      </c>
      <c r="J187" s="15" t="n"/>
      <c r="K187" s="15" t="n"/>
      <c r="L187" s="14" t="inlineStr">
        <is>
          <t>Programada</t>
        </is>
      </c>
      <c r="M187" s="15" t="n"/>
      <c r="N187" s="14">
        <f>SI(O(H187="";J187="");"";SI(J187&lt;=H187;"SÍ";"NO"))</f>
        <v/>
      </c>
      <c r="O187" s="14">
        <f>SI(O(I187="";K187="");"";SI(K187&lt;=SI(M187&lt;&gt;"";M187;I187);"SÍ";"NO"))</f>
        <v/>
      </c>
      <c r="P187" s="14">
        <f>SI(O(N187="";O187="");"";SI(Y(N187="SÍ";O187="SÍ");"SÍ";"NO"))</f>
        <v/>
      </c>
      <c r="Q187" s="16">
        <f>SI(O(I187="";K187="");"";MAX(0;ENTERO(K187)-ENTERO(SI(M187&lt;&gt;"";M187;I187))))</f>
        <v/>
      </c>
      <c r="R187" s="14" t="n"/>
      <c r="S187" s="14" t="n"/>
      <c r="T187" s="15" t="n"/>
      <c r="U187" s="14" t="n">
        <v>15</v>
      </c>
      <c r="V187" s="14" t="n"/>
    </row>
    <row r="188">
      <c r="A188" s="11" t="n">
        <v>1595</v>
      </c>
      <c r="B188" s="11" t="inlineStr">
        <is>
          <t>ZETAQUIRA</t>
        </is>
      </c>
      <c r="C188" s="11" t="inlineStr">
        <is>
          <t>Zetaquira</t>
        </is>
      </c>
      <c r="D188" s="11" t="inlineStr">
        <is>
          <t>Boyacá</t>
        </is>
      </c>
      <c r="E188" s="11" t="inlineStr">
        <is>
          <t>ORIENTE</t>
        </is>
      </c>
      <c r="F188" s="11" t="inlineStr">
        <is>
          <t>Andrés Felipe Carvajal Pire</t>
        </is>
      </c>
      <c r="G188" s="11" t="inlineStr">
        <is>
          <t>2</t>
        </is>
      </c>
      <c r="H188" s="12" t="n">
        <v>46276</v>
      </c>
      <c r="I188" s="12" t="n">
        <v>46276</v>
      </c>
      <c r="J188" s="12" t="n"/>
      <c r="K188" s="12" t="n"/>
      <c r="L188" s="11" t="inlineStr">
        <is>
          <t>Programada</t>
        </is>
      </c>
      <c r="M188" s="12" t="n"/>
      <c r="N188" s="11">
        <f>SI(O(H188="";J188="");"";SI(J188&lt;=H188;"SÍ";"NO"))</f>
        <v/>
      </c>
      <c r="O188" s="11">
        <f>SI(O(I188="";K188="");"";SI(K188&lt;=SI(M188&lt;&gt;"";M188;I188);"SÍ";"NO"))</f>
        <v/>
      </c>
      <c r="P188" s="11">
        <f>SI(O(N188="";O188="");"";SI(Y(N188="SÍ";O188="SÍ");"SÍ";"NO"))</f>
        <v/>
      </c>
      <c r="Q188" s="13">
        <f>SI(O(I188="";K188="");"";MAX(0;ENTERO(K188)-ENTERO(SI(M188&lt;&gt;"";M188;I188))))</f>
        <v/>
      </c>
      <c r="R188" s="11" t="n"/>
      <c r="S188" s="11" t="n"/>
      <c r="T188" s="12" t="n"/>
      <c r="U188" s="11" t="n">
        <v>14</v>
      </c>
      <c r="V188" s="11" t="n"/>
    </row>
    <row r="189">
      <c r="A189" s="14" t="n">
        <v>1622</v>
      </c>
      <c r="B189" s="14" t="inlineStr">
        <is>
          <t>BARANOA</t>
        </is>
      </c>
      <c r="C189" s="14" t="inlineStr">
        <is>
          <t>Baranoa</t>
        </is>
      </c>
      <c r="D189" s="14" t="inlineStr">
        <is>
          <t>Atlántico</t>
        </is>
      </c>
      <c r="E189" s="14" t="inlineStr">
        <is>
          <t>COSTA</t>
        </is>
      </c>
      <c r="F189" s="14" t="inlineStr">
        <is>
          <t>Saudy Enrique Amaya Hernadez</t>
        </is>
      </c>
      <c r="G189" s="14" t="inlineStr">
        <is>
          <t>2</t>
        </is>
      </c>
      <c r="H189" s="15" t="n">
        <v>46276</v>
      </c>
      <c r="I189" s="15" t="n">
        <v>46276</v>
      </c>
      <c r="J189" s="15" t="n"/>
      <c r="K189" s="15" t="n"/>
      <c r="L189" s="14" t="inlineStr">
        <is>
          <t>Programada</t>
        </is>
      </c>
      <c r="M189" s="15" t="n"/>
      <c r="N189" s="14">
        <f>SI(O(H189="";J189="");"";SI(J189&lt;=H189;"SÍ";"NO"))</f>
        <v/>
      </c>
      <c r="O189" s="14">
        <f>SI(O(I189="";K189="");"";SI(K189&lt;=SI(M189&lt;&gt;"";M189;I189);"SÍ";"NO"))</f>
        <v/>
      </c>
      <c r="P189" s="14">
        <f>SI(O(N189="";O189="");"";SI(Y(N189="SÍ";O189="SÍ");"SÍ";"NO"))</f>
        <v/>
      </c>
      <c r="Q189" s="16">
        <f>SI(O(I189="";K189="");"";MAX(0;ENTERO(K189)-ENTERO(SI(M189&lt;&gt;"";M189;I189))))</f>
        <v/>
      </c>
      <c r="R189" s="14" t="n"/>
      <c r="S189" s="14" t="n"/>
      <c r="T189" s="15" t="n"/>
      <c r="U189" s="14" t="n">
        <v>26</v>
      </c>
      <c r="V189" s="14" t="n"/>
    </row>
    <row r="190">
      <c r="A190" s="11" t="n">
        <v>2165</v>
      </c>
      <c r="B190" s="11" t="inlineStr">
        <is>
          <t>SAN SEBASTIAN</t>
        </is>
      </c>
      <c r="C190" s="11" t="inlineStr">
        <is>
          <t>San Sebastián</t>
        </is>
      </c>
      <c r="D190" s="11" t="inlineStr">
        <is>
          <t>Cauca</t>
        </is>
      </c>
      <c r="E190" s="11" t="inlineStr">
        <is>
          <t>OCCIDENTE</t>
        </is>
      </c>
      <c r="F190" s="11" t="inlineStr">
        <is>
          <t>Holmes Arley Astudillo Fajardo</t>
        </is>
      </c>
      <c r="G190" s="11" t="inlineStr">
        <is>
          <t>1</t>
        </is>
      </c>
      <c r="H190" s="12" t="n">
        <v>46276</v>
      </c>
      <c r="I190" s="12" t="n">
        <v>46276</v>
      </c>
      <c r="J190" s="12" t="n"/>
      <c r="K190" s="12" t="n"/>
      <c r="L190" s="11" t="inlineStr">
        <is>
          <t>Programada</t>
        </is>
      </c>
      <c r="M190" s="12" t="n"/>
      <c r="N190" s="11">
        <f>SI(O(H190="";J190="");"";SI(J190&lt;=H190;"SÍ";"NO"))</f>
        <v/>
      </c>
      <c r="O190" s="11">
        <f>SI(O(I190="";K190="");"";SI(K190&lt;=SI(M190&lt;&gt;"";M190;I190);"SÍ";"NO"))</f>
        <v/>
      </c>
      <c r="P190" s="11">
        <f>SI(O(N190="";O190="");"";SI(Y(N190="SÍ";O190="SÍ");"SÍ";"NO"))</f>
        <v/>
      </c>
      <c r="Q190" s="13">
        <f>SI(O(I190="";K190="");"";MAX(0;ENTERO(K190)-ENTERO(SI(M190&lt;&gt;"";M190;I190))))</f>
        <v/>
      </c>
      <c r="R190" s="11" t="n"/>
      <c r="S190" s="11" t="n"/>
      <c r="T190" s="12" t="n"/>
      <c r="U190" s="11" t="n">
        <v>14</v>
      </c>
      <c r="V190" s="11" t="n"/>
    </row>
    <row r="191">
      <c r="A191" s="14" t="n">
        <v>2405</v>
      </c>
      <c r="B191" s="14" t="inlineStr">
        <is>
          <t>BECERRIL</t>
        </is>
      </c>
      <c r="C191" s="14" t="inlineStr">
        <is>
          <t>Becerril</t>
        </is>
      </c>
      <c r="D191" s="14" t="inlineStr">
        <is>
          <t>Cesar</t>
        </is>
      </c>
      <c r="E191" s="14" t="inlineStr">
        <is>
          <t>COSTA</t>
        </is>
      </c>
      <c r="F191" s="14" t="inlineStr">
        <is>
          <t>Luis Alfonso Lozano Cervantes</t>
        </is>
      </c>
      <c r="G191" s="14" t="inlineStr">
        <is>
          <t>1</t>
        </is>
      </c>
      <c r="H191" s="15" t="n">
        <v>46276</v>
      </c>
      <c r="I191" s="15" t="n">
        <v>46276</v>
      </c>
      <c r="J191" s="15" t="n"/>
      <c r="K191" s="15" t="n"/>
      <c r="L191" s="14" t="inlineStr">
        <is>
          <t>Programada</t>
        </is>
      </c>
      <c r="M191" s="15" t="n"/>
      <c r="N191" s="14">
        <f>SI(O(H191="";J191="");"";SI(J191&lt;=H191;"SÍ";"NO"))</f>
        <v/>
      </c>
      <c r="O191" s="14">
        <f>SI(O(I191="";K191="");"";SI(K191&lt;=SI(M191&lt;&gt;"";M191;I191);"SÍ";"NO"))</f>
        <v/>
      </c>
      <c r="P191" s="14">
        <f>SI(O(N191="";O191="");"";SI(Y(N191="SÍ";O191="SÍ");"SÍ";"NO"))</f>
        <v/>
      </c>
      <c r="Q191" s="16">
        <f>SI(O(I191="";K191="");"";MAX(0;ENTERO(K191)-ENTERO(SI(M191&lt;&gt;"";M191;I191))))</f>
        <v/>
      </c>
      <c r="R191" s="14" t="n"/>
      <c r="S191" s="14" t="n"/>
      <c r="T191" s="15" t="n"/>
      <c r="U191" s="14" t="n">
        <v>13</v>
      </c>
      <c r="V191" s="14" t="n"/>
    </row>
    <row r="192">
      <c r="A192" s="11" t="n">
        <v>2445</v>
      </c>
      <c r="B192" s="11" t="inlineStr">
        <is>
          <t>PUEBLO BELLO</t>
        </is>
      </c>
      <c r="C192" s="11" t="inlineStr">
        <is>
          <t>PUEBLO BELLO</t>
        </is>
      </c>
      <c r="D192" s="11" t="inlineStr">
        <is>
          <t>Cesar</t>
        </is>
      </c>
      <c r="E192" s="11" t="inlineStr">
        <is>
          <t>COSTA</t>
        </is>
      </c>
      <c r="F192" s="11" t="inlineStr">
        <is>
          <t>Ruben Dario Bertel Hugues</t>
        </is>
      </c>
      <c r="G192" s="11" t="inlineStr">
        <is>
          <t>1</t>
        </is>
      </c>
      <c r="H192" s="12" t="n">
        <v>46276</v>
      </c>
      <c r="I192" s="12" t="n">
        <v>46276</v>
      </c>
      <c r="J192" s="12" t="n"/>
      <c r="K192" s="12" t="n"/>
      <c r="L192" s="11" t="inlineStr">
        <is>
          <t>Programada</t>
        </is>
      </c>
      <c r="M192" s="12" t="n"/>
      <c r="N192" s="11">
        <f>SI(O(H192="";J192="");"";SI(J192&lt;=H192;"SÍ";"NO"))</f>
        <v/>
      </c>
      <c r="O192" s="11">
        <f>SI(O(I192="";K192="");"";SI(K192&lt;=SI(M192&lt;&gt;"";M192;I192);"SÍ";"NO"))</f>
        <v/>
      </c>
      <c r="P192" s="11">
        <f>SI(O(N192="";O192="");"";SI(Y(N192="SÍ";O192="SÍ");"SÍ";"NO"))</f>
        <v/>
      </c>
      <c r="Q192" s="13">
        <f>SI(O(I192="";K192="");"";MAX(0;ENTERO(K192)-ENTERO(SI(M192&lt;&gt;"";M192;I192))))</f>
        <v/>
      </c>
      <c r="R192" s="11" t="n"/>
      <c r="S192" s="11" t="n"/>
      <c r="T192" s="12" t="n"/>
      <c r="U192" s="11" t="n">
        <v>13</v>
      </c>
      <c r="V192" s="11" t="n"/>
    </row>
    <row r="193">
      <c r="A193" s="14" t="n">
        <v>3105</v>
      </c>
      <c r="B193" s="14" t="inlineStr">
        <is>
          <t>VILLAGOMEZ</t>
        </is>
      </c>
      <c r="C193" s="14" t="inlineStr">
        <is>
          <t>Villagómez</t>
        </is>
      </c>
      <c r="D193" s="14" t="inlineStr">
        <is>
          <t>Cundinamarca</t>
        </is>
      </c>
      <c r="E193" s="14" t="inlineStr">
        <is>
          <t>BOGOTA</t>
        </is>
      </c>
      <c r="F193" s="14" t="inlineStr">
        <is>
          <t>Jhonatan Felipe Hernandez Gamboa</t>
        </is>
      </c>
      <c r="G193" s="14" t="inlineStr">
        <is>
          <t>1</t>
        </is>
      </c>
      <c r="H193" s="15" t="n">
        <v>46276</v>
      </c>
      <c r="I193" s="15" t="n">
        <v>46276</v>
      </c>
      <c r="J193" s="15" t="n"/>
      <c r="K193" s="15" t="n"/>
      <c r="L193" s="14" t="inlineStr">
        <is>
          <t>Programada</t>
        </is>
      </c>
      <c r="M193" s="15" t="n"/>
      <c r="N193" s="14">
        <f>SI(O(H193="";J193="");"";SI(J193&lt;=H193;"SÍ";"NO"))</f>
        <v/>
      </c>
      <c r="O193" s="14">
        <f>SI(O(I193="";K193="");"";SI(K193&lt;=SI(M193&lt;&gt;"";M193;I193);"SÍ";"NO"))</f>
        <v/>
      </c>
      <c r="P193" s="14">
        <f>SI(O(N193="";O193="");"";SI(Y(N193="SÍ";O193="SÍ");"SÍ";"NO"))</f>
        <v/>
      </c>
      <c r="Q193" s="16">
        <f>SI(O(I193="";K193="");"";MAX(0;ENTERO(K193)-ENTERO(SI(M193&lt;&gt;"";M193;I193))))</f>
        <v/>
      </c>
      <c r="R193" s="14" t="n"/>
      <c r="S193" s="14" t="n"/>
      <c r="T193" s="15" t="n"/>
      <c r="U193" s="14" t="n">
        <v>13</v>
      </c>
      <c r="V193" s="14" t="n"/>
    </row>
    <row r="194">
      <c r="A194" s="11" t="n">
        <v>3116</v>
      </c>
      <c r="B194" s="11" t="inlineStr">
        <is>
          <t>CHOACHI</t>
        </is>
      </c>
      <c r="C194" s="11" t="inlineStr">
        <is>
          <t>Choachí</t>
        </is>
      </c>
      <c r="D194" s="11" t="inlineStr">
        <is>
          <t>Cundinamarca</t>
        </is>
      </c>
      <c r="E194" s="11" t="inlineStr">
        <is>
          <t>BOGOTA</t>
        </is>
      </c>
      <c r="F194" s="11" t="inlineStr">
        <is>
          <t>Nelson Leonardo Paez Suarez</t>
        </is>
      </c>
      <c r="G194" s="11" t="inlineStr">
        <is>
          <t>2</t>
        </is>
      </c>
      <c r="H194" s="12" t="n">
        <v>46276</v>
      </c>
      <c r="I194" s="12" t="n">
        <v>46276</v>
      </c>
      <c r="J194" s="12" t="n"/>
      <c r="K194" s="12" t="n"/>
      <c r="L194" s="11" t="inlineStr">
        <is>
          <t>Programada</t>
        </is>
      </c>
      <c r="M194" s="12" t="n"/>
      <c r="N194" s="11">
        <f>SI(O(H194="";J194="");"";SI(J194&lt;=H194;"SÍ";"NO"))</f>
        <v/>
      </c>
      <c r="O194" s="11">
        <f>SI(O(I194="";K194="");"";SI(K194&lt;=SI(M194&lt;&gt;"";M194;I194);"SÍ";"NO"))</f>
        <v/>
      </c>
      <c r="P194" s="11">
        <f>SI(O(N194="";O194="");"";SI(Y(N194="SÍ";O194="SÍ");"SÍ";"NO"))</f>
        <v/>
      </c>
      <c r="Q194" s="13">
        <f>SI(O(I194="";K194="");"";MAX(0;ENTERO(K194)-ENTERO(SI(M194&lt;&gt;"";M194;I194))))</f>
        <v/>
      </c>
      <c r="R194" s="11" t="n"/>
      <c r="S194" s="11" t="n"/>
      <c r="T194" s="12" t="n"/>
      <c r="U194" s="11" t="n">
        <v>24</v>
      </c>
      <c r="V194" s="11" t="n"/>
    </row>
    <row r="195">
      <c r="A195" s="14" t="n">
        <v>3165</v>
      </c>
      <c r="B195" s="14" t="inlineStr">
        <is>
          <t>SIMIJACA</t>
        </is>
      </c>
      <c r="C195" s="14" t="inlineStr">
        <is>
          <t>Simijaca</t>
        </is>
      </c>
      <c r="D195" s="14" t="inlineStr">
        <is>
          <t>Cundinamarca</t>
        </is>
      </c>
      <c r="E195" s="14" t="inlineStr">
        <is>
          <t>BOGOTA</t>
        </is>
      </c>
      <c r="F195" s="14" t="inlineStr">
        <is>
          <t>Edwin Santiago Cuchivaguen Diaz</t>
        </is>
      </c>
      <c r="G195" s="14" t="inlineStr">
        <is>
          <t>3</t>
        </is>
      </c>
      <c r="H195" s="15" t="n">
        <v>46276</v>
      </c>
      <c r="I195" s="15" t="n">
        <v>46276</v>
      </c>
      <c r="J195" s="15" t="n"/>
      <c r="K195" s="15" t="n"/>
      <c r="L195" s="14" t="inlineStr">
        <is>
          <t>Programada</t>
        </is>
      </c>
      <c r="M195" s="15" t="n"/>
      <c r="N195" s="14">
        <f>SI(O(H195="";J195="");"";SI(J195&lt;=H195;"SÍ";"NO"))</f>
        <v/>
      </c>
      <c r="O195" s="14">
        <f>SI(O(I195="";K195="");"";SI(K195&lt;=SI(M195&lt;&gt;"";M195;I195);"SÍ";"NO"))</f>
        <v/>
      </c>
      <c r="P195" s="14">
        <f>SI(O(N195="";O195="");"";SI(Y(N195="SÍ";O195="SÍ");"SÍ";"NO"))</f>
        <v/>
      </c>
      <c r="Q195" s="16">
        <f>SI(O(I195="";K195="");"";MAX(0;ENTERO(K195)-ENTERO(SI(M195&lt;&gt;"";M195;I195))))</f>
        <v/>
      </c>
      <c r="R195" s="14" t="n"/>
      <c r="S195" s="14" t="n"/>
      <c r="T195" s="15" t="n"/>
      <c r="U195" s="14" t="n">
        <v>20</v>
      </c>
      <c r="V195" s="14" t="n"/>
    </row>
    <row r="196">
      <c r="A196" s="11" t="n">
        <v>7103</v>
      </c>
      <c r="B196" s="11" t="inlineStr">
        <is>
          <t>LETICIA</t>
        </is>
      </c>
      <c r="C196" s="11" t="inlineStr">
        <is>
          <t>Leticia</t>
        </is>
      </c>
      <c r="D196" s="11" t="inlineStr">
        <is>
          <t>Amazonas</t>
        </is>
      </c>
      <c r="E196" s="11" t="inlineStr">
        <is>
          <t>BOGOTA</t>
        </is>
      </c>
      <c r="F196" s="11" t="inlineStr">
        <is>
          <t>EDWIN ANDRES HERRERA BARRIOS</t>
        </is>
      </c>
      <c r="G196" s="11" t="inlineStr">
        <is>
          <t>1</t>
        </is>
      </c>
      <c r="H196" s="12" t="n">
        <v>46276</v>
      </c>
      <c r="I196" s="12" t="n">
        <v>46276</v>
      </c>
      <c r="J196" s="12" t="n"/>
      <c r="K196" s="12" t="n"/>
      <c r="L196" s="11" t="inlineStr">
        <is>
          <t>Programada</t>
        </is>
      </c>
      <c r="M196" s="12" t="n"/>
      <c r="N196" s="11">
        <f>SI(O(H196="";J196="");"";SI(J196&lt;=H196;"SÍ";"NO"))</f>
        <v/>
      </c>
      <c r="O196" s="11">
        <f>SI(O(I196="";K196="");"";SI(K196&lt;=SI(M196&lt;&gt;"";M196;I196);"SÍ";"NO"))</f>
        <v/>
      </c>
      <c r="P196" s="11">
        <f>SI(O(N196="";O196="");"";SI(Y(N196="SÍ";O196="SÍ");"SÍ";"NO"))</f>
        <v/>
      </c>
      <c r="Q196" s="13">
        <f>SI(O(I196="";K196="");"";MAX(0;ENTERO(K196)-ENTERO(SI(M196&lt;&gt;"";M196;I196))))</f>
        <v/>
      </c>
      <c r="R196" s="11" t="n"/>
      <c r="S196" s="11" t="n"/>
      <c r="T196" s="12" t="n"/>
      <c r="U196" s="11" t="n">
        <v>23</v>
      </c>
      <c r="V196" s="11" t="n"/>
    </row>
    <row r="197">
      <c r="A197" s="14" t="n">
        <v>4507</v>
      </c>
      <c r="B197" s="14" t="inlineStr">
        <is>
          <t>CUMARAL</t>
        </is>
      </c>
      <c r="C197" s="14" t="inlineStr">
        <is>
          <t>Cumaral</t>
        </is>
      </c>
      <c r="D197" s="14" t="inlineStr">
        <is>
          <t>Meta</t>
        </is>
      </c>
      <c r="E197" s="14" t="inlineStr">
        <is>
          <t>BOGOTA</t>
        </is>
      </c>
      <c r="F197" s="14" t="inlineStr">
        <is>
          <t>Angel Danilo Martinez Tejeiro</t>
        </is>
      </c>
      <c r="G197" s="14" t="inlineStr">
        <is>
          <t>3</t>
        </is>
      </c>
      <c r="H197" s="15" t="n">
        <v>46276</v>
      </c>
      <c r="I197" s="15" t="n">
        <v>46276</v>
      </c>
      <c r="J197" s="15" t="n"/>
      <c r="K197" s="15" t="n"/>
      <c r="L197" s="14" t="inlineStr">
        <is>
          <t>Programada</t>
        </is>
      </c>
      <c r="M197" s="15" t="n"/>
      <c r="N197" s="14">
        <f>SI(O(H197="";J197="");"";SI(J197&lt;=H197;"SÍ";"NO"))</f>
        <v/>
      </c>
      <c r="O197" s="14">
        <f>SI(O(I197="";K197="");"";SI(K197&lt;=SI(M197&lt;&gt;"";M197;I197);"SÍ";"NO"))</f>
        <v/>
      </c>
      <c r="P197" s="14">
        <f>SI(O(N197="";O197="");"";SI(Y(N197="SÍ";O197="SÍ");"SÍ";"NO"))</f>
        <v/>
      </c>
      <c r="Q197" s="16">
        <f>SI(O(I197="";K197="");"";MAX(0;ENTERO(K197)-ENTERO(SI(M197&lt;&gt;"";M197;I197))))</f>
        <v/>
      </c>
      <c r="R197" s="14" t="n"/>
      <c r="S197" s="14" t="n"/>
      <c r="T197" s="15" t="n"/>
      <c r="U197" s="14" t="n">
        <v>23</v>
      </c>
      <c r="V197" s="14" t="n"/>
    </row>
    <row r="198">
      <c r="A198" s="11" t="n">
        <v>4518</v>
      </c>
      <c r="B198" s="11" t="inlineStr">
        <is>
          <t>LEJANIAS</t>
        </is>
      </c>
      <c r="C198" s="11" t="inlineStr">
        <is>
          <t>Lejanías</t>
        </is>
      </c>
      <c r="D198" s="11" t="inlineStr">
        <is>
          <t>Meta</t>
        </is>
      </c>
      <c r="E198" s="11" t="inlineStr">
        <is>
          <t>BOGOTA</t>
        </is>
      </c>
      <c r="F198" s="11" t="inlineStr">
        <is>
          <t>Andres Felipe Balbin</t>
        </is>
      </c>
      <c r="G198" s="11" t="inlineStr">
        <is>
          <t>2</t>
        </is>
      </c>
      <c r="H198" s="12" t="n">
        <v>46276</v>
      </c>
      <c r="I198" s="12" t="n">
        <v>46276</v>
      </c>
      <c r="J198" s="12" t="n"/>
      <c r="K198" s="12" t="n"/>
      <c r="L198" s="11" t="inlineStr">
        <is>
          <t>Programada</t>
        </is>
      </c>
      <c r="M198" s="12" t="n"/>
      <c r="N198" s="11">
        <f>SI(O(H198="";J198="");"";SI(J198&lt;=H198;"SÍ";"NO"))</f>
        <v/>
      </c>
      <c r="O198" s="11">
        <f>SI(O(I198="";K198="");"";SI(K198&lt;=SI(M198&lt;&gt;"";M198;I198);"SÍ";"NO"))</f>
        <v/>
      </c>
      <c r="P198" s="11">
        <f>SI(O(N198="";O198="");"";SI(Y(N198="SÍ";O198="SÍ");"SÍ";"NO"))</f>
        <v/>
      </c>
      <c r="Q198" s="13">
        <f>SI(O(I198="";K198="");"";MAX(0;ENTERO(K198)-ENTERO(SI(M198&lt;&gt;"";M198;I198))))</f>
        <v/>
      </c>
      <c r="R198" s="11" t="n"/>
      <c r="S198" s="11" t="n"/>
      <c r="T198" s="12" t="n"/>
      <c r="U198" s="11" t="n">
        <v>16</v>
      </c>
      <c r="V198" s="11" t="n"/>
    </row>
    <row r="199">
      <c r="A199" s="14" t="n">
        <v>4519</v>
      </c>
      <c r="B199" s="14" t="inlineStr">
        <is>
          <t>LA MACARENA</t>
        </is>
      </c>
      <c r="C199" s="14" t="inlineStr">
        <is>
          <t>La Macarena</t>
        </is>
      </c>
      <c r="D199" s="14" t="inlineStr">
        <is>
          <t>Meta</t>
        </is>
      </c>
      <c r="E199" s="14" t="inlineStr">
        <is>
          <t>BOGOTA</t>
        </is>
      </c>
      <c r="F199" s="14" t="inlineStr">
        <is>
          <t>Javier Camilo Gonzalez Muñoz</t>
        </is>
      </c>
      <c r="G199" s="14" t="inlineStr">
        <is>
          <t>3</t>
        </is>
      </c>
      <c r="H199" s="15" t="n">
        <v>46276</v>
      </c>
      <c r="I199" s="15" t="n">
        <v>46276</v>
      </c>
      <c r="J199" s="15" t="n"/>
      <c r="K199" s="15" t="n"/>
      <c r="L199" s="14" t="inlineStr">
        <is>
          <t>Programada</t>
        </is>
      </c>
      <c r="M199" s="15" t="n"/>
      <c r="N199" s="14">
        <f>SI(O(H199="";J199="");"";SI(J199&lt;=H199;"SÍ";"NO"))</f>
        <v/>
      </c>
      <c r="O199" s="14">
        <f>SI(O(I199="";K199="");"";SI(K199&lt;=SI(M199&lt;&gt;"";M199;I199);"SÍ";"NO"))</f>
        <v/>
      </c>
      <c r="P199" s="14">
        <f>SI(O(N199="";O199="");"";SI(Y(N199="SÍ";O199="SÍ");"SÍ";"NO"))</f>
        <v/>
      </c>
      <c r="Q199" s="16">
        <f>SI(O(I199="";K199="");"";MAX(0;ENTERO(K199)-ENTERO(SI(M199&lt;&gt;"";M199;I199))))</f>
        <v/>
      </c>
      <c r="R199" s="14" t="n"/>
      <c r="S199" s="14" t="n"/>
      <c r="T199" s="15" t="n"/>
      <c r="U199" s="14" t="n">
        <v>21</v>
      </c>
      <c r="V199" s="14" t="n"/>
    </row>
    <row r="200">
      <c r="A200" s="11" t="n">
        <v>4816</v>
      </c>
      <c r="B200" s="11" t="inlineStr">
        <is>
          <t>GUACHUCAL</t>
        </is>
      </c>
      <c r="C200" s="11" t="inlineStr">
        <is>
          <t>Guachucal</t>
        </is>
      </c>
      <c r="D200" s="11" t="inlineStr">
        <is>
          <t>Nariño</t>
        </is>
      </c>
      <c r="E200" s="11" t="inlineStr">
        <is>
          <t>OCCIDENTE</t>
        </is>
      </c>
      <c r="F200" s="11" t="inlineStr">
        <is>
          <t>Juan Carlos Narvaez Acosta / Luis Fernando Ibarra Guio</t>
        </is>
      </c>
      <c r="G200" s="11" t="inlineStr">
        <is>
          <t>3</t>
        </is>
      </c>
      <c r="H200" s="12" t="n">
        <v>46276</v>
      </c>
      <c r="I200" s="12" t="n">
        <v>46276</v>
      </c>
      <c r="J200" s="12" t="n"/>
      <c r="K200" s="12" t="n"/>
      <c r="L200" s="11" t="inlineStr">
        <is>
          <t>Programada</t>
        </is>
      </c>
      <c r="M200" s="12" t="n"/>
      <c r="N200" s="11">
        <f>SI(O(H200="";J200="");"";SI(J200&lt;=H200;"SÍ";"NO"))</f>
        <v/>
      </c>
      <c r="O200" s="11">
        <f>SI(O(I200="";K200="");"";SI(K200&lt;=SI(M200&lt;&gt;"";M200;I200);"SÍ";"NO"))</f>
        <v/>
      </c>
      <c r="P200" s="11">
        <f>SI(O(N200="";O200="");"";SI(Y(N200="SÍ";O200="SÍ");"SÍ";"NO"))</f>
        <v/>
      </c>
      <c r="Q200" s="13">
        <f>SI(O(I200="";K200="");"";MAX(0;ENTERO(K200)-ENTERO(SI(M200&lt;&gt;"";M200;I200))))</f>
        <v/>
      </c>
      <c r="R200" s="11" t="n"/>
      <c r="S200" s="11" t="n"/>
      <c r="T200" s="12" t="n"/>
      <c r="U200" s="11" t="n">
        <v>26</v>
      </c>
      <c r="V200" s="11" t="n"/>
    </row>
    <row r="201">
      <c r="A201" s="14" t="n">
        <v>7910</v>
      </c>
      <c r="B201" s="14" t="inlineStr">
        <is>
          <t>LA HORMIGA</t>
        </is>
      </c>
      <c r="C201" s="14" t="inlineStr">
        <is>
          <t>La Hormiga</t>
        </is>
      </c>
      <c r="D201" s="14" t="inlineStr">
        <is>
          <t>Putumayo</t>
        </is>
      </c>
      <c r="E201" s="14" t="inlineStr">
        <is>
          <t>SUR</t>
        </is>
      </c>
      <c r="F201" s="14" t="inlineStr">
        <is>
          <t>JOSE ARTEAGA BRAVO</t>
        </is>
      </c>
      <c r="G201" s="14" t="inlineStr">
        <is>
          <t>5</t>
        </is>
      </c>
      <c r="H201" s="15" t="n">
        <v>46276</v>
      </c>
      <c r="I201" s="15" t="n">
        <v>46276</v>
      </c>
      <c r="J201" s="15" t="n"/>
      <c r="K201" s="15" t="n"/>
      <c r="L201" s="14" t="inlineStr">
        <is>
          <t>Programada</t>
        </is>
      </c>
      <c r="M201" s="15" t="n"/>
      <c r="N201" s="14">
        <f>SI(O(H201="";J201="");"";SI(J201&lt;=H201;"SÍ";"NO"))</f>
        <v/>
      </c>
      <c r="O201" s="14">
        <f>SI(O(I201="";K201="");"";SI(K201&lt;=SI(M201&lt;&gt;"";M201;I201);"SÍ";"NO"))</f>
        <v/>
      </c>
      <c r="P201" s="14">
        <f>SI(O(N201="";O201="");"";SI(Y(N201="SÍ";O201="SÍ");"SÍ";"NO"))</f>
        <v/>
      </c>
      <c r="Q201" s="16">
        <f>SI(O(I201="";K201="");"";MAX(0;ENTERO(K201)-ENTERO(SI(M201&lt;&gt;"";M201;I201))))</f>
        <v/>
      </c>
      <c r="R201" s="14" t="n"/>
      <c r="S201" s="14" t="n"/>
      <c r="T201" s="15" t="n"/>
      <c r="U201" s="14" t="n">
        <v>28</v>
      </c>
      <c r="V201" s="14" t="n"/>
    </row>
    <row r="202">
      <c r="A202" s="11" t="n">
        <v>8663</v>
      </c>
      <c r="B202" s="11" t="inlineStr">
        <is>
          <t>TAURAMENA</t>
        </is>
      </c>
      <c r="C202" s="11" t="inlineStr">
        <is>
          <t>Tauramena</t>
        </is>
      </c>
      <c r="D202" s="11" t="inlineStr">
        <is>
          <t>Casanare</t>
        </is>
      </c>
      <c r="E202" s="11" t="inlineStr">
        <is>
          <t>ORIENTE</t>
        </is>
      </c>
      <c r="F202" s="11" t="inlineStr">
        <is>
          <t>Juan Sebastian Lopez Acevedo</t>
        </is>
      </c>
      <c r="G202" s="11" t="inlineStr">
        <is>
          <t>3</t>
        </is>
      </c>
      <c r="H202" s="12" t="n">
        <v>46276</v>
      </c>
      <c r="I202" s="12" t="n">
        <v>46279</v>
      </c>
      <c r="J202" s="12" t="n"/>
      <c r="K202" s="12" t="n"/>
      <c r="L202" s="11" t="inlineStr">
        <is>
          <t>Programada</t>
        </is>
      </c>
      <c r="M202" s="12" t="n"/>
      <c r="N202" s="11">
        <f>SI(O(H202="";J202="");"";SI(J202&lt;=H202;"SÍ";"NO"))</f>
        <v/>
      </c>
      <c r="O202" s="11">
        <f>SI(O(I202="";K202="");"";SI(K202&lt;=SI(M202&lt;&gt;"";M202;I202);"SÍ";"NO"))</f>
        <v/>
      </c>
      <c r="P202" s="11">
        <f>SI(O(N202="";O202="");"";SI(Y(N202="SÍ";O202="SÍ");"SÍ";"NO"))</f>
        <v/>
      </c>
      <c r="Q202" s="13">
        <f>SI(O(I202="";K202="");"";MAX(0;ENTERO(K202)-ENTERO(SI(M202&lt;&gt;"";M202;I202))))</f>
        <v/>
      </c>
      <c r="R202" s="11" t="n"/>
      <c r="S202" s="11" t="n"/>
      <c r="T202" s="12" t="n"/>
      <c r="U202" s="11" t="n">
        <v>19</v>
      </c>
      <c r="V202" s="11" t="n"/>
    </row>
    <row r="203">
      <c r="A203" s="14" t="n">
        <v>920</v>
      </c>
      <c r="B203" s="14" t="inlineStr">
        <is>
          <t>CHIA</t>
        </is>
      </c>
      <c r="C203" s="14" t="inlineStr">
        <is>
          <t>Chía</t>
        </is>
      </c>
      <c r="D203" s="14" t="inlineStr">
        <is>
          <t>Cundinamarca</t>
        </is>
      </c>
      <c r="E203" s="14" t="inlineStr">
        <is>
          <t>BOGOTA</t>
        </is>
      </c>
      <c r="F203" s="14" t="inlineStr">
        <is>
          <t>Edwin Santiago Cuchivaguen Diaz</t>
        </is>
      </c>
      <c r="G203" s="14" t="inlineStr">
        <is>
          <t>3</t>
        </is>
      </c>
      <c r="H203" s="15" t="n">
        <v>46279</v>
      </c>
      <c r="I203" s="15" t="n">
        <v>46279</v>
      </c>
      <c r="J203" s="15" t="n"/>
      <c r="K203" s="15" t="n"/>
      <c r="L203" s="14" t="inlineStr">
        <is>
          <t>Programada</t>
        </is>
      </c>
      <c r="M203" s="15" t="n"/>
      <c r="N203" s="14">
        <f>SI(O(H203="";J203="");"";SI(J203&lt;=H203;"SÍ";"NO"))</f>
        <v/>
      </c>
      <c r="O203" s="14">
        <f>SI(O(I203="";K203="");"";SI(K203&lt;=SI(M203&lt;&gt;"";M203;I203);"SÍ";"NO"))</f>
        <v/>
      </c>
      <c r="P203" s="14">
        <f>SI(O(N203="";O203="");"";SI(Y(N203="SÍ";O203="SÍ");"SÍ";"NO"))</f>
        <v/>
      </c>
      <c r="Q203" s="16">
        <f>SI(O(I203="";K203="");"";MAX(0;ENTERO(K203)-ENTERO(SI(M203&lt;&gt;"";M203;I203))))</f>
        <v/>
      </c>
      <c r="R203" s="14" t="n"/>
      <c r="S203" s="14" t="n"/>
      <c r="T203" s="15" t="n"/>
      <c r="U203" s="14" t="n">
        <v>24</v>
      </c>
      <c r="V203" s="14" t="n"/>
    </row>
    <row r="204">
      <c r="A204" s="11" t="n">
        <v>1230</v>
      </c>
      <c r="B204" s="11" t="inlineStr">
        <is>
          <t>EL CARMEN DE BOLIVAR</t>
        </is>
      </c>
      <c r="C204" s="11" t="inlineStr">
        <is>
          <t>El Carmen de Bolivar</t>
        </is>
      </c>
      <c r="D204" s="11" t="inlineStr">
        <is>
          <t>Bolívar</t>
        </is>
      </c>
      <c r="E204" s="11" t="inlineStr">
        <is>
          <t>COSTA</t>
        </is>
      </c>
      <c r="F204" s="11" t="inlineStr">
        <is>
          <t>Gabriel Eduardo Tapias Castellar</t>
        </is>
      </c>
      <c r="G204" s="11" t="inlineStr">
        <is>
          <t>3</t>
        </is>
      </c>
      <c r="H204" s="12" t="n">
        <v>46279</v>
      </c>
      <c r="I204" s="12" t="n">
        <v>46279</v>
      </c>
      <c r="J204" s="12" t="n"/>
      <c r="K204" s="12" t="n"/>
      <c r="L204" s="11" t="inlineStr">
        <is>
          <t>Programada</t>
        </is>
      </c>
      <c r="M204" s="12" t="n"/>
      <c r="N204" s="11">
        <f>SI(O(H204="";J204="");"";SI(J204&lt;=H204;"SÍ";"NO"))</f>
        <v/>
      </c>
      <c r="O204" s="11">
        <f>SI(O(I204="";K204="");"";SI(K204&lt;=SI(M204&lt;&gt;"";M204;I204);"SÍ";"NO"))</f>
        <v/>
      </c>
      <c r="P204" s="11">
        <f>SI(O(N204="";O204="");"";SI(Y(N204="SÍ";O204="SÍ");"SÍ";"NO"))</f>
        <v/>
      </c>
      <c r="Q204" s="13">
        <f>SI(O(I204="";K204="");"";MAX(0;ENTERO(K204)-ENTERO(SI(M204&lt;&gt;"";M204;I204))))</f>
        <v/>
      </c>
      <c r="R204" s="11" t="n"/>
      <c r="S204" s="11" t="n"/>
      <c r="T204" s="12" t="n"/>
      <c r="U204" s="11" t="n">
        <v>22</v>
      </c>
      <c r="V204" s="11" t="n"/>
    </row>
    <row r="205">
      <c r="A205" s="14" t="n">
        <v>1326</v>
      </c>
      <c r="B205" s="14" t="inlineStr">
        <is>
          <t>MUTATA</t>
        </is>
      </c>
      <c r="C205" s="14" t="inlineStr">
        <is>
          <t>Mutatá</t>
        </is>
      </c>
      <c r="D205" s="14" t="inlineStr">
        <is>
          <t>Antioquia</t>
        </is>
      </c>
      <c r="E205" s="14" t="inlineStr">
        <is>
          <t>ANTIOQUIA</t>
        </is>
      </c>
      <c r="F205" s="14" t="inlineStr">
        <is>
          <t>Ever Enrique Esquivel Movilla</t>
        </is>
      </c>
      <c r="G205" s="14" t="inlineStr">
        <is>
          <t>2</t>
        </is>
      </c>
      <c r="H205" s="15" t="n">
        <v>46279</v>
      </c>
      <c r="I205" s="15" t="n">
        <v>46279</v>
      </c>
      <c r="J205" s="15" t="n"/>
      <c r="K205" s="15" t="n"/>
      <c r="L205" s="14" t="inlineStr">
        <is>
          <t>Programada</t>
        </is>
      </c>
      <c r="M205" s="15" t="n"/>
      <c r="N205" s="14">
        <f>SI(O(H205="";J205="");"";SI(J205&lt;=H205;"SÍ";"NO"))</f>
        <v/>
      </c>
      <c r="O205" s="14">
        <f>SI(O(I205="";K205="");"";SI(K205&lt;=SI(M205&lt;&gt;"";M205;I205);"SÍ";"NO"))</f>
        <v/>
      </c>
      <c r="P205" s="14">
        <f>SI(O(N205="";O205="");"";SI(Y(N205="SÍ";O205="SÍ");"SÍ";"NO"))</f>
        <v/>
      </c>
      <c r="Q205" s="16">
        <f>SI(O(I205="";K205="");"";MAX(0;ENTERO(K205)-ENTERO(SI(M205&lt;&gt;"";M205;I205))))</f>
        <v/>
      </c>
      <c r="R205" s="14" t="n"/>
      <c r="S205" s="14" t="n"/>
      <c r="T205" s="15" t="n"/>
      <c r="U205" s="14" t="n">
        <v>15</v>
      </c>
      <c r="V205" s="14" t="n"/>
    </row>
    <row r="206">
      <c r="A206" s="11" t="n">
        <v>1377</v>
      </c>
      <c r="B206" s="11" t="inlineStr">
        <is>
          <t>GIRARDOTA</t>
        </is>
      </c>
      <c r="C206" s="11" t="inlineStr">
        <is>
          <t>Girardota</t>
        </is>
      </c>
      <c r="D206" s="11" t="inlineStr">
        <is>
          <t>Antioquia</t>
        </is>
      </c>
      <c r="E206" s="11" t="inlineStr">
        <is>
          <t>ANTIOQUIA</t>
        </is>
      </c>
      <c r="F206" s="11" t="inlineStr">
        <is>
          <t>Andrés Mariano Bustamante Castro</t>
        </is>
      </c>
      <c r="G206" s="11" t="inlineStr">
        <is>
          <t>2</t>
        </is>
      </c>
      <c r="H206" s="12" t="n">
        <v>46279</v>
      </c>
      <c r="I206" s="12" t="n">
        <v>46280</v>
      </c>
      <c r="J206" s="12" t="n"/>
      <c r="K206" s="12" t="n"/>
      <c r="L206" s="11" t="inlineStr">
        <is>
          <t>Programada</t>
        </is>
      </c>
      <c r="M206" s="12" t="n"/>
      <c r="N206" s="11">
        <f>SI(O(H206="";J206="");"";SI(J206&lt;=H206;"SÍ";"NO"))</f>
        <v/>
      </c>
      <c r="O206" s="11">
        <f>SI(O(I206="";K206="");"";SI(K206&lt;=SI(M206&lt;&gt;"";M206;I206);"SÍ";"NO"))</f>
        <v/>
      </c>
      <c r="P206" s="11">
        <f>SI(O(N206="";O206="");"";SI(Y(N206="SÍ";O206="SÍ");"SÍ";"NO"))</f>
        <v/>
      </c>
      <c r="Q206" s="13">
        <f>SI(O(I206="";K206="");"";MAX(0;ENTERO(K206)-ENTERO(SI(M206&lt;&gt;"";M206;I206))))</f>
        <v/>
      </c>
      <c r="R206" s="11" t="n"/>
      <c r="S206" s="11" t="n"/>
      <c r="T206" s="12" t="n"/>
      <c r="U206" s="11" t="n">
        <v>26</v>
      </c>
      <c r="V206" s="11" t="n"/>
    </row>
    <row r="207">
      <c r="A207" s="14" t="n">
        <v>1545</v>
      </c>
      <c r="B207" s="14" t="inlineStr">
        <is>
          <t>MUZO</t>
        </is>
      </c>
      <c r="C207" s="14" t="inlineStr">
        <is>
          <t>Muzo</t>
        </is>
      </c>
      <c r="D207" s="14" t="inlineStr">
        <is>
          <t>Boyacá</t>
        </is>
      </c>
      <c r="E207" s="14" t="inlineStr">
        <is>
          <t>ORIENTE</t>
        </is>
      </c>
      <c r="F207" s="14" t="inlineStr">
        <is>
          <t>Mauricio Andrés Rivera Páez</t>
        </is>
      </c>
      <c r="G207" s="14" t="inlineStr">
        <is>
          <t>2</t>
        </is>
      </c>
      <c r="H207" s="15" t="n">
        <v>46279</v>
      </c>
      <c r="I207" s="15" t="n">
        <v>46280</v>
      </c>
      <c r="J207" s="15" t="n"/>
      <c r="K207" s="15" t="n"/>
      <c r="L207" s="14" t="inlineStr">
        <is>
          <t>Programada</t>
        </is>
      </c>
      <c r="M207" s="15" t="n"/>
      <c r="N207" s="14">
        <f>SI(O(H207="";J207="");"";SI(J207&lt;=H207;"SÍ";"NO"))</f>
        <v/>
      </c>
      <c r="O207" s="14">
        <f>SI(O(I207="";K207="");"";SI(K207&lt;=SI(M207&lt;&gt;"";M207;I207);"SÍ";"NO"))</f>
        <v/>
      </c>
      <c r="P207" s="14">
        <f>SI(O(N207="";O207="");"";SI(Y(N207="SÍ";O207="SÍ");"SÍ";"NO"))</f>
        <v/>
      </c>
      <c r="Q207" s="16">
        <f>SI(O(I207="";K207="");"";MAX(0;ENTERO(K207)-ENTERO(SI(M207&lt;&gt;"";M207;I207))))</f>
        <v/>
      </c>
      <c r="R207" s="14" t="n"/>
      <c r="S207" s="14" t="n"/>
      <c r="T207" s="15" t="n"/>
      <c r="U207" s="14" t="n">
        <v>18</v>
      </c>
      <c r="V207" s="14" t="n"/>
    </row>
    <row r="208">
      <c r="A208" s="11" t="n">
        <v>1552</v>
      </c>
      <c r="B208" s="11" t="inlineStr">
        <is>
          <t>OTANCHE</t>
        </is>
      </c>
      <c r="C208" s="11" t="inlineStr">
        <is>
          <t>Otanche</t>
        </is>
      </c>
      <c r="D208" s="11" t="inlineStr">
        <is>
          <t>Boyacá</t>
        </is>
      </c>
      <c r="E208" s="11" t="inlineStr">
        <is>
          <t>ORIENTE</t>
        </is>
      </c>
      <c r="F208" s="11" t="inlineStr">
        <is>
          <t>Luz Nélida Barragán Toro</t>
        </is>
      </c>
      <c r="G208" s="11" t="inlineStr">
        <is>
          <t>1</t>
        </is>
      </c>
      <c r="H208" s="12" t="n">
        <v>46279</v>
      </c>
      <c r="I208" s="12" t="n">
        <v>46280</v>
      </c>
      <c r="J208" s="12" t="n"/>
      <c r="K208" s="12" t="n"/>
      <c r="L208" s="11" t="inlineStr">
        <is>
          <t>Programada</t>
        </is>
      </c>
      <c r="M208" s="12" t="n"/>
      <c r="N208" s="11">
        <f>SI(O(H208="";J208="");"";SI(J208&lt;=H208;"SÍ";"NO"))</f>
        <v/>
      </c>
      <c r="O208" s="11">
        <f>SI(O(I208="";K208="");"";SI(K208&lt;=SI(M208&lt;&gt;"";M208;I208);"SÍ";"NO"))</f>
        <v/>
      </c>
      <c r="P208" s="11">
        <f>SI(O(N208="";O208="");"";SI(Y(N208="SÍ";O208="SÍ");"SÍ";"NO"))</f>
        <v/>
      </c>
      <c r="Q208" s="13">
        <f>SI(O(I208="";K208="");"";MAX(0;ENTERO(K208)-ENTERO(SI(M208&lt;&gt;"";M208;I208))))</f>
        <v/>
      </c>
      <c r="R208" s="11" t="n"/>
      <c r="S208" s="11" t="n"/>
      <c r="T208" s="12" t="n"/>
      <c r="U208" s="11" t="n">
        <v>18</v>
      </c>
      <c r="V208" s="11" t="n"/>
    </row>
    <row r="209">
      <c r="A209" s="14" t="n">
        <v>1555</v>
      </c>
      <c r="B209" s="14" t="inlineStr">
        <is>
          <t>PAUNA</t>
        </is>
      </c>
      <c r="C209" s="14" t="inlineStr">
        <is>
          <t>Pauna</t>
        </is>
      </c>
      <c r="D209" s="14" t="inlineStr">
        <is>
          <t>Boyacá</t>
        </is>
      </c>
      <c r="E209" s="14" t="inlineStr">
        <is>
          <t>ORIENTE</t>
        </is>
      </c>
      <c r="F209" s="14" t="inlineStr">
        <is>
          <t>Andrés Felipe Díaz Noy</t>
        </is>
      </c>
      <c r="G209" s="14" t="inlineStr">
        <is>
          <t>2</t>
        </is>
      </c>
      <c r="H209" s="15" t="n">
        <v>46279</v>
      </c>
      <c r="I209" s="15" t="n">
        <v>46280</v>
      </c>
      <c r="J209" s="15" t="n"/>
      <c r="K209" s="15" t="n"/>
      <c r="L209" s="14" t="inlineStr">
        <is>
          <t>Programada</t>
        </is>
      </c>
      <c r="M209" s="15" t="n"/>
      <c r="N209" s="14">
        <f>SI(O(H209="";J209="");"";SI(J209&lt;=H209;"SÍ";"NO"))</f>
        <v/>
      </c>
      <c r="O209" s="14">
        <f>SI(O(I209="";K209="");"";SI(K209&lt;=SI(M209&lt;&gt;"";M209;I209);"SÍ";"NO"))</f>
        <v/>
      </c>
      <c r="P209" s="14">
        <f>SI(O(N209="";O209="");"";SI(Y(N209="SÍ";O209="SÍ");"SÍ";"NO"))</f>
        <v/>
      </c>
      <c r="Q209" s="16">
        <f>SI(O(I209="";K209="");"";MAX(0;ENTERO(K209)-ENTERO(SI(M209&lt;&gt;"";M209;I209))))</f>
        <v/>
      </c>
      <c r="R209" s="14" t="n"/>
      <c r="S209" s="14" t="n"/>
      <c r="T209" s="15" t="n"/>
      <c r="U209" s="14" t="n">
        <v>22</v>
      </c>
      <c r="V209" s="14" t="n"/>
    </row>
    <row r="210">
      <c r="A210" s="11" t="n">
        <v>1567</v>
      </c>
      <c r="B210" s="11" t="inlineStr">
        <is>
          <t>SABOYA</t>
        </is>
      </c>
      <c r="C210" s="11" t="inlineStr">
        <is>
          <t>Saboyá</t>
        </is>
      </c>
      <c r="D210" s="11" t="inlineStr">
        <is>
          <t>Boyacá</t>
        </is>
      </c>
      <c r="E210" s="11" t="inlineStr">
        <is>
          <t>ORIENTE</t>
        </is>
      </c>
      <c r="F210" s="11" t="inlineStr">
        <is>
          <t>Andrés Felipe Carvajal Pire</t>
        </is>
      </c>
      <c r="G210" s="11" t="inlineStr">
        <is>
          <t>2</t>
        </is>
      </c>
      <c r="H210" s="12" t="n">
        <v>46279</v>
      </c>
      <c r="I210" s="12" t="n">
        <v>46280</v>
      </c>
      <c r="J210" s="12" t="n"/>
      <c r="K210" s="12" t="n"/>
      <c r="L210" s="11" t="inlineStr">
        <is>
          <t>Programada</t>
        </is>
      </c>
      <c r="M210" s="12" t="n"/>
      <c r="N210" s="11">
        <f>SI(O(H210="";J210="");"";SI(J210&lt;=H210;"SÍ";"NO"))</f>
        <v/>
      </c>
      <c r="O210" s="11">
        <f>SI(O(I210="";K210="");"";SI(K210&lt;=SI(M210&lt;&gt;"";M210;I210);"SÍ";"NO"))</f>
        <v/>
      </c>
      <c r="P210" s="11">
        <f>SI(O(N210="";O210="");"";SI(Y(N210="SÍ";O210="SÍ");"SÍ";"NO"))</f>
        <v/>
      </c>
      <c r="Q210" s="13">
        <f>SI(O(I210="";K210="");"";MAX(0;ENTERO(K210)-ENTERO(SI(M210&lt;&gt;"";M210;I210))))</f>
        <v/>
      </c>
      <c r="R210" s="11" t="n"/>
      <c r="S210" s="11" t="n"/>
      <c r="T210" s="12" t="n"/>
      <c r="U210" s="11" t="n">
        <v>18</v>
      </c>
      <c r="V210" s="11" t="n"/>
    </row>
    <row r="211">
      <c r="A211" s="14" t="n">
        <v>2112</v>
      </c>
      <c r="B211" s="14" t="inlineStr">
        <is>
          <t>MIRANDA</t>
        </is>
      </c>
      <c r="C211" s="14" t="inlineStr">
        <is>
          <t>Miranda</t>
        </is>
      </c>
      <c r="D211" s="14" t="inlineStr">
        <is>
          <t>Cauca</t>
        </is>
      </c>
      <c r="E211" s="14" t="inlineStr">
        <is>
          <t>OCCIDENTE</t>
        </is>
      </c>
      <c r="F211" s="14" t="inlineStr">
        <is>
          <t>Holmes Arley Astudillo Fajardo</t>
        </is>
      </c>
      <c r="G211" s="14" t="inlineStr">
        <is>
          <t>3</t>
        </is>
      </c>
      <c r="H211" s="15" t="n">
        <v>46279</v>
      </c>
      <c r="I211" s="15" t="n">
        <v>46279</v>
      </c>
      <c r="J211" s="15" t="n"/>
      <c r="K211" s="15" t="n"/>
      <c r="L211" s="14" t="inlineStr">
        <is>
          <t>Programada</t>
        </is>
      </c>
      <c r="M211" s="15" t="n"/>
      <c r="N211" s="14">
        <f>SI(O(H211="";J211="");"";SI(J211&lt;=H211;"SÍ";"NO"))</f>
        <v/>
      </c>
      <c r="O211" s="14">
        <f>SI(O(I211="";K211="");"";SI(K211&lt;=SI(M211&lt;&gt;"";M211;I211);"SÍ";"NO"))</f>
        <v/>
      </c>
      <c r="P211" s="14">
        <f>SI(O(N211="";O211="");"";SI(Y(N211="SÍ";O211="SÍ");"SÍ";"NO"))</f>
        <v/>
      </c>
      <c r="Q211" s="16">
        <f>SI(O(I211="";K211="");"";MAX(0;ENTERO(K211)-ENTERO(SI(M211&lt;&gt;"";M211;I211))))</f>
        <v/>
      </c>
      <c r="R211" s="14" t="n"/>
      <c r="S211" s="14" t="n"/>
      <c r="T211" s="15" t="n"/>
      <c r="U211" s="14" t="n">
        <v>17</v>
      </c>
      <c r="V211" s="14" t="n"/>
    </row>
    <row r="212">
      <c r="A212" s="11" t="n">
        <v>2126</v>
      </c>
      <c r="B212" s="11" t="inlineStr">
        <is>
          <t>PADILLA</t>
        </is>
      </c>
      <c r="C212" s="11" t="inlineStr">
        <is>
          <t>Padilla</t>
        </is>
      </c>
      <c r="D212" s="11" t="inlineStr">
        <is>
          <t>Cauca</t>
        </is>
      </c>
      <c r="E212" s="11" t="inlineStr">
        <is>
          <t>OCCIDENTE</t>
        </is>
      </c>
      <c r="F212" s="11" t="inlineStr">
        <is>
          <t>Holmes Arley Astudillo Fajardo</t>
        </is>
      </c>
      <c r="G212" s="11" t="inlineStr">
        <is>
          <t>1</t>
        </is>
      </c>
      <c r="H212" s="12" t="n">
        <v>46279</v>
      </c>
      <c r="I212" s="12" t="n">
        <v>46279</v>
      </c>
      <c r="J212" s="12" t="n"/>
      <c r="K212" s="12" t="n"/>
      <c r="L212" s="11" t="inlineStr">
        <is>
          <t>Programada</t>
        </is>
      </c>
      <c r="M212" s="12" t="n"/>
      <c r="N212" s="11">
        <f>SI(O(H212="";J212="");"";SI(J212&lt;=H212;"SÍ";"NO"))</f>
        <v/>
      </c>
      <c r="O212" s="11">
        <f>SI(O(I212="";K212="");"";SI(K212&lt;=SI(M212&lt;&gt;"";M212;I212);"SÍ";"NO"))</f>
        <v/>
      </c>
      <c r="P212" s="11">
        <f>SI(O(N212="";O212="");"";SI(Y(N212="SÍ";O212="SÍ");"SÍ";"NO"))</f>
        <v/>
      </c>
      <c r="Q212" s="13">
        <f>SI(O(I212="";K212="");"";MAX(0;ENTERO(K212)-ENTERO(SI(M212&lt;&gt;"";M212;I212))))</f>
        <v/>
      </c>
      <c r="R212" s="11" t="n"/>
      <c r="S212" s="11" t="n"/>
      <c r="T212" s="12" t="n"/>
      <c r="U212" s="11" t="n">
        <v>13</v>
      </c>
      <c r="V212" s="11" t="n"/>
    </row>
    <row r="213">
      <c r="A213" s="14" t="n">
        <v>2410</v>
      </c>
      <c r="B213" s="14" t="inlineStr">
        <is>
          <t>VALLEDUPAR - CDV</t>
        </is>
      </c>
      <c r="C213" s="14" t="inlineStr">
        <is>
          <t>Valledupar</t>
        </is>
      </c>
      <c r="D213" s="14" t="inlineStr">
        <is>
          <t>Cesar</t>
        </is>
      </c>
      <c r="E213" s="14" t="inlineStr">
        <is>
          <t>COSTA</t>
        </is>
      </c>
      <c r="F213" s="14" t="inlineStr">
        <is>
          <t>Antonio Martinez Charris</t>
        </is>
      </c>
      <c r="G213" s="14" t="inlineStr">
        <is>
          <t>2</t>
        </is>
      </c>
      <c r="H213" s="15" t="n">
        <v>46279</v>
      </c>
      <c r="I213" s="15" t="n">
        <v>46279</v>
      </c>
      <c r="J213" s="15" t="n"/>
      <c r="K213" s="15" t="n"/>
      <c r="L213" s="14" t="inlineStr">
        <is>
          <t>Programada</t>
        </is>
      </c>
      <c r="M213" s="15" t="n"/>
      <c r="N213" s="14">
        <f>SI(O(H213="";J213="");"";SI(J213&lt;=H213;"SÍ";"NO"))</f>
        <v/>
      </c>
      <c r="O213" s="14">
        <f>SI(O(I213="";K213="");"";SI(K213&lt;=SI(M213&lt;&gt;"";M213;I213);"SÍ";"NO"))</f>
        <v/>
      </c>
      <c r="P213" s="14">
        <f>SI(O(N213="";O213="");"";SI(Y(N213="SÍ";O213="SÍ");"SÍ";"NO"))</f>
        <v/>
      </c>
      <c r="Q213" s="16">
        <f>SI(O(I213="";K213="");"";MAX(0;ENTERO(K213)-ENTERO(SI(M213&lt;&gt;"";M213;I213))))</f>
        <v/>
      </c>
      <c r="R213" s="14" t="n"/>
      <c r="S213" s="14" t="n"/>
      <c r="T213" s="15" t="n"/>
      <c r="U213" s="14" t="n">
        <v>16</v>
      </c>
      <c r="V213" s="14" t="n"/>
    </row>
    <row r="214">
      <c r="A214" s="11" t="n">
        <v>2701</v>
      </c>
      <c r="B214" s="11" t="inlineStr">
        <is>
          <t>AYAPEL</t>
        </is>
      </c>
      <c r="C214" s="11" t="inlineStr">
        <is>
          <t>Ayapel</t>
        </is>
      </c>
      <c r="D214" s="11" t="inlineStr">
        <is>
          <t>Córdoba</t>
        </is>
      </c>
      <c r="E214" s="11" t="inlineStr">
        <is>
          <t>ANTIOQUIA</t>
        </is>
      </c>
      <c r="F214" s="11" t="inlineStr">
        <is>
          <t>Jhon Jairo Vergara Pelaez</t>
        </is>
      </c>
      <c r="G214" s="11" t="inlineStr">
        <is>
          <t>2</t>
        </is>
      </c>
      <c r="H214" s="12" t="n">
        <v>46279</v>
      </c>
      <c r="I214" s="12" t="n">
        <v>46279</v>
      </c>
      <c r="J214" s="12" t="n"/>
      <c r="K214" s="12" t="n"/>
      <c r="L214" s="11" t="inlineStr">
        <is>
          <t>Programada</t>
        </is>
      </c>
      <c r="M214" s="12" t="n"/>
      <c r="N214" s="11">
        <f>SI(O(H214="";J214="");"";SI(J214&lt;=H214;"SÍ";"NO"))</f>
        <v/>
      </c>
      <c r="O214" s="11">
        <f>SI(O(I214="";K214="");"";SI(K214&lt;=SI(M214&lt;&gt;"";M214;I214);"SÍ";"NO"))</f>
        <v/>
      </c>
      <c r="P214" s="11">
        <f>SI(O(N214="";O214="");"";SI(Y(N214="SÍ";O214="SÍ");"SÍ";"NO"))</f>
        <v/>
      </c>
      <c r="Q214" s="13">
        <f>SI(O(I214="";K214="");"";MAX(0;ENTERO(K214)-ENTERO(SI(M214&lt;&gt;"";M214;I214))))</f>
        <v/>
      </c>
      <c r="R214" s="11" t="n"/>
      <c r="S214" s="11" t="n"/>
      <c r="T214" s="12" t="n"/>
      <c r="U214" s="11" t="n">
        <v>17</v>
      </c>
      <c r="V214" s="11" t="n"/>
    </row>
    <row r="215">
      <c r="A215" s="14" t="n">
        <v>3134</v>
      </c>
      <c r="B215" s="14" t="inlineStr">
        <is>
          <t>GACHALA</t>
        </is>
      </c>
      <c r="C215" s="14" t="inlineStr">
        <is>
          <t>Gachala</t>
        </is>
      </c>
      <c r="D215" s="14" t="inlineStr">
        <is>
          <t>Cundinamarca</t>
        </is>
      </c>
      <c r="E215" s="14" t="inlineStr">
        <is>
          <t>BOGOTA</t>
        </is>
      </c>
      <c r="F215" s="14" t="inlineStr">
        <is>
          <t>Carlos Andres Cuchivaguen Diaz</t>
        </is>
      </c>
      <c r="G215" s="14" t="inlineStr">
        <is>
          <t>1</t>
        </is>
      </c>
      <c r="H215" s="15" t="n">
        <v>46279</v>
      </c>
      <c r="I215" s="15" t="n">
        <v>46279</v>
      </c>
      <c r="J215" s="15" t="n"/>
      <c r="K215" s="15" t="n"/>
      <c r="L215" s="14" t="inlineStr">
        <is>
          <t>Programada</t>
        </is>
      </c>
      <c r="M215" s="15" t="n"/>
      <c r="N215" s="14">
        <f>SI(O(H215="";J215="");"";SI(J215&lt;=H215;"SÍ";"NO"))</f>
        <v/>
      </c>
      <c r="O215" s="14">
        <f>SI(O(I215="";K215="");"";SI(K215&lt;=SI(M215&lt;&gt;"";M215;I215);"SÍ";"NO"))</f>
        <v/>
      </c>
      <c r="P215" s="14">
        <f>SI(O(N215="";O215="");"";SI(Y(N215="SÍ";O215="SÍ");"SÍ";"NO"))</f>
        <v/>
      </c>
      <c r="Q215" s="16">
        <f>SI(O(I215="";K215="");"";MAX(0;ENTERO(K215)-ENTERO(SI(M215&lt;&gt;"";M215;I215))))</f>
        <v/>
      </c>
      <c r="R215" s="14" t="n"/>
      <c r="S215" s="14" t="n"/>
      <c r="T215" s="15" t="n"/>
      <c r="U215" s="14" t="n">
        <v>13</v>
      </c>
      <c r="V215" s="14" t="n"/>
    </row>
    <row r="216">
      <c r="A216" s="11" t="n">
        <v>3148</v>
      </c>
      <c r="B216" s="11" t="inlineStr">
        <is>
          <t>MEDINA</t>
        </is>
      </c>
      <c r="C216" s="11" t="inlineStr">
        <is>
          <t>Medina</t>
        </is>
      </c>
      <c r="D216" s="11" t="inlineStr">
        <is>
          <t>Cundinamarca</t>
        </is>
      </c>
      <c r="E216" s="11" t="inlineStr">
        <is>
          <t>BOGOTA</t>
        </is>
      </c>
      <c r="F216" s="11" t="inlineStr">
        <is>
          <t>Nelson Leonardo Paez Suarez</t>
        </is>
      </c>
      <c r="G216" s="11" t="inlineStr">
        <is>
          <t>3</t>
        </is>
      </c>
      <c r="H216" s="12" t="n">
        <v>46279</v>
      </c>
      <c r="I216" s="12" t="n">
        <v>46279</v>
      </c>
      <c r="J216" s="12" t="n"/>
      <c r="K216" s="12" t="n"/>
      <c r="L216" s="11" t="inlineStr">
        <is>
          <t>Programada</t>
        </is>
      </c>
      <c r="M216" s="12" t="n"/>
      <c r="N216" s="11">
        <f>SI(O(H216="";J216="");"";SI(J216&lt;=H216;"SÍ";"NO"))</f>
        <v/>
      </c>
      <c r="O216" s="11">
        <f>SI(O(I216="";K216="");"";SI(K216&lt;=SI(M216&lt;&gt;"";M216;I216);"SÍ";"NO"))</f>
        <v/>
      </c>
      <c r="P216" s="11">
        <f>SI(O(N216="";O216="");"";SI(Y(N216="SÍ";O216="SÍ");"SÍ";"NO"))</f>
        <v/>
      </c>
      <c r="Q216" s="13">
        <f>SI(O(I216="";K216="");"";MAX(0;ENTERO(K216)-ENTERO(SI(M216&lt;&gt;"";M216;I216))))</f>
        <v/>
      </c>
      <c r="R216" s="11" t="n"/>
      <c r="S216" s="11" t="n"/>
      <c r="T216" s="12" t="n"/>
      <c r="U216" s="11" t="n">
        <v>20</v>
      </c>
      <c r="V216" s="11" t="n"/>
    </row>
    <row r="217">
      <c r="A217" s="14" t="n">
        <v>3195</v>
      </c>
      <c r="B217" s="14" t="inlineStr">
        <is>
          <t>PACHO</t>
        </is>
      </c>
      <c r="C217" s="14" t="inlineStr">
        <is>
          <t>Pacho</t>
        </is>
      </c>
      <c r="D217" s="14" t="inlineStr">
        <is>
          <t>Cundinamarca</t>
        </is>
      </c>
      <c r="E217" s="14" t="inlineStr">
        <is>
          <t>BOGOTA</t>
        </is>
      </c>
      <c r="F217" s="14" t="inlineStr">
        <is>
          <t>Jhonatan Felipe Hernandez Gamboa</t>
        </is>
      </c>
      <c r="G217" s="14" t="inlineStr">
        <is>
          <t>6</t>
        </is>
      </c>
      <c r="H217" s="15" t="n">
        <v>46279</v>
      </c>
      <c r="I217" s="15" t="n">
        <v>46279</v>
      </c>
      <c r="J217" s="15" t="n"/>
      <c r="K217" s="15" t="n"/>
      <c r="L217" s="14" t="inlineStr">
        <is>
          <t>Programada</t>
        </is>
      </c>
      <c r="M217" s="15" t="n"/>
      <c r="N217" s="14">
        <f>SI(O(H217="";J217="");"";SI(J217&lt;=H217;"SÍ";"NO"))</f>
        <v/>
      </c>
      <c r="O217" s="14">
        <f>SI(O(I217="";K217="");"";SI(K217&lt;=SI(M217&lt;&gt;"";M217;I217);"SÍ";"NO"))</f>
        <v/>
      </c>
      <c r="P217" s="14">
        <f>SI(O(N217="";O217="");"";SI(Y(N217="SÍ";O217="SÍ");"SÍ";"NO"))</f>
        <v/>
      </c>
      <c r="Q217" s="16">
        <f>SI(O(I217="";K217="");"";MAX(0;ENTERO(K217)-ENTERO(SI(M217&lt;&gt;"";M217;I217))))</f>
        <v/>
      </c>
      <c r="R217" s="14" t="n"/>
      <c r="S217" s="14" t="n"/>
      <c r="T217" s="15" t="n"/>
      <c r="U217" s="14" t="n">
        <v>26</v>
      </c>
      <c r="V217" s="14" t="n"/>
    </row>
    <row r="218">
      <c r="A218" s="11" t="n">
        <v>3630</v>
      </c>
      <c r="B218" s="11" t="inlineStr">
        <is>
          <t>MAICAO</t>
        </is>
      </c>
      <c r="C218" s="11" t="inlineStr">
        <is>
          <t>Maicao</t>
        </is>
      </c>
      <c r="D218" s="11" t="inlineStr">
        <is>
          <t>La Guajira</t>
        </is>
      </c>
      <c r="E218" s="11" t="inlineStr">
        <is>
          <t>COSTA</t>
        </is>
      </c>
      <c r="F218" s="11" t="inlineStr">
        <is>
          <t>Osvaldo Enrique Mora Viloria</t>
        </is>
      </c>
      <c r="G218" s="11" t="inlineStr">
        <is>
          <t>3</t>
        </is>
      </c>
      <c r="H218" s="12" t="n">
        <v>46279</v>
      </c>
      <c r="I218" s="12" t="n">
        <v>46279</v>
      </c>
      <c r="J218" s="12" t="n"/>
      <c r="K218" s="12" t="n"/>
      <c r="L218" s="11" t="inlineStr">
        <is>
          <t>Programada</t>
        </is>
      </c>
      <c r="M218" s="12" t="n"/>
      <c r="N218" s="11">
        <f>SI(O(H218="";J218="");"";SI(J218&lt;=H218;"SÍ";"NO"))</f>
        <v/>
      </c>
      <c r="O218" s="11">
        <f>SI(O(I218="";K218="");"";SI(K218&lt;=SI(M218&lt;&gt;"";M218;I218);"SÍ";"NO"))</f>
        <v/>
      </c>
      <c r="P218" s="11">
        <f>SI(O(N218="";O218="");"";SI(Y(N218="SÍ";O218="SÍ");"SÍ";"NO"))</f>
        <v/>
      </c>
      <c r="Q218" s="13">
        <f>SI(O(I218="";K218="");"";MAX(0;ENTERO(K218)-ENTERO(SI(M218&lt;&gt;"";M218;I218))))</f>
        <v/>
      </c>
      <c r="R218" s="11" t="n"/>
      <c r="S218" s="11" t="n"/>
      <c r="T218" s="12" t="n"/>
      <c r="U218" s="11" t="n">
        <v>36</v>
      </c>
      <c r="V218" s="11" t="n"/>
    </row>
    <row r="219">
      <c r="A219" s="14" t="n">
        <v>4560</v>
      </c>
      <c r="B219" s="14" t="inlineStr">
        <is>
          <t>URIBE</t>
        </is>
      </c>
      <c r="C219" s="14" t="inlineStr">
        <is>
          <t>Uribe</t>
        </is>
      </c>
      <c r="D219" s="14" t="inlineStr">
        <is>
          <t>Meta</t>
        </is>
      </c>
      <c r="E219" s="14" t="inlineStr">
        <is>
          <t>BOGOTA</t>
        </is>
      </c>
      <c r="F219" s="14" t="inlineStr">
        <is>
          <t>Andres Felipe Balbin</t>
        </is>
      </c>
      <c r="G219" s="14" t="inlineStr">
        <is>
          <t>2</t>
        </is>
      </c>
      <c r="H219" s="15" t="n">
        <v>46279</v>
      </c>
      <c r="I219" s="15" t="n">
        <v>46279</v>
      </c>
      <c r="J219" s="15" t="n"/>
      <c r="K219" s="15" t="n"/>
      <c r="L219" s="14" t="inlineStr">
        <is>
          <t>Programada</t>
        </is>
      </c>
      <c r="M219" s="15" t="n"/>
      <c r="N219" s="14">
        <f>SI(O(H219="";J219="");"";SI(J219&lt;=H219;"SÍ";"NO"))</f>
        <v/>
      </c>
      <c r="O219" s="14">
        <f>SI(O(I219="";K219="");"";SI(K219&lt;=SI(M219&lt;&gt;"";M219;I219);"SÍ";"NO"))</f>
        <v/>
      </c>
      <c r="P219" s="14">
        <f>SI(O(N219="";O219="");"";SI(Y(N219="SÍ";O219="SÍ");"SÍ";"NO"))</f>
        <v/>
      </c>
      <c r="Q219" s="16">
        <f>SI(O(I219="";K219="");"";MAX(0;ENTERO(K219)-ENTERO(SI(M219&lt;&gt;"";M219;I219))))</f>
        <v/>
      </c>
      <c r="R219" s="14" t="n"/>
      <c r="S219" s="14" t="n"/>
      <c r="T219" s="15" t="n"/>
      <c r="U219" s="14" t="n">
        <v>15</v>
      </c>
      <c r="V219" s="14" t="n"/>
    </row>
    <row r="220">
      <c r="A220" s="11" t="n">
        <v>4814</v>
      </c>
      <c r="B220" s="11" t="inlineStr">
        <is>
          <t>CUMBAL</t>
        </is>
      </c>
      <c r="C220" s="11" t="inlineStr">
        <is>
          <t>Cumbal</t>
        </is>
      </c>
      <c r="D220" s="11" t="inlineStr">
        <is>
          <t>Nariño</t>
        </is>
      </c>
      <c r="E220" s="11" t="inlineStr">
        <is>
          <t>OCCIDENTE</t>
        </is>
      </c>
      <c r="F220" s="11" t="inlineStr">
        <is>
          <t>Juan Carlos Narvaez Acosta / Luis Fernando Ibarra Guio</t>
        </is>
      </c>
      <c r="G220" s="11" t="inlineStr">
        <is>
          <t>3</t>
        </is>
      </c>
      <c r="H220" s="12" t="n">
        <v>46279</v>
      </c>
      <c r="I220" s="12" t="n">
        <v>46279</v>
      </c>
      <c r="J220" s="12" t="n"/>
      <c r="K220" s="12" t="n"/>
      <c r="L220" s="11" t="inlineStr">
        <is>
          <t>Programada</t>
        </is>
      </c>
      <c r="M220" s="12" t="n"/>
      <c r="N220" s="11">
        <f>SI(O(H220="";J220="");"";SI(J220&lt;=H220;"SÍ";"NO"))</f>
        <v/>
      </c>
      <c r="O220" s="11">
        <f>SI(O(I220="";K220="");"";SI(K220&lt;=SI(M220&lt;&gt;"";M220;I220);"SÍ";"NO"))</f>
        <v/>
      </c>
      <c r="P220" s="11">
        <f>SI(O(N220="";O220="");"";SI(Y(N220="SÍ";O220="SÍ");"SÍ";"NO"))</f>
        <v/>
      </c>
      <c r="Q220" s="13">
        <f>SI(O(I220="";K220="");"";MAX(0;ENTERO(K220)-ENTERO(SI(M220&lt;&gt;"";M220;I220))))</f>
        <v/>
      </c>
      <c r="R220" s="11" t="n"/>
      <c r="S220" s="11" t="n"/>
      <c r="T220" s="12" t="n"/>
      <c r="U220" s="11" t="n">
        <v>30</v>
      </c>
      <c r="V220" s="11" t="n"/>
    </row>
    <row r="221">
      <c r="A221" s="14" t="n">
        <v>5116</v>
      </c>
      <c r="B221" s="14" t="inlineStr">
        <is>
          <t>CONVENCION</t>
        </is>
      </c>
      <c r="C221" s="14" t="inlineStr">
        <is>
          <t>Convención</t>
        </is>
      </c>
      <c r="D221" s="14" t="inlineStr">
        <is>
          <t>Norte de Santander</t>
        </is>
      </c>
      <c r="E221" s="14" t="inlineStr">
        <is>
          <t>SANTANDERES</t>
        </is>
      </c>
      <c r="F221" s="14" t="inlineStr">
        <is>
          <t>Juan Alfonso Cuberos Buendia</t>
        </is>
      </c>
      <c r="G221" s="14" t="inlineStr">
        <is>
          <t>3</t>
        </is>
      </c>
      <c r="H221" s="15" t="n">
        <v>46279</v>
      </c>
      <c r="I221" s="15" t="n">
        <v>46280</v>
      </c>
      <c r="J221" s="15" t="n"/>
      <c r="K221" s="15" t="n"/>
      <c r="L221" s="14" t="inlineStr">
        <is>
          <t>Programada</t>
        </is>
      </c>
      <c r="M221" s="15" t="n"/>
      <c r="N221" s="14">
        <f>SI(O(H221="";J221="");"";SI(J221&lt;=H221;"SÍ";"NO"))</f>
        <v/>
      </c>
      <c r="O221" s="14">
        <f>SI(O(I221="";K221="");"";SI(K221&lt;=SI(M221&lt;&gt;"";M221;I221);"SÍ";"NO"))</f>
        <v/>
      </c>
      <c r="P221" s="14">
        <f>SI(O(N221="";O221="");"";SI(Y(N221="SÍ";O221="SÍ");"SÍ";"NO"))</f>
        <v/>
      </c>
      <c r="Q221" s="16">
        <f>SI(O(I221="";K221="");"";MAX(0;ENTERO(K221)-ENTERO(SI(M221&lt;&gt;"";M221;I221))))</f>
        <v/>
      </c>
      <c r="R221" s="14" t="n"/>
      <c r="S221" s="14" t="n"/>
      <c r="T221" s="15" t="n"/>
      <c r="U221" s="14" t="n">
        <v>24</v>
      </c>
      <c r="V221" s="14" t="n"/>
    </row>
    <row r="222">
      <c r="A222" s="11" t="n">
        <v>6364</v>
      </c>
      <c r="B222" s="11" t="inlineStr">
        <is>
          <t>SAN MARCOS</t>
        </is>
      </c>
      <c r="C222" s="11" t="inlineStr">
        <is>
          <t>San Marcos</t>
        </is>
      </c>
      <c r="D222" s="11" t="inlineStr">
        <is>
          <t>Sucre</t>
        </is>
      </c>
      <c r="E222" s="11" t="inlineStr">
        <is>
          <t>COSTA</t>
        </is>
      </c>
      <c r="F222" s="11" t="inlineStr">
        <is>
          <t>Jorge Felipe Munive Medina</t>
        </is>
      </c>
      <c r="G222" s="11" t="inlineStr">
        <is>
          <t>3</t>
        </is>
      </c>
      <c r="H222" s="12" t="n">
        <v>46279</v>
      </c>
      <c r="I222" s="12" t="n">
        <v>46279</v>
      </c>
      <c r="J222" s="12" t="n"/>
      <c r="K222" s="12" t="n"/>
      <c r="L222" s="11" t="inlineStr">
        <is>
          <t>Programada</t>
        </is>
      </c>
      <c r="M222" s="12" t="n"/>
      <c r="N222" s="11">
        <f>SI(O(H222="";J222="");"";SI(J222&lt;=H222;"SÍ";"NO"))</f>
        <v/>
      </c>
      <c r="O222" s="11">
        <f>SI(O(I222="";K222="");"";SI(K222&lt;=SI(M222&lt;&gt;"";M222;I222);"SÍ";"NO"))</f>
        <v/>
      </c>
      <c r="P222" s="11">
        <f>SI(O(N222="";O222="");"";SI(Y(N222="SÍ";O222="SÍ");"SÍ";"NO"))</f>
        <v/>
      </c>
      <c r="Q222" s="13">
        <f>SI(O(I222="";K222="");"";MAX(0;ENTERO(K222)-ENTERO(SI(M222&lt;&gt;"";M222;I222))))</f>
        <v/>
      </c>
      <c r="R222" s="11" t="n"/>
      <c r="S222" s="11" t="n"/>
      <c r="T222" s="12" t="n"/>
      <c r="U222" s="11" t="n">
        <v>21</v>
      </c>
      <c r="V222" s="11" t="n"/>
    </row>
    <row r="223">
      <c r="A223" s="14" t="n">
        <v>7315</v>
      </c>
      <c r="B223" s="14" t="inlineStr">
        <is>
          <t>FORTUL</t>
        </is>
      </c>
      <c r="C223" s="14" t="inlineStr">
        <is>
          <t>Fortul</t>
        </is>
      </c>
      <c r="D223" s="14" t="inlineStr">
        <is>
          <t>Arauca</t>
        </is>
      </c>
      <c r="E223" s="14" t="inlineStr">
        <is>
          <t>BOGOTA</t>
        </is>
      </c>
      <c r="F223" s="14" t="inlineStr">
        <is>
          <t>JOAQUIN DE JESUS ROMERO PIÑEREZ</t>
        </is>
      </c>
      <c r="G223" s="14" t="inlineStr">
        <is>
          <t>3</t>
        </is>
      </c>
      <c r="H223" s="15" t="n">
        <v>46279</v>
      </c>
      <c r="I223" s="15" t="n">
        <v>46280</v>
      </c>
      <c r="J223" s="15" t="n"/>
      <c r="K223" s="15" t="n"/>
      <c r="L223" s="14" t="inlineStr">
        <is>
          <t>Programada</t>
        </is>
      </c>
      <c r="M223" s="15" t="n"/>
      <c r="N223" s="14">
        <f>SI(O(H223="";J223="");"";SI(J223&lt;=H223;"SÍ";"NO"))</f>
        <v/>
      </c>
      <c r="O223" s="14">
        <f>SI(O(I223="";K223="");"";SI(K223&lt;=SI(M223&lt;&gt;"";M223;I223);"SÍ";"NO"))</f>
        <v/>
      </c>
      <c r="P223" s="14">
        <f>SI(O(N223="";O223="");"";SI(Y(N223="SÍ";O223="SÍ");"SÍ";"NO"))</f>
        <v/>
      </c>
      <c r="Q223" s="16">
        <f>SI(O(I223="";K223="");"";MAX(0;ENTERO(K223)-ENTERO(SI(M223&lt;&gt;"";M223;I223))))</f>
        <v/>
      </c>
      <c r="R223" s="14" t="n"/>
      <c r="S223" s="14" t="n"/>
      <c r="T223" s="15" t="n"/>
      <c r="U223" s="14" t="n">
        <v>27</v>
      </c>
      <c r="V223" s="14" t="n"/>
    </row>
    <row r="224">
      <c r="A224" s="11" t="n">
        <v>700</v>
      </c>
      <c r="B224" s="11" t="inlineStr">
        <is>
          <t>LA CALERA</t>
        </is>
      </c>
      <c r="C224" s="11" t="inlineStr">
        <is>
          <t>La Calera</t>
        </is>
      </c>
      <c r="D224" s="11" t="inlineStr">
        <is>
          <t>Cundinamarca</t>
        </is>
      </c>
      <c r="E224" s="11" t="inlineStr">
        <is>
          <t>BOGOTA</t>
        </is>
      </c>
      <c r="F224" s="11" t="inlineStr">
        <is>
          <t>Edwin Santiago Cuchivaguen Diaz</t>
        </is>
      </c>
      <c r="G224" s="11" t="inlineStr">
        <is>
          <t>3</t>
        </is>
      </c>
      <c r="H224" s="12" t="n">
        <v>46280</v>
      </c>
      <c r="I224" s="12" t="n">
        <v>46280</v>
      </c>
      <c r="J224" s="12" t="n"/>
      <c r="K224" s="12" t="n"/>
      <c r="L224" s="11" t="inlineStr">
        <is>
          <t>Programada</t>
        </is>
      </c>
      <c r="M224" s="12" t="n"/>
      <c r="N224" s="11">
        <f>SI(O(H224="";J224="");"";SI(J224&lt;=H224;"SÍ";"NO"))</f>
        <v/>
      </c>
      <c r="O224" s="11">
        <f>SI(O(I224="";K224="");"";SI(K224&lt;=SI(M224&lt;&gt;"";M224;I224);"SÍ";"NO"))</f>
        <v/>
      </c>
      <c r="P224" s="11">
        <f>SI(O(N224="";O224="");"";SI(Y(N224="SÍ";O224="SÍ");"SÍ";"NO"))</f>
        <v/>
      </c>
      <c r="Q224" s="13">
        <f>SI(O(I224="";K224="");"";MAX(0;ENTERO(K224)-ENTERO(SI(M224&lt;&gt;"";M224;I224))))</f>
        <v/>
      </c>
      <c r="R224" s="11" t="n"/>
      <c r="S224" s="11" t="n"/>
      <c r="T224" s="12" t="n"/>
      <c r="U224" s="11" t="n">
        <v>19</v>
      </c>
      <c r="V224" s="11" t="n"/>
    </row>
    <row r="225">
      <c r="A225" s="14" t="n">
        <v>1357</v>
      </c>
      <c r="B225" s="14" t="inlineStr">
        <is>
          <t>TAMESIS</t>
        </is>
      </c>
      <c r="C225" s="14" t="inlineStr">
        <is>
          <t>Támesis</t>
        </is>
      </c>
      <c r="D225" s="14" t="inlineStr">
        <is>
          <t>Antioquia</t>
        </is>
      </c>
      <c r="E225" s="14" t="inlineStr">
        <is>
          <t>ANTIOQUIA</t>
        </is>
      </c>
      <c r="F225" s="14" t="inlineStr">
        <is>
          <t>Juan Pablo Osorio Ramirez</t>
        </is>
      </c>
      <c r="G225" s="14" t="inlineStr">
        <is>
          <t>1</t>
        </is>
      </c>
      <c r="H225" s="15" t="n">
        <v>46280</v>
      </c>
      <c r="I225" s="15" t="n">
        <v>46280</v>
      </c>
      <c r="J225" s="15" t="n"/>
      <c r="K225" s="15" t="n"/>
      <c r="L225" s="14" t="inlineStr">
        <is>
          <t>Programada</t>
        </is>
      </c>
      <c r="M225" s="15" t="n"/>
      <c r="N225" s="14">
        <f>SI(O(H225="";J225="");"";SI(J225&lt;=H225;"SÍ";"NO"))</f>
        <v/>
      </c>
      <c r="O225" s="14">
        <f>SI(O(I225="";K225="");"";SI(K225&lt;=SI(M225&lt;&gt;"";M225;I225);"SÍ";"NO"))</f>
        <v/>
      </c>
      <c r="P225" s="14">
        <f>SI(O(N225="";O225="");"";SI(Y(N225="SÍ";O225="SÍ");"SÍ";"NO"))</f>
        <v/>
      </c>
      <c r="Q225" s="16">
        <f>SI(O(I225="";K225="");"";MAX(0;ENTERO(K225)-ENTERO(SI(M225&lt;&gt;"";M225;I225))))</f>
        <v/>
      </c>
      <c r="R225" s="14" t="n"/>
      <c r="S225" s="14" t="n"/>
      <c r="T225" s="15" t="n"/>
      <c r="U225" s="14" t="n">
        <v>15</v>
      </c>
      <c r="V225" s="14" t="n"/>
    </row>
    <row r="226">
      <c r="A226" s="11" t="n">
        <v>1393</v>
      </c>
      <c r="B226" s="11" t="inlineStr">
        <is>
          <t>JERICO</t>
        </is>
      </c>
      <c r="C226" s="11" t="inlineStr">
        <is>
          <t>Jericó</t>
        </is>
      </c>
      <c r="D226" s="11" t="inlineStr">
        <is>
          <t>Antioquia</t>
        </is>
      </c>
      <c r="E226" s="11" t="inlineStr">
        <is>
          <t>ANTIOQUIA</t>
        </is>
      </c>
      <c r="F226" s="11" t="inlineStr">
        <is>
          <t>Juan Pablo Osorio Ramirez</t>
        </is>
      </c>
      <c r="G226" s="11" t="inlineStr">
        <is>
          <t>1</t>
        </is>
      </c>
      <c r="H226" s="12" t="n">
        <v>46280</v>
      </c>
      <c r="I226" s="12" t="n">
        <v>46280</v>
      </c>
      <c r="J226" s="12" t="n"/>
      <c r="K226" s="12" t="n"/>
      <c r="L226" s="11" t="inlineStr">
        <is>
          <t>Programada</t>
        </is>
      </c>
      <c r="M226" s="12" t="n"/>
      <c r="N226" s="11">
        <f>SI(O(H226="";J226="");"";SI(J226&lt;=H226;"SÍ";"NO"))</f>
        <v/>
      </c>
      <c r="O226" s="11">
        <f>SI(O(I226="";K226="");"";SI(K226&lt;=SI(M226&lt;&gt;"";M226;I226);"SÍ";"NO"))</f>
        <v/>
      </c>
      <c r="P226" s="11">
        <f>SI(O(N226="";O226="");"";SI(Y(N226="SÍ";O226="SÍ");"SÍ";"NO"))</f>
        <v/>
      </c>
      <c r="Q226" s="13">
        <f>SI(O(I226="";K226="");"";MAX(0;ENTERO(K226)-ENTERO(SI(M226&lt;&gt;"";M226;I226))))</f>
        <v/>
      </c>
      <c r="R226" s="11" t="n"/>
      <c r="S226" s="11" t="n"/>
      <c r="T226" s="12" t="n"/>
      <c r="U226" s="11" t="n">
        <v>14</v>
      </c>
      <c r="V226" s="11" t="n"/>
    </row>
    <row r="227">
      <c r="A227" s="14" t="n">
        <v>1450</v>
      </c>
      <c r="B227" s="14" t="inlineStr">
        <is>
          <t>PEQUE</t>
        </is>
      </c>
      <c r="C227" s="14" t="inlineStr">
        <is>
          <t>Peque</t>
        </is>
      </c>
      <c r="D227" s="14" t="inlineStr">
        <is>
          <t>Antioquia</t>
        </is>
      </c>
      <c r="E227" s="14" t="inlineStr">
        <is>
          <t>ANTIOQUIA</t>
        </is>
      </c>
      <c r="F227" s="14" t="inlineStr">
        <is>
          <t>Ever Enrique Esquivel Movilla</t>
        </is>
      </c>
      <c r="G227" s="14" t="inlineStr">
        <is>
          <t>1</t>
        </is>
      </c>
      <c r="H227" s="15" t="n">
        <v>46280</v>
      </c>
      <c r="I227" s="15" t="n">
        <v>46280</v>
      </c>
      <c r="J227" s="15" t="n"/>
      <c r="K227" s="15" t="n"/>
      <c r="L227" s="14" t="inlineStr">
        <is>
          <t>Programada</t>
        </is>
      </c>
      <c r="M227" s="15" t="n"/>
      <c r="N227" s="14">
        <f>SI(O(H227="";J227="");"";SI(J227&lt;=H227;"SÍ";"NO"))</f>
        <v/>
      </c>
      <c r="O227" s="14">
        <f>SI(O(I227="";K227="");"";SI(K227&lt;=SI(M227&lt;&gt;"";M227;I227);"SÍ";"NO"))</f>
        <v/>
      </c>
      <c r="P227" s="14">
        <f>SI(O(N227="";O227="");"";SI(Y(N227="SÍ";O227="SÍ");"SÍ";"NO"))</f>
        <v/>
      </c>
      <c r="Q227" s="16">
        <f>SI(O(I227="";K227="");"";MAX(0;ENTERO(K227)-ENTERO(SI(M227&lt;&gt;"";M227;I227))))</f>
        <v/>
      </c>
      <c r="R227" s="14" t="n"/>
      <c r="S227" s="14" t="n"/>
      <c r="T227" s="15" t="n"/>
      <c r="U227" s="14" t="n">
        <v>13</v>
      </c>
      <c r="V227" s="14" t="n"/>
    </row>
    <row r="228">
      <c r="A228" s="11" t="n">
        <v>1530</v>
      </c>
      <c r="B228" s="11" t="inlineStr">
        <is>
          <t>CHIQUINQUIRA</t>
        </is>
      </c>
      <c r="C228" s="11" t="inlineStr">
        <is>
          <t>Chiquinquirá</t>
        </is>
      </c>
      <c r="D228" s="11" t="inlineStr">
        <is>
          <t>Boyacá</t>
        </is>
      </c>
      <c r="E228" s="11" t="inlineStr">
        <is>
          <t>ORIENTE</t>
        </is>
      </c>
      <c r="F228" s="11" t="inlineStr">
        <is>
          <t>Mauricio Andrés Rivera Páez</t>
        </is>
      </c>
      <c r="G228" s="11" t="inlineStr">
        <is>
          <t>9</t>
        </is>
      </c>
      <c r="H228" s="12" t="n">
        <v>46280</v>
      </c>
      <c r="I228" s="12" t="n">
        <v>46282</v>
      </c>
      <c r="J228" s="12" t="n"/>
      <c r="K228" s="12" t="n"/>
      <c r="L228" s="11" t="inlineStr">
        <is>
          <t>Programada</t>
        </is>
      </c>
      <c r="M228" s="12" t="n"/>
      <c r="N228" s="11">
        <f>SI(O(H228="";J228="");"";SI(J228&lt;=H228;"SÍ";"NO"))</f>
        <v/>
      </c>
      <c r="O228" s="11">
        <f>SI(O(I228="";K228="");"";SI(K228&lt;=SI(M228&lt;&gt;"";M228;I228);"SÍ";"NO"))</f>
        <v/>
      </c>
      <c r="P228" s="11">
        <f>SI(O(N228="";O228="");"";SI(Y(N228="SÍ";O228="SÍ");"SÍ";"NO"))</f>
        <v/>
      </c>
      <c r="Q228" s="13">
        <f>SI(O(I228="";K228="");"";MAX(0;ENTERO(K228)-ENTERO(SI(M228&lt;&gt;"";M228;I228))))</f>
        <v/>
      </c>
      <c r="R228" s="11" t="n"/>
      <c r="S228" s="11" t="n"/>
      <c r="T228" s="12" t="n"/>
      <c r="U228" s="11" t="n">
        <v>50</v>
      </c>
      <c r="V228" s="11" t="n"/>
    </row>
    <row r="229">
      <c r="A229" s="14" t="n">
        <v>1546</v>
      </c>
      <c r="B229" s="14" t="inlineStr">
        <is>
          <t>VILLA DE LEYVA</t>
        </is>
      </c>
      <c r="C229" s="14" t="inlineStr">
        <is>
          <t>Villa De Leyva</t>
        </is>
      </c>
      <c r="D229" s="14" t="inlineStr">
        <is>
          <t>Boyacá</t>
        </is>
      </c>
      <c r="E229" s="14" t="inlineStr">
        <is>
          <t>ORIENTE</t>
        </is>
      </c>
      <c r="F229" s="14" t="inlineStr">
        <is>
          <t>Luz Nélida Barragán Toro</t>
        </is>
      </c>
      <c r="G229" s="14" t="inlineStr">
        <is>
          <t>3</t>
        </is>
      </c>
      <c r="H229" s="15" t="n">
        <v>46280</v>
      </c>
      <c r="I229" s="15" t="n">
        <v>46281</v>
      </c>
      <c r="J229" s="15" t="n"/>
      <c r="K229" s="15" t="n"/>
      <c r="L229" s="14" t="inlineStr">
        <is>
          <t>Programada</t>
        </is>
      </c>
      <c r="M229" s="15" t="n"/>
      <c r="N229" s="14">
        <f>SI(O(H229="";J229="");"";SI(J229&lt;=H229;"SÍ";"NO"))</f>
        <v/>
      </c>
      <c r="O229" s="14">
        <f>SI(O(I229="";K229="");"";SI(K229&lt;=SI(M229&lt;&gt;"";M229;I229);"SÍ";"NO"))</f>
        <v/>
      </c>
      <c r="P229" s="14">
        <f>SI(O(N229="";O229="");"";SI(Y(N229="SÍ";O229="SÍ");"SÍ";"NO"))</f>
        <v/>
      </c>
      <c r="Q229" s="16">
        <f>SI(O(I229="";K229="");"";MAX(0;ENTERO(K229)-ENTERO(SI(M229&lt;&gt;"";M229;I229))))</f>
        <v/>
      </c>
      <c r="R229" s="14" t="n"/>
      <c r="S229" s="14" t="n"/>
      <c r="T229" s="15" t="n"/>
      <c r="U229" s="14" t="n">
        <v>23</v>
      </c>
      <c r="V229" s="14" t="n"/>
    </row>
    <row r="230">
      <c r="A230" s="11" t="n">
        <v>1574</v>
      </c>
      <c r="B230" s="11" t="inlineStr">
        <is>
          <t>SANTA SOFIA</t>
        </is>
      </c>
      <c r="C230" s="11" t="inlineStr">
        <is>
          <t>Santa Sofía</t>
        </is>
      </c>
      <c r="D230" s="11" t="inlineStr">
        <is>
          <t>Boyacá</t>
        </is>
      </c>
      <c r="E230" s="11" t="inlineStr">
        <is>
          <t>ORIENTE</t>
        </is>
      </c>
      <c r="F230" s="11" t="inlineStr">
        <is>
          <t>Andrés Felipe Díaz Noy</t>
        </is>
      </c>
      <c r="G230" s="11" t="inlineStr">
        <is>
          <t>1</t>
        </is>
      </c>
      <c r="H230" s="12" t="n">
        <v>46280</v>
      </c>
      <c r="I230" s="12" t="n">
        <v>46281</v>
      </c>
      <c r="J230" s="12" t="n"/>
      <c r="K230" s="12" t="n"/>
      <c r="L230" s="11" t="inlineStr">
        <is>
          <t>Programada</t>
        </is>
      </c>
      <c r="M230" s="12" t="n"/>
      <c r="N230" s="11">
        <f>SI(O(H230="";J230="");"";SI(J230&lt;=H230;"SÍ";"NO"))</f>
        <v/>
      </c>
      <c r="O230" s="11">
        <f>SI(O(I230="";K230="");"";SI(K230&lt;=SI(M230&lt;&gt;"";M230;I230);"SÍ";"NO"))</f>
        <v/>
      </c>
      <c r="P230" s="11">
        <f>SI(O(N230="";O230="");"";SI(Y(N230="SÍ";O230="SÍ");"SÍ";"NO"))</f>
        <v/>
      </c>
      <c r="Q230" s="13">
        <f>SI(O(I230="";K230="");"";MAX(0;ENTERO(K230)-ENTERO(SI(M230&lt;&gt;"";M230;I230))))</f>
        <v/>
      </c>
      <c r="R230" s="11" t="n"/>
      <c r="S230" s="11" t="n"/>
      <c r="T230" s="12" t="n"/>
      <c r="U230" s="11" t="n">
        <v>13</v>
      </c>
      <c r="V230" s="11" t="n"/>
    </row>
    <row r="231">
      <c r="A231" s="14" t="n">
        <v>1583</v>
      </c>
      <c r="B231" s="14" t="inlineStr">
        <is>
          <t>SUTAMARCHAN</t>
        </is>
      </c>
      <c r="C231" s="14" t="inlineStr">
        <is>
          <t>Sutamarchán</t>
        </is>
      </c>
      <c r="D231" s="14" t="inlineStr">
        <is>
          <t>Boyacá</t>
        </is>
      </c>
      <c r="E231" s="14" t="inlineStr">
        <is>
          <t>ORIENTE</t>
        </is>
      </c>
      <c r="F231" s="14" t="inlineStr">
        <is>
          <t>Andrés Felipe Carvajal Pire</t>
        </is>
      </c>
      <c r="G231" s="14" t="inlineStr">
        <is>
          <t>3</t>
        </is>
      </c>
      <c r="H231" s="15" t="n">
        <v>46280</v>
      </c>
      <c r="I231" s="15" t="n">
        <v>46281</v>
      </c>
      <c r="J231" s="15" t="n"/>
      <c r="K231" s="15" t="n"/>
      <c r="L231" s="14" t="inlineStr">
        <is>
          <t>Programada</t>
        </is>
      </c>
      <c r="M231" s="15" t="n"/>
      <c r="N231" s="14">
        <f>SI(O(H231="";J231="");"";SI(J231&lt;=H231;"SÍ";"NO"))</f>
        <v/>
      </c>
      <c r="O231" s="14">
        <f>SI(O(I231="";K231="");"";SI(K231&lt;=SI(M231&lt;&gt;"";M231;I231);"SÍ";"NO"))</f>
        <v/>
      </c>
      <c r="P231" s="14">
        <f>SI(O(N231="";O231="");"";SI(Y(N231="SÍ";O231="SÍ");"SÍ";"NO"))</f>
        <v/>
      </c>
      <c r="Q231" s="16">
        <f>SI(O(I231="";K231="");"";MAX(0;ENTERO(K231)-ENTERO(SI(M231&lt;&gt;"";M231;I231))))</f>
        <v/>
      </c>
      <c r="R231" s="14" t="n"/>
      <c r="S231" s="14" t="n"/>
      <c r="T231" s="15" t="n"/>
      <c r="U231" s="14" t="n">
        <v>25</v>
      </c>
      <c r="V231" s="14" t="n"/>
    </row>
    <row r="232">
      <c r="A232" s="11" t="n">
        <v>1801</v>
      </c>
      <c r="B232" s="11" t="inlineStr">
        <is>
          <t>AGUADAS</t>
        </is>
      </c>
      <c r="C232" s="11" t="inlineStr">
        <is>
          <t>Aguadas</t>
        </is>
      </c>
      <c r="D232" s="11" t="inlineStr">
        <is>
          <t>Caldas</t>
        </is>
      </c>
      <c r="E232" s="11" t="inlineStr">
        <is>
          <t>CAFETERA</t>
        </is>
      </c>
      <c r="F232" s="11" t="inlineStr">
        <is>
          <t>JULIO  CESAR AUDELO  - ANDRES FELIPE BOTERO</t>
        </is>
      </c>
      <c r="G232" s="11" t="inlineStr">
        <is>
          <t>3</t>
        </is>
      </c>
      <c r="H232" s="12" t="n">
        <v>46280</v>
      </c>
      <c r="I232" s="12" t="n">
        <v>46281</v>
      </c>
      <c r="J232" s="12" t="n"/>
      <c r="K232" s="12" t="n"/>
      <c r="L232" s="11" t="inlineStr">
        <is>
          <t>Programada</t>
        </is>
      </c>
      <c r="M232" s="12" t="n"/>
      <c r="N232" s="11">
        <f>SI(O(H232="";J232="");"";SI(J232&lt;=H232;"SÍ";"NO"))</f>
        <v/>
      </c>
      <c r="O232" s="11">
        <f>SI(O(I232="";K232="");"";SI(K232&lt;=SI(M232&lt;&gt;"";M232;I232);"SÍ";"NO"))</f>
        <v/>
      </c>
      <c r="P232" s="11">
        <f>SI(O(N232="";O232="");"";SI(Y(N232="SÍ";O232="SÍ");"SÍ";"NO"))</f>
        <v/>
      </c>
      <c r="Q232" s="13">
        <f>SI(O(I232="";K232="");"";MAX(0;ENTERO(K232)-ENTERO(SI(M232&lt;&gt;"";M232;I232))))</f>
        <v/>
      </c>
      <c r="R232" s="11" t="n"/>
      <c r="S232" s="11" t="n"/>
      <c r="T232" s="12" t="n"/>
      <c r="U232" s="11" t="n">
        <v>22</v>
      </c>
      <c r="V232" s="11" t="n"/>
    </row>
    <row r="233">
      <c r="A233" s="14" t="n">
        <v>1860</v>
      </c>
      <c r="B233" s="14" t="inlineStr">
        <is>
          <t>PACORA</t>
        </is>
      </c>
      <c r="C233" s="14" t="inlineStr">
        <is>
          <t>Pácora</t>
        </is>
      </c>
      <c r="D233" s="14" t="inlineStr">
        <is>
          <t>Caldas</t>
        </is>
      </c>
      <c r="E233" s="14" t="inlineStr">
        <is>
          <t>CAFETERA</t>
        </is>
      </c>
      <c r="F233" s="14" t="inlineStr">
        <is>
          <t>JULIO  CESAR AUDELO  - ANDRES FELIPE BOTERO</t>
        </is>
      </c>
      <c r="G233" s="14" t="inlineStr">
        <is>
          <t>2</t>
        </is>
      </c>
      <c r="H233" s="15" t="n">
        <v>46280</v>
      </c>
      <c r="I233" s="15" t="n">
        <v>46281</v>
      </c>
      <c r="J233" s="15" t="n"/>
      <c r="K233" s="15" t="n"/>
      <c r="L233" s="14" t="inlineStr">
        <is>
          <t>Programada</t>
        </is>
      </c>
      <c r="M233" s="15" t="n"/>
      <c r="N233" s="14">
        <f>SI(O(H233="";J233="");"";SI(J233&lt;=H233;"SÍ";"NO"))</f>
        <v/>
      </c>
      <c r="O233" s="14">
        <f>SI(O(I233="";K233="");"";SI(K233&lt;=SI(M233&lt;&gt;"";M233;I233);"SÍ";"NO"))</f>
        <v/>
      </c>
      <c r="P233" s="14">
        <f>SI(O(N233="";O233="");"";SI(Y(N233="SÍ";O233="SÍ");"SÍ";"NO"))</f>
        <v/>
      </c>
      <c r="Q233" s="16">
        <f>SI(O(I233="";K233="");"";MAX(0;ENTERO(K233)-ENTERO(SI(M233&lt;&gt;"";M233;I233))))</f>
        <v/>
      </c>
      <c r="R233" s="14" t="n"/>
      <c r="S233" s="14" t="n"/>
      <c r="T233" s="15" t="n"/>
      <c r="U233" s="14" t="n">
        <v>17</v>
      </c>
      <c r="V233" s="14" t="n"/>
    </row>
    <row r="234">
      <c r="A234" s="11" t="n">
        <v>2118</v>
      </c>
      <c r="B234" s="11" t="inlineStr">
        <is>
          <t>CALOTO</t>
        </is>
      </c>
      <c r="C234" s="11" t="inlineStr">
        <is>
          <t>Caloto</t>
        </is>
      </c>
      <c r="D234" s="11" t="inlineStr">
        <is>
          <t>Cauca</t>
        </is>
      </c>
      <c r="E234" s="11" t="inlineStr">
        <is>
          <t>OCCIDENTE</t>
        </is>
      </c>
      <c r="F234" s="11" t="inlineStr">
        <is>
          <t>Holmes Arley Astudillo Fajardo</t>
        </is>
      </c>
      <c r="G234" s="11" t="inlineStr">
        <is>
          <t>3</t>
        </is>
      </c>
      <c r="H234" s="12" t="n">
        <v>46280</v>
      </c>
      <c r="I234" s="12" t="n">
        <v>46280</v>
      </c>
      <c r="J234" s="12" t="n"/>
      <c r="K234" s="12" t="n"/>
      <c r="L234" s="11" t="inlineStr">
        <is>
          <t>Programada</t>
        </is>
      </c>
      <c r="M234" s="12" t="n"/>
      <c r="N234" s="11">
        <f>SI(O(H234="";J234="");"";SI(J234&lt;=H234;"SÍ";"NO"))</f>
        <v/>
      </c>
      <c r="O234" s="11">
        <f>SI(O(I234="";K234="");"";SI(K234&lt;=SI(M234&lt;&gt;"";M234;I234);"SÍ";"NO"))</f>
        <v/>
      </c>
      <c r="P234" s="11">
        <f>SI(O(N234="";O234="");"";SI(Y(N234="SÍ";O234="SÍ");"SÍ";"NO"))</f>
        <v/>
      </c>
      <c r="Q234" s="13">
        <f>SI(O(I234="";K234="");"";MAX(0;ENTERO(K234)-ENTERO(SI(M234&lt;&gt;"";M234;I234))))</f>
        <v/>
      </c>
      <c r="R234" s="11" t="n"/>
      <c r="S234" s="11" t="n"/>
      <c r="T234" s="12" t="n"/>
      <c r="U234" s="11" t="n">
        <v>22</v>
      </c>
      <c r="V234" s="11" t="n"/>
    </row>
    <row r="235">
      <c r="A235" s="14" t="n">
        <v>2752</v>
      </c>
      <c r="B235" s="14" t="inlineStr">
        <is>
          <t>MONTELIBANO</t>
        </is>
      </c>
      <c r="C235" s="14" t="inlineStr">
        <is>
          <t>Montelíbano</t>
        </is>
      </c>
      <c r="D235" s="14" t="inlineStr">
        <is>
          <t>Córdoba</t>
        </is>
      </c>
      <c r="E235" s="14" t="inlineStr">
        <is>
          <t>ANTIOQUIA</t>
        </is>
      </c>
      <c r="F235" s="14" t="inlineStr">
        <is>
          <t>Jhon Jairo Vergara Pelaez</t>
        </is>
      </c>
      <c r="G235" s="14" t="inlineStr">
        <is>
          <t>5</t>
        </is>
      </c>
      <c r="H235" s="15" t="n">
        <v>46280</v>
      </c>
      <c r="I235" s="15" t="n">
        <v>46280</v>
      </c>
      <c r="J235" s="15" t="n"/>
      <c r="K235" s="15" t="n"/>
      <c r="L235" s="14" t="inlineStr">
        <is>
          <t>Programada</t>
        </is>
      </c>
      <c r="M235" s="15" t="n"/>
      <c r="N235" s="14">
        <f>SI(O(H235="";J235="");"";SI(J235&lt;=H235;"SÍ";"NO"))</f>
        <v/>
      </c>
      <c r="O235" s="14">
        <f>SI(O(I235="";K235="");"";SI(K235&lt;=SI(M235&lt;&gt;"";M235;I235);"SÍ";"NO"))</f>
        <v/>
      </c>
      <c r="P235" s="14">
        <f>SI(O(N235="";O235="");"";SI(Y(N235="SÍ";O235="SÍ");"SÍ";"NO"))</f>
        <v/>
      </c>
      <c r="Q235" s="16">
        <f>SI(O(I235="";K235="");"";MAX(0;ENTERO(K235)-ENTERO(SI(M235&lt;&gt;"";M235;I235))))</f>
        <v/>
      </c>
      <c r="R235" s="14" t="n"/>
      <c r="S235" s="14" t="n"/>
      <c r="T235" s="15" t="n"/>
      <c r="U235" s="14" t="n">
        <v>34</v>
      </c>
      <c r="V235" s="14" t="n"/>
    </row>
    <row r="236">
      <c r="A236" s="11" t="n">
        <v>3157</v>
      </c>
      <c r="B236" s="11" t="inlineStr">
        <is>
          <t>SAN CAYETANO</t>
        </is>
      </c>
      <c r="C236" s="11" t="inlineStr">
        <is>
          <t>San Cayetano</t>
        </is>
      </c>
      <c r="D236" s="11" t="inlineStr">
        <is>
          <t>Cundinamarca</t>
        </is>
      </c>
      <c r="E236" s="11" t="inlineStr">
        <is>
          <t>BOGOTA</t>
        </is>
      </c>
      <c r="F236" s="11" t="inlineStr">
        <is>
          <t>Jhonatan Felipe Hernandez Gamboa</t>
        </is>
      </c>
      <c r="G236" s="11" t="inlineStr">
        <is>
          <t>1</t>
        </is>
      </c>
      <c r="H236" s="12" t="n">
        <v>46280</v>
      </c>
      <c r="I236" s="12" t="n">
        <v>46280</v>
      </c>
      <c r="J236" s="12" t="n"/>
      <c r="K236" s="12" t="n"/>
      <c r="L236" s="11" t="inlineStr">
        <is>
          <t>Programada</t>
        </is>
      </c>
      <c r="M236" s="12" t="n"/>
      <c r="N236" s="11">
        <f>SI(O(H236="";J236="");"";SI(J236&lt;=H236;"SÍ";"NO"))</f>
        <v/>
      </c>
      <c r="O236" s="11">
        <f>SI(O(I236="";K236="");"";SI(K236&lt;=SI(M236&lt;&gt;"";M236;I236);"SÍ";"NO"))</f>
        <v/>
      </c>
      <c r="P236" s="11">
        <f>SI(O(N236="";O236="");"";SI(Y(N236="SÍ";O236="SÍ");"SÍ";"NO"))</f>
        <v/>
      </c>
      <c r="Q236" s="13">
        <f>SI(O(I236="";K236="");"";MAX(0;ENTERO(K236)-ENTERO(SI(M236&lt;&gt;"";M236;I236))))</f>
        <v/>
      </c>
      <c r="R236" s="11" t="n"/>
      <c r="S236" s="11" t="n"/>
      <c r="T236" s="12" t="n"/>
      <c r="U236" s="11" t="n">
        <v>13</v>
      </c>
      <c r="V236" s="11" t="n"/>
    </row>
    <row r="237">
      <c r="A237" s="14" t="n">
        <v>3174</v>
      </c>
      <c r="B237" s="14" t="inlineStr">
        <is>
          <t>UBALA</t>
        </is>
      </c>
      <c r="C237" s="14" t="inlineStr">
        <is>
          <t>Ubalá</t>
        </is>
      </c>
      <c r="D237" s="14" t="inlineStr">
        <is>
          <t>Cundinamarca</t>
        </is>
      </c>
      <c r="E237" s="14" t="inlineStr">
        <is>
          <t>BOGOTA</t>
        </is>
      </c>
      <c r="F237" s="14" t="inlineStr">
        <is>
          <t>Carlos Andres Cuchivaguen Diaz</t>
        </is>
      </c>
      <c r="G237" s="14" t="inlineStr">
        <is>
          <t>1</t>
        </is>
      </c>
      <c r="H237" s="15" t="n">
        <v>46280</v>
      </c>
      <c r="I237" s="15" t="n">
        <v>46280</v>
      </c>
      <c r="J237" s="15" t="n"/>
      <c r="K237" s="15" t="n"/>
      <c r="L237" s="14" t="inlineStr">
        <is>
          <t>Programada</t>
        </is>
      </c>
      <c r="M237" s="15" t="n"/>
      <c r="N237" s="14">
        <f>SI(O(H237="";J237="");"";SI(J237&lt;=H237;"SÍ";"NO"))</f>
        <v/>
      </c>
      <c r="O237" s="14">
        <f>SI(O(I237="";K237="");"";SI(K237&lt;=SI(M237&lt;&gt;"";M237;I237);"SÍ";"NO"))</f>
        <v/>
      </c>
      <c r="P237" s="14">
        <f>SI(O(N237="";O237="");"";SI(Y(N237="SÍ";O237="SÍ");"SÍ";"NO"))</f>
        <v/>
      </c>
      <c r="Q237" s="16">
        <f>SI(O(I237="";K237="");"";MAX(0;ENTERO(K237)-ENTERO(SI(M237&lt;&gt;"";M237;I237))))</f>
        <v/>
      </c>
      <c r="R237" s="14" t="n"/>
      <c r="S237" s="14" t="n"/>
      <c r="T237" s="15" t="n"/>
      <c r="U237" s="14" t="n">
        <v>13</v>
      </c>
      <c r="V237" s="14" t="n"/>
    </row>
    <row r="238">
      <c r="A238" s="11" t="n">
        <v>3928</v>
      </c>
      <c r="B238" s="11" t="inlineStr">
        <is>
          <t>LA ARGENTINA</t>
        </is>
      </c>
      <c r="C238" s="11" t="inlineStr">
        <is>
          <t>La Argentina</t>
        </is>
      </c>
      <c r="D238" s="11" t="inlineStr">
        <is>
          <t>Huila</t>
        </is>
      </c>
      <c r="E238" s="11" t="inlineStr">
        <is>
          <t>SUR</t>
        </is>
      </c>
      <c r="F238" s="11" t="inlineStr">
        <is>
          <t>ERIKA VARGAS</t>
        </is>
      </c>
      <c r="G238" s="11" t="inlineStr">
        <is>
          <t>2</t>
        </is>
      </c>
      <c r="H238" s="12" t="n">
        <v>46280</v>
      </c>
      <c r="I238" s="12" t="n">
        <v>46280</v>
      </c>
      <c r="J238" s="12" t="n"/>
      <c r="K238" s="12" t="n"/>
      <c r="L238" s="11" t="inlineStr">
        <is>
          <t>Programada</t>
        </is>
      </c>
      <c r="M238" s="12" t="n"/>
      <c r="N238" s="11">
        <f>SI(O(H238="";J238="");"";SI(J238&lt;=H238;"SÍ";"NO"))</f>
        <v/>
      </c>
      <c r="O238" s="11">
        <f>SI(O(I238="";K238="");"";SI(K238&lt;=SI(M238&lt;&gt;"";M238;I238);"SÍ";"NO"))</f>
        <v/>
      </c>
      <c r="P238" s="11">
        <f>SI(O(N238="";O238="");"";SI(Y(N238="SÍ";O238="SÍ");"SÍ";"NO"))</f>
        <v/>
      </c>
      <c r="Q238" s="13">
        <f>SI(O(I238="";K238="");"";MAX(0;ENTERO(K238)-ENTERO(SI(M238&lt;&gt;"";M238;I238))))</f>
        <v/>
      </c>
      <c r="R238" s="11" t="n"/>
      <c r="S238" s="11" t="n"/>
      <c r="T238" s="12" t="n"/>
      <c r="U238" s="11" t="n">
        <v>20</v>
      </c>
      <c r="V238" s="11" t="n"/>
    </row>
    <row r="239">
      <c r="A239" s="14" t="n">
        <v>3950</v>
      </c>
      <c r="B239" s="14" t="inlineStr">
        <is>
          <t>SANTA MARIA</t>
        </is>
      </c>
      <c r="C239" s="14" t="inlineStr">
        <is>
          <t>Santa María</t>
        </is>
      </c>
      <c r="D239" s="14" t="inlineStr">
        <is>
          <t>Huila</t>
        </is>
      </c>
      <c r="E239" s="14" t="inlineStr">
        <is>
          <t>SUR</t>
        </is>
      </c>
      <c r="F239" s="14" t="inlineStr">
        <is>
          <t>HAROLD STEED GARCIA</t>
        </is>
      </c>
      <c r="G239" s="14" t="inlineStr">
        <is>
          <t>2</t>
        </is>
      </c>
      <c r="H239" s="15" t="n">
        <v>46280</v>
      </c>
      <c r="I239" s="15" t="n">
        <v>46281</v>
      </c>
      <c r="J239" s="15" t="n"/>
      <c r="K239" s="15" t="n"/>
      <c r="L239" s="14" t="inlineStr">
        <is>
          <t>Programada</t>
        </is>
      </c>
      <c r="M239" s="15" t="n"/>
      <c r="N239" s="14">
        <f>SI(O(H239="";J239="");"";SI(J239&lt;=H239;"SÍ";"NO"))</f>
        <v/>
      </c>
      <c r="O239" s="14">
        <f>SI(O(I239="";K239="");"";SI(K239&lt;=SI(M239&lt;&gt;"";M239;I239);"SÍ";"NO"))</f>
        <v/>
      </c>
      <c r="P239" s="14">
        <f>SI(O(N239="";O239="");"";SI(Y(N239="SÍ";O239="SÍ");"SÍ";"NO"))</f>
        <v/>
      </c>
      <c r="Q239" s="16">
        <f>SI(O(I239="";K239="");"";MAX(0;ENTERO(K239)-ENTERO(SI(M239&lt;&gt;"";M239;I239))))</f>
        <v/>
      </c>
      <c r="R239" s="14" t="n"/>
      <c r="S239" s="14" t="n"/>
      <c r="T239" s="15" t="n"/>
      <c r="U239" s="14" t="n">
        <v>17</v>
      </c>
      <c r="V239" s="14" t="n"/>
    </row>
    <row r="240">
      <c r="A240" s="11" t="n">
        <v>4521</v>
      </c>
      <c r="B240" s="11" t="inlineStr">
        <is>
          <t>MESETAS</t>
        </is>
      </c>
      <c r="C240" s="11" t="inlineStr">
        <is>
          <t>Mesetas</t>
        </is>
      </c>
      <c r="D240" s="11" t="inlineStr">
        <is>
          <t>Meta</t>
        </is>
      </c>
      <c r="E240" s="11" t="inlineStr">
        <is>
          <t>BOGOTA</t>
        </is>
      </c>
      <c r="F240" s="11" t="inlineStr">
        <is>
          <t>Andres Felipe Balbin</t>
        </is>
      </c>
      <c r="G240" s="11" t="inlineStr">
        <is>
          <t>2</t>
        </is>
      </c>
      <c r="H240" s="12" t="n">
        <v>46280</v>
      </c>
      <c r="I240" s="12" t="n">
        <v>46280</v>
      </c>
      <c r="J240" s="12" t="n"/>
      <c r="K240" s="12" t="n"/>
      <c r="L240" s="11" t="inlineStr">
        <is>
          <t>Programada</t>
        </is>
      </c>
      <c r="M240" s="12" t="n"/>
      <c r="N240" s="11">
        <f>SI(O(H240="";J240="");"";SI(J240&lt;=H240;"SÍ";"NO"))</f>
        <v/>
      </c>
      <c r="O240" s="11">
        <f>SI(O(I240="";K240="");"";SI(K240&lt;=SI(M240&lt;&gt;"";M240;I240);"SÍ";"NO"))</f>
        <v/>
      </c>
      <c r="P240" s="11">
        <f>SI(O(N240="";O240="");"";SI(Y(N240="SÍ";O240="SÍ");"SÍ";"NO"))</f>
        <v/>
      </c>
      <c r="Q240" s="13">
        <f>SI(O(I240="";K240="");"";MAX(0;ENTERO(K240)-ENTERO(SI(M240&lt;&gt;"";M240;I240))))</f>
        <v/>
      </c>
      <c r="R240" s="11" t="n"/>
      <c r="S240" s="11" t="n"/>
      <c r="T240" s="12" t="n"/>
      <c r="U240" s="11" t="n">
        <v>17</v>
      </c>
      <c r="V240" s="11" t="n"/>
    </row>
    <row r="241">
      <c r="A241" s="14" t="n">
        <v>4870</v>
      </c>
      <c r="B241" s="14" t="inlineStr">
        <is>
          <t>SAMANIEGO</t>
        </is>
      </c>
      <c r="C241" s="14" t="inlineStr">
        <is>
          <t>Samaniego</t>
        </is>
      </c>
      <c r="D241" s="14" t="inlineStr">
        <is>
          <t>Nariño</t>
        </is>
      </c>
      <c r="E241" s="14" t="inlineStr">
        <is>
          <t>OCCIDENTE</t>
        </is>
      </c>
      <c r="F241" s="14" t="inlineStr">
        <is>
          <t>Juan Carlos Narvaez Acosta / Luis Fernando Ibarra Guio</t>
        </is>
      </c>
      <c r="G241" s="14" t="inlineStr">
        <is>
          <t>3</t>
        </is>
      </c>
      <c r="H241" s="15" t="n">
        <v>46280</v>
      </c>
      <c r="I241" s="15" t="n">
        <v>46280</v>
      </c>
      <c r="J241" s="15" t="n"/>
      <c r="K241" s="15" t="n"/>
      <c r="L241" s="14" t="inlineStr">
        <is>
          <t>Programada</t>
        </is>
      </c>
      <c r="M241" s="15" t="n"/>
      <c r="N241" s="14">
        <f>SI(O(H241="";J241="");"";SI(J241&lt;=H241;"SÍ";"NO"))</f>
        <v/>
      </c>
      <c r="O241" s="14">
        <f>SI(O(I241="";K241="");"";SI(K241&lt;=SI(M241&lt;&gt;"";M241;I241);"SÍ";"NO"))</f>
        <v/>
      </c>
      <c r="P241" s="14">
        <f>SI(O(N241="";O241="");"";SI(Y(N241="SÍ";O241="SÍ");"SÍ";"NO"))</f>
        <v/>
      </c>
      <c r="Q241" s="16">
        <f>SI(O(I241="";K241="");"";MAX(0;ENTERO(K241)-ENTERO(SI(M241&lt;&gt;"";M241;I241))))</f>
        <v/>
      </c>
      <c r="R241" s="14" t="n"/>
      <c r="S241" s="14" t="n"/>
      <c r="T241" s="15" t="n"/>
      <c r="U241" s="14" t="n">
        <v>28</v>
      </c>
      <c r="V241" s="14" t="n"/>
    </row>
    <row r="242">
      <c r="A242" s="11" t="n">
        <v>5118</v>
      </c>
      <c r="B242" s="11" t="inlineStr">
        <is>
          <t>LABATECA</t>
        </is>
      </c>
      <c r="C242" s="11" t="inlineStr">
        <is>
          <t>Labateca</t>
        </is>
      </c>
      <c r="D242" s="11" t="inlineStr">
        <is>
          <t>Norte de Santander</t>
        </is>
      </c>
      <c r="E242" s="11" t="inlineStr">
        <is>
          <t>SANTANDERES</t>
        </is>
      </c>
      <c r="F242" s="11" t="inlineStr">
        <is>
          <t>Ali Kassem Issa Sierra</t>
        </is>
      </c>
      <c r="G242" s="11" t="inlineStr">
        <is>
          <t>1</t>
        </is>
      </c>
      <c r="H242" s="12" t="n">
        <v>46280</v>
      </c>
      <c r="I242" s="12" t="n">
        <v>46280</v>
      </c>
      <c r="J242" s="12" t="n"/>
      <c r="K242" s="12" t="n"/>
      <c r="L242" s="11" t="inlineStr">
        <is>
          <t>Programada</t>
        </is>
      </c>
      <c r="M242" s="12" t="n"/>
      <c r="N242" s="11">
        <f>SI(O(H242="";J242="");"";SI(J242&lt;=H242;"SÍ";"NO"))</f>
        <v/>
      </c>
      <c r="O242" s="11">
        <f>SI(O(I242="";K242="");"";SI(K242&lt;=SI(M242&lt;&gt;"";M242;I242);"SÍ";"NO"))</f>
        <v/>
      </c>
      <c r="P242" s="11">
        <f>SI(O(N242="";O242="");"";SI(Y(N242="SÍ";O242="SÍ");"SÍ";"NO"))</f>
        <v/>
      </c>
      <c r="Q242" s="13">
        <f>SI(O(I242="";K242="");"";MAX(0;ENTERO(K242)-ENTERO(SI(M242&lt;&gt;"";M242;I242))))</f>
        <v/>
      </c>
      <c r="R242" s="11" t="n"/>
      <c r="S242" s="11" t="n"/>
      <c r="T242" s="12" t="n"/>
      <c r="U242" s="11" t="n">
        <v>13</v>
      </c>
      <c r="V242" s="11" t="n"/>
    </row>
    <row r="243">
      <c r="A243" s="14" t="n">
        <v>5740</v>
      </c>
      <c r="B243" s="14" t="inlineStr">
        <is>
          <t>APIA</t>
        </is>
      </c>
      <c r="C243" s="14" t="inlineStr">
        <is>
          <t>Apía</t>
        </is>
      </c>
      <c r="D243" s="14" t="inlineStr">
        <is>
          <t>Risaralda</t>
        </is>
      </c>
      <c r="E243" s="14" t="inlineStr">
        <is>
          <t>CAFETERA</t>
        </is>
      </c>
      <c r="F243" s="14" t="inlineStr">
        <is>
          <t>CESAR AUGUSTO HENAO</t>
        </is>
      </c>
      <c r="G243" s="14" t="inlineStr">
        <is>
          <t>2</t>
        </is>
      </c>
      <c r="H243" s="15" t="n">
        <v>46280</v>
      </c>
      <c r="I243" s="15" t="n">
        <v>46281</v>
      </c>
      <c r="J243" s="15" t="n"/>
      <c r="K243" s="15" t="n"/>
      <c r="L243" s="14" t="inlineStr">
        <is>
          <t>Programada</t>
        </is>
      </c>
      <c r="M243" s="15" t="n"/>
      <c r="N243" s="14">
        <f>SI(O(H243="";J243="");"";SI(J243&lt;=H243;"SÍ";"NO"))</f>
        <v/>
      </c>
      <c r="O243" s="14">
        <f>SI(O(I243="";K243="");"";SI(K243&lt;=SI(M243&lt;&gt;"";M243;I243);"SÍ";"NO"))</f>
        <v/>
      </c>
      <c r="P243" s="14">
        <f>SI(O(N243="";O243="");"";SI(Y(N243="SÍ";O243="SÍ");"SÍ";"NO"))</f>
        <v/>
      </c>
      <c r="Q243" s="16">
        <f>SI(O(I243="";K243="");"";MAX(0;ENTERO(K243)-ENTERO(SI(M243&lt;&gt;"";M243;I243))))</f>
        <v/>
      </c>
      <c r="R243" s="14" t="n"/>
      <c r="S243" s="14" t="n"/>
      <c r="T243" s="15" t="n"/>
      <c r="U243" s="14" t="n">
        <v>21</v>
      </c>
      <c r="V243" s="14" t="n"/>
    </row>
    <row r="244">
      <c r="A244" s="11" t="n">
        <v>6305</v>
      </c>
      <c r="B244" s="11" t="inlineStr">
        <is>
          <t>BUENAVISTA</t>
        </is>
      </c>
      <c r="C244" s="11" t="inlineStr">
        <is>
          <t>Buenavista</t>
        </is>
      </c>
      <c r="D244" s="11" t="inlineStr">
        <is>
          <t>Sucre</t>
        </is>
      </c>
      <c r="E244" s="11" t="inlineStr">
        <is>
          <t>COSTA</t>
        </is>
      </c>
      <c r="F244" s="11" t="inlineStr">
        <is>
          <t>Gabriel Ivan Ballesteros Quiroz</t>
        </is>
      </c>
      <c r="G244" s="11" t="inlineStr">
        <is>
          <t>1</t>
        </is>
      </c>
      <c r="H244" s="12" t="n">
        <v>46280</v>
      </c>
      <c r="I244" s="12" t="n">
        <v>46280</v>
      </c>
      <c r="J244" s="12" t="n"/>
      <c r="K244" s="12" t="n"/>
      <c r="L244" s="11" t="inlineStr">
        <is>
          <t>Programada</t>
        </is>
      </c>
      <c r="M244" s="12" t="n"/>
      <c r="N244" s="11">
        <f>SI(O(H244="";J244="");"";SI(J244&lt;=H244;"SÍ";"NO"))</f>
        <v/>
      </c>
      <c r="O244" s="11">
        <f>SI(O(I244="";K244="");"";SI(K244&lt;=SI(M244&lt;&gt;"";M244;I244);"SÍ";"NO"))</f>
        <v/>
      </c>
      <c r="P244" s="11">
        <f>SI(O(N244="";O244="");"";SI(Y(N244="SÍ";O244="SÍ");"SÍ";"NO"))</f>
        <v/>
      </c>
      <c r="Q244" s="13">
        <f>SI(O(I244="";K244="");"";MAX(0;ENTERO(K244)-ENTERO(SI(M244&lt;&gt;"";M244;I244))))</f>
        <v/>
      </c>
      <c r="R244" s="11" t="n"/>
      <c r="S244" s="11" t="n"/>
      <c r="T244" s="12" t="n"/>
      <c r="U244" s="11" t="n">
        <v>13</v>
      </c>
      <c r="V244" s="11" t="n"/>
    </row>
    <row r="245">
      <c r="A245" s="14" t="n">
        <v>6330</v>
      </c>
      <c r="B245" s="14" t="inlineStr">
        <is>
          <t>LA UNION</t>
        </is>
      </c>
      <c r="C245" s="14" t="inlineStr">
        <is>
          <t>La Unión</t>
        </is>
      </c>
      <c r="D245" s="14" t="inlineStr">
        <is>
          <t>Sucre</t>
        </is>
      </c>
      <c r="E245" s="14" t="inlineStr">
        <is>
          <t>COSTA</t>
        </is>
      </c>
      <c r="F245" s="14" t="inlineStr">
        <is>
          <t>Jorge Felipe Munive Medina</t>
        </is>
      </c>
      <c r="G245" s="14" t="inlineStr">
        <is>
          <t>2</t>
        </is>
      </c>
      <c r="H245" s="15" t="n">
        <v>46280</v>
      </c>
      <c r="I245" s="15" t="n">
        <v>46280</v>
      </c>
      <c r="J245" s="15" t="n"/>
      <c r="K245" s="15" t="n"/>
      <c r="L245" s="14" t="inlineStr">
        <is>
          <t>Programada</t>
        </is>
      </c>
      <c r="M245" s="15" t="n"/>
      <c r="N245" s="14">
        <f>SI(O(H245="";J245="");"";SI(J245&lt;=H245;"SÍ";"NO"))</f>
        <v/>
      </c>
      <c r="O245" s="14">
        <f>SI(O(I245="";K245="");"";SI(K245&lt;=SI(M245&lt;&gt;"";M245;I245);"SÍ";"NO"))</f>
        <v/>
      </c>
      <c r="P245" s="14">
        <f>SI(O(N245="";O245="");"";SI(Y(N245="SÍ";O245="SÍ");"SÍ";"NO"))</f>
        <v/>
      </c>
      <c r="Q245" s="16">
        <f>SI(O(I245="";K245="");"";MAX(0;ENTERO(K245)-ENTERO(SI(M245&lt;&gt;"";M245;I245))))</f>
        <v/>
      </c>
      <c r="R245" s="14" t="n"/>
      <c r="S245" s="14" t="n"/>
      <c r="T245" s="15" t="n"/>
      <c r="U245" s="14" t="n">
        <v>15</v>
      </c>
      <c r="V245" s="14" t="n"/>
    </row>
    <row r="246">
      <c r="A246" s="11" t="n">
        <v>6350</v>
      </c>
      <c r="B246" s="11" t="inlineStr">
        <is>
          <t>OVEJAS</t>
        </is>
      </c>
      <c r="C246" s="11" t="inlineStr">
        <is>
          <t>Ovejas</t>
        </is>
      </c>
      <c r="D246" s="11" t="inlineStr">
        <is>
          <t>Sucre</t>
        </is>
      </c>
      <c r="E246" s="11" t="inlineStr">
        <is>
          <t>COSTA</t>
        </is>
      </c>
      <c r="F246" s="11" t="inlineStr">
        <is>
          <t>Gabriel Eduardo Tapias Castellar</t>
        </is>
      </c>
      <c r="G246" s="11" t="inlineStr">
        <is>
          <t>1</t>
        </is>
      </c>
      <c r="H246" s="12" t="n">
        <v>46280</v>
      </c>
      <c r="I246" s="12" t="n">
        <v>46280</v>
      </c>
      <c r="J246" s="12" t="n"/>
      <c r="K246" s="12" t="n"/>
      <c r="L246" s="11" t="inlineStr">
        <is>
          <t>Programada</t>
        </is>
      </c>
      <c r="M246" s="12" t="n"/>
      <c r="N246" s="11">
        <f>SI(O(H246="";J246="");"";SI(J246&lt;=H246;"SÍ";"NO"))</f>
        <v/>
      </c>
      <c r="O246" s="11">
        <f>SI(O(I246="";K246="");"";SI(K246&lt;=SI(M246&lt;&gt;"";M246;I246);"SÍ";"NO"))</f>
        <v/>
      </c>
      <c r="P246" s="11">
        <f>SI(O(N246="";O246="");"";SI(Y(N246="SÍ";O246="SÍ");"SÍ";"NO"))</f>
        <v/>
      </c>
      <c r="Q246" s="13">
        <f>SI(O(I246="";K246="");"";MAX(0;ENTERO(K246)-ENTERO(SI(M246&lt;&gt;"";M246;I246))))</f>
        <v/>
      </c>
      <c r="R246" s="11" t="n"/>
      <c r="S246" s="11" t="n"/>
      <c r="T246" s="12" t="n"/>
      <c r="U246" s="11" t="n">
        <v>13</v>
      </c>
      <c r="V246" s="11" t="n"/>
    </row>
    <row r="247">
      <c r="A247" s="14" t="n">
        <v>6619</v>
      </c>
      <c r="B247" s="14" t="inlineStr">
        <is>
          <t>NATAGAIMA</t>
        </is>
      </c>
      <c r="C247" s="14" t="inlineStr">
        <is>
          <t>Natagaima</t>
        </is>
      </c>
      <c r="D247" s="14" t="inlineStr">
        <is>
          <t>Tolima</t>
        </is>
      </c>
      <c r="E247" s="14" t="inlineStr">
        <is>
          <t>SUR</t>
        </is>
      </c>
      <c r="F247" s="14" t="inlineStr">
        <is>
          <t>Fernando Valencia- Bernardo Arango</t>
        </is>
      </c>
      <c r="G247" s="14" t="inlineStr">
        <is>
          <t>1</t>
        </is>
      </c>
      <c r="H247" s="15" t="n">
        <v>46280</v>
      </c>
      <c r="I247" s="15" t="n">
        <v>46281</v>
      </c>
      <c r="J247" s="15" t="n"/>
      <c r="K247" s="15" t="n"/>
      <c r="L247" s="14" t="inlineStr">
        <is>
          <t>Programada</t>
        </is>
      </c>
      <c r="M247" s="15" t="n"/>
      <c r="N247" s="14">
        <f>SI(O(H247="";J247="");"";SI(J247&lt;=H247;"SÍ";"NO"))</f>
        <v/>
      </c>
      <c r="O247" s="14">
        <f>SI(O(I247="";K247="");"";SI(K247&lt;=SI(M247&lt;&gt;"";M247;I247);"SÍ";"NO"))</f>
        <v/>
      </c>
      <c r="P247" s="14">
        <f>SI(O(N247="";O247="");"";SI(Y(N247="SÍ";O247="SÍ");"SÍ";"NO"))</f>
        <v/>
      </c>
      <c r="Q247" s="16">
        <f>SI(O(I247="";K247="");"";MAX(0;ENTERO(K247)-ENTERO(SI(M247&lt;&gt;"";M247;I247))))</f>
        <v/>
      </c>
      <c r="R247" s="14" t="n"/>
      <c r="S247" s="14" t="n"/>
      <c r="T247" s="15" t="n"/>
      <c r="U247" s="14" t="n">
        <v>19</v>
      </c>
      <c r="V247" s="14" t="n"/>
    </row>
    <row r="248">
      <c r="A248" s="11" t="n">
        <v>6646</v>
      </c>
      <c r="B248" s="11" t="inlineStr">
        <is>
          <t>RIOBLANCO</t>
        </is>
      </c>
      <c r="C248" s="11" t="inlineStr">
        <is>
          <t>Rioblanco</t>
        </is>
      </c>
      <c r="D248" s="11" t="inlineStr">
        <is>
          <t>Tolima</t>
        </is>
      </c>
      <c r="E248" s="11" t="inlineStr">
        <is>
          <t>SUR</t>
        </is>
      </c>
      <c r="F248" s="11" t="inlineStr">
        <is>
          <t>Johan Cardenas</t>
        </is>
      </c>
      <c r="G248" s="11" t="inlineStr">
        <is>
          <t>2</t>
        </is>
      </c>
      <c r="H248" s="12" t="n">
        <v>46280</v>
      </c>
      <c r="I248" s="12" t="n">
        <v>46281</v>
      </c>
      <c r="J248" s="12" t="n"/>
      <c r="K248" s="12" t="n"/>
      <c r="L248" s="11" t="inlineStr">
        <is>
          <t>Programada</t>
        </is>
      </c>
      <c r="M248" s="12" t="n"/>
      <c r="N248" s="11">
        <f>SI(O(H248="";J248="");"";SI(J248&lt;=H248;"SÍ";"NO"))</f>
        <v/>
      </c>
      <c r="O248" s="11">
        <f>SI(O(I248="";K248="");"";SI(K248&lt;=SI(M248&lt;&gt;"";M248;I248);"SÍ";"NO"))</f>
        <v/>
      </c>
      <c r="P248" s="11">
        <f>SI(O(N248="";O248="");"";SI(Y(N248="SÍ";O248="SÍ");"SÍ";"NO"))</f>
        <v/>
      </c>
      <c r="Q248" s="13">
        <f>SI(O(I248="";K248="");"";MAX(0;ENTERO(K248)-ENTERO(SI(M248&lt;&gt;"";M248;I248))))</f>
        <v/>
      </c>
      <c r="R248" s="11" t="n"/>
      <c r="S248" s="11" t="n"/>
      <c r="T248" s="12" t="n"/>
      <c r="U248" s="11" t="n">
        <v>23</v>
      </c>
      <c r="V248" s="11" t="n"/>
    </row>
    <row r="249">
      <c r="A249" s="14" t="n">
        <v>7903</v>
      </c>
      <c r="B249" s="14" t="inlineStr">
        <is>
          <t>MOCOA</t>
        </is>
      </c>
      <c r="C249" s="14" t="inlineStr">
        <is>
          <t>Mocoa</t>
        </is>
      </c>
      <c r="D249" s="14" t="inlineStr">
        <is>
          <t>Putumayo</t>
        </is>
      </c>
      <c r="E249" s="14" t="inlineStr">
        <is>
          <t>SUR</t>
        </is>
      </c>
      <c r="F249" s="14" t="inlineStr">
        <is>
          <t>WILLIAM FABIAN GONZALEZ
DANIEL GRAJALES VALLEJO</t>
        </is>
      </c>
      <c r="G249" s="14" t="inlineStr">
        <is>
          <t>6</t>
        </is>
      </c>
      <c r="H249" s="15" t="n">
        <v>46280</v>
      </c>
      <c r="I249" s="15" t="n">
        <v>46280</v>
      </c>
      <c r="J249" s="15" t="n"/>
      <c r="K249" s="15" t="n"/>
      <c r="L249" s="14" t="inlineStr">
        <is>
          <t>Programada</t>
        </is>
      </c>
      <c r="M249" s="15" t="n"/>
      <c r="N249" s="14">
        <f>SI(O(H249="";J249="");"";SI(J249&lt;=H249;"SÍ";"NO"))</f>
        <v/>
      </c>
      <c r="O249" s="14">
        <f>SI(O(I249="";K249="");"";SI(K249&lt;=SI(M249&lt;&gt;"";M249;I249);"SÍ";"NO"))</f>
        <v/>
      </c>
      <c r="P249" s="14">
        <f>SI(O(N249="";O249="");"";SI(Y(N249="SÍ";O249="SÍ");"SÍ";"NO"))</f>
        <v/>
      </c>
      <c r="Q249" s="16">
        <f>SI(O(I249="";K249="");"";MAX(0;ENTERO(K249)-ENTERO(SI(M249&lt;&gt;"";M249;I249))))</f>
        <v/>
      </c>
      <c r="R249" s="14" t="n"/>
      <c r="S249" s="14" t="n"/>
      <c r="T249" s="15" t="n"/>
      <c r="U249" s="14" t="n">
        <v>39</v>
      </c>
      <c r="V249" s="14" t="n"/>
    </row>
    <row r="250">
      <c r="A250" s="11" t="n">
        <v>8520</v>
      </c>
      <c r="B250" s="11" t="inlineStr">
        <is>
          <t>SANTA ROSALIA</t>
        </is>
      </c>
      <c r="C250" s="11" t="inlineStr">
        <is>
          <t>Santa Rosalía</t>
        </is>
      </c>
      <c r="D250" s="11" t="inlineStr">
        <is>
          <t>Vichada</t>
        </is>
      </c>
      <c r="E250" s="11" t="inlineStr">
        <is>
          <t>BOGOTA</t>
        </is>
      </c>
      <c r="F250" s="11" t="inlineStr">
        <is>
          <t>Andres Diaz</t>
        </is>
      </c>
      <c r="G250" s="11" t="inlineStr">
        <is>
          <t>1</t>
        </is>
      </c>
      <c r="H250" s="12" t="n">
        <v>46280</v>
      </c>
      <c r="I250" s="12" t="n">
        <v>46283</v>
      </c>
      <c r="J250" s="12" t="n"/>
      <c r="K250" s="12" t="n"/>
      <c r="L250" s="11" t="inlineStr">
        <is>
          <t>Programada</t>
        </is>
      </c>
      <c r="M250" s="12" t="n"/>
      <c r="N250" s="11">
        <f>SI(O(H250="";J250="");"";SI(J250&lt;=H250;"SÍ";"NO"))</f>
        <v/>
      </c>
      <c r="O250" s="11">
        <f>SI(O(I250="";K250="");"";SI(K250&lt;=SI(M250&lt;&gt;"";M250;I250);"SÍ";"NO"))</f>
        <v/>
      </c>
      <c r="P250" s="11">
        <f>SI(O(N250="";O250="");"";SI(Y(N250="SÍ";O250="SÍ");"SÍ";"NO"))</f>
        <v/>
      </c>
      <c r="Q250" s="13">
        <f>SI(O(I250="";K250="");"";MAX(0;ENTERO(K250)-ENTERO(SI(M250&lt;&gt;"";M250;I250))))</f>
        <v/>
      </c>
      <c r="R250" s="11" t="n"/>
      <c r="S250" s="11" t="n"/>
      <c r="T250" s="12" t="n"/>
      <c r="U250" s="11" t="n">
        <v>13</v>
      </c>
      <c r="V250" s="11" t="n"/>
    </row>
    <row r="251">
      <c r="A251" s="14" t="n">
        <v>8615</v>
      </c>
      <c r="B251" s="14" t="inlineStr">
        <is>
          <t>MANI</t>
        </is>
      </c>
      <c r="C251" s="14" t="inlineStr">
        <is>
          <t>Maní</t>
        </is>
      </c>
      <c r="D251" s="14" t="inlineStr">
        <is>
          <t>Casanare</t>
        </is>
      </c>
      <c r="E251" s="14" t="inlineStr">
        <is>
          <t>ORIENTE</t>
        </is>
      </c>
      <c r="F251" s="14" t="inlineStr">
        <is>
          <t>Juan Sebastian Lopez Acevedo</t>
        </is>
      </c>
      <c r="G251" s="14" t="inlineStr">
        <is>
          <t>3</t>
        </is>
      </c>
      <c r="H251" s="15" t="n">
        <v>46280</v>
      </c>
      <c r="I251" s="15" t="n">
        <v>46281</v>
      </c>
      <c r="J251" s="15" t="n"/>
      <c r="K251" s="15" t="n"/>
      <c r="L251" s="14" t="inlineStr">
        <is>
          <t>Programada</t>
        </is>
      </c>
      <c r="M251" s="15" t="n"/>
      <c r="N251" s="14">
        <f>SI(O(H251="";J251="");"";SI(J251&lt;=H251;"SÍ";"NO"))</f>
        <v/>
      </c>
      <c r="O251" s="14">
        <f>SI(O(I251="";K251="");"";SI(K251&lt;=SI(M251&lt;&gt;"";M251;I251);"SÍ";"NO"))</f>
        <v/>
      </c>
      <c r="P251" s="14">
        <f>SI(O(N251="";O251="");"";SI(Y(N251="SÍ";O251="SÍ");"SÍ";"NO"))</f>
        <v/>
      </c>
      <c r="Q251" s="16">
        <f>SI(O(I251="";K251="");"";MAX(0;ENTERO(K251)-ENTERO(SI(M251&lt;&gt;"";M251;I251))))</f>
        <v/>
      </c>
      <c r="R251" s="14" t="n"/>
      <c r="S251" s="14" t="n"/>
      <c r="T251" s="15" t="n"/>
      <c r="U251" s="14" t="n">
        <v>19</v>
      </c>
      <c r="V251" s="14" t="n"/>
    </row>
    <row r="252">
      <c r="A252" s="11" t="n">
        <v>8635</v>
      </c>
      <c r="B252" s="11" t="inlineStr">
        <is>
          <t>PARATEBUENO</t>
        </is>
      </c>
      <c r="C252" s="11" t="inlineStr">
        <is>
          <t>Paratebueno</t>
        </is>
      </c>
      <c r="D252" s="11" t="inlineStr">
        <is>
          <t>Cundinamarca</t>
        </is>
      </c>
      <c r="E252" s="11" t="inlineStr">
        <is>
          <t>BOGOTA</t>
        </is>
      </c>
      <c r="F252" s="11" t="inlineStr">
        <is>
          <t>Nelson Leonardo Paez Suarez</t>
        </is>
      </c>
      <c r="G252" s="11" t="inlineStr">
        <is>
          <t>2</t>
        </is>
      </c>
      <c r="H252" s="12" t="n">
        <v>46280</v>
      </c>
      <c r="I252" s="12" t="n">
        <v>46280</v>
      </c>
      <c r="J252" s="12" t="n"/>
      <c r="K252" s="12" t="n"/>
      <c r="L252" s="11" t="inlineStr">
        <is>
          <t>Programada</t>
        </is>
      </c>
      <c r="M252" s="12" t="n"/>
      <c r="N252" s="11">
        <f>SI(O(H252="";J252="");"";SI(J252&lt;=H252;"SÍ";"NO"))</f>
        <v/>
      </c>
      <c r="O252" s="11">
        <f>SI(O(I252="";K252="");"";SI(K252&lt;=SI(M252&lt;&gt;"";M252;I252);"SÍ";"NO"))</f>
        <v/>
      </c>
      <c r="P252" s="11">
        <f>SI(O(N252="";O252="");"";SI(Y(N252="SÍ";O252="SÍ");"SÍ";"NO"))</f>
        <v/>
      </c>
      <c r="Q252" s="13">
        <f>SI(O(I252="";K252="");"";MAX(0;ENTERO(K252)-ENTERO(SI(M252&lt;&gt;"";M252;I252))))</f>
        <v/>
      </c>
      <c r="R252" s="11" t="n"/>
      <c r="S252" s="11" t="n"/>
      <c r="T252" s="12" t="n"/>
      <c r="U252" s="11" t="n">
        <v>15</v>
      </c>
      <c r="V252" s="11" t="n"/>
    </row>
    <row r="253">
      <c r="A253" s="14" t="n">
        <v>9000</v>
      </c>
      <c r="B253" s="14" t="inlineStr">
        <is>
          <t>COA TOCANCIPA</t>
        </is>
      </c>
      <c r="C253" s="14" t="inlineStr">
        <is>
          <t>Tocancipa</t>
        </is>
      </c>
      <c r="D253" s="14" t="inlineStr">
        <is>
          <t>Cundinamarca</t>
        </is>
      </c>
      <c r="E253" s="14" t="inlineStr">
        <is>
          <t>COA</t>
        </is>
      </c>
      <c r="F253" s="14" t="inlineStr">
        <is>
          <t>ANA ELVIRA BELTRAN</t>
        </is>
      </c>
      <c r="G253" s="14" t="inlineStr">
        <is>
          <t>53</t>
        </is>
      </c>
      <c r="H253" s="15" t="n">
        <v>46280</v>
      </c>
      <c r="I253" s="15" t="n">
        <v>46282</v>
      </c>
      <c r="J253" s="15" t="n"/>
      <c r="K253" s="15" t="n"/>
      <c r="L253" s="14" t="inlineStr">
        <is>
          <t>Programada</t>
        </is>
      </c>
      <c r="M253" s="15" t="n"/>
      <c r="N253" s="14">
        <f>SI(O(H253="";J253="");"";SI(J253&lt;=H253;"SÍ";"NO"))</f>
        <v/>
      </c>
      <c r="O253" s="14">
        <f>SI(O(I253="";K253="");"";SI(K253&lt;=SI(M253&lt;&gt;"";M253;I253);"SÍ";"NO"))</f>
        <v/>
      </c>
      <c r="P253" s="14">
        <f>SI(O(N253="";O253="");"";SI(Y(N253="SÍ";O253="SÍ");"SÍ";"NO"))</f>
        <v/>
      </c>
      <c r="Q253" s="16">
        <f>SI(O(I253="";K253="");"";MAX(0;ENTERO(K253)-ENTERO(SI(M253&lt;&gt;"";M253;I253))))</f>
        <v/>
      </c>
      <c r="R253" s="14" t="n"/>
      <c r="S253" s="14" t="n"/>
      <c r="T253" s="15" t="n"/>
      <c r="U253" s="14" t="n">
        <v>106</v>
      </c>
      <c r="V253" s="14" t="n"/>
    </row>
    <row r="254">
      <c r="A254" s="11" t="n">
        <v>960</v>
      </c>
      <c r="B254" s="11" t="inlineStr">
        <is>
          <t>SOPO</t>
        </is>
      </c>
      <c r="C254" s="11" t="inlineStr">
        <is>
          <t>Sopó</t>
        </is>
      </c>
      <c r="D254" s="11" t="inlineStr">
        <is>
          <t>Cundinamarca</t>
        </is>
      </c>
      <c r="E254" s="11" t="inlineStr">
        <is>
          <t>BOGOTA</t>
        </is>
      </c>
      <c r="F254" s="11" t="inlineStr">
        <is>
          <t>Edwin Santiago Cuchivaguen Diaz</t>
        </is>
      </c>
      <c r="G254" s="11" t="inlineStr">
        <is>
          <t>2</t>
        </is>
      </c>
      <c r="H254" s="12" t="n">
        <v>46281</v>
      </c>
      <c r="I254" s="12" t="n">
        <v>46281</v>
      </c>
      <c r="J254" s="12" t="n"/>
      <c r="K254" s="12" t="n"/>
      <c r="L254" s="11" t="inlineStr">
        <is>
          <t>Programada</t>
        </is>
      </c>
      <c r="M254" s="12" t="n"/>
      <c r="N254" s="11">
        <f>SI(O(H254="";J254="");"";SI(J254&lt;=H254;"SÍ";"NO"))</f>
        <v/>
      </c>
      <c r="O254" s="11">
        <f>SI(O(I254="";K254="");"";SI(K254&lt;=SI(M254&lt;&gt;"";M254;I254);"SÍ";"NO"))</f>
        <v/>
      </c>
      <c r="P254" s="11">
        <f>SI(O(N254="";O254="");"";SI(Y(N254="SÍ";O254="SÍ");"SÍ";"NO"))</f>
        <v/>
      </c>
      <c r="Q254" s="13">
        <f>SI(O(I254="";K254="");"";MAX(0;ENTERO(K254)-ENTERO(SI(M254&lt;&gt;"";M254;I254))))</f>
        <v/>
      </c>
      <c r="R254" s="11" t="n"/>
      <c r="S254" s="11" t="n"/>
      <c r="T254" s="12" t="n"/>
      <c r="U254" s="11" t="n">
        <v>16</v>
      </c>
      <c r="V254" s="11" t="n"/>
    </row>
    <row r="255">
      <c r="A255" s="14" t="n">
        <v>970</v>
      </c>
      <c r="B255" s="14" t="inlineStr">
        <is>
          <t>ZIPAQUIRA</t>
        </is>
      </c>
      <c r="C255" s="14" t="inlineStr">
        <is>
          <t>Zipaquirá</t>
        </is>
      </c>
      <c r="D255" s="14" t="inlineStr">
        <is>
          <t>Cundinamarca</t>
        </is>
      </c>
      <c r="E255" s="14" t="inlineStr">
        <is>
          <t>BOGOTA</t>
        </is>
      </c>
      <c r="F255" s="14" t="inlineStr">
        <is>
          <t>Jhonatan Felipe Hernandez Gamboa</t>
        </is>
      </c>
      <c r="G255" s="14" t="inlineStr">
        <is>
          <t>7</t>
        </is>
      </c>
      <c r="H255" s="15" t="n">
        <v>46281</v>
      </c>
      <c r="I255" s="15" t="n">
        <v>46281</v>
      </c>
      <c r="J255" s="15" t="n"/>
      <c r="K255" s="15" t="n"/>
      <c r="L255" s="14" t="inlineStr">
        <is>
          <t>Programada</t>
        </is>
      </c>
      <c r="M255" s="15" t="n"/>
      <c r="N255" s="14">
        <f>SI(O(H255="";J255="");"";SI(J255&lt;=H255;"SÍ";"NO"))</f>
        <v/>
      </c>
      <c r="O255" s="14">
        <f>SI(O(I255="";K255="");"";SI(K255&lt;=SI(M255&lt;&gt;"";M255;I255);"SÍ";"NO"))</f>
        <v/>
      </c>
      <c r="P255" s="14">
        <f>SI(O(N255="";O255="");"";SI(Y(N255="SÍ";O255="SÍ");"SÍ";"NO"))</f>
        <v/>
      </c>
      <c r="Q255" s="16">
        <f>SI(O(I255="";K255="");"";MAX(0;ENTERO(K255)-ENTERO(SI(M255&lt;&gt;"";M255;I255))))</f>
        <v/>
      </c>
      <c r="R255" s="14" t="n"/>
      <c r="S255" s="14" t="n"/>
      <c r="T255" s="15" t="n"/>
      <c r="U255" s="14" t="n">
        <v>43</v>
      </c>
      <c r="V255" s="14" t="n"/>
    </row>
    <row r="256">
      <c r="A256" s="11" t="n">
        <v>1250</v>
      </c>
      <c r="B256" s="11" t="inlineStr">
        <is>
          <t>SAN JUAN DE NEPOMUCENO</t>
        </is>
      </c>
      <c r="C256" s="11" t="inlineStr">
        <is>
          <t>San Juan Nepomuceno</t>
        </is>
      </c>
      <c r="D256" s="11" t="inlineStr">
        <is>
          <t>Bolívar</t>
        </is>
      </c>
      <c r="E256" s="11" t="inlineStr">
        <is>
          <t>COSTA</t>
        </is>
      </c>
      <c r="F256" s="11" t="inlineStr">
        <is>
          <t>Gabriel Eduardo Tapias Castellar</t>
        </is>
      </c>
      <c r="G256" s="11" t="inlineStr">
        <is>
          <t>3</t>
        </is>
      </c>
      <c r="H256" s="12" t="n">
        <v>46281</v>
      </c>
      <c r="I256" s="12" t="n">
        <v>46281</v>
      </c>
      <c r="J256" s="12" t="n"/>
      <c r="K256" s="12" t="n"/>
      <c r="L256" s="11" t="inlineStr">
        <is>
          <t>Programada</t>
        </is>
      </c>
      <c r="M256" s="12" t="n"/>
      <c r="N256" s="11">
        <f>SI(O(H256="";J256="");"";SI(J256&lt;=H256;"SÍ";"NO"))</f>
        <v/>
      </c>
      <c r="O256" s="11">
        <f>SI(O(I256="";K256="");"";SI(K256&lt;=SI(M256&lt;&gt;"";M256;I256);"SÍ";"NO"))</f>
        <v/>
      </c>
      <c r="P256" s="11">
        <f>SI(O(N256="";O256="");"";SI(Y(N256="SÍ";O256="SÍ");"SÍ";"NO"))</f>
        <v/>
      </c>
      <c r="Q256" s="13">
        <f>SI(O(I256="";K256="");"";MAX(0;ENTERO(K256)-ENTERO(SI(M256&lt;&gt;"";M256;I256))))</f>
        <v/>
      </c>
      <c r="R256" s="11" t="n"/>
      <c r="S256" s="11" t="n"/>
      <c r="T256" s="12" t="n"/>
      <c r="U256" s="11" t="n">
        <v>26</v>
      </c>
      <c r="V256" s="11" t="n"/>
    </row>
    <row r="257">
      <c r="A257" s="14" t="n">
        <v>1305</v>
      </c>
      <c r="B257" s="14" t="inlineStr">
        <is>
          <t>ITAGÜI</t>
        </is>
      </c>
      <c r="C257" s="14" t="inlineStr">
        <is>
          <t>Itagüi</t>
        </is>
      </c>
      <c r="D257" s="14" t="inlineStr">
        <is>
          <t>Antioquia</t>
        </is>
      </c>
      <c r="E257" s="14" t="inlineStr">
        <is>
          <t>ANTIOQUIA</t>
        </is>
      </c>
      <c r="F257" s="14" t="inlineStr">
        <is>
          <t>Andrés Mariano Bustamante Castro</t>
        </is>
      </c>
      <c r="G257" s="14" t="inlineStr">
        <is>
          <t>4</t>
        </is>
      </c>
      <c r="H257" s="15" t="n">
        <v>46281</v>
      </c>
      <c r="I257" s="15" t="n">
        <v>46283</v>
      </c>
      <c r="J257" s="15" t="n"/>
      <c r="K257" s="15" t="n"/>
      <c r="L257" s="14" t="inlineStr">
        <is>
          <t>Programada</t>
        </is>
      </c>
      <c r="M257" s="15" t="n"/>
      <c r="N257" s="14">
        <f>SI(O(H257="";J257="");"";SI(J257&lt;=H257;"SÍ";"NO"))</f>
        <v/>
      </c>
      <c r="O257" s="14">
        <f>SI(O(I257="";K257="");"";SI(K257&lt;=SI(M257&lt;&gt;"";M257;I257);"SÍ";"NO"))</f>
        <v/>
      </c>
      <c r="P257" s="14">
        <f>SI(O(N257="";O257="");"";SI(Y(N257="SÍ";O257="SÍ");"SÍ";"NO"))</f>
        <v/>
      </c>
      <c r="Q257" s="16">
        <f>SI(O(I257="";K257="");"";MAX(0;ENTERO(K257)-ENTERO(SI(M257&lt;&gt;"";M257;I257))))</f>
        <v/>
      </c>
      <c r="R257" s="14" t="n"/>
      <c r="S257" s="14" t="n"/>
      <c r="T257" s="15" t="n"/>
      <c r="U257" s="14" t="n">
        <v>27</v>
      </c>
      <c r="V257" s="14" t="n"/>
    </row>
    <row r="258">
      <c r="A258" s="11" t="n">
        <v>1389</v>
      </c>
      <c r="B258" s="11" t="inlineStr">
        <is>
          <t>SANTAFE DE ANTIOQUIA</t>
        </is>
      </c>
      <c r="C258" s="11" t="inlineStr">
        <is>
          <t>Santafé De Antioquia</t>
        </is>
      </c>
      <c r="D258" s="11" t="inlineStr">
        <is>
          <t>Antioquia</t>
        </is>
      </c>
      <c r="E258" s="11" t="inlineStr">
        <is>
          <t>ANTIOQUIA</t>
        </is>
      </c>
      <c r="F258" s="11" t="inlineStr">
        <is>
          <t>Ever Enrique Esquivel Movilla</t>
        </is>
      </c>
      <c r="G258" s="11" t="inlineStr">
        <is>
          <t>5</t>
        </is>
      </c>
      <c r="H258" s="12" t="n">
        <v>46281</v>
      </c>
      <c r="I258" s="12" t="n">
        <v>46282</v>
      </c>
      <c r="J258" s="12" t="n"/>
      <c r="K258" s="12" t="n"/>
      <c r="L258" s="11" t="inlineStr">
        <is>
          <t>Programada</t>
        </is>
      </c>
      <c r="M258" s="12" t="n"/>
      <c r="N258" s="11">
        <f>SI(O(H258="";J258="");"";SI(J258&lt;=H258;"SÍ";"NO"))</f>
        <v/>
      </c>
      <c r="O258" s="11">
        <f>SI(O(I258="";K258="");"";SI(K258&lt;=SI(M258&lt;&gt;"";M258;I258);"SÍ";"NO"))</f>
        <v/>
      </c>
      <c r="P258" s="11">
        <f>SI(O(N258="";O258="");"";SI(Y(N258="SÍ";O258="SÍ");"SÍ";"NO"))</f>
        <v/>
      </c>
      <c r="Q258" s="13">
        <f>SI(O(I258="";K258="");"";MAX(0;ENTERO(K258)-ENTERO(SI(M258&lt;&gt;"";M258;I258))))</f>
        <v/>
      </c>
      <c r="R258" s="11" t="n"/>
      <c r="S258" s="11" t="n"/>
      <c r="T258" s="12" t="n"/>
      <c r="U258" s="11" t="n">
        <v>35</v>
      </c>
      <c r="V258" s="11" t="n"/>
    </row>
    <row r="259">
      <c r="A259" s="14" t="n">
        <v>1412</v>
      </c>
      <c r="B259" s="14" t="inlineStr">
        <is>
          <t>CARAMANTA</t>
        </is>
      </c>
      <c r="C259" s="14" t="inlineStr">
        <is>
          <t>Caramanta</t>
        </is>
      </c>
      <c r="D259" s="14" t="inlineStr">
        <is>
          <t>Antioquia</t>
        </is>
      </c>
      <c r="E259" s="14" t="inlineStr">
        <is>
          <t>ANTIOQUIA</t>
        </is>
      </c>
      <c r="F259" s="14" t="inlineStr">
        <is>
          <t>Juan Pablo Osorio Ramirez</t>
        </is>
      </c>
      <c r="G259" s="14" t="inlineStr">
        <is>
          <t>1</t>
        </is>
      </c>
      <c r="H259" s="15" t="n">
        <v>46281</v>
      </c>
      <c r="I259" s="15" t="n">
        <v>46281</v>
      </c>
      <c r="J259" s="15" t="n"/>
      <c r="K259" s="15" t="n"/>
      <c r="L259" s="14" t="inlineStr">
        <is>
          <t>Programada</t>
        </is>
      </c>
      <c r="M259" s="15" t="n"/>
      <c r="N259" s="14">
        <f>SI(O(H259="";J259="");"";SI(J259&lt;=H259;"SÍ";"NO"))</f>
        <v/>
      </c>
      <c r="O259" s="14">
        <f>SI(O(I259="";K259="");"";SI(K259&lt;=SI(M259&lt;&gt;"";M259;I259);"SÍ";"NO"))</f>
        <v/>
      </c>
      <c r="P259" s="14">
        <f>SI(O(N259="";O259="");"";SI(Y(N259="SÍ";O259="SÍ");"SÍ";"NO"))</f>
        <v/>
      </c>
      <c r="Q259" s="16">
        <f>SI(O(I259="";K259="");"";MAX(0;ENTERO(K259)-ENTERO(SI(M259&lt;&gt;"";M259;I259))))</f>
        <v/>
      </c>
      <c r="R259" s="14" t="n"/>
      <c r="S259" s="14" t="n"/>
      <c r="T259" s="15" t="n"/>
      <c r="U259" s="14" t="n">
        <v>13</v>
      </c>
      <c r="V259" s="14" t="n"/>
    </row>
    <row r="260">
      <c r="A260" s="11" t="n">
        <v>1486</v>
      </c>
      <c r="B260" s="11" t="inlineStr">
        <is>
          <t>VALPARAISO</t>
        </is>
      </c>
      <c r="C260" s="11" t="inlineStr">
        <is>
          <t>Valparaíso</t>
        </is>
      </c>
      <c r="D260" s="11" t="inlineStr">
        <is>
          <t>Antioquia</t>
        </is>
      </c>
      <c r="E260" s="11" t="inlineStr">
        <is>
          <t>ANTIOQUIA</t>
        </is>
      </c>
      <c r="F260" s="11" t="inlineStr">
        <is>
          <t>Juan Pablo Osorio Ramirez</t>
        </is>
      </c>
      <c r="G260" s="11" t="inlineStr">
        <is>
          <t>1</t>
        </is>
      </c>
      <c r="H260" s="12" t="n">
        <v>46281</v>
      </c>
      <c r="I260" s="12" t="n">
        <v>46281</v>
      </c>
      <c r="J260" s="12" t="n"/>
      <c r="K260" s="12" t="n"/>
      <c r="L260" s="11" t="inlineStr">
        <is>
          <t>Programada</t>
        </is>
      </c>
      <c r="M260" s="12" t="n"/>
      <c r="N260" s="11">
        <f>SI(O(H260="";J260="");"";SI(J260&lt;=H260;"SÍ";"NO"))</f>
        <v/>
      </c>
      <c r="O260" s="11">
        <f>SI(O(I260="";K260="");"";SI(K260&lt;=SI(M260&lt;&gt;"";M260;I260);"SÍ";"NO"))</f>
        <v/>
      </c>
      <c r="P260" s="11">
        <f>SI(O(N260="";O260="");"";SI(Y(N260="SÍ";O260="SÍ");"SÍ";"NO"))</f>
        <v/>
      </c>
      <c r="Q260" s="13">
        <f>SI(O(I260="";K260="");"";MAX(0;ENTERO(K260)-ENTERO(SI(M260&lt;&gt;"";M260;I260))))</f>
        <v/>
      </c>
      <c r="R260" s="11" t="n"/>
      <c r="S260" s="11" t="n"/>
      <c r="T260" s="12" t="n"/>
      <c r="U260" s="11" t="n">
        <v>16</v>
      </c>
      <c r="V260" s="11" t="n"/>
    </row>
    <row r="261">
      <c r="A261" s="14" t="n">
        <v>2175</v>
      </c>
      <c r="B261" s="14" t="inlineStr">
        <is>
          <t>TORIBIO</t>
        </is>
      </c>
      <c r="C261" s="14" t="inlineStr">
        <is>
          <t>Toribio</t>
        </is>
      </c>
      <c r="D261" s="14" t="inlineStr">
        <is>
          <t>CAUCA</t>
        </is>
      </c>
      <c r="E261" s="14" t="inlineStr">
        <is>
          <t>OCCIDENTE</t>
        </is>
      </c>
      <c r="F261" s="14" t="inlineStr">
        <is>
          <t>Holmes Arley Astudillo Fajardo</t>
        </is>
      </c>
      <c r="G261" s="14" t="inlineStr">
        <is>
          <t>2</t>
        </is>
      </c>
      <c r="H261" s="15" t="n">
        <v>46281</v>
      </c>
      <c r="I261" s="15" t="n">
        <v>46281</v>
      </c>
      <c r="J261" s="15" t="n"/>
      <c r="K261" s="15" t="n"/>
      <c r="L261" s="14" t="inlineStr">
        <is>
          <t>Programada</t>
        </is>
      </c>
      <c r="M261" s="15" t="n"/>
      <c r="N261" s="14">
        <f>SI(O(H261="";J261="");"";SI(J261&lt;=H261;"SÍ";"NO"))</f>
        <v/>
      </c>
      <c r="O261" s="14">
        <f>SI(O(I261="";K261="");"";SI(K261&lt;=SI(M261&lt;&gt;"";M261;I261);"SÍ";"NO"))</f>
        <v/>
      </c>
      <c r="P261" s="14">
        <f>SI(O(N261="";O261="");"";SI(Y(N261="SÍ";O261="SÍ");"SÍ";"NO"))</f>
        <v/>
      </c>
      <c r="Q261" s="16">
        <f>SI(O(I261="";K261="");"";MAX(0;ENTERO(K261)-ENTERO(SI(M261&lt;&gt;"";M261;I261))))</f>
        <v/>
      </c>
      <c r="R261" s="14" t="n"/>
      <c r="S261" s="14" t="n"/>
      <c r="T261" s="15" t="n"/>
      <c r="U261" s="14" t="n">
        <v>15</v>
      </c>
      <c r="V261" s="14" t="n"/>
    </row>
    <row r="262">
      <c r="A262" s="11" t="n">
        <v>2422</v>
      </c>
      <c r="B262" s="11" t="inlineStr">
        <is>
          <t>CHIRIGUANA</t>
        </is>
      </c>
      <c r="C262" s="11" t="inlineStr">
        <is>
          <t>Chiriguaná</t>
        </is>
      </c>
      <c r="D262" s="11" t="inlineStr">
        <is>
          <t>Cesar</t>
        </is>
      </c>
      <c r="E262" s="11" t="inlineStr">
        <is>
          <t>COSTA</t>
        </is>
      </c>
      <c r="F262" s="11" t="inlineStr">
        <is>
          <t>Eliana Julieth Castellanos Diaz</t>
        </is>
      </c>
      <c r="G262" s="11" t="inlineStr">
        <is>
          <t>4</t>
        </is>
      </c>
      <c r="H262" s="12" t="n">
        <v>46281</v>
      </c>
      <c r="I262" s="12" t="n">
        <v>46281</v>
      </c>
      <c r="J262" s="12" t="n"/>
      <c r="K262" s="12" t="n"/>
      <c r="L262" s="11" t="inlineStr">
        <is>
          <t>Programada</t>
        </is>
      </c>
      <c r="M262" s="12" t="n"/>
      <c r="N262" s="11">
        <f>SI(O(H262="";J262="");"";SI(J262&lt;=H262;"SÍ";"NO"))</f>
        <v/>
      </c>
      <c r="O262" s="11">
        <f>SI(O(I262="";K262="");"";SI(K262&lt;=SI(M262&lt;&gt;"";M262;I262);"SÍ";"NO"))</f>
        <v/>
      </c>
      <c r="P262" s="11">
        <f>SI(O(N262="";O262="");"";SI(Y(N262="SÍ";O262="SÍ");"SÍ";"NO"))</f>
        <v/>
      </c>
      <c r="Q262" s="13">
        <f>SI(O(I262="";K262="");"";MAX(0;ENTERO(K262)-ENTERO(SI(M262&lt;&gt;"";M262;I262))))</f>
        <v/>
      </c>
      <c r="R262" s="11" t="n"/>
      <c r="S262" s="11" t="n"/>
      <c r="T262" s="12" t="n"/>
      <c r="U262" s="11" t="n">
        <v>29</v>
      </c>
      <c r="V262" s="11" t="n"/>
    </row>
    <row r="263">
      <c r="A263" s="14" t="n">
        <v>2771</v>
      </c>
      <c r="B263" s="14" t="inlineStr">
        <is>
          <t>PUERTO LIBERTADOR</t>
        </is>
      </c>
      <c r="C263" s="14" t="inlineStr">
        <is>
          <t>Puerto Libertador</t>
        </is>
      </c>
      <c r="D263" s="14" t="inlineStr">
        <is>
          <t>Córdoba</t>
        </is>
      </c>
      <c r="E263" s="14" t="inlineStr">
        <is>
          <t>ANTIOQUIA</t>
        </is>
      </c>
      <c r="F263" s="14" t="inlineStr">
        <is>
          <t>Jhon Jairo Vergara Pelaez</t>
        </is>
      </c>
      <c r="G263" s="14" t="inlineStr">
        <is>
          <t>2</t>
        </is>
      </c>
      <c r="H263" s="15" t="n">
        <v>46281</v>
      </c>
      <c r="I263" s="15" t="n">
        <v>46281</v>
      </c>
      <c r="J263" s="15" t="n"/>
      <c r="K263" s="15" t="n"/>
      <c r="L263" s="14" t="inlineStr">
        <is>
          <t>Programada</t>
        </is>
      </c>
      <c r="M263" s="15" t="n"/>
      <c r="N263" s="14">
        <f>SI(O(H263="";J263="");"";SI(J263&lt;=H263;"SÍ";"NO"))</f>
        <v/>
      </c>
      <c r="O263" s="14">
        <f>SI(O(I263="";K263="");"";SI(K263&lt;=SI(M263&lt;&gt;"";M263;I263);"SÍ";"NO"))</f>
        <v/>
      </c>
      <c r="P263" s="14">
        <f>SI(O(N263="";O263="");"";SI(Y(N263="SÍ";O263="SÍ");"SÍ";"NO"))</f>
        <v/>
      </c>
      <c r="Q263" s="16">
        <f>SI(O(I263="";K263="");"";MAX(0;ENTERO(K263)-ENTERO(SI(M263&lt;&gt;"";M263;I263))))</f>
        <v/>
      </c>
      <c r="R263" s="14" t="n"/>
      <c r="S263" s="14" t="n"/>
      <c r="T263" s="15" t="n"/>
      <c r="U263" s="14" t="n">
        <v>15</v>
      </c>
      <c r="V263" s="14" t="n"/>
    </row>
    <row r="264">
      <c r="A264" s="11" t="n">
        <v>3123</v>
      </c>
      <c r="B264" s="11" t="inlineStr">
        <is>
          <t>GUAYABETAL</t>
        </is>
      </c>
      <c r="C264" s="11" t="inlineStr">
        <is>
          <t>Guayabetal</t>
        </is>
      </c>
      <c r="D264" s="11" t="inlineStr">
        <is>
          <t>Cundinamarca</t>
        </is>
      </c>
      <c r="E264" s="11" t="inlineStr">
        <is>
          <t>BOGOTA</t>
        </is>
      </c>
      <c r="F264" s="11" t="inlineStr">
        <is>
          <t>Nelson Leonardo Paez Suarez</t>
        </is>
      </c>
      <c r="G264" s="11" t="inlineStr">
        <is>
          <t>1</t>
        </is>
      </c>
      <c r="H264" s="12" t="n">
        <v>46281</v>
      </c>
      <c r="I264" s="12" t="n">
        <v>46281</v>
      </c>
      <c r="J264" s="12" t="n"/>
      <c r="K264" s="12" t="n"/>
      <c r="L264" s="11" t="inlineStr">
        <is>
          <t>Programada</t>
        </is>
      </c>
      <c r="M264" s="12" t="n"/>
      <c r="N264" s="11">
        <f>SI(O(H264="";J264="");"";SI(J264&lt;=H264;"SÍ";"NO"))</f>
        <v/>
      </c>
      <c r="O264" s="11">
        <f>SI(O(I264="";K264="");"";SI(K264&lt;=SI(M264&lt;&gt;"";M264;I264);"SÍ";"NO"))</f>
        <v/>
      </c>
      <c r="P264" s="11">
        <f>SI(O(N264="";O264="");"";SI(Y(N264="SÍ";O264="SÍ");"SÍ";"NO"))</f>
        <v/>
      </c>
      <c r="Q264" s="13">
        <f>SI(O(I264="";K264="");"";MAX(0;ENTERO(K264)-ENTERO(SI(M264&lt;&gt;"";M264;I264))))</f>
        <v/>
      </c>
      <c r="R264" s="11" t="n"/>
      <c r="S264" s="11" t="n"/>
      <c r="T264" s="12" t="n"/>
      <c r="U264" s="11" t="n">
        <v>13</v>
      </c>
      <c r="V264" s="11" t="n"/>
    </row>
    <row r="265">
      <c r="A265" s="14" t="n">
        <v>3135</v>
      </c>
      <c r="B265" s="14" t="inlineStr">
        <is>
          <t>GACHETA</t>
        </is>
      </c>
      <c r="C265" s="14" t="inlineStr">
        <is>
          <t>Gachetá</t>
        </is>
      </c>
      <c r="D265" s="14" t="inlineStr">
        <is>
          <t>Cundinamarca</t>
        </is>
      </c>
      <c r="E265" s="14" t="inlineStr">
        <is>
          <t>BOGOTA</t>
        </is>
      </c>
      <c r="F265" s="14" t="inlineStr">
        <is>
          <t>Carlos Andres Cuchivaguen Diaz</t>
        </is>
      </c>
      <c r="G265" s="14" t="inlineStr">
        <is>
          <t>3</t>
        </is>
      </c>
      <c r="H265" s="15" t="n">
        <v>46281</v>
      </c>
      <c r="I265" s="15" t="n">
        <v>46281</v>
      </c>
      <c r="J265" s="15" t="n"/>
      <c r="K265" s="15" t="n"/>
      <c r="L265" s="14" t="inlineStr">
        <is>
          <t>Programada</t>
        </is>
      </c>
      <c r="M265" s="15" t="n"/>
      <c r="N265" s="14">
        <f>SI(O(H265="";J265="");"";SI(J265&lt;=H265;"SÍ";"NO"))</f>
        <v/>
      </c>
      <c r="O265" s="14">
        <f>SI(O(I265="";K265="");"";SI(K265&lt;=SI(M265&lt;&gt;"";M265;I265);"SÍ";"NO"))</f>
        <v/>
      </c>
      <c r="P265" s="14">
        <f>SI(O(N265="";O265="");"";SI(Y(N265="SÍ";O265="SÍ");"SÍ";"NO"))</f>
        <v/>
      </c>
      <c r="Q265" s="16">
        <f>SI(O(I265="";K265="");"";MAX(0;ENTERO(K265)-ENTERO(SI(M265&lt;&gt;"";M265;I265))))</f>
        <v/>
      </c>
      <c r="R265" s="14" t="n"/>
      <c r="S265" s="14" t="n"/>
      <c r="T265" s="15" t="n"/>
      <c r="U265" s="14" t="n">
        <v>23</v>
      </c>
      <c r="V265" s="14" t="n"/>
    </row>
    <row r="266">
      <c r="A266" s="11" t="n">
        <v>3927</v>
      </c>
      <c r="B266" s="11" t="inlineStr">
        <is>
          <t>LA PLATA</t>
        </is>
      </c>
      <c r="C266" s="11" t="inlineStr">
        <is>
          <t>La Plata</t>
        </is>
      </c>
      <c r="D266" s="11" t="inlineStr">
        <is>
          <t>Huila</t>
        </is>
      </c>
      <c r="E266" s="11" t="inlineStr">
        <is>
          <t>SUR</t>
        </is>
      </c>
      <c r="F266" s="11" t="inlineStr">
        <is>
          <t>ERIKA VARGAS</t>
        </is>
      </c>
      <c r="G266" s="11" t="inlineStr">
        <is>
          <t>7</t>
        </is>
      </c>
      <c r="H266" s="12" t="n">
        <v>46281</v>
      </c>
      <c r="I266" s="12" t="n">
        <v>46281</v>
      </c>
      <c r="J266" s="12" t="n"/>
      <c r="K266" s="12" t="n"/>
      <c r="L266" s="11" t="inlineStr">
        <is>
          <t>Programada</t>
        </is>
      </c>
      <c r="M266" s="12" t="n"/>
      <c r="N266" s="11">
        <f>SI(O(H266="";J266="");"";SI(J266&lt;=H266;"SÍ";"NO"))</f>
        <v/>
      </c>
      <c r="O266" s="11">
        <f>SI(O(I266="";K266="");"";SI(K266&lt;=SI(M266&lt;&gt;"";M266;I266);"SÍ";"NO"))</f>
        <v/>
      </c>
      <c r="P266" s="11">
        <f>SI(O(N266="";O266="");"";SI(Y(N266="SÍ";O266="SÍ");"SÍ";"NO"))</f>
        <v/>
      </c>
      <c r="Q266" s="13">
        <f>SI(O(I266="";K266="");"";MAX(0;ENTERO(K266)-ENTERO(SI(M266&lt;&gt;"";M266;I266))))</f>
        <v/>
      </c>
      <c r="R266" s="11" t="n"/>
      <c r="S266" s="11" t="n"/>
      <c r="T266" s="12" t="n"/>
      <c r="U266" s="11" t="n">
        <v>48</v>
      </c>
      <c r="V266" s="11" t="n"/>
    </row>
    <row r="267">
      <c r="A267" s="14" t="n">
        <v>3921</v>
      </c>
      <c r="B267" s="14" t="inlineStr">
        <is>
          <t>ELIAS</t>
        </is>
      </c>
      <c r="C267" s="14" t="inlineStr">
        <is>
          <t>Elías</t>
        </is>
      </c>
      <c r="D267" s="14" t="inlineStr">
        <is>
          <t>Huila</t>
        </is>
      </c>
      <c r="E267" s="14" t="inlineStr">
        <is>
          <t>SUR</t>
        </is>
      </c>
      <c r="F267" s="14" t="inlineStr">
        <is>
          <t>HAROLD STEED GARCIA</t>
        </is>
      </c>
      <c r="G267" s="14" t="inlineStr">
        <is>
          <t>1</t>
        </is>
      </c>
      <c r="H267" s="15" t="n">
        <v>46281</v>
      </c>
      <c r="I267" s="15" t="n">
        <v>46282</v>
      </c>
      <c r="J267" s="15" t="n"/>
      <c r="K267" s="15" t="n"/>
      <c r="L267" s="14" t="inlineStr">
        <is>
          <t>Programada</t>
        </is>
      </c>
      <c r="M267" s="15" t="n"/>
      <c r="N267" s="14">
        <f>SI(O(H267="";J267="");"";SI(J267&lt;=H267;"SÍ";"NO"))</f>
        <v/>
      </c>
      <c r="O267" s="14">
        <f>SI(O(I267="";K267="");"";SI(K267&lt;=SI(M267&lt;&gt;"";M267;I267);"SÍ";"NO"))</f>
        <v/>
      </c>
      <c r="P267" s="14">
        <f>SI(O(N267="";O267="");"";SI(Y(N267="SÍ";O267="SÍ");"SÍ";"NO"))</f>
        <v/>
      </c>
      <c r="Q267" s="16">
        <f>SI(O(I267="";K267="");"";MAX(0;ENTERO(K267)-ENTERO(SI(M267&lt;&gt;"";M267;I267))))</f>
        <v/>
      </c>
      <c r="R267" s="14" t="n"/>
      <c r="S267" s="14" t="n"/>
      <c r="T267" s="15" t="n"/>
      <c r="U267" s="14" t="n">
        <v>13</v>
      </c>
      <c r="V267" s="14" t="n"/>
    </row>
    <row r="268">
      <c r="A268" s="11" t="n">
        <v>4505</v>
      </c>
      <c r="B268" s="11" t="inlineStr">
        <is>
          <t>CUBARRAL</t>
        </is>
      </c>
      <c r="C268" s="11" t="inlineStr">
        <is>
          <t>San Luis De Cubarral</t>
        </is>
      </c>
      <c r="D268" s="11" t="inlineStr">
        <is>
          <t>Meta</t>
        </is>
      </c>
      <c r="E268" s="11" t="inlineStr">
        <is>
          <t>BOGOTA</t>
        </is>
      </c>
      <c r="F268" s="11" t="inlineStr">
        <is>
          <t>Andres Felipe Balbin</t>
        </is>
      </c>
      <c r="G268" s="11" t="inlineStr">
        <is>
          <t>2</t>
        </is>
      </c>
      <c r="H268" s="12" t="n">
        <v>46281</v>
      </c>
      <c r="I268" s="12" t="n">
        <v>46281</v>
      </c>
      <c r="J268" s="12" t="n"/>
      <c r="K268" s="12" t="n"/>
      <c r="L268" s="11" t="inlineStr">
        <is>
          <t>Programada</t>
        </is>
      </c>
      <c r="M268" s="12" t="n"/>
      <c r="N268" s="11">
        <f>SI(O(H268="";J268="");"";SI(J268&lt;=H268;"SÍ";"NO"))</f>
        <v/>
      </c>
      <c r="O268" s="11">
        <f>SI(O(I268="";K268="");"";SI(K268&lt;=SI(M268&lt;&gt;"";M268;I268);"SÍ";"NO"))</f>
        <v/>
      </c>
      <c r="P268" s="11">
        <f>SI(O(N268="";O268="");"";SI(Y(N268="SÍ";O268="SÍ");"SÍ";"NO"))</f>
        <v/>
      </c>
      <c r="Q268" s="13">
        <f>SI(O(I268="";K268="");"";MAX(0;ENTERO(K268)-ENTERO(SI(M268&lt;&gt;"";M268;I268))))</f>
        <v/>
      </c>
      <c r="R268" s="11" t="n"/>
      <c r="S268" s="11" t="n"/>
      <c r="T268" s="12" t="n"/>
      <c r="U268" s="11" t="n">
        <v>16</v>
      </c>
      <c r="V268" s="11" t="n"/>
    </row>
    <row r="269">
      <c r="A269" s="14" t="n">
        <v>4836</v>
      </c>
      <c r="B269" s="14" t="inlineStr">
        <is>
          <t>GUAITARILLA</t>
        </is>
      </c>
      <c r="C269" s="14" t="inlineStr">
        <is>
          <t>Guaitarilla</t>
        </is>
      </c>
      <c r="D269" s="14" t="inlineStr">
        <is>
          <t>Nariño</t>
        </is>
      </c>
      <c r="E269" s="14" t="inlineStr">
        <is>
          <t>OCCIDENTE</t>
        </is>
      </c>
      <c r="F269" s="14" t="inlineStr">
        <is>
          <t>Juan Carlos Narvaez Acosta / Luis Fernando Ibarra Guio</t>
        </is>
      </c>
      <c r="G269" s="14" t="inlineStr">
        <is>
          <t>2</t>
        </is>
      </c>
      <c r="H269" s="15" t="n">
        <v>46281</v>
      </c>
      <c r="I269" s="15" t="n">
        <v>46281</v>
      </c>
      <c r="J269" s="15" t="n"/>
      <c r="K269" s="15" t="n"/>
      <c r="L269" s="14" t="inlineStr">
        <is>
          <t>Programada</t>
        </is>
      </c>
      <c r="M269" s="15" t="n"/>
      <c r="N269" s="14">
        <f>SI(O(H269="";J269="");"";SI(J269&lt;=H269;"SÍ";"NO"))</f>
        <v/>
      </c>
      <c r="O269" s="14">
        <f>SI(O(I269="";K269="");"";SI(K269&lt;=SI(M269&lt;&gt;"";M269;I269);"SÍ";"NO"))</f>
        <v/>
      </c>
      <c r="P269" s="14">
        <f>SI(O(N269="";O269="");"";SI(Y(N269="SÍ";O269="SÍ");"SÍ";"NO"))</f>
        <v/>
      </c>
      <c r="Q269" s="16">
        <f>SI(O(I269="";K269="");"";MAX(0;ENTERO(K269)-ENTERO(SI(M269&lt;&gt;"";M269;I269))))</f>
        <v/>
      </c>
      <c r="R269" s="14" t="n"/>
      <c r="S269" s="14" t="n"/>
      <c r="T269" s="15" t="n"/>
      <c r="U269" s="14" t="n">
        <v>18</v>
      </c>
      <c r="V269" s="14" t="n"/>
    </row>
    <row r="270">
      <c r="A270" s="11" t="n">
        <v>5160</v>
      </c>
      <c r="B270" s="11" t="inlineStr">
        <is>
          <t>TOLEDO</t>
        </is>
      </c>
      <c r="C270" s="11" t="inlineStr">
        <is>
          <t>Toledo</t>
        </is>
      </c>
      <c r="D270" s="11" t="inlineStr">
        <is>
          <t>Norte de Santander</t>
        </is>
      </c>
      <c r="E270" s="11" t="inlineStr">
        <is>
          <t>SANTANDERES</t>
        </is>
      </c>
      <c r="F270" s="11" t="inlineStr">
        <is>
          <t>Ali Kassem Issa Sierra</t>
        </is>
      </c>
      <c r="G270" s="11" t="inlineStr">
        <is>
          <t>3</t>
        </is>
      </c>
      <c r="H270" s="12" t="n">
        <v>46281</v>
      </c>
      <c r="I270" s="12" t="n">
        <v>46282</v>
      </c>
      <c r="J270" s="12" t="n"/>
      <c r="K270" s="12" t="n"/>
      <c r="L270" s="11" t="inlineStr">
        <is>
          <t>Programada</t>
        </is>
      </c>
      <c r="M270" s="12" t="n"/>
      <c r="N270" s="11">
        <f>SI(O(H270="";J270="");"";SI(J270&lt;=H270;"SÍ";"NO"))</f>
        <v/>
      </c>
      <c r="O270" s="11">
        <f>SI(O(I270="";K270="");"";SI(K270&lt;=SI(M270&lt;&gt;"";M270;I270);"SÍ";"NO"))</f>
        <v/>
      </c>
      <c r="P270" s="11">
        <f>SI(O(N270="";O270="");"";SI(Y(N270="SÍ";O270="SÍ");"SÍ";"NO"))</f>
        <v/>
      </c>
      <c r="Q270" s="13">
        <f>SI(O(I270="";K270="");"";MAX(0;ENTERO(K270)-ENTERO(SI(M270&lt;&gt;"";M270;I270))))</f>
        <v/>
      </c>
      <c r="R270" s="11" t="n"/>
      <c r="S270" s="11" t="n"/>
      <c r="T270" s="12" t="n"/>
      <c r="U270" s="11" t="n">
        <v>20</v>
      </c>
      <c r="V270" s="11" t="n"/>
    </row>
    <row r="271">
      <c r="A271" s="14" t="n">
        <v>5172</v>
      </c>
      <c r="B271" s="14" t="inlineStr">
        <is>
          <t>TEORAMA</t>
        </is>
      </c>
      <c r="C271" s="14" t="inlineStr">
        <is>
          <t>Teorama</t>
        </is>
      </c>
      <c r="D271" s="14" t="inlineStr">
        <is>
          <t>Norte de Santander</t>
        </is>
      </c>
      <c r="E271" s="14" t="inlineStr">
        <is>
          <t>SANTANDERES</t>
        </is>
      </c>
      <c r="F271" s="14" t="inlineStr">
        <is>
          <t>Juan Alfonso Cuberos Buendia</t>
        </is>
      </c>
      <c r="G271" s="14" t="inlineStr">
        <is>
          <t>1</t>
        </is>
      </c>
      <c r="H271" s="15" t="n">
        <v>46281</v>
      </c>
      <c r="I271" s="15" t="n">
        <v>46281</v>
      </c>
      <c r="J271" s="15" t="n"/>
      <c r="K271" s="15" t="n"/>
      <c r="L271" s="14" t="inlineStr">
        <is>
          <t>Programada</t>
        </is>
      </c>
      <c r="M271" s="15" t="n"/>
      <c r="N271" s="14">
        <f>SI(O(H271="";J271="");"";SI(J271&lt;=H271;"SÍ";"NO"))</f>
        <v/>
      </c>
      <c r="O271" s="14">
        <f>SI(O(I271="";K271="");"";SI(K271&lt;=SI(M271&lt;&gt;"";M271;I271);"SÍ";"NO"))</f>
        <v/>
      </c>
      <c r="P271" s="14">
        <f>SI(O(N271="";O271="");"";SI(Y(N271="SÍ";O271="SÍ");"SÍ";"NO"))</f>
        <v/>
      </c>
      <c r="Q271" s="16">
        <f>SI(O(I271="";K271="");"";MAX(0;ENTERO(K271)-ENTERO(SI(M271&lt;&gt;"";M271;I271))))</f>
        <v/>
      </c>
      <c r="R271" s="14" t="n"/>
      <c r="S271" s="14" t="n"/>
      <c r="T271" s="15" t="n"/>
      <c r="U271" s="14" t="n">
        <v>13</v>
      </c>
      <c r="V271" s="14" t="n"/>
    </row>
    <row r="272">
      <c r="A272" s="11" t="n">
        <v>6310</v>
      </c>
      <c r="B272" s="11" t="inlineStr">
        <is>
          <t>CAIMITO</t>
        </is>
      </c>
      <c r="C272" s="11" t="inlineStr">
        <is>
          <t>Caimito</t>
        </is>
      </c>
      <c r="D272" s="11" t="inlineStr">
        <is>
          <t>Sucre</t>
        </is>
      </c>
      <c r="E272" s="11" t="inlineStr">
        <is>
          <t>COSTA</t>
        </is>
      </c>
      <c r="F272" s="11" t="inlineStr">
        <is>
          <t>Jorge Felipe Munive Medina</t>
        </is>
      </c>
      <c r="G272" s="11" t="inlineStr">
        <is>
          <t>2</t>
        </is>
      </c>
      <c r="H272" s="12" t="n">
        <v>46281</v>
      </c>
      <c r="I272" s="12" t="n">
        <v>46281</v>
      </c>
      <c r="J272" s="12" t="n"/>
      <c r="K272" s="12" t="n"/>
      <c r="L272" s="11" t="inlineStr">
        <is>
          <t>Programada</t>
        </is>
      </c>
      <c r="M272" s="12" t="n"/>
      <c r="N272" s="11">
        <f>SI(O(H272="";J272="");"";SI(J272&lt;=H272;"SÍ";"NO"))</f>
        <v/>
      </c>
      <c r="O272" s="11">
        <f>SI(O(I272="";K272="");"";SI(K272&lt;=SI(M272&lt;&gt;"";M272;I272);"SÍ";"NO"))</f>
        <v/>
      </c>
      <c r="P272" s="11">
        <f>SI(O(N272="";O272="");"";SI(Y(N272="SÍ";O272="SÍ");"SÍ";"NO"))</f>
        <v/>
      </c>
      <c r="Q272" s="13">
        <f>SI(O(I272="";K272="");"";MAX(0;ENTERO(K272)-ENTERO(SI(M272&lt;&gt;"";M272;I272))))</f>
        <v/>
      </c>
      <c r="R272" s="11" t="n"/>
      <c r="S272" s="11" t="n"/>
      <c r="T272" s="12" t="n"/>
      <c r="U272" s="11" t="n">
        <v>15</v>
      </c>
      <c r="V272" s="11" t="n"/>
    </row>
    <row r="273">
      <c r="A273" s="14" t="n">
        <v>6368</v>
      </c>
      <c r="B273" s="14" t="inlineStr">
        <is>
          <t>SAN PEDRO</t>
        </is>
      </c>
      <c r="C273" s="14" t="inlineStr">
        <is>
          <t>San Pedro</t>
        </is>
      </c>
      <c r="D273" s="14" t="inlineStr">
        <is>
          <t>Sucre</t>
        </is>
      </c>
      <c r="E273" s="14" t="inlineStr">
        <is>
          <t>COSTA</t>
        </is>
      </c>
      <c r="F273" s="14" t="inlineStr">
        <is>
          <t>Gabriel Ivan Ballesteros Quiroz</t>
        </is>
      </c>
      <c r="G273" s="14" t="inlineStr">
        <is>
          <t>1</t>
        </is>
      </c>
      <c r="H273" s="15" t="n">
        <v>46281</v>
      </c>
      <c r="I273" s="15" t="n">
        <v>46281</v>
      </c>
      <c r="J273" s="15" t="n"/>
      <c r="K273" s="15" t="n"/>
      <c r="L273" s="14" t="inlineStr">
        <is>
          <t>Programada</t>
        </is>
      </c>
      <c r="M273" s="15" t="n"/>
      <c r="N273" s="14">
        <f>SI(O(H273="";J273="");"";SI(J273&lt;=H273;"SÍ";"NO"))</f>
        <v/>
      </c>
      <c r="O273" s="14">
        <f>SI(O(I273="";K273="");"";SI(K273&lt;=SI(M273&lt;&gt;"";M273;I273);"SÍ";"NO"))</f>
        <v/>
      </c>
      <c r="P273" s="14">
        <f>SI(O(N273="";O273="");"";SI(Y(N273="SÍ";O273="SÍ");"SÍ";"NO"))</f>
        <v/>
      </c>
      <c r="Q273" s="16">
        <f>SI(O(I273="";K273="");"";MAX(0;ENTERO(K273)-ENTERO(SI(M273&lt;&gt;"";M273;I273))))</f>
        <v/>
      </c>
      <c r="R273" s="14" t="n"/>
      <c r="S273" s="14" t="n"/>
      <c r="T273" s="15" t="n"/>
      <c r="U273" s="14" t="n">
        <v>13</v>
      </c>
      <c r="V273" s="14" t="n"/>
    </row>
    <row r="274">
      <c r="A274" s="11" t="n">
        <v>6639</v>
      </c>
      <c r="B274" s="11" t="inlineStr">
        <is>
          <t>HERRERA Corregimiento (Del Municipio de Rioblanco - Tolima)</t>
        </is>
      </c>
      <c r="C274" s="11" t="inlineStr">
        <is>
          <t>Rioblanco</t>
        </is>
      </c>
      <c r="D274" s="11" t="inlineStr">
        <is>
          <t>Tolima</t>
        </is>
      </c>
      <c r="E274" s="11" t="inlineStr">
        <is>
          <t>SUR</t>
        </is>
      </c>
      <c r="F274" s="11" t="inlineStr">
        <is>
          <t>Johan Cardenas</t>
        </is>
      </c>
      <c r="G274" s="11" t="inlineStr">
        <is>
          <t>1</t>
        </is>
      </c>
      <c r="H274" s="12" t="n">
        <v>46281</v>
      </c>
      <c r="I274" s="12" t="n">
        <v>46282</v>
      </c>
      <c r="J274" s="12" t="n"/>
      <c r="K274" s="12" t="n"/>
      <c r="L274" s="11" t="inlineStr">
        <is>
          <t>Programada</t>
        </is>
      </c>
      <c r="M274" s="12" t="n"/>
      <c r="N274" s="11">
        <f>SI(O(H274="";J274="");"";SI(J274&lt;=H274;"SÍ";"NO"))</f>
        <v/>
      </c>
      <c r="O274" s="11">
        <f>SI(O(I274="";K274="");"";SI(K274&lt;=SI(M274&lt;&gt;"";M274;I274);"SÍ";"NO"))</f>
        <v/>
      </c>
      <c r="P274" s="11">
        <f>SI(O(N274="";O274="");"";SI(Y(N274="SÍ";O274="SÍ");"SÍ";"NO"))</f>
        <v/>
      </c>
      <c r="Q274" s="13">
        <f>SI(O(I274="";K274="");"";MAX(0;ENTERO(K274)-ENTERO(SI(M274&lt;&gt;"";M274;I274))))</f>
        <v/>
      </c>
      <c r="R274" s="11" t="n"/>
      <c r="S274" s="11" t="n"/>
      <c r="T274" s="12" t="n"/>
      <c r="U274" s="11" t="n">
        <v>14</v>
      </c>
      <c r="V274" s="11" t="n"/>
    </row>
    <row r="275">
      <c r="A275" s="14" t="n">
        <v>7350</v>
      </c>
      <c r="B275" s="14" t="inlineStr">
        <is>
          <t>PUERTO RONDON</t>
        </is>
      </c>
      <c r="C275" s="14" t="inlineStr">
        <is>
          <t>Puerto Rondón</t>
        </is>
      </c>
      <c r="D275" s="14" t="inlineStr">
        <is>
          <t>Arauca</t>
        </is>
      </c>
      <c r="E275" s="14" t="inlineStr">
        <is>
          <t>BOGOTA</t>
        </is>
      </c>
      <c r="F275" s="14" t="inlineStr">
        <is>
          <t>JOAQUIN DE JESUS ROMERO PIÑEREZ</t>
        </is>
      </c>
      <c r="G275" s="14" t="inlineStr">
        <is>
          <t>2</t>
        </is>
      </c>
      <c r="H275" s="15" t="n">
        <v>46281</v>
      </c>
      <c r="I275" s="15" t="n">
        <v>46282</v>
      </c>
      <c r="J275" s="15" t="n"/>
      <c r="K275" s="15" t="n"/>
      <c r="L275" s="14" t="inlineStr">
        <is>
          <t>Programada</t>
        </is>
      </c>
      <c r="M275" s="15" t="n"/>
      <c r="N275" s="14">
        <f>SI(O(H275="";J275="");"";SI(J275&lt;=H275;"SÍ";"NO"))</f>
        <v/>
      </c>
      <c r="O275" s="14">
        <f>SI(O(I275="";K275="");"";SI(K275&lt;=SI(M275&lt;&gt;"";M275;I275);"SÍ";"NO"))</f>
        <v/>
      </c>
      <c r="P275" s="14">
        <f>SI(O(N275="";O275="");"";SI(Y(N275="SÍ";O275="SÍ");"SÍ";"NO"))</f>
        <v/>
      </c>
      <c r="Q275" s="16">
        <f>SI(O(I275="";K275="");"";MAX(0;ENTERO(K275)-ENTERO(SI(M275&lt;&gt;"";M275;I275))))</f>
        <v/>
      </c>
      <c r="R275" s="14" t="n"/>
      <c r="S275" s="14" t="n"/>
      <c r="T275" s="15" t="n"/>
      <c r="U275" s="14" t="n">
        <v>15</v>
      </c>
      <c r="V275" s="14" t="n"/>
    </row>
    <row r="276">
      <c r="A276" s="11" t="n">
        <v>7920</v>
      </c>
      <c r="B276" s="11" t="inlineStr">
        <is>
          <t>ORITO</t>
        </is>
      </c>
      <c r="C276" s="11" t="inlineStr">
        <is>
          <t>Orito</t>
        </is>
      </c>
      <c r="D276" s="11" t="inlineStr">
        <is>
          <t>Putumayo</t>
        </is>
      </c>
      <c r="E276" s="11" t="inlineStr">
        <is>
          <t>SUR</t>
        </is>
      </c>
      <c r="F276" s="11" t="inlineStr">
        <is>
          <t>JOSE ARTEAGA BRAVO</t>
        </is>
      </c>
      <c r="G276" s="11" t="inlineStr">
        <is>
          <t>4</t>
        </is>
      </c>
      <c r="H276" s="12" t="n">
        <v>46281</v>
      </c>
      <c r="I276" s="12" t="n">
        <v>46281</v>
      </c>
      <c r="J276" s="12" t="n"/>
      <c r="K276" s="12" t="n"/>
      <c r="L276" s="11" t="inlineStr">
        <is>
          <t>Programada</t>
        </is>
      </c>
      <c r="M276" s="12" t="n"/>
      <c r="N276" s="11">
        <f>SI(O(H276="";J276="");"";SI(J276&lt;=H276;"SÍ";"NO"))</f>
        <v/>
      </c>
      <c r="O276" s="11">
        <f>SI(O(I276="";K276="");"";SI(K276&lt;=SI(M276&lt;&gt;"";M276;I276);"SÍ";"NO"))</f>
        <v/>
      </c>
      <c r="P276" s="11">
        <f>SI(O(N276="";O276="");"";SI(Y(N276="SÍ";O276="SÍ");"SÍ";"NO"))</f>
        <v/>
      </c>
      <c r="Q276" s="13">
        <f>SI(O(I276="";K276="");"";MAX(0;ENTERO(K276)-ENTERO(SI(M276&lt;&gt;"";M276;I276))))</f>
        <v/>
      </c>
      <c r="R276" s="11" t="n"/>
      <c r="S276" s="11" t="n"/>
      <c r="T276" s="12" t="n"/>
      <c r="U276" s="11" t="n">
        <v>28</v>
      </c>
      <c r="V276" s="11" t="n"/>
    </row>
    <row r="277">
      <c r="A277" s="14" t="n">
        <v>940</v>
      </c>
      <c r="B277" s="14" t="inlineStr">
        <is>
          <t>TENJO</t>
        </is>
      </c>
      <c r="C277" s="14" t="inlineStr">
        <is>
          <t>Tenjo</t>
        </is>
      </c>
      <c r="D277" s="14" t="inlineStr">
        <is>
          <t>Cundinamarca</t>
        </is>
      </c>
      <c r="E277" s="14" t="inlineStr">
        <is>
          <t>BOGOTA</t>
        </is>
      </c>
      <c r="F277" s="14" t="inlineStr">
        <is>
          <t>Jhonatan Felipe Hernandez Gamboa</t>
        </is>
      </c>
      <c r="G277" s="14" t="inlineStr">
        <is>
          <t>2</t>
        </is>
      </c>
      <c r="H277" s="15" t="n">
        <v>46282</v>
      </c>
      <c r="I277" s="15" t="n">
        <v>46282</v>
      </c>
      <c r="J277" s="15" t="n"/>
      <c r="K277" s="15" t="n"/>
      <c r="L277" s="14" t="inlineStr">
        <is>
          <t>Programada</t>
        </is>
      </c>
      <c r="M277" s="15" t="n"/>
      <c r="N277" s="14">
        <f>SI(O(H277="";J277="");"";SI(J277&lt;=H277;"SÍ";"NO"))</f>
        <v/>
      </c>
      <c r="O277" s="14">
        <f>SI(O(I277="";K277="");"";SI(K277&lt;=SI(M277&lt;&gt;"";M277;I277);"SÍ";"NO"))</f>
        <v/>
      </c>
      <c r="P277" s="14">
        <f>SI(O(N277="";O277="");"";SI(Y(N277="SÍ";O277="SÍ");"SÍ";"NO"))</f>
        <v/>
      </c>
      <c r="Q277" s="16">
        <f>SI(O(I277="";K277="");"";MAX(0;ENTERO(K277)-ENTERO(SI(M277&lt;&gt;"";M277;I277))))</f>
        <v/>
      </c>
      <c r="R277" s="14" t="n"/>
      <c r="S277" s="14" t="n"/>
      <c r="T277" s="15" t="n"/>
      <c r="U277" s="14" t="n">
        <v>17</v>
      </c>
      <c r="V277" s="14" t="n"/>
    </row>
    <row r="278">
      <c r="A278" s="11" t="n">
        <v>1207</v>
      </c>
      <c r="B278" s="11" t="inlineStr">
        <is>
          <t>CARTAGENA</t>
        </is>
      </c>
      <c r="C278" s="11" t="inlineStr">
        <is>
          <t>Cartagena</t>
        </is>
      </c>
      <c r="D278" s="11" t="inlineStr">
        <is>
          <t>Bolívar</t>
        </is>
      </c>
      <c r="E278" s="11" t="inlineStr">
        <is>
          <t>COSTA</t>
        </is>
      </c>
      <c r="F278" s="11" t="inlineStr">
        <is>
          <t>Rafael Antonio Molina Ortega</t>
        </is>
      </c>
      <c r="G278" s="11" t="inlineStr">
        <is>
          <t>7</t>
        </is>
      </c>
      <c r="H278" s="12" t="n">
        <v>46282</v>
      </c>
      <c r="I278" s="12" t="n">
        <v>46283</v>
      </c>
      <c r="J278" s="12" t="n"/>
      <c r="K278" s="12" t="n"/>
      <c r="L278" s="11" t="inlineStr">
        <is>
          <t>Programada</t>
        </is>
      </c>
      <c r="M278" s="12" t="n"/>
      <c r="N278" s="11">
        <f>SI(O(H278="";J278="");"";SI(J278&lt;=H278;"SÍ";"NO"))</f>
        <v/>
      </c>
      <c r="O278" s="11">
        <f>SI(O(I278="";K278="");"";SI(K278&lt;=SI(M278&lt;&gt;"";M278;I278);"SÍ";"NO"))</f>
        <v/>
      </c>
      <c r="P278" s="11">
        <f>SI(O(N278="";O278="");"";SI(Y(N278="SÍ";O278="SÍ");"SÍ";"NO"))</f>
        <v/>
      </c>
      <c r="Q278" s="13">
        <f>SI(O(I278="";K278="");"";MAX(0;ENTERO(K278)-ENTERO(SI(M278&lt;&gt;"";M278;I278))))</f>
        <v/>
      </c>
      <c r="R278" s="11" t="n"/>
      <c r="S278" s="11" t="n"/>
      <c r="T278" s="12" t="n"/>
      <c r="U278" s="11" t="n">
        <v>68</v>
      </c>
      <c r="V278" s="11" t="n"/>
    </row>
    <row r="279">
      <c r="A279" s="14" t="n">
        <v>1243</v>
      </c>
      <c r="B279" s="14" t="inlineStr">
        <is>
          <t>MOMPOX</t>
        </is>
      </c>
      <c r="C279" s="14" t="inlineStr">
        <is>
          <t>Mompós</t>
        </is>
      </c>
      <c r="D279" s="14" t="inlineStr">
        <is>
          <t>Bolívar</t>
        </is>
      </c>
      <c r="E279" s="14" t="inlineStr">
        <is>
          <t>COSTA</t>
        </is>
      </c>
      <c r="F279" s="14" t="inlineStr">
        <is>
          <t>Gabriel Ivan Ballesteros Quiroz</t>
        </is>
      </c>
      <c r="G279" s="14" t="inlineStr">
        <is>
          <t>5</t>
        </is>
      </c>
      <c r="H279" s="15" t="n">
        <v>46282</v>
      </c>
      <c r="I279" s="15" t="n">
        <v>46282</v>
      </c>
      <c r="J279" s="15" t="n"/>
      <c r="K279" s="15" t="n"/>
      <c r="L279" s="14" t="inlineStr">
        <is>
          <t>Programada</t>
        </is>
      </c>
      <c r="M279" s="15" t="n"/>
      <c r="N279" s="14">
        <f>SI(O(H279="";J279="");"";SI(J279&lt;=H279;"SÍ";"NO"))</f>
        <v/>
      </c>
      <c r="O279" s="14">
        <f>SI(O(I279="";K279="");"";SI(K279&lt;=SI(M279&lt;&gt;"";M279;I279);"SÍ";"NO"))</f>
        <v/>
      </c>
      <c r="P279" s="14">
        <f>SI(O(N279="";O279="");"";SI(Y(N279="SÍ";O279="SÍ");"SÍ";"NO"))</f>
        <v/>
      </c>
      <c r="Q279" s="16">
        <f>SI(O(I279="";K279="");"";MAX(0;ENTERO(K279)-ENTERO(SI(M279&lt;&gt;"";M279;I279))))</f>
        <v/>
      </c>
      <c r="R279" s="14" t="n"/>
      <c r="S279" s="14" t="n"/>
      <c r="T279" s="15" t="n"/>
      <c r="U279" s="14" t="n">
        <v>23</v>
      </c>
      <c r="V279" s="14" t="n"/>
    </row>
    <row r="280">
      <c r="A280" s="11" t="n">
        <v>1317</v>
      </c>
      <c r="B280" s="11" t="inlineStr">
        <is>
          <t>ANZA</t>
        </is>
      </c>
      <c r="C280" s="11" t="inlineStr">
        <is>
          <t>Anza</t>
        </is>
      </c>
      <c r="D280" s="11" t="inlineStr">
        <is>
          <t>Antioquia</t>
        </is>
      </c>
      <c r="E280" s="11" t="inlineStr">
        <is>
          <t>ANTIOQUIA</t>
        </is>
      </c>
      <c r="F280" s="11" t="inlineStr">
        <is>
          <t>Ever Enrique Esquivel Movilla</t>
        </is>
      </c>
      <c r="G280" s="11" t="inlineStr">
        <is>
          <t>1</t>
        </is>
      </c>
      <c r="H280" s="12" t="n">
        <v>46282</v>
      </c>
      <c r="I280" s="12" t="n">
        <v>46282</v>
      </c>
      <c r="J280" s="12" t="n"/>
      <c r="K280" s="12" t="n"/>
      <c r="L280" s="11" t="inlineStr">
        <is>
          <t>Programada</t>
        </is>
      </c>
      <c r="M280" s="12" t="n"/>
      <c r="N280" s="11">
        <f>SI(O(H280="";J280="");"";SI(J280&lt;=H280;"SÍ";"NO"))</f>
        <v/>
      </c>
      <c r="O280" s="11">
        <f>SI(O(I280="";K280="");"";SI(K280&lt;=SI(M280&lt;&gt;"";M280;I280);"SÍ";"NO"))</f>
        <v/>
      </c>
      <c r="P280" s="11">
        <f>SI(O(N280="";O280="");"";SI(Y(N280="SÍ";O280="SÍ");"SÍ";"NO"))</f>
        <v/>
      </c>
      <c r="Q280" s="13">
        <f>SI(O(I280="";K280="");"";MAX(0;ENTERO(K280)-ENTERO(SI(M280&lt;&gt;"";M280;I280))))</f>
        <v/>
      </c>
      <c r="R280" s="11" t="n"/>
      <c r="S280" s="11" t="n"/>
      <c r="T280" s="12" t="n"/>
      <c r="U280" s="11" t="n">
        <v>13</v>
      </c>
      <c r="V280" s="11" t="n"/>
    </row>
    <row r="281">
      <c r="A281" s="14" t="n">
        <v>1363</v>
      </c>
      <c r="B281" s="14" t="inlineStr">
        <is>
          <t>LA PINTADA</t>
        </is>
      </c>
      <c r="C281" s="14" t="inlineStr">
        <is>
          <t>La Pintada</t>
        </is>
      </c>
      <c r="D281" s="14" t="inlineStr">
        <is>
          <t>Antioquia</t>
        </is>
      </c>
      <c r="E281" s="14" t="inlineStr">
        <is>
          <t>ANTIOQUIA</t>
        </is>
      </c>
      <c r="F281" s="14" t="inlineStr">
        <is>
          <t>Juan Pablo Osorio Ramirez</t>
        </is>
      </c>
      <c r="G281" s="14" t="inlineStr">
        <is>
          <t>1</t>
        </is>
      </c>
      <c r="H281" s="15" t="n">
        <v>46282</v>
      </c>
      <c r="I281" s="15" t="n">
        <v>46282</v>
      </c>
      <c r="J281" s="15" t="n"/>
      <c r="K281" s="15" t="n"/>
      <c r="L281" s="14" t="inlineStr">
        <is>
          <t>Programada</t>
        </is>
      </c>
      <c r="M281" s="15" t="n"/>
      <c r="N281" s="14">
        <f>SI(O(H281="";J281="");"";SI(J281&lt;=H281;"SÍ";"NO"))</f>
        <v/>
      </c>
      <c r="O281" s="14">
        <f>SI(O(I281="";K281="");"";SI(K281&lt;=SI(M281&lt;&gt;"";M281;I281);"SÍ";"NO"))</f>
        <v/>
      </c>
      <c r="P281" s="14">
        <f>SI(O(N281="";O281="");"";SI(Y(N281="SÍ";O281="SÍ");"SÍ";"NO"))</f>
        <v/>
      </c>
      <c r="Q281" s="16">
        <f>SI(O(I281="";K281="");"";MAX(0;ENTERO(K281)-ENTERO(SI(M281&lt;&gt;"";M281;I281))))</f>
        <v/>
      </c>
      <c r="R281" s="14" t="n"/>
      <c r="S281" s="14" t="n"/>
      <c r="T281" s="15" t="n"/>
      <c r="U281" s="14" t="n">
        <v>12</v>
      </c>
      <c r="V281" s="14" t="n"/>
    </row>
    <row r="282">
      <c r="A282" s="11" t="n">
        <v>1438</v>
      </c>
      <c r="B282" s="11" t="inlineStr">
        <is>
          <t>MONTEBELLO</t>
        </is>
      </c>
      <c r="C282" s="11" t="inlineStr">
        <is>
          <t>Montebello</t>
        </is>
      </c>
      <c r="D282" s="11" t="inlineStr">
        <is>
          <t>Antioquia</t>
        </is>
      </c>
      <c r="E282" s="11" t="inlineStr">
        <is>
          <t>ANTIOQUIA</t>
        </is>
      </c>
      <c r="F282" s="11" t="inlineStr">
        <is>
          <t>Juan Pablo Osorio Ramirez</t>
        </is>
      </c>
      <c r="G282" s="11" t="inlineStr">
        <is>
          <t>1</t>
        </is>
      </c>
      <c r="H282" s="12" t="n">
        <v>46282</v>
      </c>
      <c r="I282" s="12" t="n">
        <v>46282</v>
      </c>
      <c r="J282" s="12" t="n"/>
      <c r="K282" s="12" t="n"/>
      <c r="L282" s="11" t="inlineStr">
        <is>
          <t>Programada</t>
        </is>
      </c>
      <c r="M282" s="12" t="n"/>
      <c r="N282" s="11">
        <f>SI(O(H282="";J282="");"";SI(J282&lt;=H282;"SÍ";"NO"))</f>
        <v/>
      </c>
      <c r="O282" s="11">
        <f>SI(O(I282="";K282="");"";SI(K282&lt;=SI(M282&lt;&gt;"";M282;I282);"SÍ";"NO"))</f>
        <v/>
      </c>
      <c r="P282" s="11">
        <f>SI(O(N282="";O282="");"";SI(Y(N282="SÍ";O282="SÍ");"SÍ";"NO"))</f>
        <v/>
      </c>
      <c r="Q282" s="13">
        <f>SI(O(I282="";K282="");"";MAX(0;ENTERO(K282)-ENTERO(SI(M282&lt;&gt;"";M282;I282))))</f>
        <v/>
      </c>
      <c r="R282" s="11" t="n"/>
      <c r="S282" s="11" t="n"/>
      <c r="T282" s="12" t="n"/>
      <c r="U282" s="11" t="n">
        <v>14</v>
      </c>
      <c r="V282" s="11" t="n"/>
    </row>
    <row r="283">
      <c r="A283" s="14" t="n">
        <v>1520</v>
      </c>
      <c r="B283" s="14" t="inlineStr">
        <is>
          <t>CHITARAQUE</t>
        </is>
      </c>
      <c r="C283" s="14" t="inlineStr">
        <is>
          <t>Chitaraque</t>
        </is>
      </c>
      <c r="D283" s="14" t="inlineStr">
        <is>
          <t>Boyacá</t>
        </is>
      </c>
      <c r="E283" s="14" t="inlineStr">
        <is>
          <t>ORIENTE</t>
        </is>
      </c>
      <c r="F283" s="14" t="inlineStr">
        <is>
          <t>Luz Nélida Barragán Toro</t>
        </is>
      </c>
      <c r="G283" s="14" t="inlineStr">
        <is>
          <t>1</t>
        </is>
      </c>
      <c r="H283" s="15" t="n">
        <v>46282</v>
      </c>
      <c r="I283" s="15" t="n">
        <v>46283</v>
      </c>
      <c r="J283" s="15" t="n"/>
      <c r="K283" s="15" t="n"/>
      <c r="L283" s="14" t="inlineStr">
        <is>
          <t>Programada</t>
        </is>
      </c>
      <c r="M283" s="15" t="n"/>
      <c r="N283" s="14">
        <f>SI(O(H283="";J283="");"";SI(J283&lt;=H283;"SÍ";"NO"))</f>
        <v/>
      </c>
      <c r="O283" s="14">
        <f>SI(O(I283="";K283="");"";SI(K283&lt;=SI(M283&lt;&gt;"";M283;I283);"SÍ";"NO"))</f>
        <v/>
      </c>
      <c r="P283" s="14">
        <f>SI(O(N283="";O283="");"";SI(Y(N283="SÍ";O283="SÍ");"SÍ";"NO"))</f>
        <v/>
      </c>
      <c r="Q283" s="16">
        <f>SI(O(I283="";K283="");"";MAX(0;ENTERO(K283)-ENTERO(SI(M283&lt;&gt;"";M283;I283))))</f>
        <v/>
      </c>
      <c r="R283" s="14" t="n"/>
      <c r="S283" s="14" t="n"/>
      <c r="T283" s="15" t="n"/>
      <c r="U283" s="14" t="n">
        <v>14</v>
      </c>
      <c r="V283" s="14" t="n"/>
    </row>
    <row r="284">
      <c r="A284" s="11" t="n">
        <v>1551</v>
      </c>
      <c r="B284" s="11" t="inlineStr">
        <is>
          <t>MONIQUIRA</t>
        </is>
      </c>
      <c r="C284" s="11" t="inlineStr">
        <is>
          <t>Moniquirá</t>
        </is>
      </c>
      <c r="D284" s="11" t="inlineStr">
        <is>
          <t>Boyacá</t>
        </is>
      </c>
      <c r="E284" s="11" t="inlineStr">
        <is>
          <t>ORIENTE</t>
        </is>
      </c>
      <c r="F284" s="11" t="inlineStr">
        <is>
          <t>Andrés Felipe Díaz Noy</t>
        </is>
      </c>
      <c r="G284" s="11" t="inlineStr">
        <is>
          <t>5</t>
        </is>
      </c>
      <c r="H284" s="12" t="n">
        <v>46282</v>
      </c>
      <c r="I284" s="12" t="n">
        <v>46283</v>
      </c>
      <c r="J284" s="12" t="n"/>
      <c r="K284" s="12" t="n"/>
      <c r="L284" s="11" t="inlineStr">
        <is>
          <t>Programada</t>
        </is>
      </c>
      <c r="M284" s="12" t="n"/>
      <c r="N284" s="11">
        <f>SI(O(H284="";J284="");"";SI(J284&lt;=H284;"SÍ";"NO"))</f>
        <v/>
      </c>
      <c r="O284" s="11">
        <f>SI(O(I284="";K284="");"";SI(K284&lt;=SI(M284&lt;&gt;"";M284;I284);"SÍ";"NO"))</f>
        <v/>
      </c>
      <c r="P284" s="11">
        <f>SI(O(N284="";O284="");"";SI(Y(N284="SÍ";O284="SÍ");"SÍ";"NO"))</f>
        <v/>
      </c>
      <c r="Q284" s="13">
        <f>SI(O(I284="";K284="");"";MAX(0;ENTERO(K284)-ENTERO(SI(M284&lt;&gt;"";M284;I284))))</f>
        <v/>
      </c>
      <c r="R284" s="11" t="n"/>
      <c r="S284" s="11" t="n"/>
      <c r="T284" s="12" t="n"/>
      <c r="U284" s="11" t="n">
        <v>30</v>
      </c>
      <c r="V284" s="11" t="n"/>
    </row>
    <row r="285">
      <c r="A285" s="14" t="n">
        <v>1568</v>
      </c>
      <c r="B285" s="14" t="inlineStr">
        <is>
          <t>SAMACA</t>
        </is>
      </c>
      <c r="C285" s="14" t="inlineStr">
        <is>
          <t>Samacá</t>
        </is>
      </c>
      <c r="D285" s="14" t="inlineStr">
        <is>
          <t>Boyacá</t>
        </is>
      </c>
      <c r="E285" s="14" t="inlineStr">
        <is>
          <t>ORIENTE</t>
        </is>
      </c>
      <c r="F285" s="14" t="inlineStr">
        <is>
          <t>Mauricio Andrés Rivera Páez</t>
        </is>
      </c>
      <c r="G285" s="14" t="inlineStr">
        <is>
          <t>4</t>
        </is>
      </c>
      <c r="H285" s="15" t="n">
        <v>46282</v>
      </c>
      <c r="I285" s="15" t="n">
        <v>46283</v>
      </c>
      <c r="J285" s="15" t="n"/>
      <c r="K285" s="15" t="n"/>
      <c r="L285" s="14" t="inlineStr">
        <is>
          <t>Programada</t>
        </is>
      </c>
      <c r="M285" s="15" t="n"/>
      <c r="N285" s="14">
        <f>SI(O(H285="";J285="");"";SI(J285&lt;=H285;"SÍ";"NO"))</f>
        <v/>
      </c>
      <c r="O285" s="14">
        <f>SI(O(I285="";K285="");"";SI(K285&lt;=SI(M285&lt;&gt;"";M285;I285);"SÍ";"NO"))</f>
        <v/>
      </c>
      <c r="P285" s="14">
        <f>SI(O(N285="";O285="");"";SI(Y(N285="SÍ";O285="SÍ");"SÍ";"NO"))</f>
        <v/>
      </c>
      <c r="Q285" s="16">
        <f>SI(O(I285="";K285="");"";MAX(0;ENTERO(K285)-ENTERO(SI(M285&lt;&gt;"";M285;I285))))</f>
        <v/>
      </c>
      <c r="R285" s="14" t="n"/>
      <c r="S285" s="14" t="n"/>
      <c r="T285" s="15" t="n"/>
      <c r="U285" s="14" t="n">
        <v>24</v>
      </c>
      <c r="V285" s="14" t="n"/>
    </row>
    <row r="286">
      <c r="A286" s="11" t="n">
        <v>1569</v>
      </c>
      <c r="B286" s="11" t="inlineStr">
        <is>
          <t>SAN JOSE DE PARE</t>
        </is>
      </c>
      <c r="C286" s="11" t="inlineStr">
        <is>
          <t>San José De Pare</t>
        </is>
      </c>
      <c r="D286" s="11" t="inlineStr">
        <is>
          <t>Boyacá</t>
        </is>
      </c>
      <c r="E286" s="11" t="inlineStr">
        <is>
          <t>ORIENTE</t>
        </is>
      </c>
      <c r="F286" s="11" t="inlineStr">
        <is>
          <t>Andrés Felipe Carvajal Pire</t>
        </is>
      </c>
      <c r="G286" s="11" t="inlineStr">
        <is>
          <t>1</t>
        </is>
      </c>
      <c r="H286" s="12" t="n">
        <v>46282</v>
      </c>
      <c r="I286" s="12" t="n">
        <v>46283</v>
      </c>
      <c r="J286" s="12" t="n"/>
      <c r="K286" s="12" t="n"/>
      <c r="L286" s="11" t="inlineStr">
        <is>
          <t>Programada</t>
        </is>
      </c>
      <c r="M286" s="12" t="n"/>
      <c r="N286" s="11">
        <f>SI(O(H286="";J286="");"";SI(J286&lt;=H286;"SÍ";"NO"))</f>
        <v/>
      </c>
      <c r="O286" s="11">
        <f>SI(O(I286="";K286="");"";SI(K286&lt;=SI(M286&lt;&gt;"";M286;I286);"SÍ";"NO"))</f>
        <v/>
      </c>
      <c r="P286" s="11">
        <f>SI(O(N286="";O286="");"";SI(Y(N286="SÍ";O286="SÍ");"SÍ";"NO"))</f>
        <v/>
      </c>
      <c r="Q286" s="13">
        <f>SI(O(I286="";K286="");"";MAX(0;ENTERO(K286)-ENTERO(SI(M286&lt;&gt;"";M286;I286))))</f>
        <v/>
      </c>
      <c r="R286" s="11" t="n"/>
      <c r="S286" s="11" t="n"/>
      <c r="T286" s="12" t="n"/>
      <c r="U286" s="11" t="n">
        <v>13</v>
      </c>
      <c r="V286" s="11" t="n"/>
    </row>
    <row r="287">
      <c r="A287" s="14" t="n">
        <v>1830</v>
      </c>
      <c r="B287" s="14" t="inlineStr">
        <is>
          <t>SALAMINA</t>
        </is>
      </c>
      <c r="C287" s="14" t="inlineStr">
        <is>
          <t>Salamina</t>
        </is>
      </c>
      <c r="D287" s="14" t="inlineStr">
        <is>
          <t>Caldas</t>
        </is>
      </c>
      <c r="E287" s="14" t="inlineStr">
        <is>
          <t>CAFETERA</t>
        </is>
      </c>
      <c r="F287" s="14" t="inlineStr">
        <is>
          <t>JULIO  CESAR AUDELO  - ANDRES FELIPE BOTERO</t>
        </is>
      </c>
      <c r="G287" s="14" t="inlineStr">
        <is>
          <t>2</t>
        </is>
      </c>
      <c r="H287" s="15" t="n">
        <v>46282</v>
      </c>
      <c r="I287" s="15" t="n">
        <v>46283</v>
      </c>
      <c r="J287" s="15" t="n"/>
      <c r="K287" s="15" t="n"/>
      <c r="L287" s="14" t="inlineStr">
        <is>
          <t>Programada</t>
        </is>
      </c>
      <c r="M287" s="15" t="n"/>
      <c r="N287" s="14">
        <f>SI(O(H287="";J287="");"";SI(J287&lt;=H287;"SÍ";"NO"))</f>
        <v/>
      </c>
      <c r="O287" s="14">
        <f>SI(O(I287="";K287="");"";SI(K287&lt;=SI(M287&lt;&gt;"";M287;I287);"SÍ";"NO"))</f>
        <v/>
      </c>
      <c r="P287" s="14">
        <f>SI(O(N287="";O287="");"";SI(Y(N287="SÍ";O287="SÍ");"SÍ";"NO"))</f>
        <v/>
      </c>
      <c r="Q287" s="16">
        <f>SI(O(I287="";K287="");"";MAX(0;ENTERO(K287)-ENTERO(SI(M287&lt;&gt;"";M287;I287))))</f>
        <v/>
      </c>
      <c r="R287" s="14" t="n"/>
      <c r="S287" s="14" t="n"/>
      <c r="T287" s="15" t="n"/>
      <c r="U287" s="14" t="n">
        <v>19</v>
      </c>
      <c r="V287" s="14" t="n"/>
    </row>
    <row r="288">
      <c r="A288" s="11" t="n">
        <v>1834</v>
      </c>
      <c r="B288" s="11" t="inlineStr">
        <is>
          <t>MARULANDA</t>
        </is>
      </c>
      <c r="C288" s="11" t="inlineStr">
        <is>
          <t>Marulanda</t>
        </is>
      </c>
      <c r="D288" s="11" t="inlineStr">
        <is>
          <t>Caldas</t>
        </is>
      </c>
      <c r="E288" s="11" t="inlineStr">
        <is>
          <t>CAFETERA</t>
        </is>
      </c>
      <c r="F288" s="11" t="inlineStr">
        <is>
          <t>JULIO  CESAR AUDELO  - ANDRES FELIPE BOTERO</t>
        </is>
      </c>
      <c r="G288" s="11" t="inlineStr">
        <is>
          <t>1</t>
        </is>
      </c>
      <c r="H288" s="12" t="n">
        <v>46282</v>
      </c>
      <c r="I288" s="12" t="n">
        <v>46283</v>
      </c>
      <c r="J288" s="12" t="n"/>
      <c r="K288" s="12" t="n"/>
      <c r="L288" s="11" t="inlineStr">
        <is>
          <t>Programada</t>
        </is>
      </c>
      <c r="M288" s="12" t="n"/>
      <c r="N288" s="11">
        <f>SI(O(H288="";J288="");"";SI(J288&lt;=H288;"SÍ";"NO"))</f>
        <v/>
      </c>
      <c r="O288" s="11">
        <f>SI(O(I288="";K288="");"";SI(K288&lt;=SI(M288&lt;&gt;"";M288;I288);"SÍ";"NO"))</f>
        <v/>
      </c>
      <c r="P288" s="11">
        <f>SI(O(N288="";O288="");"";SI(Y(N288="SÍ";O288="SÍ");"SÍ";"NO"))</f>
        <v/>
      </c>
      <c r="Q288" s="13">
        <f>SI(O(I288="";K288="");"";MAX(0;ENTERO(K288)-ENTERO(SI(M288&lt;&gt;"";M288;I288))))</f>
        <v/>
      </c>
      <c r="R288" s="11" t="n"/>
      <c r="S288" s="11" t="n"/>
      <c r="T288" s="12" t="n"/>
      <c r="U288" s="11" t="n">
        <v>13</v>
      </c>
      <c r="V288" s="11" t="n"/>
    </row>
    <row r="289">
      <c r="A289" s="14" t="n">
        <v>2111</v>
      </c>
      <c r="B289" s="14" t="inlineStr">
        <is>
          <t>SUAREZ</t>
        </is>
      </c>
      <c r="C289" s="14" t="inlineStr">
        <is>
          <t>Suárez</t>
        </is>
      </c>
      <c r="D289" s="14" t="inlineStr">
        <is>
          <t>Cauca</t>
        </is>
      </c>
      <c r="E289" s="14" t="inlineStr">
        <is>
          <t>OCCIDENTE</t>
        </is>
      </c>
      <c r="F289" s="14" t="inlineStr">
        <is>
          <t>Holmes Arley Astudillo Fajardo</t>
        </is>
      </c>
      <c r="G289" s="14" t="inlineStr">
        <is>
          <t>1</t>
        </is>
      </c>
      <c r="H289" s="15" t="n">
        <v>46282</v>
      </c>
      <c r="I289" s="15" t="n">
        <v>46282</v>
      </c>
      <c r="J289" s="15" t="n"/>
      <c r="K289" s="15" t="n"/>
      <c r="L289" s="14" t="inlineStr">
        <is>
          <t>Programada</t>
        </is>
      </c>
      <c r="M289" s="15" t="n"/>
      <c r="N289" s="14">
        <f>SI(O(H289="";J289="");"";SI(J289&lt;=H289;"SÍ";"NO"))</f>
        <v/>
      </c>
      <c r="O289" s="14">
        <f>SI(O(I289="";K289="");"";SI(K289&lt;=SI(M289&lt;&gt;"";M289;I289);"SÍ";"NO"))</f>
        <v/>
      </c>
      <c r="P289" s="14">
        <f>SI(O(N289="";O289="");"";SI(Y(N289="SÍ";O289="SÍ");"SÍ";"NO"))</f>
        <v/>
      </c>
      <c r="Q289" s="16">
        <f>SI(O(I289="";K289="");"";MAX(0;ENTERO(K289)-ENTERO(SI(M289&lt;&gt;"";M289;I289))))</f>
        <v/>
      </c>
      <c r="R289" s="14" t="n"/>
      <c r="S289" s="14" t="n"/>
      <c r="T289" s="15" t="n"/>
      <c r="U289" s="14" t="n">
        <v>13</v>
      </c>
      <c r="V289" s="14" t="n"/>
    </row>
    <row r="290">
      <c r="A290" s="11" t="n">
        <v>2780</v>
      </c>
      <c r="B290" s="11" t="inlineStr">
        <is>
          <t>TIERRALTA</t>
        </is>
      </c>
      <c r="C290" s="11" t="inlineStr">
        <is>
          <t>Tierralta</t>
        </is>
      </c>
      <c r="D290" s="11" t="inlineStr">
        <is>
          <t>Córdoba</t>
        </is>
      </c>
      <c r="E290" s="11" t="inlineStr">
        <is>
          <t>COSTA</t>
        </is>
      </c>
      <c r="F290" s="11" t="inlineStr">
        <is>
          <t>Jhon Jairo Vergara Pelaez</t>
        </is>
      </c>
      <c r="G290" s="11" t="inlineStr">
        <is>
          <t>3</t>
        </is>
      </c>
      <c r="H290" s="12" t="n">
        <v>46282</v>
      </c>
      <c r="I290" s="12" t="n">
        <v>46282</v>
      </c>
      <c r="J290" s="12" t="n"/>
      <c r="K290" s="12" t="n"/>
      <c r="L290" s="11" t="inlineStr">
        <is>
          <t>Programada</t>
        </is>
      </c>
      <c r="M290" s="12" t="n"/>
      <c r="N290" s="11">
        <f>SI(O(H290="";J290="");"";SI(J290&lt;=H290;"SÍ";"NO"))</f>
        <v/>
      </c>
      <c r="O290" s="11">
        <f>SI(O(I290="";K290="");"";SI(K290&lt;=SI(M290&lt;&gt;"";M290;I290);"SÍ";"NO"))</f>
        <v/>
      </c>
      <c r="P290" s="11">
        <f>SI(O(N290="";O290="");"";SI(Y(N290="SÍ";O290="SÍ");"SÍ";"NO"))</f>
        <v/>
      </c>
      <c r="Q290" s="13">
        <f>SI(O(I290="";K290="");"";MAX(0;ENTERO(K290)-ENTERO(SI(M290&lt;&gt;"";M290;I290))))</f>
        <v/>
      </c>
      <c r="R290" s="11" t="n"/>
      <c r="S290" s="11" t="n"/>
      <c r="T290" s="12" t="n"/>
      <c r="U290" s="11" t="n">
        <v>28</v>
      </c>
      <c r="V290" s="11" t="n"/>
    </row>
    <row r="291">
      <c r="A291" s="14" t="n">
        <v>3137</v>
      </c>
      <c r="B291" s="14" t="inlineStr">
        <is>
          <t>GUATAVITA</t>
        </is>
      </c>
      <c r="C291" s="14" t="inlineStr">
        <is>
          <t>Guatavita</t>
        </is>
      </c>
      <c r="D291" s="14" t="inlineStr">
        <is>
          <t>Cundinamarca</t>
        </is>
      </c>
      <c r="E291" s="14" t="inlineStr">
        <is>
          <t>BOGOTA</t>
        </is>
      </c>
      <c r="F291" s="14" t="inlineStr">
        <is>
          <t>Edwin Santiago Cuchivaguen Diaz</t>
        </is>
      </c>
      <c r="G291" s="14" t="inlineStr">
        <is>
          <t>3</t>
        </is>
      </c>
      <c r="H291" s="15" t="n">
        <v>46282</v>
      </c>
      <c r="I291" s="15" t="n">
        <v>46282</v>
      </c>
      <c r="J291" s="15" t="n"/>
      <c r="K291" s="15" t="n"/>
      <c r="L291" s="14" t="inlineStr">
        <is>
          <t>Programada</t>
        </is>
      </c>
      <c r="M291" s="15" t="n"/>
      <c r="N291" s="14">
        <f>SI(O(H291="";J291="");"";SI(J291&lt;=H291;"SÍ";"NO"))</f>
        <v/>
      </c>
      <c r="O291" s="14">
        <f>SI(O(I291="";K291="");"";SI(K291&lt;=SI(M291&lt;&gt;"";M291;I291);"SÍ";"NO"))</f>
        <v/>
      </c>
      <c r="P291" s="14">
        <f>SI(O(N291="";O291="");"";SI(Y(N291="SÍ";O291="SÍ");"SÍ";"NO"))</f>
        <v/>
      </c>
      <c r="Q291" s="16">
        <f>SI(O(I291="";K291="");"";MAX(0;ENTERO(K291)-ENTERO(SI(M291&lt;&gt;"";M291;I291))))</f>
        <v/>
      </c>
      <c r="R291" s="14" t="n"/>
      <c r="S291" s="14" t="n"/>
      <c r="T291" s="15" t="n"/>
      <c r="U291" s="14" t="n">
        <v>20</v>
      </c>
      <c r="V291" s="14" t="n"/>
    </row>
    <row r="292">
      <c r="A292" s="11" t="n">
        <v>3140</v>
      </c>
      <c r="B292" s="11" t="inlineStr">
        <is>
          <t>JUNIN</t>
        </is>
      </c>
      <c r="C292" s="11" t="inlineStr">
        <is>
          <t>Junín</t>
        </is>
      </c>
      <c r="D292" s="11" t="inlineStr">
        <is>
          <t>Cundinamarca</t>
        </is>
      </c>
      <c r="E292" s="11" t="inlineStr">
        <is>
          <t>BOGOTA</t>
        </is>
      </c>
      <c r="F292" s="11" t="inlineStr">
        <is>
          <t>Carlos Andres Cuchivaguen Diaz</t>
        </is>
      </c>
      <c r="G292" s="11" t="inlineStr">
        <is>
          <t>1</t>
        </is>
      </c>
      <c r="H292" s="12" t="n">
        <v>46282</v>
      </c>
      <c r="I292" s="12" t="n">
        <v>46282</v>
      </c>
      <c r="J292" s="12" t="n"/>
      <c r="K292" s="12" t="n"/>
      <c r="L292" s="11" t="inlineStr">
        <is>
          <t>Programada</t>
        </is>
      </c>
      <c r="M292" s="12" t="n"/>
      <c r="N292" s="11">
        <f>SI(O(H292="";J292="");"";SI(J292&lt;=H292;"SÍ";"NO"))</f>
        <v/>
      </c>
      <c r="O292" s="11">
        <f>SI(O(I292="";K292="");"";SI(K292&lt;=SI(M292&lt;&gt;"";M292;I292);"SÍ";"NO"))</f>
        <v/>
      </c>
      <c r="P292" s="11">
        <f>SI(O(N292="";O292="");"";SI(Y(N292="SÍ";O292="SÍ");"SÍ";"NO"))</f>
        <v/>
      </c>
      <c r="Q292" s="13">
        <f>SI(O(I292="";K292="");"";MAX(0;ENTERO(K292)-ENTERO(SI(M292&lt;&gt;"";M292;I292))))</f>
        <v/>
      </c>
      <c r="R292" s="11" t="n"/>
      <c r="S292" s="11" t="n"/>
      <c r="T292" s="12" t="n"/>
      <c r="U292" s="11" t="n">
        <v>13</v>
      </c>
      <c r="V292" s="11" t="n"/>
    </row>
    <row r="293">
      <c r="A293" s="14" t="n">
        <v>3154</v>
      </c>
      <c r="B293" s="14" t="inlineStr">
        <is>
          <t>QUETAME</t>
        </is>
      </c>
      <c r="C293" s="14" t="inlineStr">
        <is>
          <t>Quetame</t>
        </is>
      </c>
      <c r="D293" s="14" t="inlineStr">
        <is>
          <t>Cundinamarca</t>
        </is>
      </c>
      <c r="E293" s="14" t="inlineStr">
        <is>
          <t>BOGOTA</t>
        </is>
      </c>
      <c r="F293" s="14" t="inlineStr">
        <is>
          <t>Nelson Leonardo Paez Suarez</t>
        </is>
      </c>
      <c r="G293" s="14" t="inlineStr">
        <is>
          <t>1</t>
        </is>
      </c>
      <c r="H293" s="15" t="n">
        <v>46282</v>
      </c>
      <c r="I293" s="15" t="n">
        <v>46282</v>
      </c>
      <c r="J293" s="15" t="n"/>
      <c r="K293" s="15" t="n"/>
      <c r="L293" s="14" t="inlineStr">
        <is>
          <t>Programada</t>
        </is>
      </c>
      <c r="M293" s="15" t="n"/>
      <c r="N293" s="14">
        <f>SI(O(H293="";J293="");"";SI(J293&lt;=H293;"SÍ";"NO"))</f>
        <v/>
      </c>
      <c r="O293" s="14">
        <f>SI(O(I293="";K293="");"";SI(K293&lt;=SI(M293&lt;&gt;"";M293;I293);"SÍ";"NO"))</f>
        <v/>
      </c>
      <c r="P293" s="14">
        <f>SI(O(N293="";O293="");"";SI(Y(N293="SÍ";O293="SÍ");"SÍ";"NO"))</f>
        <v/>
      </c>
      <c r="Q293" s="16">
        <f>SI(O(I293="";K293="");"";MAX(0;ENTERO(K293)-ENTERO(SI(M293&lt;&gt;"";M293;I293))))</f>
        <v/>
      </c>
      <c r="R293" s="14" t="n"/>
      <c r="S293" s="14" t="n"/>
      <c r="T293" s="15" t="n"/>
      <c r="U293" s="14" t="n">
        <v>13</v>
      </c>
      <c r="V293" s="14" t="n"/>
    </row>
    <row r="294">
      <c r="A294" s="11" t="n">
        <v>3603</v>
      </c>
      <c r="B294" s="11" t="inlineStr">
        <is>
          <t>RIOHACHA</t>
        </is>
      </c>
      <c r="C294" s="11" t="inlineStr">
        <is>
          <t>Riohacha</t>
        </is>
      </c>
      <c r="D294" s="11" t="inlineStr">
        <is>
          <t>La Guajira</t>
        </is>
      </c>
      <c r="E294" s="11" t="inlineStr">
        <is>
          <t>COSTA</t>
        </is>
      </c>
      <c r="F294" s="11" t="inlineStr">
        <is>
          <t>Olger Jair Choles Ramirez</t>
        </is>
      </c>
      <c r="G294" s="11" t="inlineStr">
        <is>
          <t>4</t>
        </is>
      </c>
      <c r="H294" s="12" t="n">
        <v>46282</v>
      </c>
      <c r="I294" s="12" t="n">
        <v>46283</v>
      </c>
      <c r="J294" s="12" t="n"/>
      <c r="K294" s="12" t="n"/>
      <c r="L294" s="11" t="inlineStr">
        <is>
          <t>Programada</t>
        </is>
      </c>
      <c r="M294" s="12" t="n"/>
      <c r="N294" s="11">
        <f>SI(O(H294="";J294="");"";SI(J294&lt;=H294;"SÍ";"NO"))</f>
        <v/>
      </c>
      <c r="O294" s="11">
        <f>SI(O(I294="";K294="");"";SI(K294&lt;=SI(M294&lt;&gt;"";M294;I294);"SÍ";"NO"))</f>
        <v/>
      </c>
      <c r="P294" s="11">
        <f>SI(O(N294="";O294="");"";SI(Y(N294="SÍ";O294="SÍ");"SÍ";"NO"))</f>
        <v/>
      </c>
      <c r="Q294" s="13">
        <f>SI(O(I294="";K294="");"";MAX(0;ENTERO(K294)-ENTERO(SI(M294&lt;&gt;"";M294;I294))))</f>
        <v/>
      </c>
      <c r="R294" s="11" t="n"/>
      <c r="S294" s="11" t="n"/>
      <c r="T294" s="12" t="n"/>
      <c r="U294" s="11" t="n">
        <v>32</v>
      </c>
      <c r="V294" s="11" t="n"/>
    </row>
    <row r="295">
      <c r="A295" s="14" t="n">
        <v>3620</v>
      </c>
      <c r="B295" s="14" t="inlineStr">
        <is>
          <t>MANAURE</t>
        </is>
      </c>
      <c r="C295" s="14" t="inlineStr">
        <is>
          <t>Manaure</t>
        </is>
      </c>
      <c r="D295" s="14" t="inlineStr">
        <is>
          <t>La Guajira</t>
        </is>
      </c>
      <c r="E295" s="14" t="inlineStr">
        <is>
          <t>COSTA</t>
        </is>
      </c>
      <c r="F295" s="14" t="inlineStr">
        <is>
          <t>Yeison Quintero  Caballero</t>
        </is>
      </c>
      <c r="G295" s="14" t="inlineStr">
        <is>
          <t>1</t>
        </is>
      </c>
      <c r="H295" s="15" t="n">
        <v>46282</v>
      </c>
      <c r="I295" s="15" t="n">
        <v>46282</v>
      </c>
      <c r="J295" s="15" t="n"/>
      <c r="K295" s="15" t="n"/>
      <c r="L295" s="14" t="inlineStr">
        <is>
          <t>Programada</t>
        </is>
      </c>
      <c r="M295" s="15" t="n"/>
      <c r="N295" s="14">
        <f>SI(O(H295="";J295="");"";SI(J295&lt;=H295;"SÍ";"NO"))</f>
        <v/>
      </c>
      <c r="O295" s="14">
        <f>SI(O(I295="";K295="");"";SI(K295&lt;=SI(M295&lt;&gt;"";M295;I295);"SÍ";"NO"))</f>
        <v/>
      </c>
      <c r="P295" s="14">
        <f>SI(O(N295="";O295="");"";SI(Y(N295="SÍ";O295="SÍ");"SÍ";"NO"))</f>
        <v/>
      </c>
      <c r="Q295" s="16">
        <f>SI(O(I295="";K295="");"";MAX(0;ENTERO(K295)-ENTERO(SI(M295&lt;&gt;"";M295;I295))))</f>
        <v/>
      </c>
      <c r="R295" s="14" t="n"/>
      <c r="S295" s="14" t="n"/>
      <c r="T295" s="15" t="n"/>
      <c r="U295" s="14" t="n">
        <v>16</v>
      </c>
      <c r="V295" s="14" t="n"/>
    </row>
    <row r="296">
      <c r="A296" s="11" t="n">
        <v>3923</v>
      </c>
      <c r="B296" s="11" t="inlineStr">
        <is>
          <t>PAICOL</t>
        </is>
      </c>
      <c r="C296" s="11" t="inlineStr">
        <is>
          <t>Paicol</t>
        </is>
      </c>
      <c r="D296" s="11" t="inlineStr">
        <is>
          <t>Huila</t>
        </is>
      </c>
      <c r="E296" s="11" t="inlineStr">
        <is>
          <t>SUR</t>
        </is>
      </c>
      <c r="F296" s="11" t="inlineStr">
        <is>
          <t>ERIKA VARGAS</t>
        </is>
      </c>
      <c r="G296" s="11" t="inlineStr">
        <is>
          <t>1</t>
        </is>
      </c>
      <c r="H296" s="12" t="n">
        <v>46282</v>
      </c>
      <c r="I296" s="12" t="n">
        <v>46282</v>
      </c>
      <c r="J296" s="12" t="n"/>
      <c r="K296" s="12" t="n"/>
      <c r="L296" s="11" t="inlineStr">
        <is>
          <t>Programada</t>
        </is>
      </c>
      <c r="M296" s="12" t="n"/>
      <c r="N296" s="11">
        <f>SI(O(H296="";J296="");"";SI(J296&lt;=H296;"SÍ";"NO"))</f>
        <v/>
      </c>
      <c r="O296" s="11">
        <f>SI(O(I296="";K296="");"";SI(K296&lt;=SI(M296&lt;&gt;"";M296;I296);"SÍ";"NO"))</f>
        <v/>
      </c>
      <c r="P296" s="11">
        <f>SI(O(N296="";O296="");"";SI(Y(N296="SÍ";O296="SÍ");"SÍ";"NO"))</f>
        <v/>
      </c>
      <c r="Q296" s="13">
        <f>SI(O(I296="";K296="");"";MAX(0;ENTERO(K296)-ENTERO(SI(M296&lt;&gt;"";M296;I296))))</f>
        <v/>
      </c>
      <c r="R296" s="11" t="n"/>
      <c r="S296" s="11" t="n"/>
      <c r="T296" s="12" t="n"/>
      <c r="U296" s="11" t="n">
        <v>13</v>
      </c>
      <c r="V296" s="11" t="n"/>
    </row>
    <row r="297">
      <c r="A297" s="14" t="n">
        <v>3932</v>
      </c>
      <c r="B297" s="14" t="inlineStr">
        <is>
          <t>NATAGA</t>
        </is>
      </c>
      <c r="C297" s="14" t="inlineStr">
        <is>
          <t>Nátaga</t>
        </is>
      </c>
      <c r="D297" s="14" t="inlineStr">
        <is>
          <t>Huila</t>
        </is>
      </c>
      <c r="E297" s="14" t="inlineStr">
        <is>
          <t>SUR</t>
        </is>
      </c>
      <c r="F297" s="14" t="inlineStr">
        <is>
          <t>HAROLD STEED GARCIA</t>
        </is>
      </c>
      <c r="G297" s="14" t="inlineStr">
        <is>
          <t>1</t>
        </is>
      </c>
      <c r="H297" s="15" t="n">
        <v>46282</v>
      </c>
      <c r="I297" s="15" t="n">
        <v>46283</v>
      </c>
      <c r="J297" s="15" t="n"/>
      <c r="K297" s="15" t="n"/>
      <c r="L297" s="14" t="inlineStr">
        <is>
          <t>Programada</t>
        </is>
      </c>
      <c r="M297" s="15" t="n"/>
      <c r="N297" s="14">
        <f>SI(O(H297="";J297="");"";SI(J297&lt;=H297;"SÍ";"NO"))</f>
        <v/>
      </c>
      <c r="O297" s="14">
        <f>SI(O(I297="";K297="");"";SI(K297&lt;=SI(M297&lt;&gt;"";M297;I297);"SÍ";"NO"))</f>
        <v/>
      </c>
      <c r="P297" s="14">
        <f>SI(O(N297="";O297="");"";SI(Y(N297="SÍ";O297="SÍ");"SÍ";"NO"))</f>
        <v/>
      </c>
      <c r="Q297" s="16">
        <f>SI(O(I297="";K297="");"";MAX(0;ENTERO(K297)-ENTERO(SI(M297&lt;&gt;"";M297;I297))))</f>
        <v/>
      </c>
      <c r="R297" s="14" t="n"/>
      <c r="S297" s="14" t="n"/>
      <c r="T297" s="15" t="n"/>
      <c r="U297" s="14" t="n">
        <v>15</v>
      </c>
      <c r="V297" s="14" t="n"/>
    </row>
    <row r="298">
      <c r="A298" s="11" t="n">
        <v>4512</v>
      </c>
      <c r="B298" s="11" t="inlineStr">
        <is>
          <t>EL CASTILLO</t>
        </is>
      </c>
      <c r="C298" s="11" t="inlineStr">
        <is>
          <t>El Castillo</t>
        </is>
      </c>
      <c r="D298" s="11" t="inlineStr">
        <is>
          <t>Meta</t>
        </is>
      </c>
      <c r="E298" s="11" t="inlineStr">
        <is>
          <t>BOGOTA</t>
        </is>
      </c>
      <c r="F298" s="11" t="inlineStr">
        <is>
          <t>Andres Felipe Balbin</t>
        </is>
      </c>
      <c r="G298" s="11" t="inlineStr">
        <is>
          <t>2</t>
        </is>
      </c>
      <c r="H298" s="12" t="n">
        <v>46282</v>
      </c>
      <c r="I298" s="12" t="n">
        <v>46282</v>
      </c>
      <c r="J298" s="12" t="n"/>
      <c r="K298" s="12" t="n"/>
      <c r="L298" s="11" t="inlineStr">
        <is>
          <t>Programada</t>
        </is>
      </c>
      <c r="M298" s="12" t="n"/>
      <c r="N298" s="11">
        <f>SI(O(H298="";J298="");"";SI(J298&lt;=H298;"SÍ";"NO"))</f>
        <v/>
      </c>
      <c r="O298" s="11">
        <f>SI(O(I298="";K298="");"";SI(K298&lt;=SI(M298&lt;&gt;"";M298;I298);"SÍ";"NO"))</f>
        <v/>
      </c>
      <c r="P298" s="11">
        <f>SI(O(N298="";O298="");"";SI(Y(N298="SÍ";O298="SÍ");"SÍ";"NO"))</f>
        <v/>
      </c>
      <c r="Q298" s="13">
        <f>SI(O(I298="";K298="");"";MAX(0;ENTERO(K298)-ENTERO(SI(M298&lt;&gt;"";M298;I298))))</f>
        <v/>
      </c>
      <c r="R298" s="11" t="n"/>
      <c r="S298" s="11" t="n"/>
      <c r="T298" s="12" t="n"/>
      <c r="U298" s="11" t="n">
        <v>15</v>
      </c>
      <c r="V298" s="11" t="n"/>
    </row>
    <row r="299">
      <c r="A299" s="14" t="n">
        <v>4805</v>
      </c>
      <c r="B299" s="14" t="inlineStr">
        <is>
          <t>CORDOBA</t>
        </is>
      </c>
      <c r="C299" s="14" t="inlineStr">
        <is>
          <t>Córdoba</t>
        </is>
      </c>
      <c r="D299" s="14" t="inlineStr">
        <is>
          <t>Nariño</t>
        </is>
      </c>
      <c r="E299" s="14" t="inlineStr">
        <is>
          <t>OCCIDENTE</t>
        </is>
      </c>
      <c r="F299" s="14" t="inlineStr">
        <is>
          <t>Juan Carlos Narvaez Acosta / Luis Fernando Ibarra Guio</t>
        </is>
      </c>
      <c r="G299" s="14" t="inlineStr">
        <is>
          <t>3</t>
        </is>
      </c>
      <c r="H299" s="15" t="n">
        <v>46282</v>
      </c>
      <c r="I299" s="15" t="n">
        <v>46282</v>
      </c>
      <c r="J299" s="15" t="n"/>
      <c r="K299" s="15" t="n"/>
      <c r="L299" s="14" t="inlineStr">
        <is>
          <t>Programada</t>
        </is>
      </c>
      <c r="M299" s="15" t="n"/>
      <c r="N299" s="14">
        <f>SI(O(H299="";J299="");"";SI(J299&lt;=H299;"SÍ";"NO"))</f>
        <v/>
      </c>
      <c r="O299" s="14">
        <f>SI(O(I299="";K299="");"";SI(K299&lt;=SI(M299&lt;&gt;"";M299;I299);"SÍ";"NO"))</f>
        <v/>
      </c>
      <c r="P299" s="14">
        <f>SI(O(N299="";O299="");"";SI(Y(N299="SÍ";O299="SÍ");"SÍ";"NO"))</f>
        <v/>
      </c>
      <c r="Q299" s="16">
        <f>SI(O(I299="";K299="");"";MAX(0;ENTERO(K299)-ENTERO(SI(M299&lt;&gt;"";M299;I299))))</f>
        <v/>
      </c>
      <c r="R299" s="14" t="n"/>
      <c r="S299" s="14" t="n"/>
      <c r="T299" s="15" t="n"/>
      <c r="U299" s="14" t="n">
        <v>20</v>
      </c>
      <c r="V299" s="14" t="n"/>
    </row>
    <row r="300">
      <c r="A300" s="11" t="n">
        <v>5123</v>
      </c>
      <c r="B300" s="11" t="inlineStr">
        <is>
          <t>EL CARMEN</t>
        </is>
      </c>
      <c r="C300" s="11" t="inlineStr">
        <is>
          <t>El Carmen</t>
        </is>
      </c>
      <c r="D300" s="11" t="inlineStr">
        <is>
          <t>Norte de Santander</t>
        </is>
      </c>
      <c r="E300" s="11" t="inlineStr">
        <is>
          <t>SANTANDERES</t>
        </is>
      </c>
      <c r="F300" s="11" t="inlineStr">
        <is>
          <t>Juan Alfonso Cuberos Buendia</t>
        </is>
      </c>
      <c r="G300" s="11" t="inlineStr">
        <is>
          <t>1</t>
        </is>
      </c>
      <c r="H300" s="12" t="n">
        <v>46282</v>
      </c>
      <c r="I300" s="12" t="n">
        <v>46283</v>
      </c>
      <c r="J300" s="12" t="n"/>
      <c r="K300" s="12" t="n"/>
      <c r="L300" s="11" t="inlineStr">
        <is>
          <t>Programada</t>
        </is>
      </c>
      <c r="M300" s="12" t="n"/>
      <c r="N300" s="11">
        <f>SI(O(H300="";J300="");"";SI(J300&lt;=H300;"SÍ";"NO"))</f>
        <v/>
      </c>
      <c r="O300" s="11">
        <f>SI(O(I300="";K300="");"";SI(K300&lt;=SI(M300&lt;&gt;"";M300;I300);"SÍ";"NO"))</f>
        <v/>
      </c>
      <c r="P300" s="11">
        <f>SI(O(N300="";O300="");"";SI(Y(N300="SÍ";O300="SÍ");"SÍ";"NO"))</f>
        <v/>
      </c>
      <c r="Q300" s="13">
        <f>SI(O(I300="";K300="");"";MAX(0;ENTERO(K300)-ENTERO(SI(M300&lt;&gt;"";M300;I300))))</f>
        <v/>
      </c>
      <c r="R300" s="11" t="n"/>
      <c r="S300" s="11" t="n"/>
      <c r="T300" s="12" t="n"/>
      <c r="U300" s="11" t="n">
        <v>13</v>
      </c>
      <c r="V300" s="11" t="n"/>
    </row>
    <row r="301">
      <c r="A301" s="14" t="n">
        <v>5746</v>
      </c>
      <c r="B301" s="14" t="inlineStr">
        <is>
          <t>BELEN DE UMBRIA</t>
        </is>
      </c>
      <c r="C301" s="14" t="inlineStr">
        <is>
          <t>Belén de Umbria</t>
        </is>
      </c>
      <c r="D301" s="14" t="inlineStr">
        <is>
          <t>Risaralda</t>
        </is>
      </c>
      <c r="E301" s="14" t="inlineStr">
        <is>
          <t>CAFETERA</t>
        </is>
      </c>
      <c r="F301" s="14" t="inlineStr">
        <is>
          <t>CESAR AUGUSTO HENAO</t>
        </is>
      </c>
      <c r="G301" s="14" t="inlineStr">
        <is>
          <t>3</t>
        </is>
      </c>
      <c r="H301" s="15" t="n">
        <v>46282</v>
      </c>
      <c r="I301" s="15" t="n">
        <v>46283</v>
      </c>
      <c r="J301" s="15" t="n"/>
      <c r="K301" s="15" t="n"/>
      <c r="L301" s="14" t="inlineStr">
        <is>
          <t>Programada</t>
        </is>
      </c>
      <c r="M301" s="15" t="n"/>
      <c r="N301" s="14">
        <f>SI(O(H301="";J301="");"";SI(J301&lt;=H301;"SÍ";"NO"))</f>
        <v/>
      </c>
      <c r="O301" s="14">
        <f>SI(O(I301="";K301="");"";SI(K301&lt;=SI(M301&lt;&gt;"";M301;I301);"SÍ";"NO"))</f>
        <v/>
      </c>
      <c r="P301" s="14">
        <f>SI(O(N301="";O301="");"";SI(Y(N301="SÍ";O301="SÍ");"SÍ";"NO"))</f>
        <v/>
      </c>
      <c r="Q301" s="16">
        <f>SI(O(I301="";K301="");"";MAX(0;ENTERO(K301)-ENTERO(SI(M301&lt;&gt;"";M301;I301))))</f>
        <v/>
      </c>
      <c r="R301" s="14" t="n"/>
      <c r="S301" s="14" t="n"/>
      <c r="T301" s="15" t="n"/>
      <c r="U301" s="14" t="n">
        <v>19</v>
      </c>
      <c r="V301" s="14" t="n"/>
    </row>
    <row r="302">
      <c r="A302" s="11" t="n">
        <v>6362</v>
      </c>
      <c r="B302" s="11" t="inlineStr">
        <is>
          <t>SAN BENITO ABAD</t>
        </is>
      </c>
      <c r="C302" s="11" t="inlineStr">
        <is>
          <t>San Benito Abad</t>
        </is>
      </c>
      <c r="D302" s="11" t="inlineStr">
        <is>
          <t>Sucre</t>
        </is>
      </c>
      <c r="E302" s="11" t="inlineStr">
        <is>
          <t>COSTA</t>
        </is>
      </c>
      <c r="F302" s="11" t="inlineStr">
        <is>
          <t>Jorge Felipe Munive Medina</t>
        </is>
      </c>
      <c r="G302" s="11" t="inlineStr">
        <is>
          <t>1</t>
        </is>
      </c>
      <c r="H302" s="12" t="n">
        <v>46282</v>
      </c>
      <c r="I302" s="12" t="n">
        <v>46282</v>
      </c>
      <c r="J302" s="12" t="n"/>
      <c r="K302" s="12" t="n"/>
      <c r="L302" s="11" t="inlineStr">
        <is>
          <t>Programada</t>
        </is>
      </c>
      <c r="M302" s="12" t="n"/>
      <c r="N302" s="11">
        <f>SI(O(H302="";J302="");"";SI(J302&lt;=H302;"SÍ";"NO"))</f>
        <v/>
      </c>
      <c r="O302" s="11">
        <f>SI(O(I302="";K302="");"";SI(K302&lt;=SI(M302&lt;&gt;"";M302;I302);"SÍ";"NO"))</f>
        <v/>
      </c>
      <c r="P302" s="11">
        <f>SI(O(N302="";O302="");"";SI(Y(N302="SÍ";O302="SÍ");"SÍ";"NO"))</f>
        <v/>
      </c>
      <c r="Q302" s="13">
        <f>SI(O(I302="";K302="");"";MAX(0;ENTERO(K302)-ENTERO(SI(M302&lt;&gt;"";M302;I302))))</f>
        <v/>
      </c>
      <c r="R302" s="11" t="n"/>
      <c r="S302" s="11" t="n"/>
      <c r="T302" s="12" t="n"/>
      <c r="U302" s="11" t="n">
        <v>13</v>
      </c>
      <c r="V302" s="11" t="n"/>
    </row>
    <row r="303">
      <c r="A303" s="14" t="n">
        <v>6633</v>
      </c>
      <c r="B303" s="14" t="inlineStr">
        <is>
          <t>COYAIMA</t>
        </is>
      </c>
      <c r="C303" s="14" t="inlineStr">
        <is>
          <t>Coyaima</t>
        </is>
      </c>
      <c r="D303" s="14" t="inlineStr">
        <is>
          <t>Tolima</t>
        </is>
      </c>
      <c r="E303" s="14" t="inlineStr">
        <is>
          <t>SUR</t>
        </is>
      </c>
      <c r="F303" s="14" t="inlineStr">
        <is>
          <t>Fernando Valencia- Bernardo Arango</t>
        </is>
      </c>
      <c r="G303" s="14" t="inlineStr">
        <is>
          <t>2</t>
        </is>
      </c>
      <c r="H303" s="15" t="n">
        <v>46282</v>
      </c>
      <c r="I303" s="15" t="n">
        <v>46283</v>
      </c>
      <c r="J303" s="15" t="n"/>
      <c r="K303" s="15" t="n"/>
      <c r="L303" s="14" t="inlineStr">
        <is>
          <t>Programada</t>
        </is>
      </c>
      <c r="M303" s="15" t="n"/>
      <c r="N303" s="14">
        <f>SI(O(H303="";J303="");"";SI(J303&lt;=H303;"SÍ";"NO"))</f>
        <v/>
      </c>
      <c r="O303" s="14">
        <f>SI(O(I303="";K303="");"";SI(K303&lt;=SI(M303&lt;&gt;"";M303;I303);"SÍ";"NO"))</f>
        <v/>
      </c>
      <c r="P303" s="14">
        <f>SI(O(N303="";O303="");"";SI(Y(N303="SÍ";O303="SÍ");"SÍ";"NO"))</f>
        <v/>
      </c>
      <c r="Q303" s="16">
        <f>SI(O(I303="";K303="");"";MAX(0;ENTERO(K303)-ENTERO(SI(M303&lt;&gt;"";M303;I303))))</f>
        <v/>
      </c>
      <c r="R303" s="14" t="n"/>
      <c r="S303" s="14" t="n"/>
      <c r="T303" s="15" t="n"/>
      <c r="U303" s="14" t="n">
        <v>15</v>
      </c>
      <c r="V303" s="14" t="n"/>
    </row>
    <row r="304">
      <c r="A304" s="11" t="n">
        <v>6920</v>
      </c>
      <c r="B304" s="11" t="inlineStr">
        <is>
          <t>SANTANDER DE QUILICHAO</t>
        </is>
      </c>
      <c r="C304" s="11" t="inlineStr">
        <is>
          <t>Santander De Quilichao</t>
        </is>
      </c>
      <c r="D304" s="11" t="inlineStr">
        <is>
          <t>Cauca</t>
        </is>
      </c>
      <c r="E304" s="11" t="inlineStr">
        <is>
          <t>OCCIDENTE</t>
        </is>
      </c>
      <c r="F304" s="11" t="inlineStr">
        <is>
          <t>Holmes Arley Astudillo Fajardo</t>
        </is>
      </c>
      <c r="G304" s="11" t="inlineStr">
        <is>
          <t>6</t>
        </is>
      </c>
      <c r="H304" s="12" t="n">
        <v>46282</v>
      </c>
      <c r="I304" s="12" t="n">
        <v>46283</v>
      </c>
      <c r="J304" s="12" t="n"/>
      <c r="K304" s="12" t="n"/>
      <c r="L304" s="11" t="inlineStr">
        <is>
          <t>Programada</t>
        </is>
      </c>
      <c r="M304" s="12" t="n"/>
      <c r="N304" s="11">
        <f>SI(O(H304="";J304="");"";SI(J304&lt;=H304;"SÍ";"NO"))</f>
        <v/>
      </c>
      <c r="O304" s="11">
        <f>SI(O(I304="";K304="");"";SI(K304&lt;=SI(M304&lt;&gt;"";M304;I304);"SÍ";"NO"))</f>
        <v/>
      </c>
      <c r="P304" s="11">
        <f>SI(O(N304="";O304="");"";SI(Y(N304="SÍ";O304="SÍ");"SÍ";"NO"))</f>
        <v/>
      </c>
      <c r="Q304" s="13">
        <f>SI(O(I304="";K304="");"";MAX(0;ENTERO(K304)-ENTERO(SI(M304&lt;&gt;"";M304;I304))))</f>
        <v/>
      </c>
      <c r="R304" s="11" t="n"/>
      <c r="S304" s="11" t="n"/>
      <c r="T304" s="12" t="n"/>
      <c r="U304" s="11" t="n">
        <v>41</v>
      </c>
      <c r="V304" s="11" t="n"/>
    </row>
    <row r="305">
      <c r="A305" s="14" t="n">
        <v>7950</v>
      </c>
      <c r="B305" s="14" t="inlineStr">
        <is>
          <t>VILLAGARZON</t>
        </is>
      </c>
      <c r="C305" s="14" t="inlineStr">
        <is>
          <t>Villagarzón</t>
        </is>
      </c>
      <c r="D305" s="14" t="inlineStr">
        <is>
          <t>Putumayo</t>
        </is>
      </c>
      <c r="E305" s="14" t="inlineStr">
        <is>
          <t>SUR</t>
        </is>
      </c>
      <c r="F305" s="14" t="inlineStr">
        <is>
          <t>HEIVER OVEYMAR BASTIDAS MAVISOY</t>
        </is>
      </c>
      <c r="G305" s="14" t="inlineStr">
        <is>
          <t>3</t>
        </is>
      </c>
      <c r="H305" s="15" t="n">
        <v>46282</v>
      </c>
      <c r="I305" s="15" t="n">
        <v>46282</v>
      </c>
      <c r="J305" s="15" t="n"/>
      <c r="K305" s="15" t="n"/>
      <c r="L305" s="14" t="inlineStr">
        <is>
          <t>Programada</t>
        </is>
      </c>
      <c r="M305" s="15" t="n"/>
      <c r="N305" s="14">
        <f>SI(O(H305="";J305="");"";SI(J305&lt;=H305;"SÍ";"NO"))</f>
        <v/>
      </c>
      <c r="O305" s="14">
        <f>SI(O(I305="";K305="");"";SI(K305&lt;=SI(M305&lt;&gt;"";M305;I305);"SÍ";"NO"))</f>
        <v/>
      </c>
      <c r="P305" s="14">
        <f>SI(O(N305="";O305="");"";SI(Y(N305="SÍ";O305="SÍ");"SÍ";"NO"))</f>
        <v/>
      </c>
      <c r="Q305" s="16">
        <f>SI(O(I305="";K305="");"";MAX(0;ENTERO(K305)-ENTERO(SI(M305&lt;&gt;"";M305;I305))))</f>
        <v/>
      </c>
      <c r="R305" s="14" t="n"/>
      <c r="S305" s="14" t="n"/>
      <c r="T305" s="15" t="n"/>
      <c r="U305" s="14" t="n">
        <v>32</v>
      </c>
      <c r="V305" s="14" t="n"/>
    </row>
    <row r="306">
      <c r="A306" s="11" t="n">
        <v>8646</v>
      </c>
      <c r="B306" s="11" t="inlineStr">
        <is>
          <t>PORE</t>
        </is>
      </c>
      <c r="C306" s="11" t="inlineStr">
        <is>
          <t>Pore</t>
        </is>
      </c>
      <c r="D306" s="11" t="inlineStr">
        <is>
          <t>Casanare</t>
        </is>
      </c>
      <c r="E306" s="11" t="inlineStr">
        <is>
          <t>ORIENTE</t>
        </is>
      </c>
      <c r="F306" s="11" t="inlineStr">
        <is>
          <t>Juan Sebastian Lopez Acevedo</t>
        </is>
      </c>
      <c r="G306" s="11" t="inlineStr">
        <is>
          <t>2</t>
        </is>
      </c>
      <c r="H306" s="12" t="n">
        <v>46282</v>
      </c>
      <c r="I306" s="12" t="n">
        <v>46283</v>
      </c>
      <c r="J306" s="12" t="n"/>
      <c r="K306" s="12" t="n"/>
      <c r="L306" s="11" t="inlineStr">
        <is>
          <t>Programada</t>
        </is>
      </c>
      <c r="M306" s="12" t="n"/>
      <c r="N306" s="11">
        <f>SI(O(H306="";J306="");"";SI(J306&lt;=H306;"SÍ";"NO"))</f>
        <v/>
      </c>
      <c r="O306" s="11">
        <f>SI(O(I306="";K306="");"";SI(K306&lt;=SI(M306&lt;&gt;"";M306;I306);"SÍ";"NO"))</f>
        <v/>
      </c>
      <c r="P306" s="11">
        <f>SI(O(N306="";O306="");"";SI(Y(N306="SÍ";O306="SÍ");"SÍ";"NO"))</f>
        <v/>
      </c>
      <c r="Q306" s="13">
        <f>SI(O(I306="";K306="");"";MAX(0;ENTERO(K306)-ENTERO(SI(M306&lt;&gt;"";M306;I306))))</f>
        <v/>
      </c>
      <c r="R306" s="11" t="n"/>
      <c r="S306" s="11" t="n"/>
      <c r="T306" s="12" t="n"/>
      <c r="U306" s="11" t="n">
        <v>18</v>
      </c>
      <c r="V306" s="11" t="n"/>
    </row>
    <row r="307">
      <c r="A307" s="14" t="n">
        <v>910</v>
      </c>
      <c r="B307" s="14" t="inlineStr">
        <is>
          <t>FUNZA</t>
        </is>
      </c>
      <c r="C307" s="14" t="inlineStr">
        <is>
          <t>Funza</t>
        </is>
      </c>
      <c r="D307" s="14" t="inlineStr">
        <is>
          <t>Cundinamarca</t>
        </is>
      </c>
      <c r="E307" s="14" t="inlineStr">
        <is>
          <t>BOGOTA</t>
        </is>
      </c>
      <c r="F307" s="14" t="inlineStr">
        <is>
          <t>Jhonatan Felipe Hernandez Gamboa</t>
        </is>
      </c>
      <c r="G307" s="14" t="inlineStr">
        <is>
          <t>4</t>
        </is>
      </c>
      <c r="H307" s="15" t="n">
        <v>46283</v>
      </c>
      <c r="I307" s="15" t="n">
        <v>46283</v>
      </c>
      <c r="J307" s="15" t="n"/>
      <c r="K307" s="15" t="n"/>
      <c r="L307" s="14" t="inlineStr">
        <is>
          <t>Programada</t>
        </is>
      </c>
      <c r="M307" s="15" t="n"/>
      <c r="N307" s="14">
        <f>SI(O(H307="";J307="");"";SI(J307&lt;=H307;"SÍ";"NO"))</f>
        <v/>
      </c>
      <c r="O307" s="14">
        <f>SI(O(I307="";K307="");"";SI(K307&lt;=SI(M307&lt;&gt;"";M307;I307);"SÍ";"NO"))</f>
        <v/>
      </c>
      <c r="P307" s="14">
        <f>SI(O(N307="";O307="");"";SI(Y(N307="SÍ";O307="SÍ");"SÍ";"NO"))</f>
        <v/>
      </c>
      <c r="Q307" s="16">
        <f>SI(O(I307="";K307="");"";MAX(0;ENTERO(K307)-ENTERO(SI(M307&lt;&gt;"";M307;I307))))</f>
        <v/>
      </c>
      <c r="R307" s="14" t="n"/>
      <c r="S307" s="14" t="n"/>
      <c r="T307" s="15" t="n"/>
      <c r="U307" s="14" t="n">
        <v>27</v>
      </c>
      <c r="V307" s="14" t="n"/>
    </row>
    <row r="308">
      <c r="A308" s="11" t="n">
        <v>1348</v>
      </c>
      <c r="B308" s="11" t="inlineStr">
        <is>
          <t>EL RETIRO</t>
        </is>
      </c>
      <c r="C308" s="11" t="inlineStr">
        <is>
          <t>Retiro</t>
        </is>
      </c>
      <c r="D308" s="11" t="inlineStr">
        <is>
          <t>Antioquia</t>
        </is>
      </c>
      <c r="E308" s="11" t="inlineStr">
        <is>
          <t>ANTIOQUIA</t>
        </is>
      </c>
      <c r="F308" s="11" t="inlineStr">
        <is>
          <t>Juan Pablo Osorio Ramirez</t>
        </is>
      </c>
      <c r="G308" s="11" t="inlineStr">
        <is>
          <t>1</t>
        </is>
      </c>
      <c r="H308" s="12" t="n">
        <v>46283</v>
      </c>
      <c r="I308" s="12" t="n">
        <v>46283</v>
      </c>
      <c r="J308" s="12" t="n"/>
      <c r="K308" s="12" t="n"/>
      <c r="L308" s="11" t="inlineStr">
        <is>
          <t>Programada</t>
        </is>
      </c>
      <c r="M308" s="12" t="n"/>
      <c r="N308" s="11">
        <f>SI(O(H308="";J308="");"";SI(J308&lt;=H308;"SÍ";"NO"))</f>
        <v/>
      </c>
      <c r="O308" s="11">
        <f>SI(O(I308="";K308="");"";SI(K308&lt;=SI(M308&lt;&gt;"";M308;I308);"SÍ";"NO"))</f>
        <v/>
      </c>
      <c r="P308" s="11">
        <f>SI(O(N308="";O308="");"";SI(Y(N308="SÍ";O308="SÍ");"SÍ";"NO"))</f>
        <v/>
      </c>
      <c r="Q308" s="13">
        <f>SI(O(I308="";K308="");"";MAX(0;ENTERO(K308)-ENTERO(SI(M308&lt;&gt;"";M308;I308))))</f>
        <v/>
      </c>
      <c r="R308" s="11" t="n"/>
      <c r="S308" s="11" t="n"/>
      <c r="T308" s="12" t="n"/>
      <c r="U308" s="11" t="n">
        <v>16</v>
      </c>
      <c r="V308" s="11" t="n"/>
    </row>
    <row r="309">
      <c r="A309" s="14" t="n">
        <v>1362</v>
      </c>
      <c r="B309" s="14" t="inlineStr">
        <is>
          <t>CAÑASGORDAS</t>
        </is>
      </c>
      <c r="C309" s="14" t="inlineStr">
        <is>
          <t>Cañasgordas</t>
        </is>
      </c>
      <c r="D309" s="14" t="inlineStr">
        <is>
          <t>Antioquia</t>
        </is>
      </c>
      <c r="E309" s="14" t="inlineStr">
        <is>
          <t>ANTIOQUIA</t>
        </is>
      </c>
      <c r="F309" s="14" t="inlineStr">
        <is>
          <t>Ever Enrique Esquivel Movilla</t>
        </is>
      </c>
      <c r="G309" s="14" t="inlineStr">
        <is>
          <t>3</t>
        </is>
      </c>
      <c r="H309" s="15" t="n">
        <v>46283</v>
      </c>
      <c r="I309" s="15" t="n">
        <v>46283</v>
      </c>
      <c r="J309" s="15" t="n"/>
      <c r="K309" s="15" t="n"/>
      <c r="L309" s="14" t="inlineStr">
        <is>
          <t>Programada</t>
        </is>
      </c>
      <c r="M309" s="15" t="n"/>
      <c r="N309" s="14">
        <f>SI(O(H309="";J309="");"";SI(J309&lt;=H309;"SÍ";"NO"))</f>
        <v/>
      </c>
      <c r="O309" s="14">
        <f>SI(O(I309="";K309="");"";SI(K309&lt;=SI(M309&lt;&gt;"";M309;I309);"SÍ";"NO"))</f>
        <v/>
      </c>
      <c r="P309" s="14">
        <f>SI(O(N309="";O309="");"";SI(Y(N309="SÍ";O309="SÍ");"SÍ";"NO"))</f>
        <v/>
      </c>
      <c r="Q309" s="16">
        <f>SI(O(I309="";K309="");"";MAX(0;ENTERO(K309)-ENTERO(SI(M309&lt;&gt;"";M309;I309))))</f>
        <v/>
      </c>
      <c r="R309" s="14" t="n"/>
      <c r="S309" s="14" t="n"/>
      <c r="T309" s="15" t="n"/>
      <c r="U309" s="14" t="n">
        <v>23</v>
      </c>
      <c r="V309" s="14" t="n"/>
    </row>
    <row r="310">
      <c r="A310" s="11" t="n">
        <v>1379</v>
      </c>
      <c r="B310" s="11" t="inlineStr">
        <is>
          <t>GUARNE</t>
        </is>
      </c>
      <c r="C310" s="11" t="inlineStr">
        <is>
          <t>Guarne</t>
        </is>
      </c>
      <c r="D310" s="11" t="inlineStr">
        <is>
          <t>Antioquia</t>
        </is>
      </c>
      <c r="E310" s="11" t="inlineStr">
        <is>
          <t>ANTIOQUIA</t>
        </is>
      </c>
      <c r="F310" s="11" t="inlineStr">
        <is>
          <t>Juan Pablo Osorio Ramirez</t>
        </is>
      </c>
      <c r="G310" s="11" t="inlineStr">
        <is>
          <t>3</t>
        </is>
      </c>
      <c r="H310" s="12" t="n">
        <v>46283</v>
      </c>
      <c r="I310" s="12" t="n">
        <v>46283</v>
      </c>
      <c r="J310" s="12" t="n"/>
      <c r="K310" s="12" t="n"/>
      <c r="L310" s="11" t="inlineStr">
        <is>
          <t>Programada</t>
        </is>
      </c>
      <c r="M310" s="12" t="n"/>
      <c r="N310" s="11">
        <f>SI(O(H310="";J310="");"";SI(J310&lt;=H310;"SÍ";"NO"))</f>
        <v/>
      </c>
      <c r="O310" s="11">
        <f>SI(O(I310="";K310="");"";SI(K310&lt;=SI(M310&lt;&gt;"";M310;I310);"SÍ";"NO"))</f>
        <v/>
      </c>
      <c r="P310" s="11">
        <f>SI(O(N310="";O310="");"";SI(Y(N310="SÍ";O310="SÍ");"SÍ";"NO"))</f>
        <v/>
      </c>
      <c r="Q310" s="13">
        <f>SI(O(I310="";K310="");"";MAX(0;ENTERO(K310)-ENTERO(SI(M310&lt;&gt;"";M310;I310))))</f>
        <v/>
      </c>
      <c r="R310" s="11" t="n"/>
      <c r="S310" s="11" t="n"/>
      <c r="T310" s="12" t="n"/>
      <c r="U310" s="11" t="n">
        <v>20</v>
      </c>
      <c r="V310" s="11" t="n"/>
    </row>
    <row r="311">
      <c r="A311" s="14" t="n">
        <v>1572</v>
      </c>
      <c r="B311" s="14" t="inlineStr">
        <is>
          <t>SANTANA</t>
        </is>
      </c>
      <c r="C311" s="14" t="inlineStr">
        <is>
          <t>Santana</t>
        </is>
      </c>
      <c r="D311" s="14" t="inlineStr">
        <is>
          <t>Boyacá</t>
        </is>
      </c>
      <c r="E311" s="14" t="inlineStr">
        <is>
          <t>ORIENTE</t>
        </is>
      </c>
      <c r="F311" s="14" t="inlineStr">
        <is>
          <t>Andrés Felipe Carvajal Pire</t>
        </is>
      </c>
      <c r="G311" s="14" t="inlineStr">
        <is>
          <t>3</t>
        </is>
      </c>
      <c r="H311" s="15" t="n">
        <v>46283</v>
      </c>
      <c r="I311" s="15" t="n">
        <v>46283</v>
      </c>
      <c r="J311" s="15" t="n"/>
      <c r="K311" s="15" t="n"/>
      <c r="L311" s="14" t="inlineStr">
        <is>
          <t>Programada</t>
        </is>
      </c>
      <c r="M311" s="15" t="n"/>
      <c r="N311" s="14">
        <f>SI(O(H311="";J311="");"";SI(J311&lt;=H311;"SÍ";"NO"))</f>
        <v/>
      </c>
      <c r="O311" s="14">
        <f>SI(O(I311="";K311="");"";SI(K311&lt;=SI(M311&lt;&gt;"";M311;I311);"SÍ";"NO"))</f>
        <v/>
      </c>
      <c r="P311" s="14">
        <f>SI(O(N311="";O311="");"";SI(Y(N311="SÍ";O311="SÍ");"SÍ";"NO"))</f>
        <v/>
      </c>
      <c r="Q311" s="16">
        <f>SI(O(I311="";K311="");"";MAX(0;ENTERO(K311)-ENTERO(SI(M311&lt;&gt;"";M311;I311))))</f>
        <v/>
      </c>
      <c r="R311" s="14" t="n"/>
      <c r="S311" s="14" t="n"/>
      <c r="T311" s="15" t="n"/>
      <c r="U311" s="14" t="n">
        <v>19</v>
      </c>
      <c r="V311" s="14" t="n"/>
    </row>
    <row r="312">
      <c r="A312" s="11" t="n">
        <v>1575</v>
      </c>
      <c r="B312" s="11" t="inlineStr">
        <is>
          <t>SATIVANORTE</t>
        </is>
      </c>
      <c r="C312" s="11" t="inlineStr">
        <is>
          <t>Sativanorte</t>
        </is>
      </c>
      <c r="D312" s="11" t="inlineStr">
        <is>
          <t>Boyacá</t>
        </is>
      </c>
      <c r="E312" s="11" t="inlineStr">
        <is>
          <t>ORIENTE</t>
        </is>
      </c>
      <c r="F312" s="11" t="inlineStr">
        <is>
          <t>Mauricio Andrés Rivera Páez</t>
        </is>
      </c>
      <c r="G312" s="11" t="inlineStr">
        <is>
          <t>1</t>
        </is>
      </c>
      <c r="H312" s="12" t="n">
        <v>46283</v>
      </c>
      <c r="I312" s="12" t="n">
        <v>46283</v>
      </c>
      <c r="J312" s="12" t="n"/>
      <c r="K312" s="12" t="n"/>
      <c r="L312" s="11" t="inlineStr">
        <is>
          <t>Programada</t>
        </is>
      </c>
      <c r="M312" s="12" t="n"/>
      <c r="N312" s="11">
        <f>SI(O(H312="";J312="");"";SI(J312&lt;=H312;"SÍ";"NO"))</f>
        <v/>
      </c>
      <c r="O312" s="11">
        <f>SI(O(I312="";K312="");"";SI(K312&lt;=SI(M312&lt;&gt;"";M312;I312);"SÍ";"NO"))</f>
        <v/>
      </c>
      <c r="P312" s="11">
        <f>SI(O(N312="";O312="");"";SI(Y(N312="SÍ";O312="SÍ");"SÍ";"NO"))</f>
        <v/>
      </c>
      <c r="Q312" s="13">
        <f>SI(O(I312="";K312="");"";MAX(0;ENTERO(K312)-ENTERO(SI(M312&lt;&gt;"";M312;I312))))</f>
        <v/>
      </c>
      <c r="R312" s="11" t="n"/>
      <c r="S312" s="11" t="n"/>
      <c r="T312" s="12" t="n"/>
      <c r="U312" s="11" t="n">
        <v>13</v>
      </c>
      <c r="V312" s="11" t="n"/>
    </row>
    <row r="313">
      <c r="A313" s="14" t="n">
        <v>1588</v>
      </c>
      <c r="B313" s="14" t="inlineStr">
        <is>
          <t>TOGUI</t>
        </is>
      </c>
      <c r="C313" s="14" t="inlineStr">
        <is>
          <t>Togüí</t>
        </is>
      </c>
      <c r="D313" s="14" t="inlineStr">
        <is>
          <t>Boyacá</t>
        </is>
      </c>
      <c r="E313" s="14" t="inlineStr">
        <is>
          <t>ORIENTE</t>
        </is>
      </c>
      <c r="F313" s="14" t="inlineStr">
        <is>
          <t>Luz Nélida Barragán Toro</t>
        </is>
      </c>
      <c r="G313" s="14" t="inlineStr">
        <is>
          <t>1</t>
        </is>
      </c>
      <c r="H313" s="15" t="n">
        <v>46283</v>
      </c>
      <c r="I313" s="15" t="n">
        <v>46283</v>
      </c>
      <c r="J313" s="15" t="n"/>
      <c r="K313" s="15" t="n"/>
      <c r="L313" s="14" t="inlineStr">
        <is>
          <t>Programada</t>
        </is>
      </c>
      <c r="M313" s="15" t="n"/>
      <c r="N313" s="14">
        <f>SI(O(H313="";J313="");"";SI(J313&lt;=H313;"SÍ";"NO"))</f>
        <v/>
      </c>
      <c r="O313" s="14">
        <f>SI(O(I313="";K313="");"";SI(K313&lt;=SI(M313&lt;&gt;"";M313;I313);"SÍ";"NO"))</f>
        <v/>
      </c>
      <c r="P313" s="14">
        <f>SI(O(N313="";O313="");"";SI(Y(N313="SÍ";O313="SÍ");"SÍ";"NO"))</f>
        <v/>
      </c>
      <c r="Q313" s="16">
        <f>SI(O(I313="";K313="");"";MAX(0;ENTERO(K313)-ENTERO(SI(M313&lt;&gt;"";M313;I313))))</f>
        <v/>
      </c>
      <c r="R313" s="14" t="n"/>
      <c r="S313" s="14" t="n"/>
      <c r="T313" s="15" t="n"/>
      <c r="U313" s="14" t="n">
        <v>13</v>
      </c>
      <c r="V313" s="14" t="n"/>
    </row>
    <row r="314">
      <c r="A314" s="11" t="n">
        <v>2442</v>
      </c>
      <c r="B314" s="11" t="inlineStr">
        <is>
          <t>LA JAGUA DE IBIRICO</t>
        </is>
      </c>
      <c r="C314" s="11" t="inlineStr">
        <is>
          <t>La Jagua De Ibirico</t>
        </is>
      </c>
      <c r="D314" s="11" t="inlineStr">
        <is>
          <t>Cesar</t>
        </is>
      </c>
      <c r="E314" s="11" t="inlineStr">
        <is>
          <t>COSTA</t>
        </is>
      </c>
      <c r="F314" s="11" t="inlineStr">
        <is>
          <t>Eliana Julieth Castellanos Diaz</t>
        </is>
      </c>
      <c r="G314" s="11" t="inlineStr">
        <is>
          <t>2</t>
        </is>
      </c>
      <c r="H314" s="12" t="n">
        <v>46283</v>
      </c>
      <c r="I314" s="12" t="n">
        <v>46283</v>
      </c>
      <c r="J314" s="12" t="n"/>
      <c r="K314" s="12" t="n"/>
      <c r="L314" s="11" t="inlineStr">
        <is>
          <t>Programada</t>
        </is>
      </c>
      <c r="M314" s="12" t="n"/>
      <c r="N314" s="11">
        <f>SI(O(H314="";J314="");"";SI(J314&lt;=H314;"SÍ";"NO"))</f>
        <v/>
      </c>
      <c r="O314" s="11">
        <f>SI(O(I314="";K314="");"";SI(K314&lt;=SI(M314&lt;&gt;"";M314;I314);"SÍ";"NO"))</f>
        <v/>
      </c>
      <c r="P314" s="11">
        <f>SI(O(N314="";O314="");"";SI(Y(N314="SÍ";O314="SÍ");"SÍ";"NO"))</f>
        <v/>
      </c>
      <c r="Q314" s="13">
        <f>SI(O(I314="";K314="");"";MAX(0;ENTERO(K314)-ENTERO(SI(M314&lt;&gt;"";M314;I314))))</f>
        <v/>
      </c>
      <c r="R314" s="11" t="n"/>
      <c r="S314" s="11" t="n"/>
      <c r="T314" s="12" t="n"/>
      <c r="U314" s="11" t="n">
        <v>26</v>
      </c>
      <c r="V314" s="11" t="n"/>
    </row>
    <row r="315">
      <c r="A315" s="14" t="n">
        <v>2460</v>
      </c>
      <c r="B315" s="14" t="inlineStr">
        <is>
          <t>PELAYA</t>
        </is>
      </c>
      <c r="C315" s="14" t="inlineStr">
        <is>
          <t>Pelaya</t>
        </is>
      </c>
      <c r="D315" s="14" t="inlineStr">
        <is>
          <t>Cesar</t>
        </is>
      </c>
      <c r="E315" s="14" t="inlineStr">
        <is>
          <t>COSTA</t>
        </is>
      </c>
      <c r="F315" s="14" t="inlineStr">
        <is>
          <t>Jerson Julian Portillo Anteliz</t>
        </is>
      </c>
      <c r="G315" s="14" t="inlineStr">
        <is>
          <t>2</t>
        </is>
      </c>
      <c r="H315" s="15" t="n">
        <v>46283</v>
      </c>
      <c r="I315" s="15" t="n">
        <v>46283</v>
      </c>
      <c r="J315" s="15" t="n"/>
      <c r="K315" s="15" t="n"/>
      <c r="L315" s="14" t="inlineStr">
        <is>
          <t>Programada</t>
        </is>
      </c>
      <c r="M315" s="15" t="n"/>
      <c r="N315" s="14">
        <f>SI(O(H315="";J315="");"";SI(J315&lt;=H315;"SÍ";"NO"))</f>
        <v/>
      </c>
      <c r="O315" s="14">
        <f>SI(O(I315="";K315="");"";SI(K315&lt;=SI(M315&lt;&gt;"";M315;I315);"SÍ";"NO"))</f>
        <v/>
      </c>
      <c r="P315" s="14">
        <f>SI(O(N315="";O315="");"";SI(Y(N315="SÍ";O315="SÍ");"SÍ";"NO"))</f>
        <v/>
      </c>
      <c r="Q315" s="16">
        <f>SI(O(I315="";K315="");"";MAX(0;ENTERO(K315)-ENTERO(SI(M315&lt;&gt;"";M315;I315))))</f>
        <v/>
      </c>
      <c r="R315" s="14" t="n"/>
      <c r="S315" s="14" t="n"/>
      <c r="T315" s="15" t="n"/>
      <c r="U315" s="14" t="n">
        <v>23</v>
      </c>
      <c r="V315" s="14" t="n"/>
    </row>
    <row r="316">
      <c r="A316" s="11" t="n">
        <v>2465</v>
      </c>
      <c r="B316" s="11" t="inlineStr">
        <is>
          <t>RIO DE ORO</t>
        </is>
      </c>
      <c r="C316" s="11" t="inlineStr">
        <is>
          <t>Río De Oro</t>
        </is>
      </c>
      <c r="D316" s="11" t="inlineStr">
        <is>
          <t>Cesar</t>
        </is>
      </c>
      <c r="E316" s="11" t="inlineStr">
        <is>
          <t>SANTANDERES</t>
        </is>
      </c>
      <c r="F316" s="11" t="inlineStr">
        <is>
          <t>Yojan Alexis Pava Duarte</t>
        </is>
      </c>
      <c r="G316" s="11" t="inlineStr">
        <is>
          <t>2</t>
        </is>
      </c>
      <c r="H316" s="12" t="n">
        <v>46283</v>
      </c>
      <c r="I316" s="12" t="n">
        <v>46283</v>
      </c>
      <c r="J316" s="12" t="n"/>
      <c r="K316" s="12" t="n"/>
      <c r="L316" s="11" t="inlineStr">
        <is>
          <t>Programada</t>
        </is>
      </c>
      <c r="M316" s="12" t="n"/>
      <c r="N316" s="11">
        <f>SI(O(H316="";J316="");"";SI(J316&lt;=H316;"SÍ";"NO"))</f>
        <v/>
      </c>
      <c r="O316" s="11">
        <f>SI(O(I316="";K316="");"";SI(K316&lt;=SI(M316&lt;&gt;"";M316;I316);"SÍ";"NO"))</f>
        <v/>
      </c>
      <c r="P316" s="11">
        <f>SI(O(N316="";O316="");"";SI(Y(N316="SÍ";O316="SÍ");"SÍ";"NO"))</f>
        <v/>
      </c>
      <c r="Q316" s="13">
        <f>SI(O(I316="";K316="");"";MAX(0;ENTERO(K316)-ENTERO(SI(M316&lt;&gt;"";M316;I316))))</f>
        <v/>
      </c>
      <c r="R316" s="11" t="n"/>
      <c r="S316" s="11" t="n"/>
      <c r="T316" s="12" t="n"/>
      <c r="U316" s="11" t="n">
        <v>17</v>
      </c>
      <c r="V316" s="11" t="n"/>
    </row>
    <row r="317">
      <c r="A317" s="14" t="n">
        <v>2786</v>
      </c>
      <c r="B317" s="14" t="inlineStr">
        <is>
          <t>VALENCIA</t>
        </is>
      </c>
      <c r="C317" s="14" t="inlineStr">
        <is>
          <t>Valencia</t>
        </is>
      </c>
      <c r="D317" s="14" t="inlineStr">
        <is>
          <t>Córdoba</t>
        </is>
      </c>
      <c r="E317" s="14" t="inlineStr">
        <is>
          <t>COSTA</t>
        </is>
      </c>
      <c r="F317" s="14" t="inlineStr">
        <is>
          <t>Jhon Jairo Vergara Pelaez</t>
        </is>
      </c>
      <c r="G317" s="14" t="inlineStr">
        <is>
          <t>2</t>
        </is>
      </c>
      <c r="H317" s="15" t="n">
        <v>46283</v>
      </c>
      <c r="I317" s="15" t="n">
        <v>46283</v>
      </c>
      <c r="J317" s="15" t="n"/>
      <c r="K317" s="15" t="n"/>
      <c r="L317" s="14" t="inlineStr">
        <is>
          <t>Programada</t>
        </is>
      </c>
      <c r="M317" s="15" t="n"/>
      <c r="N317" s="14">
        <f>SI(O(H317="";J317="");"";SI(J317&lt;=H317;"SÍ";"NO"))</f>
        <v/>
      </c>
      <c r="O317" s="14">
        <f>SI(O(I317="";K317="");"";SI(K317&lt;=SI(M317&lt;&gt;"";M317;I317);"SÍ";"NO"))</f>
        <v/>
      </c>
      <c r="P317" s="14">
        <f>SI(O(N317="";O317="");"";SI(Y(N317="SÍ";O317="SÍ");"SÍ";"NO"))</f>
        <v/>
      </c>
      <c r="Q317" s="16">
        <f>SI(O(I317="";K317="");"";MAX(0;ENTERO(K317)-ENTERO(SI(M317&lt;&gt;"";M317;I317))))</f>
        <v/>
      </c>
      <c r="R317" s="14" t="n"/>
      <c r="S317" s="14" t="n"/>
      <c r="T317" s="15" t="n"/>
      <c r="U317" s="14" t="n">
        <v>17</v>
      </c>
      <c r="V317" s="14" t="n"/>
    </row>
    <row r="318">
      <c r="A318" s="11" t="n">
        <v>3114</v>
      </c>
      <c r="B318" s="11" t="inlineStr">
        <is>
          <t>CAQUEZA</t>
        </is>
      </c>
      <c r="C318" s="11" t="inlineStr">
        <is>
          <t>Caqueza</t>
        </is>
      </c>
      <c r="D318" s="11" t="inlineStr">
        <is>
          <t>Cundinamarca</t>
        </is>
      </c>
      <c r="E318" s="11" t="inlineStr">
        <is>
          <t>BOGOTA</t>
        </is>
      </c>
      <c r="F318" s="11" t="inlineStr">
        <is>
          <t>Nelson Leonardo Paez Suarez</t>
        </is>
      </c>
      <c r="G318" s="11" t="inlineStr">
        <is>
          <t>3</t>
        </is>
      </c>
      <c r="H318" s="12" t="n">
        <v>46283</v>
      </c>
      <c r="I318" s="12" t="n">
        <v>46283</v>
      </c>
      <c r="J318" s="12" t="n"/>
      <c r="K318" s="12" t="n"/>
      <c r="L318" s="11" t="inlineStr">
        <is>
          <t>Programada</t>
        </is>
      </c>
      <c r="M318" s="12" t="n"/>
      <c r="N318" s="11">
        <f>SI(O(H318="";J318="");"";SI(J318&lt;=H318;"SÍ";"NO"))</f>
        <v/>
      </c>
      <c r="O318" s="11">
        <f>SI(O(I318="";K318="");"";SI(K318&lt;=SI(M318&lt;&gt;"";M318;I318);"SÍ";"NO"))</f>
        <v/>
      </c>
      <c r="P318" s="11">
        <f>SI(O(N318="";O318="");"";SI(Y(N318="SÍ";O318="SÍ");"SÍ";"NO"))</f>
        <v/>
      </c>
      <c r="Q318" s="13">
        <f>SI(O(I318="";K318="");"";MAX(0;ENTERO(K318)-ENTERO(SI(M318&lt;&gt;"";M318;I318))))</f>
        <v/>
      </c>
      <c r="R318" s="11" t="n"/>
      <c r="S318" s="11" t="n"/>
      <c r="T318" s="12" t="n"/>
      <c r="U318" s="11" t="n">
        <v>23</v>
      </c>
      <c r="V318" s="11" t="n"/>
    </row>
    <row r="319">
      <c r="A319" s="14" t="n">
        <v>3136</v>
      </c>
      <c r="B319" s="14" t="inlineStr">
        <is>
          <t>GUASCA</t>
        </is>
      </c>
      <c r="C319" s="14" t="inlineStr">
        <is>
          <t>Guasca</t>
        </is>
      </c>
      <c r="D319" s="14" t="inlineStr">
        <is>
          <t>Cundinamarca</t>
        </is>
      </c>
      <c r="E319" s="14" t="inlineStr">
        <is>
          <t>BOGOTA</t>
        </is>
      </c>
      <c r="F319" s="14" t="inlineStr">
        <is>
          <t>Carlos Andres Cuchivaguen Diaz</t>
        </is>
      </c>
      <c r="G319" s="14" t="inlineStr">
        <is>
          <t>2</t>
        </is>
      </c>
      <c r="H319" s="15" t="n">
        <v>46283</v>
      </c>
      <c r="I319" s="15" t="n">
        <v>46283</v>
      </c>
      <c r="J319" s="15" t="n"/>
      <c r="K319" s="15" t="n"/>
      <c r="L319" s="14" t="inlineStr">
        <is>
          <t>Programada</t>
        </is>
      </c>
      <c r="M319" s="15" t="n"/>
      <c r="N319" s="14">
        <f>SI(O(H319="";J319="");"";SI(J319&lt;=H319;"SÍ";"NO"))</f>
        <v/>
      </c>
      <c r="O319" s="14">
        <f>SI(O(I319="";K319="");"";SI(K319&lt;=SI(M319&lt;&gt;"";M319;I319);"SÍ";"NO"))</f>
        <v/>
      </c>
      <c r="P319" s="14">
        <f>SI(O(N319="";O319="");"";SI(Y(N319="SÍ";O319="SÍ");"SÍ";"NO"))</f>
        <v/>
      </c>
      <c r="Q319" s="16">
        <f>SI(O(I319="";K319="");"";MAX(0;ENTERO(K319)-ENTERO(SI(M319&lt;&gt;"";M319;I319))))</f>
        <v/>
      </c>
      <c r="R319" s="14" t="n"/>
      <c r="S319" s="14" t="n"/>
      <c r="T319" s="15" t="n"/>
      <c r="U319" s="14" t="n">
        <v>18</v>
      </c>
      <c r="V319" s="14" t="n"/>
    </row>
    <row r="320">
      <c r="A320" s="11" t="n">
        <v>3160</v>
      </c>
      <c r="B320" s="11" t="inlineStr">
        <is>
          <t>SUESCA</t>
        </is>
      </c>
      <c r="C320" s="11" t="inlineStr">
        <is>
          <t>Suesca</t>
        </is>
      </c>
      <c r="D320" s="11" t="inlineStr">
        <is>
          <t>Cundinamarca</t>
        </is>
      </c>
      <c r="E320" s="11" t="inlineStr">
        <is>
          <t>BOGOTA</t>
        </is>
      </c>
      <c r="F320" s="11" t="inlineStr">
        <is>
          <t>Edwin Santiago Cuchivaguen Diaz</t>
        </is>
      </c>
      <c r="G320" s="11" t="inlineStr">
        <is>
          <t>2</t>
        </is>
      </c>
      <c r="H320" s="12" t="n">
        <v>46283</v>
      </c>
      <c r="I320" s="12" t="n">
        <v>46283</v>
      </c>
      <c r="J320" s="12" t="n"/>
      <c r="K320" s="12" t="n"/>
      <c r="L320" s="11" t="inlineStr">
        <is>
          <t>Programada</t>
        </is>
      </c>
      <c r="M320" s="12" t="n"/>
      <c r="N320" s="11">
        <f>SI(O(H320="";J320="");"";SI(J320&lt;=H320;"SÍ";"NO"))</f>
        <v/>
      </c>
      <c r="O320" s="11">
        <f>SI(O(I320="";K320="");"";SI(K320&lt;=SI(M320&lt;&gt;"";M320;I320);"SÍ";"NO"))</f>
        <v/>
      </c>
      <c r="P320" s="11">
        <f>SI(O(N320="";O320="");"";SI(Y(N320="SÍ";O320="SÍ");"SÍ";"NO"))</f>
        <v/>
      </c>
      <c r="Q320" s="13">
        <f>SI(O(I320="";K320="");"";MAX(0;ENTERO(K320)-ENTERO(SI(M320&lt;&gt;"";M320;I320))))</f>
        <v/>
      </c>
      <c r="R320" s="11" t="n"/>
      <c r="S320" s="11" t="n"/>
      <c r="T320" s="12" t="n"/>
      <c r="U320" s="11" t="n">
        <v>20</v>
      </c>
      <c r="V320" s="11" t="n"/>
    </row>
    <row r="321">
      <c r="A321" s="14" t="n">
        <v>3970</v>
      </c>
      <c r="B321" s="14" t="inlineStr">
        <is>
          <t>TESALIA</t>
        </is>
      </c>
      <c r="C321" s="14" t="inlineStr">
        <is>
          <t>Tesalia</t>
        </is>
      </c>
      <c r="D321" s="14" t="inlineStr">
        <is>
          <t>Huila</t>
        </is>
      </c>
      <c r="E321" s="14" t="inlineStr">
        <is>
          <t>SUR</t>
        </is>
      </c>
      <c r="F321" s="14" t="inlineStr">
        <is>
          <t>ERIKA VARGAS</t>
        </is>
      </c>
      <c r="G321" s="14" t="inlineStr">
        <is>
          <t>2</t>
        </is>
      </c>
      <c r="H321" s="15" t="n">
        <v>46283</v>
      </c>
      <c r="I321" s="15" t="n">
        <v>46283</v>
      </c>
      <c r="J321" s="15" t="n"/>
      <c r="K321" s="15" t="n"/>
      <c r="L321" s="14" t="inlineStr">
        <is>
          <t>Programada</t>
        </is>
      </c>
      <c r="M321" s="15" t="n"/>
      <c r="N321" s="14">
        <f>SI(O(H321="";J321="");"";SI(J321&lt;=H321;"SÍ";"NO"))</f>
        <v/>
      </c>
      <c r="O321" s="14">
        <f>SI(O(I321="";K321="");"";SI(K321&lt;=SI(M321&lt;&gt;"";M321;I321);"SÍ";"NO"))</f>
        <v/>
      </c>
      <c r="P321" s="14">
        <f>SI(O(N321="";O321="");"";SI(Y(N321="SÍ";O321="SÍ");"SÍ";"NO"))</f>
        <v/>
      </c>
      <c r="Q321" s="16">
        <f>SI(O(I321="";K321="");"";MAX(0;ENTERO(K321)-ENTERO(SI(M321&lt;&gt;"";M321;I321))))</f>
        <v/>
      </c>
      <c r="R321" s="14" t="n"/>
      <c r="S321" s="14" t="n"/>
      <c r="T321" s="15" t="n"/>
      <c r="U321" s="14" t="n">
        <v>15</v>
      </c>
      <c r="V321" s="14" t="n"/>
    </row>
    <row r="322">
      <c r="A322" s="11" t="n">
        <v>4535</v>
      </c>
      <c r="B322" s="11" t="inlineStr">
        <is>
          <t>SAN MARTIN</t>
        </is>
      </c>
      <c r="C322" s="11" t="inlineStr">
        <is>
          <t>San Martín</t>
        </is>
      </c>
      <c r="D322" s="11" t="inlineStr">
        <is>
          <t>Meta</t>
        </is>
      </c>
      <c r="E322" s="11" t="inlineStr">
        <is>
          <t>BOGOTA</t>
        </is>
      </c>
      <c r="F322" s="11" t="inlineStr">
        <is>
          <t>Andres Felipe Balbin</t>
        </is>
      </c>
      <c r="G322" s="11" t="inlineStr">
        <is>
          <t>3</t>
        </is>
      </c>
      <c r="H322" s="12" t="n">
        <v>46283</v>
      </c>
      <c r="I322" s="12" t="n">
        <v>46283</v>
      </c>
      <c r="J322" s="12" t="n"/>
      <c r="K322" s="12" t="n"/>
      <c r="L322" s="11" t="inlineStr">
        <is>
          <t>Programada</t>
        </is>
      </c>
      <c r="M322" s="12" t="n"/>
      <c r="N322" s="11">
        <f>SI(O(H322="";J322="");"";SI(J322&lt;=H322;"SÍ";"NO"))</f>
        <v/>
      </c>
      <c r="O322" s="11">
        <f>SI(O(I322="";K322="");"";SI(K322&lt;=SI(M322&lt;&gt;"";M322;I322);"SÍ";"NO"))</f>
        <v/>
      </c>
      <c r="P322" s="11">
        <f>SI(O(N322="";O322="");"";SI(Y(N322="SÍ";O322="SÍ");"SÍ";"NO"))</f>
        <v/>
      </c>
      <c r="Q322" s="13">
        <f>SI(O(I322="";K322="");"";MAX(0;ENTERO(K322)-ENTERO(SI(M322&lt;&gt;"";M322;I322))))</f>
        <v/>
      </c>
      <c r="R322" s="11" t="n"/>
      <c r="S322" s="11" t="n"/>
      <c r="T322" s="12" t="n"/>
      <c r="U322" s="11" t="n">
        <v>27</v>
      </c>
      <c r="V322" s="11" t="n"/>
    </row>
    <row r="323">
      <c r="A323" s="14" t="n">
        <v>4820</v>
      </c>
      <c r="B323" s="14" t="inlineStr">
        <is>
          <t>PUERRES</t>
        </is>
      </c>
      <c r="C323" s="14" t="inlineStr">
        <is>
          <t>Puerres</t>
        </is>
      </c>
      <c r="D323" s="14" t="inlineStr">
        <is>
          <t>Nariño</t>
        </is>
      </c>
      <c r="E323" s="14" t="inlineStr">
        <is>
          <t>OCCIDENTE</t>
        </is>
      </c>
      <c r="F323" s="14" t="inlineStr">
        <is>
          <t>Juan Carlos Narvaez Acosta / Luis Fernando Ibarra Guio</t>
        </is>
      </c>
      <c r="G323" s="14" t="inlineStr">
        <is>
          <t>3</t>
        </is>
      </c>
      <c r="H323" s="15" t="n">
        <v>46283</v>
      </c>
      <c r="I323" s="15" t="n">
        <v>46283</v>
      </c>
      <c r="J323" s="15" t="n"/>
      <c r="K323" s="15" t="n"/>
      <c r="L323" s="14" t="inlineStr">
        <is>
          <t>Programada</t>
        </is>
      </c>
      <c r="M323" s="15" t="n"/>
      <c r="N323" s="14">
        <f>SI(O(H323="";J323="");"";SI(J323&lt;=H323;"SÍ";"NO"))</f>
        <v/>
      </c>
      <c r="O323" s="14">
        <f>SI(O(I323="";K323="");"";SI(K323&lt;=SI(M323&lt;&gt;"";M323;I323);"SÍ";"NO"))</f>
        <v/>
      </c>
      <c r="P323" s="14">
        <f>SI(O(N323="";O323="");"";SI(Y(N323="SÍ";O323="SÍ");"SÍ";"NO"))</f>
        <v/>
      </c>
      <c r="Q323" s="16">
        <f>SI(O(I323="";K323="");"";MAX(0;ENTERO(K323)-ENTERO(SI(M323&lt;&gt;"";M323;I323))))</f>
        <v/>
      </c>
      <c r="R323" s="14" t="n"/>
      <c r="S323" s="14" t="n"/>
      <c r="T323" s="15" t="n"/>
      <c r="U323" s="14" t="n">
        <v>22</v>
      </c>
      <c r="V323" s="14" t="n"/>
    </row>
    <row r="324">
      <c r="A324" s="11" t="n">
        <v>7960</v>
      </c>
      <c r="B324" s="11" t="inlineStr">
        <is>
          <t>PUERTO GUZMAN</t>
        </is>
      </c>
      <c r="C324" s="11" t="inlineStr">
        <is>
          <t>Puerto Guzmán</t>
        </is>
      </c>
      <c r="D324" s="11" t="inlineStr">
        <is>
          <t>Putumayo</t>
        </is>
      </c>
      <c r="E324" s="11" t="inlineStr">
        <is>
          <t>SUR</t>
        </is>
      </c>
      <c r="F324" s="11" t="inlineStr">
        <is>
          <t>HEIVER OVEYMAR BASTIDAS MAVISOY</t>
        </is>
      </c>
      <c r="G324" s="11" t="inlineStr">
        <is>
          <t>1</t>
        </is>
      </c>
      <c r="H324" s="12" t="n">
        <v>46283</v>
      </c>
      <c r="I324" s="12" t="n">
        <v>46283</v>
      </c>
      <c r="J324" s="12" t="n"/>
      <c r="K324" s="12" t="n"/>
      <c r="L324" s="11" t="inlineStr">
        <is>
          <t>Programada</t>
        </is>
      </c>
      <c r="M324" s="12" t="n"/>
      <c r="N324" s="11">
        <f>SI(O(H324="";J324="");"";SI(J324&lt;=H324;"SÍ";"NO"))</f>
        <v/>
      </c>
      <c r="O324" s="11">
        <f>SI(O(I324="";K324="");"";SI(K324&lt;=SI(M324&lt;&gt;"";M324;I324);"SÍ";"NO"))</f>
        <v/>
      </c>
      <c r="P324" s="11">
        <f>SI(O(N324="";O324="");"";SI(Y(N324="SÍ";O324="SÍ");"SÍ";"NO"))</f>
        <v/>
      </c>
      <c r="Q324" s="13">
        <f>SI(O(I324="";K324="");"";MAX(0;ENTERO(K324)-ENTERO(SI(M324&lt;&gt;"";M324;I324))))</f>
        <v/>
      </c>
      <c r="R324" s="11" t="n"/>
      <c r="S324" s="11" t="n"/>
      <c r="T324" s="12" t="n"/>
      <c r="U324" s="11" t="n">
        <v>19</v>
      </c>
      <c r="V324" s="11" t="n"/>
    </row>
    <row r="325">
      <c r="A325" s="14" t="n">
        <v>7930</v>
      </c>
      <c r="B325" s="14" t="inlineStr">
        <is>
          <t>PUERTO ASIS</t>
        </is>
      </c>
      <c r="C325" s="14" t="inlineStr">
        <is>
          <t>Puerto Asís</t>
        </is>
      </c>
      <c r="D325" s="14" t="inlineStr">
        <is>
          <t>Putumayo</t>
        </is>
      </c>
      <c r="E325" s="14" t="inlineStr">
        <is>
          <t>SUR</t>
        </is>
      </c>
      <c r="F325" s="14" t="inlineStr">
        <is>
          <t>JOSE ARTEAGA BRAVO</t>
        </is>
      </c>
      <c r="G325" s="14" t="inlineStr">
        <is>
          <t>6</t>
        </is>
      </c>
      <c r="H325" s="15" t="n">
        <v>46283</v>
      </c>
      <c r="I325" s="15" t="n">
        <v>46283</v>
      </c>
      <c r="J325" s="15" t="n"/>
      <c r="K325" s="15" t="n"/>
      <c r="L325" s="14" t="inlineStr">
        <is>
          <t>Programada</t>
        </is>
      </c>
      <c r="M325" s="15" t="n"/>
      <c r="N325" s="14">
        <f>SI(O(H325="";J325="");"";SI(J325&lt;=H325;"SÍ";"NO"))</f>
        <v/>
      </c>
      <c r="O325" s="14">
        <f>SI(O(I325="";K325="");"";SI(K325&lt;=SI(M325&lt;&gt;"";M325;I325);"SÍ";"NO"))</f>
        <v/>
      </c>
      <c r="P325" s="14">
        <f>SI(O(N325="";O325="");"";SI(Y(N325="SÍ";O325="SÍ");"SÍ";"NO"))</f>
        <v/>
      </c>
      <c r="Q325" s="16">
        <f>SI(O(I325="";K325="");"";MAX(0;ENTERO(K325)-ENTERO(SI(M325&lt;&gt;"";M325;I325))))</f>
        <v/>
      </c>
      <c r="R325" s="14" t="n"/>
      <c r="S325" s="14" t="n"/>
      <c r="T325" s="15" t="n"/>
      <c r="U325" s="14" t="n">
        <v>41</v>
      </c>
      <c r="V325" s="14" t="n"/>
    </row>
    <row r="326">
      <c r="A326" s="11" t="n">
        <v>1240</v>
      </c>
      <c r="B326" s="11" t="inlineStr">
        <is>
          <t>MAGANGUE</t>
        </is>
      </c>
      <c r="C326" s="11" t="inlineStr">
        <is>
          <t>Magangué</t>
        </is>
      </c>
      <c r="D326" s="11" t="inlineStr">
        <is>
          <t>Bolívar</t>
        </is>
      </c>
      <c r="E326" s="11" t="inlineStr">
        <is>
          <t>COSTA</t>
        </is>
      </c>
      <c r="F326" s="11" t="inlineStr">
        <is>
          <t>Gabriel Ivan Ballesteros Quiroz</t>
        </is>
      </c>
      <c r="G326" s="11" t="inlineStr">
        <is>
          <t>6</t>
        </is>
      </c>
      <c r="H326" s="12" t="n">
        <v>46286</v>
      </c>
      <c r="I326" s="12" t="n">
        <v>46286</v>
      </c>
      <c r="J326" s="12" t="n"/>
      <c r="K326" s="12" t="n"/>
      <c r="L326" s="11" t="inlineStr">
        <is>
          <t>Programada</t>
        </is>
      </c>
      <c r="M326" s="12" t="n"/>
      <c r="N326" s="11">
        <f>SI(O(H326="";J326="");"";SI(J326&lt;=H326;"SÍ";"NO"))</f>
        <v/>
      </c>
      <c r="O326" s="11">
        <f>SI(O(I326="";K326="");"";SI(K326&lt;=SI(M326&lt;&gt;"";M326;I326);"SÍ";"NO"))</f>
        <v/>
      </c>
      <c r="P326" s="11">
        <f>SI(O(N326="";O326="");"";SI(Y(N326="SÍ";O326="SÍ");"SÍ";"NO"))</f>
        <v/>
      </c>
      <c r="Q326" s="13">
        <f>SI(O(I326="";K326="");"";MAX(0;ENTERO(K326)-ENTERO(SI(M326&lt;&gt;"";M326;I326))))</f>
        <v/>
      </c>
      <c r="R326" s="11" t="n"/>
      <c r="S326" s="11" t="n"/>
      <c r="T326" s="12" t="n"/>
      <c r="U326" s="11" t="n">
        <v>35</v>
      </c>
      <c r="V326" s="11" t="n"/>
    </row>
    <row r="327">
      <c r="A327" s="14" t="n">
        <v>1332</v>
      </c>
      <c r="B327" s="14" t="inlineStr">
        <is>
          <t>TURBO</t>
        </is>
      </c>
      <c r="C327" s="14" t="inlineStr">
        <is>
          <t>Turbo</t>
        </is>
      </c>
      <c r="D327" s="14" t="inlineStr">
        <is>
          <t>Antioquia</t>
        </is>
      </c>
      <c r="E327" s="14" t="inlineStr">
        <is>
          <t>ANTIOQUIA</t>
        </is>
      </c>
      <c r="F327" s="14" t="inlineStr">
        <is>
          <t>Ever Enrique Esquivel Movilla</t>
        </is>
      </c>
      <c r="G327" s="14" t="inlineStr">
        <is>
          <t>4</t>
        </is>
      </c>
      <c r="H327" s="15" t="n">
        <v>46286</v>
      </c>
      <c r="I327" s="15" t="n">
        <v>46286</v>
      </c>
      <c r="J327" s="15" t="n"/>
      <c r="K327" s="15" t="n"/>
      <c r="L327" s="14" t="inlineStr">
        <is>
          <t>Programada</t>
        </is>
      </c>
      <c r="M327" s="15" t="n"/>
      <c r="N327" s="14">
        <f>SI(O(H327="";J327="");"";SI(J327&lt;=H327;"SÍ";"NO"))</f>
        <v/>
      </c>
      <c r="O327" s="14">
        <f>SI(O(I327="";K327="");"";SI(K327&lt;=SI(M327&lt;&gt;"";M327;I327);"SÍ";"NO"))</f>
        <v/>
      </c>
      <c r="P327" s="14">
        <f>SI(O(N327="";O327="");"";SI(Y(N327="SÍ";O327="SÍ");"SÍ";"NO"))</f>
        <v/>
      </c>
      <c r="Q327" s="16">
        <f>SI(O(I327="";K327="");"";MAX(0;ENTERO(K327)-ENTERO(SI(M327&lt;&gt;"";M327;I327))))</f>
        <v/>
      </c>
      <c r="R327" s="14" t="n"/>
      <c r="S327" s="14" t="n"/>
      <c r="T327" s="15" t="n"/>
      <c r="U327" s="14" t="n">
        <v>27</v>
      </c>
      <c r="V327" s="14" t="n"/>
    </row>
    <row r="328">
      <c r="A328" s="11" t="n">
        <v>1371</v>
      </c>
      <c r="B328" s="11" t="inlineStr">
        <is>
          <t>LA ESTRELLA</t>
        </is>
      </c>
      <c r="C328" s="11" t="inlineStr">
        <is>
          <t>La Estrella</t>
        </is>
      </c>
      <c r="D328" s="11" t="inlineStr">
        <is>
          <t>Antioquia</t>
        </is>
      </c>
      <c r="E328" s="11" t="inlineStr">
        <is>
          <t>ANTIOQUIA</t>
        </is>
      </c>
      <c r="F328" s="11" t="inlineStr">
        <is>
          <t>Andrés Mariano Bustamante Castro</t>
        </is>
      </c>
      <c r="G328" s="11" t="inlineStr">
        <is>
          <t>2</t>
        </is>
      </c>
      <c r="H328" s="12" t="n">
        <v>46286</v>
      </c>
      <c r="I328" s="12" t="n">
        <v>46287</v>
      </c>
      <c r="J328" s="12" t="n"/>
      <c r="K328" s="12" t="n"/>
      <c r="L328" s="11" t="inlineStr">
        <is>
          <t>Programada</t>
        </is>
      </c>
      <c r="M328" s="12" t="n"/>
      <c r="N328" s="11">
        <f>SI(O(H328="";J328="");"";SI(J328&lt;=H328;"SÍ";"NO"))</f>
        <v/>
      </c>
      <c r="O328" s="11">
        <f>SI(O(I328="";K328="");"";SI(K328&lt;=SI(M328&lt;&gt;"";M328;I328);"SÍ";"NO"))</f>
        <v/>
      </c>
      <c r="P328" s="11">
        <f>SI(O(N328="";O328="");"";SI(Y(N328="SÍ";O328="SÍ");"SÍ";"NO"))</f>
        <v/>
      </c>
      <c r="Q328" s="13">
        <f>SI(O(I328="";K328="");"";MAX(0;ENTERO(K328)-ENTERO(SI(M328&lt;&gt;"";M328;I328))))</f>
        <v/>
      </c>
      <c r="R328" s="11" t="n"/>
      <c r="S328" s="11" t="n"/>
      <c r="T328" s="12" t="n"/>
      <c r="U328" s="11" t="n">
        <v>21</v>
      </c>
      <c r="V328" s="11" t="n"/>
    </row>
    <row r="329">
      <c r="A329" s="14" t="n">
        <v>1501</v>
      </c>
      <c r="B329" s="14" t="inlineStr">
        <is>
          <t>AQUITANIA</t>
        </is>
      </c>
      <c r="C329" s="14" t="inlineStr">
        <is>
          <t>Aquitania</t>
        </is>
      </c>
      <c r="D329" s="14" t="inlineStr">
        <is>
          <t>Boyacá</t>
        </is>
      </c>
      <c r="E329" s="14" t="inlineStr">
        <is>
          <t>ORIENTE</t>
        </is>
      </c>
      <c r="F329" s="14" t="inlineStr">
        <is>
          <t>Luz Nélida Barragán Toro</t>
        </is>
      </c>
      <c r="G329" s="14" t="inlineStr">
        <is>
          <t>4</t>
        </is>
      </c>
      <c r="H329" s="15" t="n">
        <v>46286</v>
      </c>
      <c r="I329" s="15" t="n">
        <v>46287</v>
      </c>
      <c r="J329" s="15" t="n"/>
      <c r="K329" s="15" t="n"/>
      <c r="L329" s="14" t="inlineStr">
        <is>
          <t>Programada</t>
        </is>
      </c>
      <c r="M329" s="15" t="n"/>
      <c r="N329" s="14">
        <f>SI(O(H329="";J329="");"";SI(J329&lt;=H329;"SÍ";"NO"))</f>
        <v/>
      </c>
      <c r="O329" s="14">
        <f>SI(O(I329="";K329="");"";SI(K329&lt;=SI(M329&lt;&gt;"";M329;I329);"SÍ";"NO"))</f>
        <v/>
      </c>
      <c r="P329" s="14">
        <f>SI(O(N329="";O329="");"";SI(Y(N329="SÍ";O329="SÍ");"SÍ";"NO"))</f>
        <v/>
      </c>
      <c r="Q329" s="16">
        <f>SI(O(I329="";K329="");"";MAX(0;ENTERO(K329)-ENTERO(SI(M329&lt;&gt;"";M329;I329))))</f>
        <v/>
      </c>
      <c r="R329" s="14" t="n"/>
      <c r="S329" s="14" t="n"/>
      <c r="T329" s="15" t="n"/>
      <c r="U329" s="14" t="n">
        <v>26</v>
      </c>
      <c r="V329" s="14" t="n"/>
    </row>
    <row r="330">
      <c r="A330" s="11" t="n">
        <v>1502</v>
      </c>
      <c r="B330" s="11" t="inlineStr">
        <is>
          <t>ARCABUCO</t>
        </is>
      </c>
      <c r="C330" s="11" t="inlineStr">
        <is>
          <t>Arcabuco</t>
        </is>
      </c>
      <c r="D330" s="11" t="inlineStr">
        <is>
          <t>Boyacá</t>
        </is>
      </c>
      <c r="E330" s="11" t="inlineStr">
        <is>
          <t>ORIENTE</t>
        </is>
      </c>
      <c r="F330" s="11" t="inlineStr">
        <is>
          <t>Andrés Felipe Díaz Noy</t>
        </is>
      </c>
      <c r="G330" s="11" t="inlineStr">
        <is>
          <t>2</t>
        </is>
      </c>
      <c r="H330" s="12" t="n">
        <v>46286</v>
      </c>
      <c r="I330" s="12" t="n">
        <v>46287</v>
      </c>
      <c r="J330" s="12" t="n"/>
      <c r="K330" s="12" t="n"/>
      <c r="L330" s="11" t="inlineStr">
        <is>
          <t>Programada</t>
        </is>
      </c>
      <c r="M330" s="12" t="n"/>
      <c r="N330" s="11">
        <f>SI(O(H330="";J330="");"";SI(J330&lt;=H330;"SÍ";"NO"))</f>
        <v/>
      </c>
      <c r="O330" s="11">
        <f>SI(O(I330="";K330="");"";SI(K330&lt;=SI(M330&lt;&gt;"";M330;I330);"SÍ";"NO"))</f>
        <v/>
      </c>
      <c r="P330" s="11">
        <f>SI(O(N330="";O330="");"";SI(Y(N330="SÍ";O330="SÍ");"SÍ";"NO"))</f>
        <v/>
      </c>
      <c r="Q330" s="13">
        <f>SI(O(I330="";K330="");"";MAX(0;ENTERO(K330)-ENTERO(SI(M330&lt;&gt;"";M330;I330))))</f>
        <v/>
      </c>
      <c r="R330" s="11" t="n"/>
      <c r="S330" s="11" t="n"/>
      <c r="T330" s="12" t="n"/>
      <c r="U330" s="11" t="n">
        <v>17</v>
      </c>
      <c r="V330" s="11" t="n"/>
    </row>
    <row r="331">
      <c r="A331" s="14" t="n">
        <v>1532</v>
      </c>
      <c r="B331" s="14" t="inlineStr">
        <is>
          <t>GAMEZA</t>
        </is>
      </c>
      <c r="C331" s="14" t="inlineStr">
        <is>
          <t>Gameza</t>
        </is>
      </c>
      <c r="D331" s="14" t="inlineStr">
        <is>
          <t>Boyacá</t>
        </is>
      </c>
      <c r="E331" s="14" t="inlineStr">
        <is>
          <t>ORIENTE</t>
        </is>
      </c>
      <c r="F331" s="14" t="inlineStr">
        <is>
          <t>Mauricio Andrés Rivera Páez</t>
        </is>
      </c>
      <c r="G331" s="14" t="inlineStr">
        <is>
          <t>2</t>
        </is>
      </c>
      <c r="H331" s="15" t="n">
        <v>46286</v>
      </c>
      <c r="I331" s="15" t="n">
        <v>46287</v>
      </c>
      <c r="J331" s="15" t="n"/>
      <c r="K331" s="15" t="n"/>
      <c r="L331" s="14" t="inlineStr">
        <is>
          <t>Programada</t>
        </is>
      </c>
      <c r="M331" s="15" t="n"/>
      <c r="N331" s="14">
        <f>SI(O(H331="";J331="");"";SI(J331&lt;=H331;"SÍ";"NO"))</f>
        <v/>
      </c>
      <c r="O331" s="14">
        <f>SI(O(I331="";K331="");"";SI(K331&lt;=SI(M331&lt;&gt;"";M331;I331);"SÍ";"NO"))</f>
        <v/>
      </c>
      <c r="P331" s="14">
        <f>SI(O(N331="";O331="");"";SI(Y(N331="SÍ";O331="SÍ");"SÍ";"NO"))</f>
        <v/>
      </c>
      <c r="Q331" s="16">
        <f>SI(O(I331="";K331="");"";MAX(0;ENTERO(K331)-ENTERO(SI(M331&lt;&gt;"";M331;I331))))</f>
        <v/>
      </c>
      <c r="R331" s="14" t="n"/>
      <c r="S331" s="14" t="n"/>
      <c r="T331" s="15" t="n"/>
      <c r="U331" s="14" t="n">
        <v>18</v>
      </c>
      <c r="V331" s="14" t="n"/>
    </row>
    <row r="332">
      <c r="A332" s="11" t="n">
        <v>1556</v>
      </c>
      <c r="B332" s="11" t="inlineStr">
        <is>
          <t>PESCA</t>
        </is>
      </c>
      <c r="C332" s="11" t="inlineStr">
        <is>
          <t>Pesca</t>
        </is>
      </c>
      <c r="D332" s="11" t="inlineStr">
        <is>
          <t>Boyacá</t>
        </is>
      </c>
      <c r="E332" s="11" t="inlineStr">
        <is>
          <t>ORIENTE</t>
        </is>
      </c>
      <c r="F332" s="11" t="inlineStr">
        <is>
          <t>Andrés Felipe Carvajal Pire</t>
        </is>
      </c>
      <c r="G332" s="11" t="inlineStr">
        <is>
          <t>2</t>
        </is>
      </c>
      <c r="H332" s="12" t="n">
        <v>46286</v>
      </c>
      <c r="I332" s="12" t="n">
        <v>46287</v>
      </c>
      <c r="J332" s="12" t="n"/>
      <c r="K332" s="12" t="n"/>
      <c r="L332" s="11" t="inlineStr">
        <is>
          <t>Programada</t>
        </is>
      </c>
      <c r="M332" s="12" t="n"/>
      <c r="N332" s="11">
        <f>SI(O(H332="";J332="");"";SI(J332&lt;=H332;"SÍ";"NO"))</f>
        <v/>
      </c>
      <c r="O332" s="11">
        <f>SI(O(I332="";K332="");"";SI(K332&lt;=SI(M332&lt;&gt;"";M332;I332);"SÍ";"NO"))</f>
        <v/>
      </c>
      <c r="P332" s="11">
        <f>SI(O(N332="";O332="");"";SI(Y(N332="SÍ";O332="SÍ");"SÍ";"NO"))</f>
        <v/>
      </c>
      <c r="Q332" s="13">
        <f>SI(O(I332="";K332="");"";MAX(0;ENTERO(K332)-ENTERO(SI(M332&lt;&gt;"";M332;I332))))</f>
        <v/>
      </c>
      <c r="R332" s="11" t="n"/>
      <c r="S332" s="11" t="n"/>
      <c r="T332" s="12" t="n"/>
      <c r="U332" s="11" t="n">
        <v>17</v>
      </c>
      <c r="V332" s="11" t="n"/>
    </row>
    <row r="333">
      <c r="A333" s="14" t="n">
        <v>1654</v>
      </c>
      <c r="B333" s="14" t="inlineStr">
        <is>
          <t>CANDELARIA</t>
        </is>
      </c>
      <c r="C333" s="14" t="inlineStr">
        <is>
          <t>Candelaria</t>
        </is>
      </c>
      <c r="D333" s="14" t="inlineStr">
        <is>
          <t>Atlántico</t>
        </is>
      </c>
      <c r="E333" s="14" t="inlineStr">
        <is>
          <t>COSTA</t>
        </is>
      </c>
      <c r="F333" s="14" t="inlineStr">
        <is>
          <t>Hernando Arenas Lambis</t>
        </is>
      </c>
      <c r="G333" s="14" t="inlineStr">
        <is>
          <t>1</t>
        </is>
      </c>
      <c r="H333" s="15" t="n">
        <v>46286</v>
      </c>
      <c r="I333" s="15" t="n">
        <v>46286</v>
      </c>
      <c r="J333" s="15" t="n"/>
      <c r="K333" s="15" t="n"/>
      <c r="L333" s="14" t="inlineStr">
        <is>
          <t>Programada</t>
        </is>
      </c>
      <c r="M333" s="15" t="n"/>
      <c r="N333" s="14">
        <f>SI(O(H333="";J333="");"";SI(J333&lt;=H333;"SÍ";"NO"))</f>
        <v/>
      </c>
      <c r="O333" s="14">
        <f>SI(O(I333="";K333="");"";SI(K333&lt;=SI(M333&lt;&gt;"";M333;I333);"SÍ";"NO"))</f>
        <v/>
      </c>
      <c r="P333" s="14">
        <f>SI(O(N333="";O333="");"";SI(Y(N333="SÍ";O333="SÍ");"SÍ";"NO"))</f>
        <v/>
      </c>
      <c r="Q333" s="16">
        <f>SI(O(I333="";K333="");"";MAX(0;ENTERO(K333)-ENTERO(SI(M333&lt;&gt;"";M333;I333))))</f>
        <v/>
      </c>
      <c r="R333" s="14" t="n"/>
      <c r="S333" s="14" t="n"/>
      <c r="T333" s="15" t="n"/>
      <c r="U333" s="14" t="n">
        <v>13</v>
      </c>
      <c r="V333" s="14" t="n"/>
    </row>
    <row r="334">
      <c r="A334" s="11" t="n">
        <v>2132</v>
      </c>
      <c r="B334" s="11" t="inlineStr">
        <is>
          <t>JAMBALO</t>
        </is>
      </c>
      <c r="C334" s="11" t="inlineStr">
        <is>
          <t>Jambaló</t>
        </is>
      </c>
      <c r="D334" s="11" t="inlineStr">
        <is>
          <t>Cauca</t>
        </is>
      </c>
      <c r="E334" s="11" t="inlineStr">
        <is>
          <t>OCCIDENTE</t>
        </is>
      </c>
      <c r="F334" s="11" t="inlineStr">
        <is>
          <t>Holmes Arley Astudillo Fajardo</t>
        </is>
      </c>
      <c r="G334" s="11" t="inlineStr">
        <is>
          <t>1</t>
        </is>
      </c>
      <c r="H334" s="12" t="n">
        <v>46286</v>
      </c>
      <c r="I334" s="12" t="n">
        <v>46286</v>
      </c>
      <c r="J334" s="12" t="n"/>
      <c r="K334" s="12" t="n"/>
      <c r="L334" s="11" t="inlineStr">
        <is>
          <t>Programada</t>
        </is>
      </c>
      <c r="M334" s="12" t="n"/>
      <c r="N334" s="11">
        <f>SI(O(H334="";J334="");"";SI(J334&lt;=H334;"SÍ";"NO"))</f>
        <v/>
      </c>
      <c r="O334" s="11">
        <f>SI(O(I334="";K334="");"";SI(K334&lt;=SI(M334&lt;&gt;"";M334;I334);"SÍ";"NO"))</f>
        <v/>
      </c>
      <c r="P334" s="11">
        <f>SI(O(N334="";O334="");"";SI(Y(N334="SÍ";O334="SÍ");"SÍ";"NO"))</f>
        <v/>
      </c>
      <c r="Q334" s="13">
        <f>SI(O(I334="";K334="");"";MAX(0;ENTERO(K334)-ENTERO(SI(M334&lt;&gt;"";M334;I334))))</f>
        <v/>
      </c>
      <c r="R334" s="11" t="n"/>
      <c r="S334" s="11" t="n"/>
      <c r="T334" s="12" t="n"/>
      <c r="U334" s="11" t="n">
        <v>13</v>
      </c>
      <c r="V334" s="11" t="n"/>
    </row>
    <row r="335">
      <c r="A335" s="14" t="n">
        <v>2437</v>
      </c>
      <c r="B335" s="14" t="inlineStr">
        <is>
          <t>LA GLORIA</t>
        </is>
      </c>
      <c r="C335" s="14" t="inlineStr">
        <is>
          <t>La Gloria</t>
        </is>
      </c>
      <c r="D335" s="14" t="inlineStr">
        <is>
          <t>Cesar</t>
        </is>
      </c>
      <c r="E335" s="14" t="inlineStr">
        <is>
          <t>COSTA</t>
        </is>
      </c>
      <c r="F335" s="14" t="inlineStr">
        <is>
          <t>Jerson Julian Portillo Anteliz</t>
        </is>
      </c>
      <c r="G335" s="14" t="inlineStr">
        <is>
          <t>1</t>
        </is>
      </c>
      <c r="H335" s="15" t="n">
        <v>46286</v>
      </c>
      <c r="I335" s="15" t="n">
        <v>46286</v>
      </c>
      <c r="J335" s="15" t="n"/>
      <c r="K335" s="15" t="n"/>
      <c r="L335" s="14" t="inlineStr">
        <is>
          <t>Programada</t>
        </is>
      </c>
      <c r="M335" s="15" t="n"/>
      <c r="N335" s="14">
        <f>SI(O(H335="";J335="");"";SI(J335&lt;=H335;"SÍ";"NO"))</f>
        <v/>
      </c>
      <c r="O335" s="14">
        <f>SI(O(I335="";K335="");"";SI(K335&lt;=SI(M335&lt;&gt;"";M335;I335);"SÍ";"NO"))</f>
        <v/>
      </c>
      <c r="P335" s="14">
        <f>SI(O(N335="";O335="");"";SI(Y(N335="SÍ";O335="SÍ");"SÍ";"NO"))</f>
        <v/>
      </c>
      <c r="Q335" s="16">
        <f>SI(O(I335="";K335="");"";MAX(0;ENTERO(K335)-ENTERO(SI(M335&lt;&gt;"";M335;I335))))</f>
        <v/>
      </c>
      <c r="R335" s="14" t="n"/>
      <c r="S335" s="14" t="n"/>
      <c r="T335" s="15" t="n"/>
      <c r="U335" s="14" t="n">
        <v>13</v>
      </c>
      <c r="V335" s="14" t="n"/>
    </row>
    <row r="336">
      <c r="A336" s="11" t="n">
        <v>2717</v>
      </c>
      <c r="B336" s="11" t="inlineStr">
        <is>
          <t>CANALETE</t>
        </is>
      </c>
      <c r="C336" s="11" t="inlineStr">
        <is>
          <t>Canalete</t>
        </is>
      </c>
      <c r="D336" s="11" t="inlineStr">
        <is>
          <t>Córdoba</t>
        </is>
      </c>
      <c r="E336" s="11" t="inlineStr">
        <is>
          <t>COSTA</t>
        </is>
      </c>
      <c r="F336" s="11" t="inlineStr">
        <is>
          <t>Jhon Jairo Vergara Pelaez</t>
        </is>
      </c>
      <c r="G336" s="11" t="inlineStr">
        <is>
          <t>1</t>
        </is>
      </c>
      <c r="H336" s="12" t="n">
        <v>46286</v>
      </c>
      <c r="I336" s="12" t="n">
        <v>46286</v>
      </c>
      <c r="J336" s="12" t="n"/>
      <c r="K336" s="12" t="n"/>
      <c r="L336" s="11" t="inlineStr">
        <is>
          <t>Programada</t>
        </is>
      </c>
      <c r="M336" s="12" t="n"/>
      <c r="N336" s="11">
        <f>SI(O(H336="";J336="");"";SI(J336&lt;=H336;"SÍ";"NO"))</f>
        <v/>
      </c>
      <c r="O336" s="11">
        <f>SI(O(I336="";K336="");"";SI(K336&lt;=SI(M336&lt;&gt;"";M336;I336);"SÍ";"NO"))</f>
        <v/>
      </c>
      <c r="P336" s="11">
        <f>SI(O(N336="";O336="");"";SI(Y(N336="SÍ";O336="SÍ");"SÍ";"NO"))</f>
        <v/>
      </c>
      <c r="Q336" s="13">
        <f>SI(O(I336="";K336="");"";MAX(0;ENTERO(K336)-ENTERO(SI(M336&lt;&gt;"";M336;I336))))</f>
        <v/>
      </c>
      <c r="R336" s="11" t="n"/>
      <c r="S336" s="11" t="n"/>
      <c r="T336" s="12" t="n"/>
      <c r="U336" s="11" t="n">
        <v>13</v>
      </c>
      <c r="V336" s="11" t="n"/>
    </row>
    <row r="337">
      <c r="A337" s="14" t="n">
        <v>3111</v>
      </c>
      <c r="B337" s="14" t="inlineStr">
        <is>
          <t>CABRERA</t>
        </is>
      </c>
      <c r="C337" s="14" t="inlineStr">
        <is>
          <t>Cabrera</t>
        </is>
      </c>
      <c r="D337" s="14" t="inlineStr">
        <is>
          <t>Cundinamarca</t>
        </is>
      </c>
      <c r="E337" s="14" t="inlineStr">
        <is>
          <t>BOGOTA</t>
        </is>
      </c>
      <c r="F337" s="14" t="inlineStr">
        <is>
          <t>Edwin Santiago Cuchivaguen Diaz</t>
        </is>
      </c>
      <c r="G337" s="14" t="inlineStr">
        <is>
          <t>2</t>
        </is>
      </c>
      <c r="H337" s="15" t="n">
        <v>46286</v>
      </c>
      <c r="I337" s="15" t="n">
        <v>46286</v>
      </c>
      <c r="J337" s="15" t="n"/>
      <c r="K337" s="15" t="n"/>
      <c r="L337" s="14" t="inlineStr">
        <is>
          <t>Programada</t>
        </is>
      </c>
      <c r="M337" s="15" t="n"/>
      <c r="N337" s="14">
        <f>SI(O(H337="";J337="");"";SI(J337&lt;=H337;"SÍ";"NO"))</f>
        <v/>
      </c>
      <c r="O337" s="14">
        <f>SI(O(I337="";K337="");"";SI(K337&lt;=SI(M337&lt;&gt;"";M337;I337);"SÍ";"NO"))</f>
        <v/>
      </c>
      <c r="P337" s="14">
        <f>SI(O(N337="";O337="");"";SI(Y(N337="SÍ";O337="SÍ");"SÍ";"NO"))</f>
        <v/>
      </c>
      <c r="Q337" s="16">
        <f>SI(O(I337="";K337="");"";MAX(0;ENTERO(K337)-ENTERO(SI(M337&lt;&gt;"";M337;I337))))</f>
        <v/>
      </c>
      <c r="R337" s="14" t="n"/>
      <c r="S337" s="14" t="n"/>
      <c r="T337" s="15" t="n"/>
      <c r="U337" s="14" t="n">
        <v>15</v>
      </c>
      <c r="V337" s="14" t="n"/>
    </row>
    <row r="338">
      <c r="A338" s="11" t="n">
        <v>3122</v>
      </c>
      <c r="B338" s="11" t="inlineStr">
        <is>
          <t>GIRARDOT</t>
        </is>
      </c>
      <c r="C338" s="11" t="inlineStr">
        <is>
          <t>Girardot</t>
        </is>
      </c>
      <c r="D338" s="11" t="inlineStr">
        <is>
          <t>Cundinamarca</t>
        </is>
      </c>
      <c r="E338" s="11" t="inlineStr">
        <is>
          <t>BOGOTA</t>
        </is>
      </c>
      <c r="F338" s="11" t="inlineStr">
        <is>
          <t>Nelson Leonardo Paez Suarez</t>
        </is>
      </c>
      <c r="G338" s="11" t="inlineStr">
        <is>
          <t>5</t>
        </is>
      </c>
      <c r="H338" s="12" t="n">
        <v>46286</v>
      </c>
      <c r="I338" s="12" t="n">
        <v>46286</v>
      </c>
      <c r="J338" s="12" t="n"/>
      <c r="K338" s="12" t="n"/>
      <c r="L338" s="11" t="inlineStr">
        <is>
          <t>Programada</t>
        </is>
      </c>
      <c r="M338" s="12" t="n"/>
      <c r="N338" s="11">
        <f>SI(O(H338="";J338="");"";SI(J338&lt;=H338;"SÍ";"NO"))</f>
        <v/>
      </c>
      <c r="O338" s="11">
        <f>SI(O(I338="";K338="");"";SI(K338&lt;=SI(M338&lt;&gt;"";M338;I338);"SÍ";"NO"))</f>
        <v/>
      </c>
      <c r="P338" s="11">
        <f>SI(O(N338="";O338="");"";SI(Y(N338="SÍ";O338="SÍ");"SÍ";"NO"))</f>
        <v/>
      </c>
      <c r="Q338" s="13">
        <f>SI(O(I338="";K338="");"";MAX(0;ENTERO(K338)-ENTERO(SI(M338&lt;&gt;"";M338;I338))))</f>
        <v/>
      </c>
      <c r="R338" s="11" t="n"/>
      <c r="S338" s="11" t="n"/>
      <c r="T338" s="12" t="n"/>
      <c r="U338" s="11" t="n">
        <v>30</v>
      </c>
      <c r="V338" s="11" t="n"/>
    </row>
    <row r="339">
      <c r="A339" s="14" t="n">
        <v>3158</v>
      </c>
      <c r="B339" s="14" t="inlineStr">
        <is>
          <t>SAN FRANCISCO</t>
        </is>
      </c>
      <c r="C339" s="14" t="inlineStr">
        <is>
          <t>San Francisco</t>
        </is>
      </c>
      <c r="D339" s="14" t="inlineStr">
        <is>
          <t>Cundinamarca</t>
        </is>
      </c>
      <c r="E339" s="14" t="inlineStr">
        <is>
          <t>BOGOTA</t>
        </is>
      </c>
      <c r="F339" s="14" t="inlineStr">
        <is>
          <t>Carlos Andres Cuchivaguen Diaz</t>
        </is>
      </c>
      <c r="G339" s="14" t="inlineStr">
        <is>
          <t>1</t>
        </is>
      </c>
      <c r="H339" s="15" t="n">
        <v>46286</v>
      </c>
      <c r="I339" s="15" t="n">
        <v>46286</v>
      </c>
      <c r="J339" s="15" t="n"/>
      <c r="K339" s="15" t="n"/>
      <c r="L339" s="14" t="inlineStr">
        <is>
          <t>Programada</t>
        </is>
      </c>
      <c r="M339" s="15" t="n"/>
      <c r="N339" s="14">
        <f>SI(O(H339="";J339="");"";SI(J339&lt;=H339;"SÍ";"NO"))</f>
        <v/>
      </c>
      <c r="O339" s="14">
        <f>SI(O(I339="";K339="");"";SI(K339&lt;=SI(M339&lt;&gt;"";M339;I339);"SÍ";"NO"))</f>
        <v/>
      </c>
      <c r="P339" s="14">
        <f>SI(O(N339="";O339="");"";SI(Y(N339="SÍ";O339="SÍ");"SÍ";"NO"))</f>
        <v/>
      </c>
      <c r="Q339" s="16">
        <f>SI(O(I339="";K339="");"";MAX(0;ENTERO(K339)-ENTERO(SI(M339&lt;&gt;"";M339;I339))))</f>
        <v/>
      </c>
      <c r="R339" s="14" t="n"/>
      <c r="S339" s="14" t="n"/>
      <c r="T339" s="15" t="n"/>
      <c r="U339" s="14" t="n">
        <v>13</v>
      </c>
      <c r="V339" s="14" t="n"/>
    </row>
    <row r="340">
      <c r="A340" s="11" t="n">
        <v>3164</v>
      </c>
      <c r="B340" s="11" t="inlineStr">
        <is>
          <t>PUERTO SALGAR</t>
        </is>
      </c>
      <c r="C340" s="11" t="inlineStr">
        <is>
          <t>Puerto Salgar</t>
        </is>
      </c>
      <c r="D340" s="11" t="inlineStr">
        <is>
          <t>Cundinamarca</t>
        </is>
      </c>
      <c r="E340" s="11" t="inlineStr">
        <is>
          <t>CAFETERA</t>
        </is>
      </c>
      <c r="F340" s="11" t="inlineStr">
        <is>
          <t>Jhonatan Felipe Hernandez Gamboa</t>
        </is>
      </c>
      <c r="G340" s="11" t="inlineStr">
        <is>
          <t>3</t>
        </is>
      </c>
      <c r="H340" s="12" t="n">
        <v>46286</v>
      </c>
      <c r="I340" s="12" t="n">
        <v>46286</v>
      </c>
      <c r="J340" s="12" t="n"/>
      <c r="K340" s="12" t="n"/>
      <c r="L340" s="11" t="inlineStr">
        <is>
          <t>Programada</t>
        </is>
      </c>
      <c r="M340" s="12" t="n"/>
      <c r="N340" s="11">
        <f>SI(O(H340="";J340="");"";SI(J340&lt;=H340;"SÍ";"NO"))</f>
        <v/>
      </c>
      <c r="O340" s="11">
        <f>SI(O(I340="";K340="");"";SI(K340&lt;=SI(M340&lt;&gt;"";M340;I340);"SÍ";"NO"))</f>
        <v/>
      </c>
      <c r="P340" s="11">
        <f>SI(O(N340="";O340="");"";SI(Y(N340="SÍ";O340="SÍ");"SÍ";"NO"))</f>
        <v/>
      </c>
      <c r="Q340" s="13">
        <f>SI(O(I340="";K340="");"";MAX(0;ENTERO(K340)-ENTERO(SI(M340&lt;&gt;"";M340;I340))))</f>
        <v/>
      </c>
      <c r="R340" s="11" t="n"/>
      <c r="S340" s="11" t="n"/>
      <c r="T340" s="12" t="n"/>
      <c r="U340" s="11" t="n">
        <v>19</v>
      </c>
      <c r="V340" s="11" t="n"/>
    </row>
    <row r="341">
      <c r="A341" s="14" t="n">
        <v>3913</v>
      </c>
      <c r="B341" s="14" t="inlineStr">
        <is>
          <t>GARZON</t>
        </is>
      </c>
      <c r="C341" s="14" t="inlineStr">
        <is>
          <t>Garzón</t>
        </is>
      </c>
      <c r="D341" s="14" t="inlineStr">
        <is>
          <t>Huila</t>
        </is>
      </c>
      <c r="E341" s="14" t="inlineStr">
        <is>
          <t>SUR</t>
        </is>
      </c>
      <c r="F341" s="14" t="inlineStr">
        <is>
          <t>ERIKA VARGAS</t>
        </is>
      </c>
      <c r="G341" s="14" t="inlineStr">
        <is>
          <t>7</t>
        </is>
      </c>
      <c r="H341" s="15" t="n">
        <v>46286</v>
      </c>
      <c r="I341" s="15" t="n">
        <v>46286</v>
      </c>
      <c r="J341" s="15" t="n"/>
      <c r="K341" s="15" t="n"/>
      <c r="L341" s="14" t="inlineStr">
        <is>
          <t>Programada</t>
        </is>
      </c>
      <c r="M341" s="15" t="n"/>
      <c r="N341" s="14">
        <f>SI(O(H341="";J341="");"";SI(J341&lt;=H341;"SÍ";"NO"))</f>
        <v/>
      </c>
      <c r="O341" s="14">
        <f>SI(O(I341="";K341="");"";SI(K341&lt;=SI(M341&lt;&gt;"";M341;I341);"SÍ";"NO"))</f>
        <v/>
      </c>
      <c r="P341" s="14">
        <f>SI(O(N341="";O341="");"";SI(Y(N341="SÍ";O341="SÍ");"SÍ";"NO"))</f>
        <v/>
      </c>
      <c r="Q341" s="16">
        <f>SI(O(I341="";K341="");"";MAX(0;ENTERO(K341)-ENTERO(SI(M341&lt;&gt;"";M341;I341))))</f>
        <v/>
      </c>
      <c r="R341" s="14" t="n"/>
      <c r="S341" s="14" t="n"/>
      <c r="T341" s="15" t="n"/>
      <c r="U341" s="14" t="n">
        <v>31</v>
      </c>
      <c r="V341" s="14" t="n"/>
    </row>
    <row r="342">
      <c r="A342" s="11" t="n">
        <v>4514</v>
      </c>
      <c r="B342" s="11" t="inlineStr">
        <is>
          <t>FUENTE DE ORO</t>
        </is>
      </c>
      <c r="C342" s="11" t="inlineStr">
        <is>
          <t>Fuente De Oro</t>
        </is>
      </c>
      <c r="D342" s="11" t="inlineStr">
        <is>
          <t>Meta</t>
        </is>
      </c>
      <c r="E342" s="11" t="inlineStr">
        <is>
          <t>BOGOTA</t>
        </is>
      </c>
      <c r="F342" s="11" t="inlineStr">
        <is>
          <t>Andres Felipe Balbin</t>
        </is>
      </c>
      <c r="G342" s="11" t="inlineStr">
        <is>
          <t>2</t>
        </is>
      </c>
      <c r="H342" s="12" t="n">
        <v>46286</v>
      </c>
      <c r="I342" s="12" t="n">
        <v>46286</v>
      </c>
      <c r="J342" s="12" t="n"/>
      <c r="K342" s="12" t="n"/>
      <c r="L342" s="11" t="inlineStr">
        <is>
          <t>Programada</t>
        </is>
      </c>
      <c r="M342" s="12" t="n"/>
      <c r="N342" s="11">
        <f>SI(O(H342="";J342="");"";SI(J342&lt;=H342;"SÍ";"NO"))</f>
        <v/>
      </c>
      <c r="O342" s="11">
        <f>SI(O(I342="";K342="");"";SI(K342&lt;=SI(M342&lt;&gt;"";M342;I342);"SÍ";"NO"))</f>
        <v/>
      </c>
      <c r="P342" s="11">
        <f>SI(O(N342="";O342="");"";SI(Y(N342="SÍ";O342="SÍ");"SÍ";"NO"))</f>
        <v/>
      </c>
      <c r="Q342" s="13">
        <f>SI(O(I342="";K342="");"";MAX(0;ENTERO(K342)-ENTERO(SI(M342&lt;&gt;"";M342;I342))))</f>
        <v/>
      </c>
      <c r="R342" s="11" t="n"/>
      <c r="S342" s="11" t="n"/>
      <c r="T342" s="12" t="n"/>
      <c r="U342" s="11" t="n">
        <v>20</v>
      </c>
      <c r="V342" s="11" t="n"/>
    </row>
    <row r="343">
      <c r="A343" s="14" t="n">
        <v>5126</v>
      </c>
      <c r="B343" s="14" t="inlineStr">
        <is>
          <t>HACARI</t>
        </is>
      </c>
      <c r="C343" s="14" t="inlineStr">
        <is>
          <t>Hacarí</t>
        </is>
      </c>
      <c r="D343" s="14" t="inlineStr">
        <is>
          <t>Norte de Santander</t>
        </is>
      </c>
      <c r="E343" s="14" t="inlineStr">
        <is>
          <t>SANTANDERES</t>
        </is>
      </c>
      <c r="F343" s="14" t="inlineStr">
        <is>
          <t>Juan Alfonso Cuberos Buendia</t>
        </is>
      </c>
      <c r="G343" s="14" t="inlineStr">
        <is>
          <t>2</t>
        </is>
      </c>
      <c r="H343" s="15" t="n">
        <v>46286</v>
      </c>
      <c r="I343" s="15" t="n">
        <v>46289</v>
      </c>
      <c r="J343" s="15" t="n"/>
      <c r="K343" s="15" t="n"/>
      <c r="L343" s="14" t="inlineStr">
        <is>
          <t>Programada</t>
        </is>
      </c>
      <c r="M343" s="15" t="n"/>
      <c r="N343" s="14">
        <f>SI(O(H343="";J343="");"";SI(J343&lt;=H343;"SÍ";"NO"))</f>
        <v/>
      </c>
      <c r="O343" s="14">
        <f>SI(O(I343="";K343="");"";SI(K343&lt;=SI(M343&lt;&gt;"";M343;I343);"SÍ";"NO"))</f>
        <v/>
      </c>
      <c r="P343" s="14">
        <f>SI(O(N343="";O343="");"";SI(Y(N343="SÍ";O343="SÍ");"SÍ";"NO"))</f>
        <v/>
      </c>
      <c r="Q343" s="16">
        <f>SI(O(I343="";K343="");"";MAX(0;ENTERO(K343)-ENTERO(SI(M343&lt;&gt;"";M343;I343))))</f>
        <v/>
      </c>
      <c r="R343" s="14" t="n"/>
      <c r="S343" s="14" t="n"/>
      <c r="T343" s="15" t="n"/>
      <c r="U343" s="14" t="n">
        <v>19</v>
      </c>
      <c r="V343" s="14" t="n"/>
    </row>
    <row r="344">
      <c r="A344" s="11" t="n">
        <v>6315</v>
      </c>
      <c r="B344" s="11" t="inlineStr">
        <is>
          <t>CENTRAL DE ABASTOS SINCELEJO</t>
        </is>
      </c>
      <c r="C344" s="11" t="inlineStr">
        <is>
          <t>Sincelejo</t>
        </is>
      </c>
      <c r="D344" s="11" t="inlineStr">
        <is>
          <t>Sucre</t>
        </is>
      </c>
      <c r="E344" s="11" t="inlineStr">
        <is>
          <t>COSTA</t>
        </is>
      </c>
      <c r="F344" s="11" t="inlineStr">
        <is>
          <t>Laura Camila Ospino Taborda</t>
        </is>
      </c>
      <c r="G344" s="11" t="inlineStr">
        <is>
          <t>3</t>
        </is>
      </c>
      <c r="H344" s="12" t="n">
        <v>46286</v>
      </c>
      <c r="I344" s="12" t="n">
        <v>46286</v>
      </c>
      <c r="J344" s="12" t="n"/>
      <c r="K344" s="12" t="n"/>
      <c r="L344" s="11" t="inlineStr">
        <is>
          <t>Programada</t>
        </is>
      </c>
      <c r="M344" s="12" t="n"/>
      <c r="N344" s="11">
        <f>SI(O(H344="";J344="");"";SI(J344&lt;=H344;"SÍ";"NO"))</f>
        <v/>
      </c>
      <c r="O344" s="11">
        <f>SI(O(I344="";K344="");"";SI(K344&lt;=SI(M344&lt;&gt;"";M344;I344);"SÍ";"NO"))</f>
        <v/>
      </c>
      <c r="P344" s="11">
        <f>SI(O(N344="";O344="");"";SI(Y(N344="SÍ";O344="SÍ");"SÍ";"NO"))</f>
        <v/>
      </c>
      <c r="Q344" s="13">
        <f>SI(O(I344="";K344="");"";MAX(0;ENTERO(K344)-ENTERO(SI(M344&lt;&gt;"";M344;I344))))</f>
        <v/>
      </c>
      <c r="R344" s="11" t="n"/>
      <c r="S344" s="11" t="n"/>
      <c r="T344" s="12" t="n"/>
      <c r="U344" s="11" t="n">
        <v>20</v>
      </c>
      <c r="V344" s="11" t="n"/>
    </row>
    <row r="345">
      <c r="A345" s="14" t="n">
        <v>6324</v>
      </c>
      <c r="B345" s="14" t="inlineStr">
        <is>
          <t>GUARANDA</t>
        </is>
      </c>
      <c r="C345" s="14" t="inlineStr">
        <is>
          <t>Guaranda</t>
        </is>
      </c>
      <c r="D345" s="14" t="inlineStr">
        <is>
          <t>Sucre</t>
        </is>
      </c>
      <c r="E345" s="14" t="inlineStr">
        <is>
          <t>COSTA</t>
        </is>
      </c>
      <c r="F345" s="14" t="inlineStr">
        <is>
          <t>Jorge Felipe Munive Medina</t>
        </is>
      </c>
      <c r="G345" s="14" t="inlineStr">
        <is>
          <t>4</t>
        </is>
      </c>
      <c r="H345" s="15" t="n">
        <v>46286</v>
      </c>
      <c r="I345" s="15" t="n">
        <v>46286</v>
      </c>
      <c r="J345" s="15" t="n"/>
      <c r="K345" s="15" t="n"/>
      <c r="L345" s="14" t="inlineStr">
        <is>
          <t>Programada</t>
        </is>
      </c>
      <c r="M345" s="15" t="n"/>
      <c r="N345" s="14">
        <f>SI(O(H345="";J345="");"";SI(J345&lt;=H345;"SÍ";"NO"))</f>
        <v/>
      </c>
      <c r="O345" s="14">
        <f>SI(O(I345="";K345="");"";SI(K345&lt;=SI(M345&lt;&gt;"";M345;I345);"SÍ";"NO"))</f>
        <v/>
      </c>
      <c r="P345" s="14">
        <f>SI(O(N345="";O345="");"";SI(Y(N345="SÍ";O345="SÍ");"SÍ";"NO"))</f>
        <v/>
      </c>
      <c r="Q345" s="16">
        <f>SI(O(I345="";K345="");"";MAX(0;ENTERO(K345)-ENTERO(SI(M345&lt;&gt;"";M345;I345))))</f>
        <v/>
      </c>
      <c r="R345" s="14" t="n"/>
      <c r="S345" s="14" t="n"/>
      <c r="T345" s="15" t="n"/>
      <c r="U345" s="14" t="n">
        <v>18</v>
      </c>
      <c r="V345" s="14" t="n"/>
    </row>
    <row r="346">
      <c r="A346" s="11" t="n">
        <v>6916</v>
      </c>
      <c r="B346" s="11" t="inlineStr">
        <is>
          <t>SILVIA</t>
        </is>
      </c>
      <c r="C346" s="11" t="inlineStr">
        <is>
          <t>Silvia</t>
        </is>
      </c>
      <c r="D346" s="11" t="inlineStr">
        <is>
          <t>Cauca</t>
        </is>
      </c>
      <c r="E346" s="11" t="inlineStr">
        <is>
          <t>OCCIDENTE</t>
        </is>
      </c>
      <c r="F346" s="11" t="inlineStr">
        <is>
          <t>Holmes Arley Astudillo Fajardo</t>
        </is>
      </c>
      <c r="G346" s="11" t="inlineStr">
        <is>
          <t>1</t>
        </is>
      </c>
      <c r="H346" s="12" t="n">
        <v>46286</v>
      </c>
      <c r="I346" s="12" t="n">
        <v>46286</v>
      </c>
      <c r="J346" s="12" t="n"/>
      <c r="K346" s="12" t="n"/>
      <c r="L346" s="11" t="inlineStr">
        <is>
          <t>Programada</t>
        </is>
      </c>
      <c r="M346" s="12" t="n"/>
      <c r="N346" s="11">
        <f>SI(O(H346="";J346="");"";SI(J346&lt;=H346;"SÍ";"NO"))</f>
        <v/>
      </c>
      <c r="O346" s="11">
        <f>SI(O(I346="";K346="");"";SI(K346&lt;=SI(M346&lt;&gt;"";M346;I346);"SÍ";"NO"))</f>
        <v/>
      </c>
      <c r="P346" s="11">
        <f>SI(O(N346="";O346="");"";SI(Y(N346="SÍ";O346="SÍ");"SÍ";"NO"))</f>
        <v/>
      </c>
      <c r="Q346" s="13">
        <f>SI(O(I346="";K346="");"";MAX(0;ENTERO(K346)-ENTERO(SI(M346&lt;&gt;"";M346;I346))))</f>
        <v/>
      </c>
      <c r="R346" s="11" t="n"/>
      <c r="S346" s="11" t="n"/>
      <c r="T346" s="12" t="n"/>
      <c r="U346" s="11" t="n">
        <v>18</v>
      </c>
      <c r="V346" s="11" t="n"/>
    </row>
    <row r="347">
      <c r="A347" s="14" t="n">
        <v>7370</v>
      </c>
      <c r="B347" s="14" t="inlineStr">
        <is>
          <t>TAME</t>
        </is>
      </c>
      <c r="C347" s="14" t="inlineStr">
        <is>
          <t>Tame</t>
        </is>
      </c>
      <c r="D347" s="14" t="inlineStr">
        <is>
          <t>Arauca</t>
        </is>
      </c>
      <c r="E347" s="14" t="inlineStr">
        <is>
          <t>BOGOTA</t>
        </is>
      </c>
      <c r="F347" s="14" t="inlineStr">
        <is>
          <t>JOAQUIN DE JESUS ROMERO PIÑEREZ</t>
        </is>
      </c>
      <c r="G347" s="14" t="inlineStr">
        <is>
          <t>6</t>
        </is>
      </c>
      <c r="H347" s="15" t="n">
        <v>46286</v>
      </c>
      <c r="I347" s="15" t="n">
        <v>46287</v>
      </c>
      <c r="J347" s="15" t="n"/>
      <c r="K347" s="15" t="n"/>
      <c r="L347" s="14" t="inlineStr">
        <is>
          <t>Programada</t>
        </is>
      </c>
      <c r="M347" s="15" t="n"/>
      <c r="N347" s="14">
        <f>SI(O(H347="";J347="");"";SI(J347&lt;=H347;"SÍ";"NO"))</f>
        <v/>
      </c>
      <c r="O347" s="14">
        <f>SI(O(I347="";K347="");"";SI(K347&lt;=SI(M347&lt;&gt;"";M347;I347);"SÍ";"NO"))</f>
        <v/>
      </c>
      <c r="P347" s="14">
        <f>SI(O(N347="";O347="");"";SI(Y(N347="SÍ";O347="SÍ");"SÍ";"NO"))</f>
        <v/>
      </c>
      <c r="Q347" s="16">
        <f>SI(O(I347="";K347="");"";MAX(0;ENTERO(K347)-ENTERO(SI(M347&lt;&gt;"";M347;I347))))</f>
        <v/>
      </c>
      <c r="R347" s="14" t="n"/>
      <c r="S347" s="14" t="n"/>
      <c r="T347" s="15" t="n"/>
      <c r="U347" s="14" t="n">
        <v>41</v>
      </c>
      <c r="V347" s="14" t="n"/>
    </row>
    <row r="348">
      <c r="A348" s="11" t="n">
        <v>8645</v>
      </c>
      <c r="B348" s="11" t="inlineStr">
        <is>
          <t>PAZ DE ARIPORO</t>
        </is>
      </c>
      <c r="C348" s="11" t="inlineStr">
        <is>
          <t>Paz De Ariporo</t>
        </is>
      </c>
      <c r="D348" s="11" t="inlineStr">
        <is>
          <t>Casanare</t>
        </is>
      </c>
      <c r="E348" s="11" t="inlineStr">
        <is>
          <t>ORIENTE</t>
        </is>
      </c>
      <c r="F348" s="11" t="inlineStr">
        <is>
          <t>Juan Sebastian Lopez Acevedo</t>
        </is>
      </c>
      <c r="G348" s="11" t="inlineStr">
        <is>
          <t>4</t>
        </is>
      </c>
      <c r="H348" s="12" t="n">
        <v>46286</v>
      </c>
      <c r="I348" s="12" t="n">
        <v>46287</v>
      </c>
      <c r="J348" s="12" t="n"/>
      <c r="K348" s="12" t="n"/>
      <c r="L348" s="11" t="inlineStr">
        <is>
          <t>Programada</t>
        </is>
      </c>
      <c r="M348" s="12" t="n"/>
      <c r="N348" s="11">
        <f>SI(O(H348="";J348="");"";SI(J348&lt;=H348;"SÍ";"NO"))</f>
        <v/>
      </c>
      <c r="O348" s="11">
        <f>SI(O(I348="";K348="");"";SI(K348&lt;=SI(M348&lt;&gt;"";M348;I348);"SÍ";"NO"))</f>
        <v/>
      </c>
      <c r="P348" s="11">
        <f>SI(O(N348="";O348="");"";SI(Y(N348="SÍ";O348="SÍ");"SÍ";"NO"))</f>
        <v/>
      </c>
      <c r="Q348" s="13">
        <f>SI(O(I348="";K348="");"";MAX(0;ENTERO(K348)-ENTERO(SI(M348&lt;&gt;"";M348;I348))))</f>
        <v/>
      </c>
      <c r="R348" s="11" t="n"/>
      <c r="S348" s="11" t="n"/>
      <c r="T348" s="12" t="n"/>
      <c r="U348" s="11" t="n">
        <v>30</v>
      </c>
      <c r="V348" s="11" t="n"/>
    </row>
    <row r="349">
      <c r="A349" s="14" t="n">
        <v>1203</v>
      </c>
      <c r="B349" s="14" t="inlineStr">
        <is>
          <t>ACHI</t>
        </is>
      </c>
      <c r="C349" s="14" t="inlineStr">
        <is>
          <t>Achí</t>
        </is>
      </c>
      <c r="D349" s="14" t="inlineStr">
        <is>
          <t>Bolívar</t>
        </is>
      </c>
      <c r="E349" s="14" t="inlineStr">
        <is>
          <t>COSTA</t>
        </is>
      </c>
      <c r="F349" s="14" t="inlineStr">
        <is>
          <t>Jorge Felipe Munive Medina</t>
        </is>
      </c>
      <c r="G349" s="14" t="inlineStr">
        <is>
          <t>2</t>
        </is>
      </c>
      <c r="H349" s="15" t="n">
        <v>46287</v>
      </c>
      <c r="I349" s="15" t="n">
        <v>46287</v>
      </c>
      <c r="J349" s="15" t="n"/>
      <c r="K349" s="15" t="n"/>
      <c r="L349" s="14" t="inlineStr">
        <is>
          <t>Programada</t>
        </is>
      </c>
      <c r="M349" s="15" t="n"/>
      <c r="N349" s="14">
        <f>SI(O(H349="";J349="");"";SI(J349&lt;=H349;"SÍ";"NO"))</f>
        <v/>
      </c>
      <c r="O349" s="14">
        <f>SI(O(I349="";K349="");"";SI(K349&lt;=SI(M349&lt;&gt;"";M349;I349);"SÍ";"NO"))</f>
        <v/>
      </c>
      <c r="P349" s="14">
        <f>SI(O(N349="";O349="");"";SI(Y(N349="SÍ";O349="SÍ");"SÍ";"NO"))</f>
        <v/>
      </c>
      <c r="Q349" s="16">
        <f>SI(O(I349="";K349="");"";MAX(0;ENTERO(K349)-ENTERO(SI(M349&lt;&gt;"";M349;I349))))</f>
        <v/>
      </c>
      <c r="R349" s="14" t="n"/>
      <c r="S349" s="14" t="n"/>
      <c r="T349" s="15" t="n"/>
      <c r="U349" s="14" t="n">
        <v>15</v>
      </c>
      <c r="V349" s="14" t="n"/>
    </row>
    <row r="350">
      <c r="A350" s="11" t="n">
        <v>1303</v>
      </c>
      <c r="B350" s="11" t="inlineStr">
        <is>
          <t>MEDELLIN MILLA DE ORO</t>
        </is>
      </c>
      <c r="C350" s="11" t="inlineStr">
        <is>
          <t>Medellín</t>
        </is>
      </c>
      <c r="D350" s="11" t="inlineStr">
        <is>
          <t>Antioquia</t>
        </is>
      </c>
      <c r="E350" s="11" t="inlineStr">
        <is>
          <t>ANTIOQUIA</t>
        </is>
      </c>
      <c r="F350" s="11" t="inlineStr">
        <is>
          <t>Andrés Mariano Bustamante Castro</t>
        </is>
      </c>
      <c r="G350" s="11" t="inlineStr">
        <is>
          <t>3</t>
        </is>
      </c>
      <c r="H350" s="12" t="n">
        <v>46287</v>
      </c>
      <c r="I350" s="12" t="n">
        <v>46289</v>
      </c>
      <c r="J350" s="12" t="n"/>
      <c r="K350" s="12" t="n"/>
      <c r="L350" s="11" t="inlineStr">
        <is>
          <t>Programada</t>
        </is>
      </c>
      <c r="M350" s="12" t="n"/>
      <c r="N350" s="11">
        <f>SI(O(H350="";J350="");"";SI(J350&lt;=H350;"SÍ";"NO"))</f>
        <v/>
      </c>
      <c r="O350" s="11">
        <f>SI(O(I350="";K350="");"";SI(K350&lt;=SI(M350&lt;&gt;"";M350;I350);"SÍ";"NO"))</f>
        <v/>
      </c>
      <c r="P350" s="11">
        <f>SI(O(N350="";O350="");"";SI(Y(N350="SÍ";O350="SÍ");"SÍ";"NO"))</f>
        <v/>
      </c>
      <c r="Q350" s="13">
        <f>SI(O(I350="";K350="");"";MAX(0;ENTERO(K350)-ENTERO(SI(M350&lt;&gt;"";M350;I350))))</f>
        <v/>
      </c>
      <c r="R350" s="11" t="n"/>
      <c r="S350" s="11" t="n"/>
      <c r="T350" s="12" t="n"/>
      <c r="U350" s="11" t="n">
        <v>28</v>
      </c>
      <c r="V350" s="11" t="n"/>
    </row>
    <row r="351">
      <c r="A351" s="14" t="n">
        <v>1386</v>
      </c>
      <c r="B351" s="14" t="inlineStr">
        <is>
          <t>SAN JERONIMO</t>
        </is>
      </c>
      <c r="C351" s="14" t="inlineStr">
        <is>
          <t>San Jerónimo</t>
        </is>
      </c>
      <c r="D351" s="14" t="inlineStr">
        <is>
          <t>Antioquia</t>
        </is>
      </c>
      <c r="E351" s="14" t="inlineStr">
        <is>
          <t>ANTIOQUIA</t>
        </is>
      </c>
      <c r="F351" s="14" t="inlineStr">
        <is>
          <t>Ever Enrique Esquivel Movilla</t>
        </is>
      </c>
      <c r="G351" s="14" t="inlineStr">
        <is>
          <t>4</t>
        </is>
      </c>
      <c r="H351" s="15" t="n">
        <v>46287</v>
      </c>
      <c r="I351" s="15" t="n">
        <v>46287</v>
      </c>
      <c r="J351" s="15" t="n"/>
      <c r="K351" s="15" t="n"/>
      <c r="L351" s="14" t="inlineStr">
        <is>
          <t>Programada</t>
        </is>
      </c>
      <c r="M351" s="15" t="n"/>
      <c r="N351" s="14">
        <f>SI(O(H351="";J351="");"";SI(J351&lt;=H351;"SÍ";"NO"))</f>
        <v/>
      </c>
      <c r="O351" s="14">
        <f>SI(O(I351="";K351="");"";SI(K351&lt;=SI(M351&lt;&gt;"";M351;I351);"SÍ";"NO"))</f>
        <v/>
      </c>
      <c r="P351" s="14">
        <f>SI(O(N351="";O351="");"";SI(Y(N351="SÍ";O351="SÍ");"SÍ";"NO"))</f>
        <v/>
      </c>
      <c r="Q351" s="16">
        <f>SI(O(I351="";K351="");"";MAX(0;ENTERO(K351)-ENTERO(SI(M351&lt;&gt;"";M351;I351))))</f>
        <v/>
      </c>
      <c r="R351" s="14" t="n"/>
      <c r="S351" s="14" t="n"/>
      <c r="T351" s="15" t="n"/>
      <c r="U351" s="14" t="n">
        <v>17</v>
      </c>
      <c r="V351" s="14" t="n"/>
    </row>
    <row r="352">
      <c r="A352" s="11" t="n">
        <v>1435</v>
      </c>
      <c r="B352" s="11" t="inlineStr">
        <is>
          <t>MACEO</t>
        </is>
      </c>
      <c r="C352" s="11" t="inlineStr">
        <is>
          <t>Maceo</t>
        </is>
      </c>
      <c r="D352" s="11" t="inlineStr">
        <is>
          <t>Antioquia</t>
        </is>
      </c>
      <c r="E352" s="11" t="inlineStr">
        <is>
          <t>ANTIOQUIA</t>
        </is>
      </c>
      <c r="F352" s="11" t="inlineStr">
        <is>
          <t>Juan Pablo Osorio Ramirez</t>
        </is>
      </c>
      <c r="G352" s="11" t="inlineStr">
        <is>
          <t>1</t>
        </is>
      </c>
      <c r="H352" s="12" t="n">
        <v>46287</v>
      </c>
      <c r="I352" s="12" t="n">
        <v>46287</v>
      </c>
      <c r="J352" s="12" t="n"/>
      <c r="K352" s="12" t="n"/>
      <c r="L352" s="11" t="inlineStr">
        <is>
          <t>Programada</t>
        </is>
      </c>
      <c r="M352" s="12" t="n"/>
      <c r="N352" s="11">
        <f>SI(O(H352="";J352="");"";SI(J352&lt;=H352;"SÍ";"NO"))</f>
        <v/>
      </c>
      <c r="O352" s="11">
        <f>SI(O(I352="";K352="");"";SI(K352&lt;=SI(M352&lt;&gt;"";M352;I352);"SÍ";"NO"))</f>
        <v/>
      </c>
      <c r="P352" s="11">
        <f>SI(O(N352="";O352="");"";SI(Y(N352="SÍ";O352="SÍ");"SÍ";"NO"))</f>
        <v/>
      </c>
      <c r="Q352" s="13">
        <f>SI(O(I352="";K352="");"";MAX(0;ENTERO(K352)-ENTERO(SI(M352&lt;&gt;"";M352;I352))))</f>
        <v/>
      </c>
      <c r="R352" s="11" t="n"/>
      <c r="S352" s="11" t="n"/>
      <c r="T352" s="12" t="n"/>
      <c r="U352" s="11" t="n">
        <v>13</v>
      </c>
      <c r="V352" s="11" t="n"/>
    </row>
    <row r="353">
      <c r="A353" s="14" t="n">
        <v>1456</v>
      </c>
      <c r="B353" s="14" t="inlineStr">
        <is>
          <t>VEGACHI</t>
        </is>
      </c>
      <c r="C353" s="14" t="inlineStr">
        <is>
          <t>Vegachí</t>
        </is>
      </c>
      <c r="D353" s="14" t="inlineStr">
        <is>
          <t>Antioquia</t>
        </is>
      </c>
      <c r="E353" s="14" t="inlineStr">
        <is>
          <t>ANTIOQUIA</t>
        </is>
      </c>
      <c r="F353" s="14" t="inlineStr">
        <is>
          <t>Juan Pablo Osorio Ramirez</t>
        </is>
      </c>
      <c r="G353" s="14" t="inlineStr">
        <is>
          <t>2</t>
        </is>
      </c>
      <c r="H353" s="15" t="n">
        <v>46287</v>
      </c>
      <c r="I353" s="15" t="n">
        <v>46287</v>
      </c>
      <c r="J353" s="15" t="n"/>
      <c r="K353" s="15" t="n"/>
      <c r="L353" s="14" t="inlineStr">
        <is>
          <t>Programada</t>
        </is>
      </c>
      <c r="M353" s="15" t="n"/>
      <c r="N353" s="14">
        <f>SI(O(H353="";J353="");"";SI(J353&lt;=H353;"SÍ";"NO"))</f>
        <v/>
      </c>
      <c r="O353" s="14">
        <f>SI(O(I353="";K353="");"";SI(K353&lt;=SI(M353&lt;&gt;"";M353;I353);"SÍ";"NO"))</f>
        <v/>
      </c>
      <c r="P353" s="14">
        <f>SI(O(N353="";O353="");"";SI(Y(N353="SÍ";O353="SÍ");"SÍ";"NO"))</f>
        <v/>
      </c>
      <c r="Q353" s="16">
        <f>SI(O(I353="";K353="");"";MAX(0;ENTERO(K353)-ENTERO(SI(M353&lt;&gt;"";M353;I353))))</f>
        <v/>
      </c>
      <c r="R353" s="14" t="n"/>
      <c r="S353" s="14" t="n"/>
      <c r="T353" s="15" t="n"/>
      <c r="U353" s="14" t="n">
        <v>14</v>
      </c>
      <c r="V353" s="14" t="n"/>
    </row>
    <row r="354">
      <c r="A354" s="11" t="n">
        <v>1528</v>
      </c>
      <c r="B354" s="11" t="inlineStr">
        <is>
          <t>GACHANTIVA</t>
        </is>
      </c>
      <c r="C354" s="11" t="inlineStr">
        <is>
          <t>Gachantivá</t>
        </is>
      </c>
      <c r="D354" s="11" t="inlineStr">
        <is>
          <t>Boyacá</t>
        </is>
      </c>
      <c r="E354" s="11" t="inlineStr">
        <is>
          <t>ORIENTE</t>
        </is>
      </c>
      <c r="F354" s="11" t="inlineStr">
        <is>
          <t>CRISTIAN CAMILO DIAZ NOY</t>
        </is>
      </c>
      <c r="G354" s="11" t="inlineStr">
        <is>
          <t>1</t>
        </is>
      </c>
      <c r="H354" s="12" t="n">
        <v>46287</v>
      </c>
      <c r="I354" s="12" t="n">
        <v>46288</v>
      </c>
      <c r="J354" s="12" t="n"/>
      <c r="K354" s="12" t="n"/>
      <c r="L354" s="11" t="inlineStr">
        <is>
          <t>Programada</t>
        </is>
      </c>
      <c r="M354" s="12" t="n"/>
      <c r="N354" s="11">
        <f>SI(O(H354="";J354="");"";SI(J354&lt;=H354;"SÍ";"NO"))</f>
        <v/>
      </c>
      <c r="O354" s="11">
        <f>SI(O(I354="";K354="");"";SI(K354&lt;=SI(M354&lt;&gt;"";M354;I354);"SÍ";"NO"))</f>
        <v/>
      </c>
      <c r="P354" s="11">
        <f>SI(O(N354="";O354="");"";SI(Y(N354="SÍ";O354="SÍ");"SÍ";"NO"))</f>
        <v/>
      </c>
      <c r="Q354" s="13">
        <f>SI(O(I354="";K354="");"";MAX(0;ENTERO(K354)-ENTERO(SI(M354&lt;&gt;"";M354;I354))))</f>
        <v/>
      </c>
      <c r="R354" s="11" t="n"/>
      <c r="S354" s="11" t="n"/>
      <c r="T354" s="12" t="n"/>
      <c r="U354" s="11" t="n">
        <v>13</v>
      </c>
      <c r="V354" s="11" t="n"/>
    </row>
    <row r="355">
      <c r="A355" s="14" t="n">
        <v>1542</v>
      </c>
      <c r="B355" s="14" t="inlineStr">
        <is>
          <t>LABRANZAGRANDE</t>
        </is>
      </c>
      <c r="C355" s="14" t="inlineStr">
        <is>
          <t>Labranzagrande</t>
        </is>
      </c>
      <c r="D355" s="14" t="inlineStr">
        <is>
          <t>Boyacá</t>
        </is>
      </c>
      <c r="E355" s="14" t="inlineStr">
        <is>
          <t>ORIENTE</t>
        </is>
      </c>
      <c r="F355" s="14" t="inlineStr">
        <is>
          <t>Luz Nélida Barragán Toro</t>
        </is>
      </c>
      <c r="G355" s="14" t="inlineStr">
        <is>
          <t>2</t>
        </is>
      </c>
      <c r="H355" s="15" t="n">
        <v>46287</v>
      </c>
      <c r="I355" s="15" t="n">
        <v>46288</v>
      </c>
      <c r="J355" s="15" t="n"/>
      <c r="K355" s="15" t="n"/>
      <c r="L355" s="14" t="inlineStr">
        <is>
          <t>Programada</t>
        </is>
      </c>
      <c r="M355" s="15" t="n"/>
      <c r="N355" s="14">
        <f>SI(O(H355="";J355="");"";SI(J355&lt;=H355;"SÍ";"NO"))</f>
        <v/>
      </c>
      <c r="O355" s="14">
        <f>SI(O(I355="";K355="");"";SI(K355&lt;=SI(M355&lt;&gt;"";M355;I355);"SÍ";"NO"))</f>
        <v/>
      </c>
      <c r="P355" s="14">
        <f>SI(O(N355="";O355="");"";SI(Y(N355="SÍ";O355="SÍ");"SÍ";"NO"))</f>
        <v/>
      </c>
      <c r="Q355" s="16">
        <f>SI(O(I355="";K355="");"";MAX(0;ENTERO(K355)-ENTERO(SI(M355&lt;&gt;"";M355;I355))))</f>
        <v/>
      </c>
      <c r="R355" s="14" t="n"/>
      <c r="S355" s="14" t="n"/>
      <c r="T355" s="15" t="n"/>
      <c r="U355" s="14" t="n">
        <v>15</v>
      </c>
      <c r="V355" s="14" t="n"/>
    </row>
    <row r="356">
      <c r="A356" s="11" t="n">
        <v>1589</v>
      </c>
      <c r="B356" s="11" t="inlineStr">
        <is>
          <t>TURMEQUE</t>
        </is>
      </c>
      <c r="C356" s="11" t="inlineStr">
        <is>
          <t>Turmequé</t>
        </is>
      </c>
      <c r="D356" s="11" t="inlineStr">
        <is>
          <t>Boyacá</t>
        </is>
      </c>
      <c r="E356" s="11" t="inlineStr">
        <is>
          <t>ORIENTE</t>
        </is>
      </c>
      <c r="F356" s="11" t="inlineStr">
        <is>
          <t>Andrés Felipe Díaz Noy</t>
        </is>
      </c>
      <c r="G356" s="11" t="inlineStr">
        <is>
          <t>2</t>
        </is>
      </c>
      <c r="H356" s="12" t="n">
        <v>46287</v>
      </c>
      <c r="I356" s="12" t="n">
        <v>46288</v>
      </c>
      <c r="J356" s="12" t="n"/>
      <c r="K356" s="12" t="n"/>
      <c r="L356" s="11" t="inlineStr">
        <is>
          <t>Programada</t>
        </is>
      </c>
      <c r="M356" s="12" t="n"/>
      <c r="N356" s="11">
        <f>SI(O(H356="";J356="");"";SI(J356&lt;=H356;"SÍ";"NO"))</f>
        <v/>
      </c>
      <c r="O356" s="11">
        <f>SI(O(I356="";K356="");"";SI(K356&lt;=SI(M356&lt;&gt;"";M356;I356);"SÍ";"NO"))</f>
        <v/>
      </c>
      <c r="P356" s="11">
        <f>SI(O(N356="";O356="");"";SI(Y(N356="SÍ";O356="SÍ");"SÍ";"NO"))</f>
        <v/>
      </c>
      <c r="Q356" s="13">
        <f>SI(O(I356="";K356="");"";MAX(0;ENTERO(K356)-ENTERO(SI(M356&lt;&gt;"";M356;I356))))</f>
        <v/>
      </c>
      <c r="R356" s="11" t="n"/>
      <c r="S356" s="11" t="n"/>
      <c r="T356" s="12" t="n"/>
      <c r="U356" s="11" t="n">
        <v>15</v>
      </c>
      <c r="V356" s="11" t="n"/>
    </row>
    <row r="357">
      <c r="A357" s="14" t="n">
        <v>1592</v>
      </c>
      <c r="B357" s="14" t="inlineStr">
        <is>
          <t>UMBITA</t>
        </is>
      </c>
      <c r="C357" s="14" t="inlineStr">
        <is>
          <t>Umbita</t>
        </is>
      </c>
      <c r="D357" s="14" t="inlineStr">
        <is>
          <t>Boyacá</t>
        </is>
      </c>
      <c r="E357" s="14" t="inlineStr">
        <is>
          <t>ORIENTE</t>
        </is>
      </c>
      <c r="F357" s="14" t="inlineStr">
        <is>
          <t>Mauricio Andrés Rivera Páez</t>
        </is>
      </c>
      <c r="G357" s="14" t="inlineStr">
        <is>
          <t>3</t>
        </is>
      </c>
      <c r="H357" s="15" t="n">
        <v>46287</v>
      </c>
      <c r="I357" s="15" t="n">
        <v>46288</v>
      </c>
      <c r="J357" s="15" t="n"/>
      <c r="K357" s="15" t="n"/>
      <c r="L357" s="14" t="inlineStr">
        <is>
          <t>Programada</t>
        </is>
      </c>
      <c r="M357" s="15" t="n"/>
      <c r="N357" s="14">
        <f>SI(O(H357="";J357="");"";SI(J357&lt;=H357;"SÍ";"NO"))</f>
        <v/>
      </c>
      <c r="O357" s="14">
        <f>SI(O(I357="";K357="");"";SI(K357&lt;=SI(M357&lt;&gt;"";M357;I357);"SÍ";"NO"))</f>
        <v/>
      </c>
      <c r="P357" s="14">
        <f>SI(O(N357="";O357="");"";SI(Y(N357="SÍ";O357="SÍ");"SÍ";"NO"))</f>
        <v/>
      </c>
      <c r="Q357" s="16">
        <f>SI(O(I357="";K357="");"";MAX(0;ENTERO(K357)-ENTERO(SI(M357&lt;&gt;"";M357;I357))))</f>
        <v/>
      </c>
      <c r="R357" s="14" t="n"/>
      <c r="S357" s="14" t="n"/>
      <c r="T357" s="15" t="n"/>
      <c r="U357" s="14" t="n">
        <v>22</v>
      </c>
      <c r="V357" s="14" t="n"/>
    </row>
    <row r="358">
      <c r="A358" s="11" t="n">
        <v>1626</v>
      </c>
      <c r="B358" s="11" t="inlineStr">
        <is>
          <t>CAMPO DE LA CRUZ</t>
        </is>
      </c>
      <c r="C358" s="11" t="inlineStr">
        <is>
          <t>Campo De La Cruz</t>
        </is>
      </c>
      <c r="D358" s="11" t="inlineStr">
        <is>
          <t>Atlántico</t>
        </is>
      </c>
      <c r="E358" s="11" t="inlineStr">
        <is>
          <t>COSTA</t>
        </is>
      </c>
      <c r="F358" s="11" t="inlineStr">
        <is>
          <t>Hernando Arenas Lambis</t>
        </is>
      </c>
      <c r="G358" s="11" t="inlineStr">
        <is>
          <t>2</t>
        </is>
      </c>
      <c r="H358" s="12" t="n">
        <v>46287</v>
      </c>
      <c r="I358" s="12" t="n">
        <v>46287</v>
      </c>
      <c r="J358" s="12" t="n"/>
      <c r="K358" s="12" t="n"/>
      <c r="L358" s="11" t="inlineStr">
        <is>
          <t>Programada</t>
        </is>
      </c>
      <c r="M358" s="12" t="n"/>
      <c r="N358" s="11">
        <f>SI(O(H358="";J358="");"";SI(J358&lt;=H358;"SÍ";"NO"))</f>
        <v/>
      </c>
      <c r="O358" s="11">
        <f>SI(O(I358="";K358="");"";SI(K358&lt;=SI(M358&lt;&gt;"";M358;I358);"SÍ";"NO"))</f>
        <v/>
      </c>
      <c r="P358" s="11">
        <f>SI(O(N358="";O358="");"";SI(Y(N358="SÍ";O358="SÍ");"SÍ";"NO"))</f>
        <v/>
      </c>
      <c r="Q358" s="13">
        <f>SI(O(I358="";K358="");"";MAX(0;ENTERO(K358)-ENTERO(SI(M358&lt;&gt;"";M358;I358))))</f>
        <v/>
      </c>
      <c r="R358" s="11" t="n"/>
      <c r="S358" s="11" t="n"/>
      <c r="T358" s="12" t="n"/>
      <c r="U358" s="11" t="n">
        <v>14</v>
      </c>
      <c r="V358" s="11" t="n"/>
    </row>
    <row r="359">
      <c r="A359" s="14" t="n">
        <v>1812</v>
      </c>
      <c r="B359" s="14" t="inlineStr">
        <is>
          <t>NEIRA</t>
        </is>
      </c>
      <c r="C359" s="14" t="inlineStr">
        <is>
          <t>Neira</t>
        </is>
      </c>
      <c r="D359" s="14" t="inlineStr">
        <is>
          <t>Caldas</t>
        </is>
      </c>
      <c r="E359" s="14" t="inlineStr">
        <is>
          <t>CAFETERA</t>
        </is>
      </c>
      <c r="F359" s="14" t="inlineStr">
        <is>
          <t>JULIO  CESAR AUDELO  - ANDRES FELIPE BOTERO</t>
        </is>
      </c>
      <c r="G359" s="14" t="inlineStr">
        <is>
          <t>2</t>
        </is>
      </c>
      <c r="H359" s="15" t="n">
        <v>46287</v>
      </c>
      <c r="I359" s="15" t="n">
        <v>46288</v>
      </c>
      <c r="J359" s="15" t="n"/>
      <c r="K359" s="15" t="n"/>
      <c r="L359" s="14" t="inlineStr">
        <is>
          <t>Programada</t>
        </is>
      </c>
      <c r="M359" s="15" t="n"/>
      <c r="N359" s="14">
        <f>SI(O(H359="";J359="");"";SI(J359&lt;=H359;"SÍ";"NO"))</f>
        <v/>
      </c>
      <c r="O359" s="14">
        <f>SI(O(I359="";K359="");"";SI(K359&lt;=SI(M359&lt;&gt;"";M359;I359);"SÍ";"NO"))</f>
        <v/>
      </c>
      <c r="P359" s="14">
        <f>SI(O(N359="";O359="");"";SI(Y(N359="SÍ";O359="SÍ");"SÍ";"NO"))</f>
        <v/>
      </c>
      <c r="Q359" s="16">
        <f>SI(O(I359="";K359="");"";MAX(0;ENTERO(K359)-ENTERO(SI(M359&lt;&gt;"";M359;I359))))</f>
        <v/>
      </c>
      <c r="R359" s="14" t="n"/>
      <c r="S359" s="14" t="n"/>
      <c r="T359" s="15" t="n"/>
      <c r="U359" s="14" t="n">
        <v>18</v>
      </c>
      <c r="V359" s="14" t="n"/>
    </row>
    <row r="360">
      <c r="A360" s="11" t="n">
        <v>2747</v>
      </c>
      <c r="B360" s="11" t="inlineStr">
        <is>
          <t>LOS CORDOBAS</t>
        </is>
      </c>
      <c r="C360" s="11" t="inlineStr">
        <is>
          <t>Los Córdobas</t>
        </is>
      </c>
      <c r="D360" s="11" t="inlineStr">
        <is>
          <t>Córdoba</t>
        </is>
      </c>
      <c r="E360" s="11" t="inlineStr">
        <is>
          <t>COSTA</t>
        </is>
      </c>
      <c r="F360" s="11" t="inlineStr">
        <is>
          <t>Jhon Jairo Vergara Pelaez</t>
        </is>
      </c>
      <c r="G360" s="11" t="inlineStr">
        <is>
          <t>1</t>
        </is>
      </c>
      <c r="H360" s="12" t="n">
        <v>46287</v>
      </c>
      <c r="I360" s="12" t="n">
        <v>46287</v>
      </c>
      <c r="J360" s="12" t="n"/>
      <c r="K360" s="12" t="n"/>
      <c r="L360" s="11" t="inlineStr">
        <is>
          <t>Programada</t>
        </is>
      </c>
      <c r="M360" s="12" t="n"/>
      <c r="N360" s="11">
        <f>SI(O(H360="";J360="");"";SI(J360&lt;=H360;"SÍ";"NO"))</f>
        <v/>
      </c>
      <c r="O360" s="11">
        <f>SI(O(I360="";K360="");"";SI(K360&lt;=SI(M360&lt;&gt;"";M360;I360);"SÍ";"NO"))</f>
        <v/>
      </c>
      <c r="P360" s="11">
        <f>SI(O(N360="";O360="");"";SI(Y(N360="SÍ";O360="SÍ");"SÍ";"NO"))</f>
        <v/>
      </c>
      <c r="Q360" s="13">
        <f>SI(O(I360="";K360="");"";MAX(0;ENTERO(K360)-ENTERO(SI(M360&lt;&gt;"";M360;I360))))</f>
        <v/>
      </c>
      <c r="R360" s="11" t="n"/>
      <c r="S360" s="11" t="n"/>
      <c r="T360" s="12" t="n"/>
      <c r="U360" s="11" t="n">
        <v>13</v>
      </c>
      <c r="V360" s="11" t="n"/>
    </row>
    <row r="361">
      <c r="A361" s="14" t="n">
        <v>3110</v>
      </c>
      <c r="B361" s="14" t="inlineStr">
        <is>
          <t>AGUA DE DIOS</t>
        </is>
      </c>
      <c r="C361" s="14" t="inlineStr">
        <is>
          <t>Agua De Dios</t>
        </is>
      </c>
      <c r="D361" s="14" t="inlineStr">
        <is>
          <t>Cundinamarca</t>
        </is>
      </c>
      <c r="E361" s="14" t="inlineStr">
        <is>
          <t>BOGOTA</t>
        </is>
      </c>
      <c r="F361" s="14" t="inlineStr">
        <is>
          <t>Nelson Leonardo Paez Suarez</t>
        </is>
      </c>
      <c r="G361" s="14" t="inlineStr">
        <is>
          <t>2</t>
        </is>
      </c>
      <c r="H361" s="15" t="n">
        <v>46287</v>
      </c>
      <c r="I361" s="15" t="n">
        <v>46287</v>
      </c>
      <c r="J361" s="15" t="n"/>
      <c r="K361" s="15" t="n"/>
      <c r="L361" s="14" t="inlineStr">
        <is>
          <t>Programada</t>
        </is>
      </c>
      <c r="M361" s="15" t="n"/>
      <c r="N361" s="14">
        <f>SI(O(H361="";J361="");"";SI(J361&lt;=H361;"SÍ";"NO"))</f>
        <v/>
      </c>
      <c r="O361" s="14">
        <f>SI(O(I361="";K361="");"";SI(K361&lt;=SI(M361&lt;&gt;"";M361;I361);"SÍ";"NO"))</f>
        <v/>
      </c>
      <c r="P361" s="14">
        <f>SI(O(N361="";O361="");"";SI(Y(N361="SÍ";O361="SÍ");"SÍ";"NO"))</f>
        <v/>
      </c>
      <c r="Q361" s="16">
        <f>SI(O(I361="";K361="");"";MAX(0;ENTERO(K361)-ENTERO(SI(M361&lt;&gt;"";M361;I361))))</f>
        <v/>
      </c>
      <c r="R361" s="14" t="n"/>
      <c r="S361" s="14" t="n"/>
      <c r="T361" s="15" t="n"/>
      <c r="U361" s="14" t="n">
        <v>18</v>
      </c>
      <c r="V361" s="14" t="n"/>
    </row>
    <row r="362">
      <c r="A362" s="11" t="n">
        <v>3117</v>
      </c>
      <c r="B362" s="11" t="inlineStr">
        <is>
          <t>CAPARRAPI</t>
        </is>
      </c>
      <c r="C362" s="11" t="inlineStr">
        <is>
          <t>Caparrapí</t>
        </is>
      </c>
      <c r="D362" s="11" t="inlineStr">
        <is>
          <t>Cundinamarca</t>
        </is>
      </c>
      <c r="E362" s="11" t="inlineStr">
        <is>
          <t>BOGOTA</t>
        </is>
      </c>
      <c r="F362" s="11" t="inlineStr">
        <is>
          <t>Jhonatan Felipe Hernandez Gamboa</t>
        </is>
      </c>
      <c r="G362" s="11" t="inlineStr">
        <is>
          <t>3</t>
        </is>
      </c>
      <c r="H362" s="12" t="n">
        <v>46287</v>
      </c>
      <c r="I362" s="12" t="n">
        <v>46287</v>
      </c>
      <c r="J362" s="12" t="n"/>
      <c r="K362" s="12" t="n"/>
      <c r="L362" s="11" t="inlineStr">
        <is>
          <t>Programada</t>
        </is>
      </c>
      <c r="M362" s="12" t="n"/>
      <c r="N362" s="11">
        <f>SI(O(H362="";J362="");"";SI(J362&lt;=H362;"SÍ";"NO"))</f>
        <v/>
      </c>
      <c r="O362" s="11">
        <f>SI(O(I362="";K362="");"";SI(K362&lt;=SI(M362&lt;&gt;"";M362;I362);"SÍ";"NO"))</f>
        <v/>
      </c>
      <c r="P362" s="11">
        <f>SI(O(N362="";O362="");"";SI(Y(N362="SÍ";O362="SÍ");"SÍ";"NO"))</f>
        <v/>
      </c>
      <c r="Q362" s="13">
        <f>SI(O(I362="";K362="");"";MAX(0;ENTERO(K362)-ENTERO(SI(M362&lt;&gt;"";M362;I362))))</f>
        <v/>
      </c>
      <c r="R362" s="11" t="n"/>
      <c r="S362" s="11" t="n"/>
      <c r="T362" s="12" t="n"/>
      <c r="U362" s="11" t="n">
        <v>21</v>
      </c>
      <c r="V362" s="11" t="n"/>
    </row>
    <row r="363">
      <c r="A363" s="14" t="n">
        <v>3150</v>
      </c>
      <c r="B363" s="14" t="inlineStr">
        <is>
          <t>VENECIA</t>
        </is>
      </c>
      <c r="C363" s="14" t="inlineStr">
        <is>
          <t>Venecia</t>
        </is>
      </c>
      <c r="D363" s="14" t="inlineStr">
        <is>
          <t>Cundinamarca</t>
        </is>
      </c>
      <c r="E363" s="14" t="inlineStr">
        <is>
          <t>BOGOTA</t>
        </is>
      </c>
      <c r="F363" s="14" t="inlineStr">
        <is>
          <t>Edwin Santiago Cuchivaguen Diaz</t>
        </is>
      </c>
      <c r="G363" s="14" t="inlineStr">
        <is>
          <t>1</t>
        </is>
      </c>
      <c r="H363" s="15" t="n">
        <v>46287</v>
      </c>
      <c r="I363" s="15" t="n">
        <v>46287</v>
      </c>
      <c r="J363" s="15" t="n"/>
      <c r="K363" s="15" t="n"/>
      <c r="L363" s="14" t="inlineStr">
        <is>
          <t>Programada</t>
        </is>
      </c>
      <c r="M363" s="15" t="n"/>
      <c r="N363" s="14">
        <f>SI(O(H363="";J363="");"";SI(J363&lt;=H363;"SÍ";"NO"))</f>
        <v/>
      </c>
      <c r="O363" s="14">
        <f>SI(O(I363="";K363="");"";SI(K363&lt;=SI(M363&lt;&gt;"";M363;I363);"SÍ";"NO"))</f>
        <v/>
      </c>
      <c r="P363" s="14">
        <f>SI(O(N363="";O363="");"";SI(Y(N363="SÍ";O363="SÍ");"SÍ";"NO"))</f>
        <v/>
      </c>
      <c r="Q363" s="16">
        <f>SI(O(I363="";K363="");"";MAX(0;ENTERO(K363)-ENTERO(SI(M363&lt;&gt;"";M363;I363))))</f>
        <v/>
      </c>
      <c r="R363" s="14" t="n"/>
      <c r="S363" s="14" t="n"/>
      <c r="T363" s="15" t="n"/>
      <c r="U363" s="14" t="n">
        <v>13</v>
      </c>
      <c r="V363" s="14" t="n"/>
    </row>
    <row r="364">
      <c r="A364" s="11" t="n">
        <v>3161</v>
      </c>
      <c r="B364" s="11" t="inlineStr">
        <is>
          <t>SUPATA</t>
        </is>
      </c>
      <c r="C364" s="11" t="inlineStr">
        <is>
          <t>Supatá</t>
        </is>
      </c>
      <c r="D364" s="11" t="inlineStr">
        <is>
          <t>Cundinamarca</t>
        </is>
      </c>
      <c r="E364" s="11" t="inlineStr">
        <is>
          <t>BOGOTA</t>
        </is>
      </c>
      <c r="F364" s="11" t="inlineStr">
        <is>
          <t>Carlos Andres Cuchivaguen Diaz</t>
        </is>
      </c>
      <c r="G364" s="11" t="inlineStr">
        <is>
          <t>1</t>
        </is>
      </c>
      <c r="H364" s="12" t="n">
        <v>46287</v>
      </c>
      <c r="I364" s="12" t="n">
        <v>46287</v>
      </c>
      <c r="J364" s="12" t="n"/>
      <c r="K364" s="12" t="n"/>
      <c r="L364" s="11" t="inlineStr">
        <is>
          <t>Programada</t>
        </is>
      </c>
      <c r="M364" s="12" t="n"/>
      <c r="N364" s="11">
        <f>SI(O(H364="";J364="");"";SI(J364&lt;=H364;"SÍ";"NO"))</f>
        <v/>
      </c>
      <c r="O364" s="11">
        <f>SI(O(I364="";K364="");"";SI(K364&lt;=SI(M364&lt;&gt;"";M364;I364);"SÍ";"NO"))</f>
        <v/>
      </c>
      <c r="P364" s="11">
        <f>SI(O(N364="";O364="");"";SI(Y(N364="SÍ";O364="SÍ");"SÍ";"NO"))</f>
        <v/>
      </c>
      <c r="Q364" s="13">
        <f>SI(O(I364="";K364="");"";MAX(0;ENTERO(K364)-ENTERO(SI(M364&lt;&gt;"";M364;I364))))</f>
        <v/>
      </c>
      <c r="R364" s="11" t="n"/>
      <c r="S364" s="11" t="n"/>
      <c r="T364" s="12" t="n"/>
      <c r="U364" s="11" t="n">
        <v>13</v>
      </c>
      <c r="V364" s="11" t="n"/>
    </row>
    <row r="365">
      <c r="A365" s="14" t="n">
        <v>3903</v>
      </c>
      <c r="B365" s="14" t="inlineStr">
        <is>
          <t>ALGECIRAS</t>
        </is>
      </c>
      <c r="C365" s="14" t="inlineStr">
        <is>
          <t>Algeciras</t>
        </is>
      </c>
      <c r="D365" s="14" t="inlineStr">
        <is>
          <t>Huila</t>
        </is>
      </c>
      <c r="E365" s="14" t="inlineStr">
        <is>
          <t>SUR</t>
        </is>
      </c>
      <c r="F365" s="14" t="inlineStr">
        <is>
          <t>HAROLD STEED GARCIA</t>
        </is>
      </c>
      <c r="G365" s="14" t="inlineStr">
        <is>
          <t>4</t>
        </is>
      </c>
      <c r="H365" s="15" t="n">
        <v>46287</v>
      </c>
      <c r="I365" s="15" t="n">
        <v>46288</v>
      </c>
      <c r="J365" s="15" t="n"/>
      <c r="K365" s="15" t="n"/>
      <c r="L365" s="14" t="inlineStr">
        <is>
          <t>Programada</t>
        </is>
      </c>
      <c r="M365" s="15" t="n"/>
      <c r="N365" s="14">
        <f>SI(O(H365="";J365="");"";SI(J365&lt;=H365;"SÍ";"NO"))</f>
        <v/>
      </c>
      <c r="O365" s="14">
        <f>SI(O(I365="";K365="");"";SI(K365&lt;=SI(M365&lt;&gt;"";M365;I365);"SÍ";"NO"))</f>
        <v/>
      </c>
      <c r="P365" s="14">
        <f>SI(O(N365="";O365="");"";SI(Y(N365="SÍ";O365="SÍ");"SÍ";"NO"))</f>
        <v/>
      </c>
      <c r="Q365" s="16">
        <f>SI(O(I365="";K365="");"";MAX(0;ENTERO(K365)-ENTERO(SI(M365&lt;&gt;"";M365;I365))))</f>
        <v/>
      </c>
      <c r="R365" s="14" t="n"/>
      <c r="S365" s="14" t="n"/>
      <c r="T365" s="15" t="n"/>
      <c r="U365" s="14" t="n">
        <v>24</v>
      </c>
      <c r="V365" s="14" t="n"/>
    </row>
    <row r="366">
      <c r="A366" s="11" t="n">
        <v>3963</v>
      </c>
      <c r="B366" s="11" t="inlineStr">
        <is>
          <t>PITAL</t>
        </is>
      </c>
      <c r="C366" s="11" t="inlineStr">
        <is>
          <t>Pital</t>
        </is>
      </c>
      <c r="D366" s="11" t="inlineStr">
        <is>
          <t>Huila</t>
        </is>
      </c>
      <c r="E366" s="11" t="inlineStr">
        <is>
          <t>SUR</t>
        </is>
      </c>
      <c r="F366" s="11" t="inlineStr">
        <is>
          <t>ERIKA VARGAS</t>
        </is>
      </c>
      <c r="G366" s="11" t="inlineStr">
        <is>
          <t>1</t>
        </is>
      </c>
      <c r="H366" s="12" t="n">
        <v>46287</v>
      </c>
      <c r="I366" s="12" t="n">
        <v>46287</v>
      </c>
      <c r="J366" s="12" t="n"/>
      <c r="K366" s="12" t="n"/>
      <c r="L366" s="11" t="inlineStr">
        <is>
          <t>Programada</t>
        </is>
      </c>
      <c r="M366" s="12" t="n"/>
      <c r="N366" s="11">
        <f>SI(O(H366="";J366="");"";SI(J366&lt;=H366;"SÍ";"NO"))</f>
        <v/>
      </c>
      <c r="O366" s="11">
        <f>SI(O(I366="";K366="");"";SI(K366&lt;=SI(M366&lt;&gt;"";M366;I366);"SÍ";"NO"))</f>
        <v/>
      </c>
      <c r="P366" s="11">
        <f>SI(O(N366="";O366="");"";SI(Y(N366="SÍ";O366="SÍ");"SÍ";"NO"))</f>
        <v/>
      </c>
      <c r="Q366" s="13">
        <f>SI(O(I366="";K366="");"";MAX(0;ENTERO(K366)-ENTERO(SI(M366&lt;&gt;"";M366;I366))))</f>
        <v/>
      </c>
      <c r="R366" s="11" t="n"/>
      <c r="S366" s="11" t="n"/>
      <c r="T366" s="12" t="n"/>
      <c r="U366" s="11" t="n">
        <v>16</v>
      </c>
      <c r="V366" s="11" t="n"/>
    </row>
    <row r="367">
      <c r="A367" s="14" t="n">
        <v>4523</v>
      </c>
      <c r="B367" s="14" t="inlineStr">
        <is>
          <t>PUERTO RICO</t>
        </is>
      </c>
      <c r="C367" s="14" t="inlineStr">
        <is>
          <t>Puerto Rico</t>
        </is>
      </c>
      <c r="D367" s="14" t="inlineStr">
        <is>
          <t>Meta</t>
        </is>
      </c>
      <c r="E367" s="14" t="inlineStr">
        <is>
          <t>BOGOTA</t>
        </is>
      </c>
      <c r="F367" s="14" t="inlineStr">
        <is>
          <t>Andres Felipe Balbin</t>
        </is>
      </c>
      <c r="G367" s="14" t="inlineStr">
        <is>
          <t>2</t>
        </is>
      </c>
      <c r="H367" s="15" t="n">
        <v>46287</v>
      </c>
      <c r="I367" s="15" t="n">
        <v>46287</v>
      </c>
      <c r="J367" s="15" t="n"/>
      <c r="K367" s="15" t="n"/>
      <c r="L367" s="14" t="inlineStr">
        <is>
          <t>Programada</t>
        </is>
      </c>
      <c r="M367" s="15" t="n"/>
      <c r="N367" s="14">
        <f>SI(O(H367="";J367="");"";SI(J367&lt;=H367;"SÍ";"NO"))</f>
        <v/>
      </c>
      <c r="O367" s="14">
        <f>SI(O(I367="";K367="");"";SI(K367&lt;=SI(M367&lt;&gt;"";M367;I367);"SÍ";"NO"))</f>
        <v/>
      </c>
      <c r="P367" s="14">
        <f>SI(O(N367="";O367="");"";SI(Y(N367="SÍ";O367="SÍ");"SÍ";"NO"))</f>
        <v/>
      </c>
      <c r="Q367" s="16">
        <f>SI(O(I367="";K367="");"";MAX(0;ENTERO(K367)-ENTERO(SI(M367&lt;&gt;"";M367;I367))))</f>
        <v/>
      </c>
      <c r="R367" s="14" t="n"/>
      <c r="S367" s="14" t="n"/>
      <c r="T367" s="15" t="n"/>
      <c r="U367" s="14" t="n">
        <v>18</v>
      </c>
      <c r="V367" s="14" t="n"/>
    </row>
    <row r="368">
      <c r="A368" s="11" t="n">
        <v>4866</v>
      </c>
      <c r="B368" s="11" t="inlineStr">
        <is>
          <t>BUESACO</t>
        </is>
      </c>
      <c r="C368" s="11" t="inlineStr">
        <is>
          <t>Buesaco</t>
        </is>
      </c>
      <c r="D368" s="11" t="inlineStr">
        <is>
          <t>Nariño</t>
        </is>
      </c>
      <c r="E368" s="11" t="inlineStr">
        <is>
          <t>OCCIDENTE</t>
        </is>
      </c>
      <c r="F368" s="11" t="inlineStr">
        <is>
          <t>Juan Carlos Narvaez Acosta / Luis Fernando Ibarra Guio</t>
        </is>
      </c>
      <c r="G368" s="11" t="inlineStr">
        <is>
          <t>3</t>
        </is>
      </c>
      <c r="H368" s="12" t="n">
        <v>46287</v>
      </c>
      <c r="I368" s="12" t="n">
        <v>46287</v>
      </c>
      <c r="J368" s="12" t="n"/>
      <c r="K368" s="12" t="n"/>
      <c r="L368" s="11" t="inlineStr">
        <is>
          <t>Programada</t>
        </is>
      </c>
      <c r="M368" s="12" t="n"/>
      <c r="N368" s="11">
        <f>SI(O(H368="";J368="");"";SI(J368&lt;=H368;"SÍ";"NO"))</f>
        <v/>
      </c>
      <c r="O368" s="11">
        <f>SI(O(I368="";K368="");"";SI(K368&lt;=SI(M368&lt;&gt;"";M368;I368);"SÍ";"NO"))</f>
        <v/>
      </c>
      <c r="P368" s="11">
        <f>SI(O(N368="";O368="");"";SI(Y(N368="SÍ";O368="SÍ");"SÍ";"NO"))</f>
        <v/>
      </c>
      <c r="Q368" s="13">
        <f>SI(O(I368="";K368="");"";MAX(0;ENTERO(K368)-ENTERO(SI(M368&lt;&gt;"";M368;I368))))</f>
        <v/>
      </c>
      <c r="R368" s="11" t="n"/>
      <c r="S368" s="11" t="n"/>
      <c r="T368" s="12" t="n"/>
      <c r="U368" s="11" t="n">
        <v>19</v>
      </c>
      <c r="V368" s="11" t="n"/>
    </row>
    <row r="369">
      <c r="A369" s="14" t="n">
        <v>5152</v>
      </c>
      <c r="B369" s="14" t="inlineStr">
        <is>
          <t>SALAZAR</t>
        </is>
      </c>
      <c r="C369" s="14" t="inlineStr">
        <is>
          <t>Salazar</t>
        </is>
      </c>
      <c r="D369" s="14" t="inlineStr">
        <is>
          <t>Norte de Santander</t>
        </is>
      </c>
      <c r="E369" s="14" t="inlineStr">
        <is>
          <t>SANTANDERES</t>
        </is>
      </c>
      <c r="F369" s="14" t="inlineStr">
        <is>
          <t>Ali Kassem Issa Sierra</t>
        </is>
      </c>
      <c r="G369" s="14" t="inlineStr">
        <is>
          <t>1</t>
        </is>
      </c>
      <c r="H369" s="15" t="n">
        <v>46287</v>
      </c>
      <c r="I369" s="15" t="n">
        <v>46287</v>
      </c>
      <c r="J369" s="15" t="n"/>
      <c r="K369" s="15" t="n"/>
      <c r="L369" s="14" t="inlineStr">
        <is>
          <t>Programada</t>
        </is>
      </c>
      <c r="M369" s="15" t="n"/>
      <c r="N369" s="14">
        <f>SI(O(H369="";J369="");"";SI(J369&lt;=H369;"SÍ";"NO"))</f>
        <v/>
      </c>
      <c r="O369" s="14">
        <f>SI(O(I369="";K369="");"";SI(K369&lt;=SI(M369&lt;&gt;"";M369;I369);"SÍ";"NO"))</f>
        <v/>
      </c>
      <c r="P369" s="14">
        <f>SI(O(N369="";O369="");"";SI(Y(N369="SÍ";O369="SÍ");"SÍ";"NO"))</f>
        <v/>
      </c>
      <c r="Q369" s="16">
        <f>SI(O(I369="";K369="");"";MAX(0;ENTERO(K369)-ENTERO(SI(M369&lt;&gt;"";M369;I369))))</f>
        <v/>
      </c>
      <c r="R369" s="14" t="n"/>
      <c r="S369" s="14" t="n"/>
      <c r="T369" s="15" t="n"/>
      <c r="U369" s="14" t="n">
        <v>13</v>
      </c>
      <c r="V369" s="14" t="n"/>
    </row>
    <row r="370">
      <c r="A370" s="11" t="n">
        <v>5725</v>
      </c>
      <c r="B370" s="11" t="inlineStr">
        <is>
          <t>BALBOA</t>
        </is>
      </c>
      <c r="C370" s="11" t="inlineStr">
        <is>
          <t>Balboa</t>
        </is>
      </c>
      <c r="D370" s="11" t="inlineStr">
        <is>
          <t>Risaralda</t>
        </is>
      </c>
      <c r="E370" s="11" t="inlineStr">
        <is>
          <t>CAFETERA</t>
        </is>
      </c>
      <c r="F370" s="11" t="inlineStr">
        <is>
          <t>CESAR AUGUSTO HENAO</t>
        </is>
      </c>
      <c r="G370" s="11" t="inlineStr">
        <is>
          <t>1</t>
        </is>
      </c>
      <c r="H370" s="12" t="n">
        <v>46287</v>
      </c>
      <c r="I370" s="12" t="n">
        <v>46288</v>
      </c>
      <c r="J370" s="12" t="n"/>
      <c r="K370" s="12" t="n"/>
      <c r="L370" s="11" t="inlineStr">
        <is>
          <t>Programada</t>
        </is>
      </c>
      <c r="M370" s="12" t="n"/>
      <c r="N370" s="11">
        <f>SI(O(H370="";J370="");"";SI(J370&lt;=H370;"SÍ";"NO"))</f>
        <v/>
      </c>
      <c r="O370" s="11">
        <f>SI(O(I370="";K370="");"";SI(K370&lt;=SI(M370&lt;&gt;"";M370;I370);"SÍ";"NO"))</f>
        <v/>
      </c>
      <c r="P370" s="11">
        <f>SI(O(N370="";O370="");"";SI(Y(N370="SÍ";O370="SÍ");"SÍ";"NO"))</f>
        <v/>
      </c>
      <c r="Q370" s="13">
        <f>SI(O(I370="";K370="");"";MAX(0;ENTERO(K370)-ENTERO(SI(M370&lt;&gt;"";M370;I370))))</f>
        <v/>
      </c>
      <c r="R370" s="11" t="n"/>
      <c r="S370" s="11" t="n"/>
      <c r="T370" s="12" t="n"/>
      <c r="U370" s="11" t="n">
        <v>15</v>
      </c>
      <c r="V370" s="11" t="n"/>
    </row>
    <row r="371">
      <c r="A371" s="14" t="n">
        <v>6314</v>
      </c>
      <c r="B371" s="14" t="inlineStr">
        <is>
          <t>COROZAL</t>
        </is>
      </c>
      <c r="C371" s="14" t="inlineStr">
        <is>
          <t>Corozal</t>
        </is>
      </c>
      <c r="D371" s="14" t="inlineStr">
        <is>
          <t>Sucre</t>
        </is>
      </c>
      <c r="E371" s="14" t="inlineStr">
        <is>
          <t>COSTA</t>
        </is>
      </c>
      <c r="F371" s="14" t="inlineStr">
        <is>
          <t>Laura Camila Ospino Taborda</t>
        </is>
      </c>
      <c r="G371" s="14" t="inlineStr">
        <is>
          <t>4</t>
        </is>
      </c>
      <c r="H371" s="15" t="n">
        <v>46287</v>
      </c>
      <c r="I371" s="15" t="n">
        <v>46287</v>
      </c>
      <c r="J371" s="15" t="n"/>
      <c r="K371" s="15" t="n"/>
      <c r="L371" s="14" t="inlineStr">
        <is>
          <t>Programada</t>
        </is>
      </c>
      <c r="M371" s="15" t="n"/>
      <c r="N371" s="14">
        <f>SI(O(H371="";J371="");"";SI(J371&lt;=H371;"SÍ";"NO"))</f>
        <v/>
      </c>
      <c r="O371" s="14">
        <f>SI(O(I371="";K371="");"";SI(K371&lt;=SI(M371&lt;&gt;"";M371;I371);"SÍ";"NO"))</f>
        <v/>
      </c>
      <c r="P371" s="14">
        <f>SI(O(N371="";O371="");"";SI(Y(N371="SÍ";O371="SÍ");"SÍ";"NO"))</f>
        <v/>
      </c>
      <c r="Q371" s="16">
        <f>SI(O(I371="";K371="");"";MAX(0;ENTERO(K371)-ENTERO(SI(M371&lt;&gt;"";M371;I371))))</f>
        <v/>
      </c>
      <c r="R371" s="14" t="n"/>
      <c r="S371" s="14" t="n"/>
      <c r="T371" s="15" t="n"/>
      <c r="U371" s="14" t="n">
        <v>30</v>
      </c>
      <c r="V371" s="14" t="n"/>
    </row>
    <row r="372">
      <c r="A372" s="11" t="n">
        <v>6623</v>
      </c>
      <c r="B372" s="11" t="inlineStr">
        <is>
          <t>ALPUJARRA</t>
        </is>
      </c>
      <c r="C372" s="11" t="inlineStr">
        <is>
          <t>Alpujarra</t>
        </is>
      </c>
      <c r="D372" s="11" t="inlineStr">
        <is>
          <t>Tolima</t>
        </is>
      </c>
      <c r="E372" s="11" t="inlineStr">
        <is>
          <t>SUR</t>
        </is>
      </c>
      <c r="F372" s="11" t="inlineStr">
        <is>
          <t>Bernardo Arango</t>
        </is>
      </c>
      <c r="G372" s="11" t="inlineStr">
        <is>
          <t>1</t>
        </is>
      </c>
      <c r="H372" s="12" t="n">
        <v>46287</v>
      </c>
      <c r="I372" s="12" t="n">
        <v>46287</v>
      </c>
      <c r="J372" s="12" t="n"/>
      <c r="K372" s="12" t="n"/>
      <c r="L372" s="11" t="inlineStr">
        <is>
          <t>Programada</t>
        </is>
      </c>
      <c r="M372" s="12" t="n"/>
      <c r="N372" s="11">
        <f>SI(O(H372="";J372="");"";SI(J372&lt;=H372;"SÍ";"NO"))</f>
        <v/>
      </c>
      <c r="O372" s="11">
        <f>SI(O(I372="";K372="");"";SI(K372&lt;=SI(M372&lt;&gt;"";M372;I372);"SÍ";"NO"))</f>
        <v/>
      </c>
      <c r="P372" s="11">
        <f>SI(O(N372="";O372="");"";SI(Y(N372="SÍ";O372="SÍ");"SÍ";"NO"))</f>
        <v/>
      </c>
      <c r="Q372" s="13">
        <f>SI(O(I372="";K372="");"";MAX(0;ENTERO(K372)-ENTERO(SI(M372&lt;&gt;"";M372;I372))))</f>
        <v/>
      </c>
      <c r="R372" s="11" t="n"/>
      <c r="S372" s="11" t="n"/>
      <c r="T372" s="12" t="n"/>
      <c r="U372" s="11" t="n">
        <v>13</v>
      </c>
      <c r="V372" s="11" t="n"/>
    </row>
    <row r="373">
      <c r="A373" s="14" t="n">
        <v>6645</v>
      </c>
      <c r="B373" s="14" t="inlineStr">
        <is>
          <t>PRADO</t>
        </is>
      </c>
      <c r="C373" s="14" t="inlineStr">
        <is>
          <t>Prado</t>
        </is>
      </c>
      <c r="D373" s="14" t="inlineStr">
        <is>
          <t>Tolima</t>
        </is>
      </c>
      <c r="E373" s="14" t="inlineStr">
        <is>
          <t>SUR</t>
        </is>
      </c>
      <c r="F373" s="14" t="inlineStr">
        <is>
          <t>Fernando Valencia</t>
        </is>
      </c>
      <c r="G373" s="14" t="inlineStr">
        <is>
          <t>1</t>
        </is>
      </c>
      <c r="H373" s="15" t="n">
        <v>46287</v>
      </c>
      <c r="I373" s="15" t="n">
        <v>46287</v>
      </c>
      <c r="J373" s="15" t="n"/>
      <c r="K373" s="15" t="n"/>
      <c r="L373" s="14" t="inlineStr">
        <is>
          <t>Programada</t>
        </is>
      </c>
      <c r="M373" s="15" t="n"/>
      <c r="N373" s="14">
        <f>SI(O(H373="";J373="");"";SI(J373&lt;=H373;"SÍ";"NO"))</f>
        <v/>
      </c>
      <c r="O373" s="14">
        <f>SI(O(I373="";K373="");"";SI(K373&lt;=SI(M373&lt;&gt;"";M373;I373);"SÍ";"NO"))</f>
        <v/>
      </c>
      <c r="P373" s="14">
        <f>SI(O(N373="";O373="");"";SI(Y(N373="SÍ";O373="SÍ");"SÍ";"NO"))</f>
        <v/>
      </c>
      <c r="Q373" s="16">
        <f>SI(O(I373="";K373="");"";MAX(0;ENTERO(K373)-ENTERO(SI(M373&lt;&gt;"";M373;I373))))</f>
        <v/>
      </c>
      <c r="R373" s="14" t="n"/>
      <c r="S373" s="14" t="n"/>
      <c r="T373" s="15" t="n"/>
      <c r="U373" s="14" t="n">
        <v>16</v>
      </c>
      <c r="V373" s="14" t="n"/>
    </row>
    <row r="374">
      <c r="A374" s="11" t="n">
        <v>1397</v>
      </c>
      <c r="B374" s="11" t="inlineStr">
        <is>
          <t>SOPETRAN</t>
        </is>
      </c>
      <c r="C374" s="11" t="inlineStr">
        <is>
          <t>Sopetrán</t>
        </is>
      </c>
      <c r="D374" s="11" t="inlineStr">
        <is>
          <t>Antioquia</t>
        </is>
      </c>
      <c r="E374" s="11" t="inlineStr">
        <is>
          <t>ANTIOQUIA</t>
        </is>
      </c>
      <c r="F374" s="11" t="inlineStr">
        <is>
          <t>Ever Enrique Esquivel Movilla</t>
        </is>
      </c>
      <c r="G374" s="11" t="inlineStr">
        <is>
          <t>2</t>
        </is>
      </c>
      <c r="H374" s="12" t="n">
        <v>46288</v>
      </c>
      <c r="I374" s="12" t="n">
        <v>46288</v>
      </c>
      <c r="J374" s="12" t="n"/>
      <c r="K374" s="12" t="n"/>
      <c r="L374" s="11" t="inlineStr">
        <is>
          <t>Programada</t>
        </is>
      </c>
      <c r="M374" s="12" t="n"/>
      <c r="N374" s="11">
        <f>SI(O(H374="";J374="");"";SI(J374&lt;=H374;"SÍ";"NO"))</f>
        <v/>
      </c>
      <c r="O374" s="11">
        <f>SI(O(I374="";K374="");"";SI(K374&lt;=SI(M374&lt;&gt;"";M374;I374);"SÍ";"NO"))</f>
        <v/>
      </c>
      <c r="P374" s="11">
        <f>SI(O(N374="";O374="");"";SI(Y(N374="SÍ";O374="SÍ");"SÍ";"NO"))</f>
        <v/>
      </c>
      <c r="Q374" s="13">
        <f>SI(O(I374="";K374="");"";MAX(0;ENTERO(K374)-ENTERO(SI(M374&lt;&gt;"";M374;I374))))</f>
        <v/>
      </c>
      <c r="R374" s="11" t="n"/>
      <c r="S374" s="11" t="n"/>
      <c r="T374" s="12" t="n"/>
      <c r="U374" s="11" t="n">
        <v>19</v>
      </c>
      <c r="V374" s="11" t="n"/>
    </row>
    <row r="375">
      <c r="A375" s="14" t="n">
        <v>1426</v>
      </c>
      <c r="B375" s="14" t="inlineStr">
        <is>
          <t>LIBORINA</t>
        </is>
      </c>
      <c r="C375" s="14" t="inlineStr">
        <is>
          <t>Liborina</t>
        </is>
      </c>
      <c r="D375" s="14" t="inlineStr">
        <is>
          <t>Antioquia</t>
        </is>
      </c>
      <c r="E375" s="14" t="inlineStr">
        <is>
          <t>ANTIOQUIA</t>
        </is>
      </c>
      <c r="F375" s="14" t="inlineStr">
        <is>
          <t>Ever Enrique Esquivel Movilla</t>
        </is>
      </c>
      <c r="G375" s="14" t="inlineStr">
        <is>
          <t>1</t>
        </is>
      </c>
      <c r="H375" s="15" t="n">
        <v>46288</v>
      </c>
      <c r="I375" s="15" t="n">
        <v>46289</v>
      </c>
      <c r="J375" s="15" t="n"/>
      <c r="K375" s="15" t="n"/>
      <c r="L375" s="14" t="inlineStr">
        <is>
          <t>Programada</t>
        </is>
      </c>
      <c r="M375" s="15" t="n"/>
      <c r="N375" s="14">
        <f>SI(O(H375="";J375="");"";SI(J375&lt;=H375;"SÍ";"NO"))</f>
        <v/>
      </c>
      <c r="O375" s="14">
        <f>SI(O(I375="";K375="");"";SI(K375&lt;=SI(M375&lt;&gt;"";M375;I375);"SÍ";"NO"))</f>
        <v/>
      </c>
      <c r="P375" s="14">
        <f>SI(O(N375="";O375="");"";SI(Y(N375="SÍ";O375="SÍ");"SÍ";"NO"))</f>
        <v/>
      </c>
      <c r="Q375" s="16">
        <f>SI(O(I375="";K375="");"";MAX(0;ENTERO(K375)-ENTERO(SI(M375&lt;&gt;"";M375;I375))))</f>
        <v/>
      </c>
      <c r="R375" s="14" t="n"/>
      <c r="S375" s="14" t="n"/>
      <c r="T375" s="15" t="n"/>
      <c r="U375" s="14" t="n">
        <v>16</v>
      </c>
      <c r="V375" s="14" t="n"/>
    </row>
    <row r="376">
      <c r="A376" s="11" t="n">
        <v>1454</v>
      </c>
      <c r="B376" s="11" t="inlineStr">
        <is>
          <t>REMEDIOS</t>
        </is>
      </c>
      <c r="C376" s="11" t="inlineStr">
        <is>
          <t>Remedios</t>
        </is>
      </c>
      <c r="D376" s="11" t="inlineStr">
        <is>
          <t>Antioquia</t>
        </is>
      </c>
      <c r="E376" s="11" t="inlineStr">
        <is>
          <t>ANTIOQUIA</t>
        </is>
      </c>
      <c r="F376" s="11" t="inlineStr">
        <is>
          <t>Juan Pablo Osorio Ramirez</t>
        </is>
      </c>
      <c r="G376" s="11" t="inlineStr">
        <is>
          <t>3</t>
        </is>
      </c>
      <c r="H376" s="12" t="n">
        <v>46288</v>
      </c>
      <c r="I376" s="12" t="n">
        <v>46288</v>
      </c>
      <c r="J376" s="12" t="n"/>
      <c r="K376" s="12" t="n"/>
      <c r="L376" s="11" t="inlineStr">
        <is>
          <t>Programada</t>
        </is>
      </c>
      <c r="M376" s="12" t="n"/>
      <c r="N376" s="11">
        <f>SI(O(H376="";J376="");"";SI(J376&lt;=H376;"SÍ";"NO"))</f>
        <v/>
      </c>
      <c r="O376" s="11">
        <f>SI(O(I376="";K376="");"";SI(K376&lt;=SI(M376&lt;&gt;"";M376;I376);"SÍ";"NO"))</f>
        <v/>
      </c>
      <c r="P376" s="11">
        <f>SI(O(N376="";O376="");"";SI(Y(N376="SÍ";O376="SÍ");"SÍ";"NO"))</f>
        <v/>
      </c>
      <c r="Q376" s="13">
        <f>SI(O(I376="";K376="");"";MAX(0;ENTERO(K376)-ENTERO(SI(M376&lt;&gt;"";M376;I376))))</f>
        <v/>
      </c>
      <c r="R376" s="11" t="n"/>
      <c r="S376" s="11" t="n"/>
      <c r="T376" s="12" t="n"/>
      <c r="U376" s="11" t="n">
        <v>23</v>
      </c>
      <c r="V376" s="11" t="n"/>
    </row>
    <row r="377">
      <c r="A377" s="14" t="n">
        <v>1476</v>
      </c>
      <c r="B377" s="14" t="inlineStr">
        <is>
          <t>SEGOVIA</t>
        </is>
      </c>
      <c r="C377" s="14" t="inlineStr">
        <is>
          <t>Segovia</t>
        </is>
      </c>
      <c r="D377" s="14" t="inlineStr">
        <is>
          <t>Antioquia</t>
        </is>
      </c>
      <c r="E377" s="14" t="inlineStr">
        <is>
          <t>ANTIOQUIA</t>
        </is>
      </c>
      <c r="F377" s="14" t="inlineStr">
        <is>
          <t>Juan Pablo Osorio Ramirez</t>
        </is>
      </c>
      <c r="G377" s="14" t="inlineStr">
        <is>
          <t>3</t>
        </is>
      </c>
      <c r="H377" s="15" t="n">
        <v>46288</v>
      </c>
      <c r="I377" s="15" t="n">
        <v>46288</v>
      </c>
      <c r="J377" s="15" t="n"/>
      <c r="K377" s="15" t="n"/>
      <c r="L377" s="14" t="inlineStr">
        <is>
          <t>Programada</t>
        </is>
      </c>
      <c r="M377" s="15" t="n"/>
      <c r="N377" s="14">
        <f>SI(O(H377="";J377="");"";SI(J377&lt;=H377;"SÍ";"NO"))</f>
        <v/>
      </c>
      <c r="O377" s="14">
        <f>SI(O(I377="";K377="");"";SI(K377&lt;=SI(M377&lt;&gt;"";M377;I377);"SÍ";"NO"))</f>
        <v/>
      </c>
      <c r="P377" s="14">
        <f>SI(O(N377="";O377="");"";SI(Y(N377="SÍ";O377="SÍ");"SÍ";"NO"))</f>
        <v/>
      </c>
      <c r="Q377" s="16">
        <f>SI(O(I377="";K377="");"";MAX(0;ENTERO(K377)-ENTERO(SI(M377&lt;&gt;"";M377;I377))))</f>
        <v/>
      </c>
      <c r="R377" s="14" t="n"/>
      <c r="S377" s="14" t="n"/>
      <c r="T377" s="15" t="n"/>
      <c r="U377" s="14" t="n">
        <v>32</v>
      </c>
      <c r="V377" s="14" t="n"/>
    </row>
    <row r="378">
      <c r="A378" s="11" t="n">
        <v>1547</v>
      </c>
      <c r="B378" s="11" t="inlineStr">
        <is>
          <t>NUEVO COLON</t>
        </is>
      </c>
      <c r="C378" s="11" t="inlineStr">
        <is>
          <t>Nuevo Colón</t>
        </is>
      </c>
      <c r="D378" s="11" t="inlineStr">
        <is>
          <t>Boyacá</t>
        </is>
      </c>
      <c r="E378" s="11" t="inlineStr">
        <is>
          <t>ORIENTE</t>
        </is>
      </c>
      <c r="F378" s="11" t="inlineStr">
        <is>
          <t>Andrés Felipe Carvajal Pire</t>
        </is>
      </c>
      <c r="G378" s="11" t="inlineStr">
        <is>
          <t>2</t>
        </is>
      </c>
      <c r="H378" s="12" t="n">
        <v>46288</v>
      </c>
      <c r="I378" s="12" t="n">
        <v>46289</v>
      </c>
      <c r="J378" s="12" t="n"/>
      <c r="K378" s="12" t="n"/>
      <c r="L378" s="11" t="inlineStr">
        <is>
          <t>Programada</t>
        </is>
      </c>
      <c r="M378" s="12" t="n"/>
      <c r="N378" s="11">
        <f>SI(O(H378="";J378="");"";SI(J378&lt;=H378;"SÍ";"NO"))</f>
        <v/>
      </c>
      <c r="O378" s="11">
        <f>SI(O(I378="";K378="");"";SI(K378&lt;=SI(M378&lt;&gt;"";M378;I378);"SÍ";"NO"))</f>
        <v/>
      </c>
      <c r="P378" s="11">
        <f>SI(O(N378="";O378="");"";SI(Y(N378="SÍ";O378="SÍ");"SÍ";"NO"))</f>
        <v/>
      </c>
      <c r="Q378" s="13">
        <f>SI(O(I378="";K378="");"";MAX(0;ENTERO(K378)-ENTERO(SI(M378&lt;&gt;"";M378;I378))))</f>
        <v/>
      </c>
      <c r="R378" s="11" t="n"/>
      <c r="S378" s="11" t="n"/>
      <c r="T378" s="12" t="n"/>
      <c r="U378" s="11" t="n">
        <v>16</v>
      </c>
      <c r="V378" s="11" t="n"/>
    </row>
    <row r="379">
      <c r="A379" s="14" t="n">
        <v>1580</v>
      </c>
      <c r="B379" s="14" t="inlineStr">
        <is>
          <t>SOTAQUIRA</t>
        </is>
      </c>
      <c r="C379" s="14" t="inlineStr">
        <is>
          <t>Sotaquirá</t>
        </is>
      </c>
      <c r="D379" s="14" t="inlineStr">
        <is>
          <t>Boyacá</t>
        </is>
      </c>
      <c r="E379" s="14" t="inlineStr">
        <is>
          <t>ORIENTE</t>
        </is>
      </c>
      <c r="F379" s="14" t="inlineStr">
        <is>
          <t>Andrés Felipe Díaz Noy</t>
        </is>
      </c>
      <c r="G379" s="14" t="inlineStr">
        <is>
          <t>2</t>
        </is>
      </c>
      <c r="H379" s="15" t="n">
        <v>46288</v>
      </c>
      <c r="I379" s="15" t="n">
        <v>46289</v>
      </c>
      <c r="J379" s="15" t="n"/>
      <c r="K379" s="15" t="n"/>
      <c r="L379" s="14" t="inlineStr">
        <is>
          <t>Programada</t>
        </is>
      </c>
      <c r="M379" s="15" t="n"/>
      <c r="N379" s="14">
        <f>SI(O(H379="";J379="");"";SI(J379&lt;=H379;"SÍ";"NO"))</f>
        <v/>
      </c>
      <c r="O379" s="14">
        <f>SI(O(I379="";K379="");"";SI(K379&lt;=SI(M379&lt;&gt;"";M379;I379);"SÍ";"NO"))</f>
        <v/>
      </c>
      <c r="P379" s="14">
        <f>SI(O(N379="";O379="");"";SI(Y(N379="SÍ";O379="SÍ");"SÍ";"NO"))</f>
        <v/>
      </c>
      <c r="Q379" s="16">
        <f>SI(O(I379="";K379="");"";MAX(0;ENTERO(K379)-ENTERO(SI(M379&lt;&gt;"";M379;I379))))</f>
        <v/>
      </c>
      <c r="R379" s="14" t="n"/>
      <c r="S379" s="14" t="n"/>
      <c r="T379" s="15" t="n"/>
      <c r="U379" s="14" t="n">
        <v>18</v>
      </c>
      <c r="V379" s="14" t="n"/>
    </row>
    <row r="380">
      <c r="A380" s="11" t="n">
        <v>1587</v>
      </c>
      <c r="B380" s="11" t="inlineStr">
        <is>
          <t>TOCA</t>
        </is>
      </c>
      <c r="C380" s="11" t="inlineStr">
        <is>
          <t>Toca</t>
        </is>
      </c>
      <c r="D380" s="11" t="inlineStr">
        <is>
          <t>Boyacá</t>
        </is>
      </c>
      <c r="E380" s="11" t="inlineStr">
        <is>
          <t>ORIENTE</t>
        </is>
      </c>
      <c r="F380" s="11" t="inlineStr">
        <is>
          <t>Mauricio Andrés Rivera Páez</t>
        </is>
      </c>
      <c r="G380" s="11" t="inlineStr">
        <is>
          <t>4</t>
        </is>
      </c>
      <c r="H380" s="12" t="n">
        <v>46288</v>
      </c>
      <c r="I380" s="12" t="n">
        <v>46289</v>
      </c>
      <c r="J380" s="12" t="n"/>
      <c r="K380" s="12" t="n"/>
      <c r="L380" s="11" t="inlineStr">
        <is>
          <t>Programada</t>
        </is>
      </c>
      <c r="M380" s="12" t="n"/>
      <c r="N380" s="11">
        <f>SI(O(H380="";J380="");"";SI(J380&lt;=H380;"SÍ";"NO"))</f>
        <v/>
      </c>
      <c r="O380" s="11">
        <f>SI(O(I380="";K380="");"";SI(K380&lt;=SI(M380&lt;&gt;"";M380;I380);"SÍ";"NO"))</f>
        <v/>
      </c>
      <c r="P380" s="11">
        <f>SI(O(N380="";O380="");"";SI(Y(N380="SÍ";O380="SÍ");"SÍ";"NO"))</f>
        <v/>
      </c>
      <c r="Q380" s="13">
        <f>SI(O(I380="";K380="");"";MAX(0;ENTERO(K380)-ENTERO(SI(M380&lt;&gt;"";M380;I380))))</f>
        <v/>
      </c>
      <c r="R380" s="11" t="n"/>
      <c r="S380" s="11" t="n"/>
      <c r="T380" s="12" t="n"/>
      <c r="U380" s="11" t="n">
        <v>21</v>
      </c>
      <c r="V380" s="11" t="n"/>
    </row>
    <row r="381">
      <c r="A381" s="14" t="n">
        <v>1590</v>
      </c>
      <c r="B381" s="14" t="inlineStr">
        <is>
          <t>TUTA</t>
        </is>
      </c>
      <c r="C381" s="14" t="inlineStr">
        <is>
          <t>Tuta</t>
        </is>
      </c>
      <c r="D381" s="14" t="inlineStr">
        <is>
          <t>Boyacá</t>
        </is>
      </c>
      <c r="E381" s="14" t="inlineStr">
        <is>
          <t>ORIENTE</t>
        </is>
      </c>
      <c r="F381" s="14" t="inlineStr">
        <is>
          <t>Luz Nélida Barragán Toro</t>
        </is>
      </c>
      <c r="G381" s="14" t="inlineStr">
        <is>
          <t>2</t>
        </is>
      </c>
      <c r="H381" s="15" t="n">
        <v>46288</v>
      </c>
      <c r="I381" s="15" t="n">
        <v>46289</v>
      </c>
      <c r="J381" s="15" t="n"/>
      <c r="K381" s="15" t="n"/>
      <c r="L381" s="14" t="inlineStr">
        <is>
          <t>Programada</t>
        </is>
      </c>
      <c r="M381" s="15" t="n"/>
      <c r="N381" s="14">
        <f>SI(O(H381="";J381="");"";SI(J381&lt;=H381;"SÍ";"NO"))</f>
        <v/>
      </c>
      <c r="O381" s="14">
        <f>SI(O(I381="";K381="");"";SI(K381&lt;=SI(M381&lt;&gt;"";M381;I381);"SÍ";"NO"))</f>
        <v/>
      </c>
      <c r="P381" s="14">
        <f>SI(O(N381="";O381="");"";SI(Y(N381="SÍ";O381="SÍ");"SÍ";"NO"))</f>
        <v/>
      </c>
      <c r="Q381" s="16">
        <f>SI(O(I381="";K381="");"";MAX(0;ENTERO(K381)-ENTERO(SI(M381&lt;&gt;"";M381;I381))))</f>
        <v/>
      </c>
      <c r="R381" s="14" t="n"/>
      <c r="S381" s="14" t="n"/>
      <c r="T381" s="15" t="n"/>
      <c r="U381" s="14" t="n">
        <v>20</v>
      </c>
      <c r="V381" s="14" t="n"/>
    </row>
    <row r="382">
      <c r="A382" s="11" t="n">
        <v>1636</v>
      </c>
      <c r="B382" s="11" t="inlineStr">
        <is>
          <t>REPELON</t>
        </is>
      </c>
      <c r="C382" s="11" t="inlineStr">
        <is>
          <t>Repelón</t>
        </is>
      </c>
      <c r="D382" s="11" t="inlineStr">
        <is>
          <t>Atlántico</t>
        </is>
      </c>
      <c r="E382" s="11" t="inlineStr">
        <is>
          <t>COSTA</t>
        </is>
      </c>
      <c r="F382" s="11" t="inlineStr">
        <is>
          <t>Hernando Arenas Lambis</t>
        </is>
      </c>
      <c r="G382" s="11" t="inlineStr">
        <is>
          <t>2</t>
        </is>
      </c>
      <c r="H382" s="12" t="n">
        <v>46288</v>
      </c>
      <c r="I382" s="12" t="n">
        <v>46288</v>
      </c>
      <c r="J382" s="12" t="n"/>
      <c r="K382" s="12" t="n"/>
      <c r="L382" s="11" t="inlineStr">
        <is>
          <t>Programada</t>
        </is>
      </c>
      <c r="M382" s="12" t="n"/>
      <c r="N382" s="11">
        <f>SI(O(H382="";J382="");"";SI(J382&lt;=H382;"SÍ";"NO"))</f>
        <v/>
      </c>
      <c r="O382" s="11">
        <f>SI(O(I382="";K382="");"";SI(K382&lt;=SI(M382&lt;&gt;"";M382;I382);"SÍ";"NO"))</f>
        <v/>
      </c>
      <c r="P382" s="11">
        <f>SI(O(N382="";O382="");"";SI(Y(N382="SÍ";O382="SÍ");"SÍ";"NO"))</f>
        <v/>
      </c>
      <c r="Q382" s="13">
        <f>SI(O(I382="";K382="");"";MAX(0;ENTERO(K382)-ENTERO(SI(M382&lt;&gt;"";M382;I382))))</f>
        <v/>
      </c>
      <c r="R382" s="11" t="n"/>
      <c r="S382" s="11" t="n"/>
      <c r="T382" s="12" t="n"/>
      <c r="U382" s="11" t="n">
        <v>15</v>
      </c>
      <c r="V382" s="11" t="n"/>
    </row>
    <row r="383">
      <c r="A383" s="14" t="n">
        <v>2101</v>
      </c>
      <c r="B383" s="14" t="inlineStr">
        <is>
          <t>EL TAMBO</t>
        </is>
      </c>
      <c r="C383" s="14" t="inlineStr">
        <is>
          <t>El Tambo</t>
        </is>
      </c>
      <c r="D383" s="14" t="inlineStr">
        <is>
          <t>Cauca</t>
        </is>
      </c>
      <c r="E383" s="14" t="inlineStr">
        <is>
          <t>OCCIDENTE</t>
        </is>
      </c>
      <c r="F383" s="14" t="inlineStr">
        <is>
          <t>Holmes Arley Astudillo Fajardo</t>
        </is>
      </c>
      <c r="G383" s="14" t="inlineStr">
        <is>
          <t>3</t>
        </is>
      </c>
      <c r="H383" s="15" t="n">
        <v>46288</v>
      </c>
      <c r="I383" s="15" t="n">
        <v>46288</v>
      </c>
      <c r="J383" s="15" t="n"/>
      <c r="K383" s="15" t="n"/>
      <c r="L383" s="14" t="inlineStr">
        <is>
          <t>Programada</t>
        </is>
      </c>
      <c r="M383" s="15" t="n"/>
      <c r="N383" s="14">
        <f>SI(O(H383="";J383="");"";SI(J383&lt;=H383;"SÍ";"NO"))</f>
        <v/>
      </c>
      <c r="O383" s="14">
        <f>SI(O(I383="";K383="");"";SI(K383&lt;=SI(M383&lt;&gt;"";M383;I383);"SÍ";"NO"))</f>
        <v/>
      </c>
      <c r="P383" s="14">
        <f>SI(O(N383="";O383="");"";SI(Y(N383="SÍ";O383="SÍ");"SÍ";"NO"))</f>
        <v/>
      </c>
      <c r="Q383" s="16">
        <f>SI(O(I383="";K383="");"";MAX(0;ENTERO(K383)-ENTERO(SI(M383&lt;&gt;"";M383;I383))))</f>
        <v/>
      </c>
      <c r="R383" s="14" t="n"/>
      <c r="S383" s="14" t="n"/>
      <c r="T383" s="15" t="n"/>
      <c r="U383" s="14" t="n">
        <v>27</v>
      </c>
      <c r="V383" s="14" t="n"/>
    </row>
    <row r="384">
      <c r="A384" s="11" t="n">
        <v>2769</v>
      </c>
      <c r="B384" s="11" t="inlineStr">
        <is>
          <t>PUERTO ESCONDIDO</t>
        </is>
      </c>
      <c r="C384" s="11" t="inlineStr">
        <is>
          <t>Puerto Escondido</t>
        </is>
      </c>
      <c r="D384" s="11" t="inlineStr">
        <is>
          <t>Córdoba</t>
        </is>
      </c>
      <c r="E384" s="11" t="inlineStr">
        <is>
          <t>COSTA</t>
        </is>
      </c>
      <c r="F384" s="11" t="inlineStr">
        <is>
          <t>Jhon Jairo Vergara Pelaez</t>
        </is>
      </c>
      <c r="G384" s="11" t="inlineStr">
        <is>
          <t>1</t>
        </is>
      </c>
      <c r="H384" s="12" t="n">
        <v>46288</v>
      </c>
      <c r="I384" s="12" t="n">
        <v>46288</v>
      </c>
      <c r="J384" s="12" t="n"/>
      <c r="K384" s="12" t="n"/>
      <c r="L384" s="11" t="inlineStr">
        <is>
          <t>Programada</t>
        </is>
      </c>
      <c r="M384" s="12" t="n"/>
      <c r="N384" s="11">
        <f>SI(O(H384="";J384="");"";SI(J384&lt;=H384;"SÍ";"NO"))</f>
        <v/>
      </c>
      <c r="O384" s="11">
        <f>SI(O(I384="";K384="");"";SI(K384&lt;=SI(M384&lt;&gt;"";M384;I384);"SÍ";"NO"))</f>
        <v/>
      </c>
      <c r="P384" s="11">
        <f>SI(O(N384="";O384="");"";SI(Y(N384="SÍ";O384="SÍ");"SÍ";"NO"))</f>
        <v/>
      </c>
      <c r="Q384" s="13">
        <f>SI(O(I384="";K384="");"";MAX(0;ENTERO(K384)-ENTERO(SI(M384&lt;&gt;"";M384;I384))))</f>
        <v/>
      </c>
      <c r="R384" s="11" t="n"/>
      <c r="S384" s="11" t="n"/>
      <c r="T384" s="12" t="n"/>
      <c r="U384" s="11" t="n">
        <v>13</v>
      </c>
      <c r="V384" s="11" t="n"/>
    </row>
    <row r="385">
      <c r="A385" s="14" t="n">
        <v>3133</v>
      </c>
      <c r="B385" s="14" t="inlineStr">
        <is>
          <t>GUADUAS</t>
        </is>
      </c>
      <c r="C385" s="14" t="inlineStr">
        <is>
          <t>Guaduas</t>
        </is>
      </c>
      <c r="D385" s="14" t="inlineStr">
        <is>
          <t>Cundinamarca</t>
        </is>
      </c>
      <c r="E385" s="14" t="inlineStr">
        <is>
          <t>BOGOTA</t>
        </is>
      </c>
      <c r="F385" s="14" t="inlineStr">
        <is>
          <t>Jhonatan Felipe Hernandez Gamboa</t>
        </is>
      </c>
      <c r="G385" s="14" t="inlineStr">
        <is>
          <t>3</t>
        </is>
      </c>
      <c r="H385" s="15" t="n">
        <v>46288</v>
      </c>
      <c r="I385" s="15" t="n">
        <v>46288</v>
      </c>
      <c r="J385" s="15" t="n"/>
      <c r="K385" s="15" t="n"/>
      <c r="L385" s="14" t="inlineStr">
        <is>
          <t>Programada</t>
        </is>
      </c>
      <c r="M385" s="15" t="n"/>
      <c r="N385" s="14">
        <f>SI(O(H385="";J385="");"";SI(J385&lt;=H385;"SÍ";"NO"))</f>
        <v/>
      </c>
      <c r="O385" s="14">
        <f>SI(O(I385="";K385="");"";SI(K385&lt;=SI(M385&lt;&gt;"";M385;I385);"SÍ";"NO"))</f>
        <v/>
      </c>
      <c r="P385" s="14">
        <f>SI(O(N385="";O385="");"";SI(Y(N385="SÍ";O385="SÍ");"SÍ";"NO"))</f>
        <v/>
      </c>
      <c r="Q385" s="16">
        <f>SI(O(I385="";K385="");"";MAX(0;ENTERO(K385)-ENTERO(SI(M385&lt;&gt;"";M385;I385))))</f>
        <v/>
      </c>
      <c r="R385" s="14" t="n"/>
      <c r="S385" s="14" t="n"/>
      <c r="T385" s="15" t="n"/>
      <c r="U385" s="14" t="n">
        <v>22</v>
      </c>
      <c r="V385" s="14" t="n"/>
    </row>
    <row r="386">
      <c r="A386" s="11" t="n">
        <v>3145</v>
      </c>
      <c r="B386" s="11" t="inlineStr">
        <is>
          <t>LA VEGA</t>
        </is>
      </c>
      <c r="C386" s="11" t="inlineStr">
        <is>
          <t>La Vega</t>
        </is>
      </c>
      <c r="D386" s="11" t="inlineStr">
        <is>
          <t>Cundinamarca</t>
        </is>
      </c>
      <c r="E386" s="11" t="inlineStr">
        <is>
          <t>BOGOTA</t>
        </is>
      </c>
      <c r="F386" s="11" t="inlineStr">
        <is>
          <t>Carlos Andres Cuchivaguen Diaz</t>
        </is>
      </c>
      <c r="G386" s="11" t="inlineStr">
        <is>
          <t>2</t>
        </is>
      </c>
      <c r="H386" s="12" t="n">
        <v>46288</v>
      </c>
      <c r="I386" s="12" t="n">
        <v>46288</v>
      </c>
      <c r="J386" s="12" t="n"/>
      <c r="K386" s="12" t="n"/>
      <c r="L386" s="11" t="inlineStr">
        <is>
          <t>Programada</t>
        </is>
      </c>
      <c r="M386" s="12" t="n"/>
      <c r="N386" s="11">
        <f>SI(O(H386="";J386="");"";SI(J386&lt;=H386;"SÍ";"NO"))</f>
        <v/>
      </c>
      <c r="O386" s="11">
        <f>SI(O(I386="";K386="");"";SI(K386&lt;=SI(M386&lt;&gt;"";M386;I386);"SÍ";"NO"))</f>
        <v/>
      </c>
      <c r="P386" s="11">
        <f>SI(O(N386="";O386="");"";SI(Y(N386="SÍ";O386="SÍ");"SÍ";"NO"))</f>
        <v/>
      </c>
      <c r="Q386" s="13">
        <f>SI(O(I386="";K386="");"";MAX(0;ENTERO(K386)-ENTERO(SI(M386&lt;&gt;"";M386;I386))))</f>
        <v/>
      </c>
      <c r="R386" s="11" t="n"/>
      <c r="S386" s="11" t="n"/>
      <c r="T386" s="12" t="n"/>
      <c r="U386" s="11" t="n">
        <v>20</v>
      </c>
      <c r="V386" s="11" t="n"/>
    </row>
    <row r="387">
      <c r="A387" s="14" t="n">
        <v>3162</v>
      </c>
      <c r="B387" s="14" t="inlineStr">
        <is>
          <t>PANDI</t>
        </is>
      </c>
      <c r="C387" s="14" t="inlineStr">
        <is>
          <t>Pandi</t>
        </is>
      </c>
      <c r="D387" s="14" t="inlineStr">
        <is>
          <t>Cundinamarca</t>
        </is>
      </c>
      <c r="E387" s="14" t="inlineStr">
        <is>
          <t>BOGOTA</t>
        </is>
      </c>
      <c r="F387" s="14" t="inlineStr">
        <is>
          <t>Edwin Santiago Cuchivaguen Diaz</t>
        </is>
      </c>
      <c r="G387" s="14" t="inlineStr">
        <is>
          <t>1</t>
        </is>
      </c>
      <c r="H387" s="15" t="n">
        <v>46288</v>
      </c>
      <c r="I387" s="15" t="n">
        <v>46288</v>
      </c>
      <c r="J387" s="15" t="n"/>
      <c r="K387" s="15" t="n"/>
      <c r="L387" s="14" t="inlineStr">
        <is>
          <t>Programada</t>
        </is>
      </c>
      <c r="M387" s="15" t="n"/>
      <c r="N387" s="14">
        <f>SI(O(H387="";J387="");"";SI(J387&lt;=H387;"SÍ";"NO"))</f>
        <v/>
      </c>
      <c r="O387" s="14">
        <f>SI(O(I387="";K387="");"";SI(K387&lt;=SI(M387&lt;&gt;"";M387;I387);"SÍ";"NO"))</f>
        <v/>
      </c>
      <c r="P387" s="14">
        <f>SI(O(N387="";O387="");"";SI(Y(N387="SÍ";O387="SÍ");"SÍ";"NO"))</f>
        <v/>
      </c>
      <c r="Q387" s="16">
        <f>SI(O(I387="";K387="");"";MAX(0;ENTERO(K387)-ENTERO(SI(M387&lt;&gt;"";M387;I387))))</f>
        <v/>
      </c>
      <c r="R387" s="14" t="n"/>
      <c r="S387" s="14" t="n"/>
      <c r="T387" s="15" t="n"/>
      <c r="U387" s="14" t="n">
        <v>15</v>
      </c>
      <c r="V387" s="14" t="n"/>
    </row>
    <row r="388">
      <c r="A388" s="11" t="n">
        <v>3186</v>
      </c>
      <c r="B388" s="11" t="inlineStr">
        <is>
          <t>VIOTA</t>
        </is>
      </c>
      <c r="C388" s="11" t="inlineStr">
        <is>
          <t>Viotá</t>
        </is>
      </c>
      <c r="D388" s="11" t="inlineStr">
        <is>
          <t>Cundinamarca</t>
        </is>
      </c>
      <c r="E388" s="11" t="inlineStr">
        <is>
          <t>BOGOTA</t>
        </is>
      </c>
      <c r="F388" s="11" t="inlineStr">
        <is>
          <t>Nelson Leonardo Paez Suarez</t>
        </is>
      </c>
      <c r="G388" s="11" t="inlineStr">
        <is>
          <t>2</t>
        </is>
      </c>
      <c r="H388" s="12" t="n">
        <v>46288</v>
      </c>
      <c r="I388" s="12" t="n">
        <v>46288</v>
      </c>
      <c r="J388" s="12" t="n"/>
      <c r="K388" s="12" t="n"/>
      <c r="L388" s="11" t="inlineStr">
        <is>
          <t>Programada</t>
        </is>
      </c>
      <c r="M388" s="12" t="n"/>
      <c r="N388" s="11">
        <f>SI(O(H388="";J388="");"";SI(J388&lt;=H388;"SÍ";"NO"))</f>
        <v/>
      </c>
      <c r="O388" s="11">
        <f>SI(O(I388="";K388="");"";SI(K388&lt;=SI(M388&lt;&gt;"";M388;I388);"SÍ";"NO"))</f>
        <v/>
      </c>
      <c r="P388" s="11">
        <f>SI(O(N388="";O388="");"";SI(Y(N388="SÍ";O388="SÍ");"SÍ";"NO"))</f>
        <v/>
      </c>
      <c r="Q388" s="13">
        <f>SI(O(I388="";K388="");"";MAX(0;ENTERO(K388)-ENTERO(SI(M388&lt;&gt;"";M388;I388))))</f>
        <v/>
      </c>
      <c r="R388" s="11" t="n"/>
      <c r="S388" s="11" t="n"/>
      <c r="T388" s="12" t="n"/>
      <c r="U388" s="11" t="n">
        <v>18</v>
      </c>
      <c r="V388" s="11" t="n"/>
    </row>
    <row r="389">
      <c r="A389" s="14" t="n">
        <v>3902</v>
      </c>
      <c r="B389" s="14" t="inlineStr">
        <is>
          <t>AGRADO</t>
        </is>
      </c>
      <c r="C389" s="14" t="inlineStr">
        <is>
          <t>Agrado</t>
        </is>
      </c>
      <c r="D389" s="14" t="inlineStr">
        <is>
          <t>Huila</t>
        </is>
      </c>
      <c r="E389" s="14" t="inlineStr">
        <is>
          <t>SUR</t>
        </is>
      </c>
      <c r="F389" s="14" t="inlineStr">
        <is>
          <t>ERIKA VARGAS</t>
        </is>
      </c>
      <c r="G389" s="14" t="inlineStr">
        <is>
          <t>1</t>
        </is>
      </c>
      <c r="H389" s="15" t="n">
        <v>46288</v>
      </c>
      <c r="I389" s="15" t="n">
        <v>46288</v>
      </c>
      <c r="J389" s="15" t="n"/>
      <c r="K389" s="15" t="n"/>
      <c r="L389" s="14" t="inlineStr">
        <is>
          <t>Programada</t>
        </is>
      </c>
      <c r="M389" s="15" t="n"/>
      <c r="N389" s="14">
        <f>SI(O(H389="";J389="");"";SI(J389&lt;=H389;"SÍ";"NO"))</f>
        <v/>
      </c>
      <c r="O389" s="14">
        <f>SI(O(I389="";K389="");"";SI(K389&lt;=SI(M389&lt;&gt;"";M389;I389);"SÍ";"NO"))</f>
        <v/>
      </c>
      <c r="P389" s="14">
        <f>SI(O(N389="";O389="");"";SI(Y(N389="SÍ";O389="SÍ");"SÍ";"NO"))</f>
        <v/>
      </c>
      <c r="Q389" s="16">
        <f>SI(O(I389="";K389="");"";MAX(0;ENTERO(K389)-ENTERO(SI(M389&lt;&gt;"";M389;I389))))</f>
        <v/>
      </c>
      <c r="R389" s="14" t="n"/>
      <c r="S389" s="14" t="n"/>
      <c r="T389" s="15" t="n"/>
      <c r="U389" s="14" t="n">
        <v>16</v>
      </c>
      <c r="V389" s="14" t="n"/>
    </row>
    <row r="390">
      <c r="A390" s="11" t="n">
        <v>4522</v>
      </c>
      <c r="B390" s="11" t="inlineStr">
        <is>
          <t>PUERTO LLERAS</t>
        </is>
      </c>
      <c r="C390" s="11" t="inlineStr">
        <is>
          <t>Puerto Lleras</t>
        </is>
      </c>
      <c r="D390" s="11" t="inlineStr">
        <is>
          <t>Meta</t>
        </is>
      </c>
      <c r="E390" s="11" t="inlineStr">
        <is>
          <t>BOGOTA</t>
        </is>
      </c>
      <c r="F390" s="11" t="inlineStr">
        <is>
          <t>Andres Felipe Balbin</t>
        </is>
      </c>
      <c r="G390" s="11" t="inlineStr">
        <is>
          <t>2</t>
        </is>
      </c>
      <c r="H390" s="12" t="n">
        <v>46288</v>
      </c>
      <c r="I390" s="12" t="n">
        <v>46288</v>
      </c>
      <c r="J390" s="12" t="n"/>
      <c r="K390" s="12" t="n"/>
      <c r="L390" s="11" t="inlineStr">
        <is>
          <t>Programada</t>
        </is>
      </c>
      <c r="M390" s="12" t="n"/>
      <c r="N390" s="11">
        <f>SI(O(H390="";J390="");"";SI(J390&lt;=H390;"SÍ";"NO"))</f>
        <v/>
      </c>
      <c r="O390" s="11">
        <f>SI(O(I390="";K390="");"";SI(K390&lt;=SI(M390&lt;&gt;"";M390;I390);"SÍ";"NO"))</f>
        <v/>
      </c>
      <c r="P390" s="11">
        <f>SI(O(N390="";O390="");"";SI(Y(N390="SÍ";O390="SÍ");"SÍ";"NO"))</f>
        <v/>
      </c>
      <c r="Q390" s="13">
        <f>SI(O(I390="";K390="");"";MAX(0;ENTERO(K390)-ENTERO(SI(M390&lt;&gt;"";M390;I390))))</f>
        <v/>
      </c>
      <c r="R390" s="11" t="n"/>
      <c r="S390" s="11" t="n"/>
      <c r="T390" s="12" t="n"/>
      <c r="U390" s="11" t="n">
        <v>16</v>
      </c>
      <c r="V390" s="11" t="n"/>
    </row>
    <row r="391">
      <c r="A391" s="14" t="n">
        <v>4845</v>
      </c>
      <c r="B391" s="14" t="inlineStr">
        <is>
          <t>CHACHAGÜI</t>
        </is>
      </c>
      <c r="C391" s="14" t="inlineStr">
        <is>
          <t>Chachagüi</t>
        </is>
      </c>
      <c r="D391" s="14" t="inlineStr">
        <is>
          <t>Nariño</t>
        </is>
      </c>
      <c r="E391" s="14" t="inlineStr">
        <is>
          <t>OCCIDENTE</t>
        </is>
      </c>
      <c r="F391" s="14" t="inlineStr">
        <is>
          <t>Juan Carlos Narvaez Acosta / Luis Fernando Ibarra Guio</t>
        </is>
      </c>
      <c r="G391" s="14" t="inlineStr">
        <is>
          <t>2</t>
        </is>
      </c>
      <c r="H391" s="15" t="n">
        <v>46288</v>
      </c>
      <c r="I391" s="15" t="n">
        <v>46288</v>
      </c>
      <c r="J391" s="15" t="n"/>
      <c r="K391" s="15" t="n"/>
      <c r="L391" s="14" t="inlineStr">
        <is>
          <t>Programada</t>
        </is>
      </c>
      <c r="M391" s="15" t="n"/>
      <c r="N391" s="14">
        <f>SI(O(H391="";J391="");"";SI(J391&lt;=H391;"SÍ";"NO"))</f>
        <v/>
      </c>
      <c r="O391" s="14">
        <f>SI(O(I391="";K391="");"";SI(K391&lt;=SI(M391&lt;&gt;"";M391;I391);"SÍ";"NO"))</f>
        <v/>
      </c>
      <c r="P391" s="14">
        <f>SI(O(N391="";O391="");"";SI(Y(N391="SÍ";O391="SÍ");"SÍ";"NO"))</f>
        <v/>
      </c>
      <c r="Q391" s="16">
        <f>SI(O(I391="";K391="");"";MAX(0;ENTERO(K391)-ENTERO(SI(M391&lt;&gt;"";M391;I391))))</f>
        <v/>
      </c>
      <c r="R391" s="14" t="n"/>
      <c r="S391" s="14" t="n"/>
      <c r="T391" s="15" t="n"/>
      <c r="U391" s="14" t="n">
        <v>18</v>
      </c>
      <c r="V391" s="14" t="n"/>
    </row>
    <row r="392">
      <c r="A392" s="11" t="n">
        <v>5112</v>
      </c>
      <c r="B392" s="11" t="inlineStr">
        <is>
          <t>ARBOLEDAS</t>
        </is>
      </c>
      <c r="C392" s="11" t="inlineStr">
        <is>
          <t>Arboledas</t>
        </is>
      </c>
      <c r="D392" s="11" t="inlineStr">
        <is>
          <t>Norte de Santander</t>
        </is>
      </c>
      <c r="E392" s="11" t="inlineStr">
        <is>
          <t>SANTANDERES</t>
        </is>
      </c>
      <c r="F392" s="11" t="inlineStr">
        <is>
          <t>Ali Kassem Issa Sierra</t>
        </is>
      </c>
      <c r="G392" s="11" t="inlineStr">
        <is>
          <t>1</t>
        </is>
      </c>
      <c r="H392" s="12" t="n">
        <v>46288</v>
      </c>
      <c r="I392" s="12" t="n">
        <v>46288</v>
      </c>
      <c r="J392" s="12" t="n"/>
      <c r="K392" s="12" t="n"/>
      <c r="L392" s="11" t="inlineStr">
        <is>
          <t>Programada</t>
        </is>
      </c>
      <c r="M392" s="12" t="n"/>
      <c r="N392" s="11">
        <f>SI(O(H392="";J392="");"";SI(J392&lt;=H392;"SÍ";"NO"))</f>
        <v/>
      </c>
      <c r="O392" s="11">
        <f>SI(O(I392="";K392="");"";SI(K392&lt;=SI(M392&lt;&gt;"";M392;I392);"SÍ";"NO"))</f>
        <v/>
      </c>
      <c r="P392" s="11">
        <f>SI(O(N392="";O392="");"";SI(Y(N392="SÍ";O392="SÍ");"SÍ";"NO"))</f>
        <v/>
      </c>
      <c r="Q392" s="13">
        <f>SI(O(I392="";K392="");"";MAX(0;ENTERO(K392)-ENTERO(SI(M392&lt;&gt;"";M392;I392))))</f>
        <v/>
      </c>
      <c r="R392" s="11" t="n"/>
      <c r="S392" s="11" t="n"/>
      <c r="T392" s="12" t="n"/>
      <c r="U392" s="11" t="n">
        <v>13</v>
      </c>
      <c r="V392" s="11" t="n"/>
    </row>
    <row r="393">
      <c r="A393" s="14" t="n">
        <v>6340</v>
      </c>
      <c r="B393" s="14" t="inlineStr">
        <is>
          <t>MAJAGUAL</t>
        </is>
      </c>
      <c r="C393" s="14" t="inlineStr">
        <is>
          <t>Majagual</t>
        </is>
      </c>
      <c r="D393" s="14" t="inlineStr">
        <is>
          <t>Sucre</t>
        </is>
      </c>
      <c r="E393" s="14" t="inlineStr">
        <is>
          <t>COSTA</t>
        </is>
      </c>
      <c r="F393" s="14" t="inlineStr">
        <is>
          <t>Jorge Felipe Munive Medina</t>
        </is>
      </c>
      <c r="G393" s="14" t="inlineStr">
        <is>
          <t>3</t>
        </is>
      </c>
      <c r="H393" s="15" t="n">
        <v>46288</v>
      </c>
      <c r="I393" s="15" t="n">
        <v>46288</v>
      </c>
      <c r="J393" s="15" t="n"/>
      <c r="K393" s="15" t="n"/>
      <c r="L393" s="14" t="inlineStr">
        <is>
          <t>Programada</t>
        </is>
      </c>
      <c r="M393" s="15" t="n"/>
      <c r="N393" s="14">
        <f>SI(O(H393="";J393="");"";SI(J393&lt;=H393;"SÍ";"NO"))</f>
        <v/>
      </c>
      <c r="O393" s="14">
        <f>SI(O(I393="";K393="");"";SI(K393&lt;=SI(M393&lt;&gt;"";M393;I393);"SÍ";"NO"))</f>
        <v/>
      </c>
      <c r="P393" s="14">
        <f>SI(O(N393="";O393="");"";SI(Y(N393="SÍ";O393="SÍ");"SÍ";"NO"))</f>
        <v/>
      </c>
      <c r="Q393" s="16">
        <f>SI(O(I393="";K393="");"";MAX(0;ENTERO(K393)-ENTERO(SI(M393&lt;&gt;"";M393;I393))))</f>
        <v/>
      </c>
      <c r="R393" s="14" t="n"/>
      <c r="S393" s="14" t="n"/>
      <c r="T393" s="15" t="n"/>
      <c r="U393" s="14" t="n">
        <v>25</v>
      </c>
      <c r="V393" s="14" t="n"/>
    </row>
    <row r="394">
      <c r="A394" s="11" t="n">
        <v>6382</v>
      </c>
      <c r="B394" s="11" t="inlineStr">
        <is>
          <t>TOLUVIEJO</t>
        </is>
      </c>
      <c r="C394" s="11" t="inlineStr">
        <is>
          <t>Tolú Viejo</t>
        </is>
      </c>
      <c r="D394" s="11" t="inlineStr">
        <is>
          <t>Sucre</t>
        </is>
      </c>
      <c r="E394" s="11" t="inlineStr">
        <is>
          <t>COSTA</t>
        </is>
      </c>
      <c r="F394" s="11" t="inlineStr">
        <is>
          <t>Laura Camila Ospino Taborda</t>
        </is>
      </c>
      <c r="G394" s="11" t="inlineStr">
        <is>
          <t>1</t>
        </is>
      </c>
      <c r="H394" s="12" t="n">
        <v>46288</v>
      </c>
      <c r="I394" s="12" t="n">
        <v>46288</v>
      </c>
      <c r="J394" s="12" t="n"/>
      <c r="K394" s="12" t="n"/>
      <c r="L394" s="11" t="inlineStr">
        <is>
          <t>Programada</t>
        </is>
      </c>
      <c r="M394" s="12" t="n"/>
      <c r="N394" s="11">
        <f>SI(O(H394="";J394="");"";SI(J394&lt;=H394;"SÍ";"NO"))</f>
        <v/>
      </c>
      <c r="O394" s="11">
        <f>SI(O(I394="";K394="");"";SI(K394&lt;=SI(M394&lt;&gt;"";M394;I394);"SÍ";"NO"))</f>
        <v/>
      </c>
      <c r="P394" s="11">
        <f>SI(O(N394="";O394="");"";SI(Y(N394="SÍ";O394="SÍ");"SÍ";"NO"))</f>
        <v/>
      </c>
      <c r="Q394" s="13">
        <f>SI(O(I394="";K394="");"";MAX(0;ENTERO(K394)-ENTERO(SI(M394&lt;&gt;"";M394;I394))))</f>
        <v/>
      </c>
      <c r="R394" s="11" t="n"/>
      <c r="S394" s="11" t="n"/>
      <c r="T394" s="12" t="n"/>
      <c r="U394" s="11" t="n">
        <v>14</v>
      </c>
      <c r="V394" s="11" t="n"/>
    </row>
    <row r="395">
      <c r="A395" s="14" t="n">
        <v>6625</v>
      </c>
      <c r="B395" s="14" t="inlineStr">
        <is>
          <t>PURIFICACION</t>
        </is>
      </c>
      <c r="C395" s="14" t="inlineStr">
        <is>
          <t>Purificación</t>
        </is>
      </c>
      <c r="D395" s="14" t="inlineStr">
        <is>
          <t>Tolima</t>
        </is>
      </c>
      <c r="E395" s="14" t="inlineStr">
        <is>
          <t>SUR</t>
        </is>
      </c>
      <c r="F395" s="14" t="inlineStr">
        <is>
          <t>Fernando Valencia- Bernardo Arango</t>
        </is>
      </c>
      <c r="G395" s="14" t="inlineStr">
        <is>
          <t>4</t>
        </is>
      </c>
      <c r="H395" s="15" t="n">
        <v>46288</v>
      </c>
      <c r="I395" s="15" t="n">
        <v>46288</v>
      </c>
      <c r="J395" s="15" t="n"/>
      <c r="K395" s="15" t="n"/>
      <c r="L395" s="14" t="inlineStr">
        <is>
          <t>Programada</t>
        </is>
      </c>
      <c r="M395" s="15" t="n"/>
      <c r="N395" s="14">
        <f>SI(O(H395="";J395="");"";SI(J395&lt;=H395;"SÍ";"NO"))</f>
        <v/>
      </c>
      <c r="O395" s="14">
        <f>SI(O(I395="";K395="");"";SI(K395&lt;=SI(M395&lt;&gt;"";M395;I395);"SÍ";"NO"))</f>
        <v/>
      </c>
      <c r="P395" s="14">
        <f>SI(O(N395="";O395="");"";SI(Y(N395="SÍ";O395="SÍ");"SÍ";"NO"))</f>
        <v/>
      </c>
      <c r="Q395" s="16">
        <f>SI(O(I395="";K395="");"";MAX(0;ENTERO(K395)-ENTERO(SI(M395&lt;&gt;"";M395;I395))))</f>
        <v/>
      </c>
      <c r="R395" s="14" t="n"/>
      <c r="S395" s="14" t="n"/>
      <c r="T395" s="15" t="n"/>
      <c r="U395" s="14" t="n">
        <v>26</v>
      </c>
      <c r="V395" s="14" t="n"/>
    </row>
    <row r="396">
      <c r="A396" s="11" t="n">
        <v>6648</v>
      </c>
      <c r="B396" s="11" t="inlineStr">
        <is>
          <t>DOLORES</t>
        </is>
      </c>
      <c r="C396" s="11" t="inlineStr">
        <is>
          <t>Dolores</t>
        </is>
      </c>
      <c r="D396" s="11" t="inlineStr">
        <is>
          <t>Tolima</t>
        </is>
      </c>
      <c r="E396" s="11" t="inlineStr">
        <is>
          <t>SUR</t>
        </is>
      </c>
      <c r="F396" s="11" t="inlineStr">
        <is>
          <t>Bernardo Arango</t>
        </is>
      </c>
      <c r="G396" s="11" t="inlineStr">
        <is>
          <t>1</t>
        </is>
      </c>
      <c r="H396" s="12" t="n">
        <v>46288</v>
      </c>
      <c r="I396" s="12" t="n">
        <v>46288</v>
      </c>
      <c r="J396" s="12" t="n"/>
      <c r="K396" s="12" t="n"/>
      <c r="L396" s="11" t="inlineStr">
        <is>
          <t>Programada</t>
        </is>
      </c>
      <c r="M396" s="12" t="n"/>
      <c r="N396" s="11">
        <f>SI(O(H396="";J396="");"";SI(J396&lt;=H396;"SÍ";"NO"))</f>
        <v/>
      </c>
      <c r="O396" s="11">
        <f>SI(O(I396="";K396="");"";SI(K396&lt;=SI(M396&lt;&gt;"";M396;I396);"SÍ";"NO"))</f>
        <v/>
      </c>
      <c r="P396" s="11">
        <f>SI(O(N396="";O396="");"";SI(Y(N396="SÍ";O396="SÍ");"SÍ";"NO"))</f>
        <v/>
      </c>
      <c r="Q396" s="13">
        <f>SI(O(I396="";K396="");"";MAX(0;ENTERO(K396)-ENTERO(SI(M396&lt;&gt;"";M396;I396))))</f>
        <v/>
      </c>
      <c r="R396" s="11" t="n"/>
      <c r="S396" s="11" t="n"/>
      <c r="T396" s="12" t="n"/>
      <c r="U396" s="11" t="n">
        <v>15</v>
      </c>
      <c r="V396" s="11" t="n"/>
    </row>
    <row r="397">
      <c r="A397" s="14" t="n">
        <v>8650</v>
      </c>
      <c r="B397" s="14" t="inlineStr">
        <is>
          <t>SAN LUIS DE PALENQUE</t>
        </is>
      </c>
      <c r="C397" s="14" t="inlineStr">
        <is>
          <t>San Luis De Palenque</t>
        </is>
      </c>
      <c r="D397" s="14" t="inlineStr">
        <is>
          <t>Casanare</t>
        </is>
      </c>
      <c r="E397" s="14" t="inlineStr">
        <is>
          <t>ORIENTE</t>
        </is>
      </c>
      <c r="F397" s="14" t="inlineStr">
        <is>
          <t>Juan Sebastian Lopez Acevedo</t>
        </is>
      </c>
      <c r="G397" s="14" t="inlineStr">
        <is>
          <t>2</t>
        </is>
      </c>
      <c r="H397" s="15" t="n">
        <v>46288</v>
      </c>
      <c r="I397" s="15" t="n">
        <v>46289</v>
      </c>
      <c r="J397" s="15" t="n"/>
      <c r="K397" s="15" t="n"/>
      <c r="L397" s="14" t="inlineStr">
        <is>
          <t>Programada</t>
        </is>
      </c>
      <c r="M397" s="15" t="n"/>
      <c r="N397" s="14">
        <f>SI(O(H397="";J397="");"";SI(J397&lt;=H397;"SÍ";"NO"))</f>
        <v/>
      </c>
      <c r="O397" s="14">
        <f>SI(O(I397="";K397="");"";SI(K397&lt;=SI(M397&lt;&gt;"";M397;I397);"SÍ";"NO"))</f>
        <v/>
      </c>
      <c r="P397" s="14">
        <f>SI(O(N397="";O397="");"";SI(Y(N397="SÍ";O397="SÍ");"SÍ";"NO"))</f>
        <v/>
      </c>
      <c r="Q397" s="16">
        <f>SI(O(I397="";K397="");"";MAX(0;ENTERO(K397)-ENTERO(SI(M397&lt;&gt;"";M397;I397))))</f>
        <v/>
      </c>
      <c r="R397" s="14" t="n"/>
      <c r="S397" s="14" t="n"/>
      <c r="T397" s="15" t="n"/>
      <c r="U397" s="14" t="n">
        <v>15</v>
      </c>
      <c r="V397" s="14" t="n"/>
    </row>
    <row r="398">
      <c r="A398" s="11" t="n">
        <v>1316</v>
      </c>
      <c r="B398" s="11" t="inlineStr">
        <is>
          <t>ANORI</t>
        </is>
      </c>
      <c r="C398" s="11" t="inlineStr">
        <is>
          <t>Anorí</t>
        </is>
      </c>
      <c r="D398" s="11" t="inlineStr">
        <is>
          <t>Antioquia</t>
        </is>
      </c>
      <c r="E398" s="11" t="inlineStr">
        <is>
          <t>ANTIOQUIA</t>
        </is>
      </c>
      <c r="F398" s="11" t="inlineStr">
        <is>
          <t>Juan Pablo Osorio Ramirez</t>
        </is>
      </c>
      <c r="G398" s="11" t="inlineStr">
        <is>
          <t>2</t>
        </is>
      </c>
      <c r="H398" s="12" t="n">
        <v>46289</v>
      </c>
      <c r="I398" s="12" t="n">
        <v>46289</v>
      </c>
      <c r="J398" s="12" t="n"/>
      <c r="K398" s="12" t="n"/>
      <c r="L398" s="11" t="inlineStr">
        <is>
          <t>Programada</t>
        </is>
      </c>
      <c r="M398" s="12" t="n"/>
      <c r="N398" s="11">
        <f>SI(O(H398="";J398="");"";SI(J398&lt;=H398;"SÍ";"NO"))</f>
        <v/>
      </c>
      <c r="O398" s="11">
        <f>SI(O(I398="";K398="");"";SI(K398&lt;=SI(M398&lt;&gt;"";M398;I398);"SÍ";"NO"))</f>
        <v/>
      </c>
      <c r="P398" s="11">
        <f>SI(O(N398="";O398="");"";SI(Y(N398="SÍ";O398="SÍ");"SÍ";"NO"))</f>
        <v/>
      </c>
      <c r="Q398" s="13">
        <f>SI(O(I398="";K398="");"";MAX(0;ENTERO(K398)-ENTERO(SI(M398&lt;&gt;"";M398;I398))))</f>
        <v/>
      </c>
      <c r="R398" s="11" t="n"/>
      <c r="S398" s="11" t="n"/>
      <c r="T398" s="12" t="n"/>
      <c r="U398" s="11" t="n">
        <v>14</v>
      </c>
      <c r="V398" s="11" t="n"/>
    </row>
    <row r="399">
      <c r="A399" s="14" t="n">
        <v>1415</v>
      </c>
      <c r="B399" s="14" t="inlineStr">
        <is>
          <t>AMALFI</t>
        </is>
      </c>
      <c r="C399" s="14" t="inlineStr">
        <is>
          <t>Amalfi</t>
        </is>
      </c>
      <c r="D399" s="14" t="inlineStr">
        <is>
          <t>Antioquia</t>
        </is>
      </c>
      <c r="E399" s="14" t="inlineStr">
        <is>
          <t>ANTIOQUIA</t>
        </is>
      </c>
      <c r="F399" s="14" t="inlineStr">
        <is>
          <t>Juan Pablo Osorio Ramirez</t>
        </is>
      </c>
      <c r="G399" s="14" t="inlineStr">
        <is>
          <t>2</t>
        </is>
      </c>
      <c r="H399" s="15" t="n">
        <v>46289</v>
      </c>
      <c r="I399" s="15" t="n">
        <v>46289</v>
      </c>
      <c r="J399" s="15" t="n"/>
      <c r="K399" s="15" t="n"/>
      <c r="L399" s="14" t="inlineStr">
        <is>
          <t>Programada</t>
        </is>
      </c>
      <c r="M399" s="15" t="n"/>
      <c r="N399" s="14">
        <f>SI(O(H399="";J399="");"";SI(J399&lt;=H399;"SÍ";"NO"))</f>
        <v/>
      </c>
      <c r="O399" s="14">
        <f>SI(O(I399="";K399="");"";SI(K399&lt;=SI(M399&lt;&gt;"";M399;I399);"SÍ";"NO"))</f>
        <v/>
      </c>
      <c r="P399" s="14">
        <f>SI(O(N399="";O399="");"";SI(Y(N399="SÍ";O399="SÍ");"SÍ";"NO"))</f>
        <v/>
      </c>
      <c r="Q399" s="16">
        <f>SI(O(I399="";K399="");"";MAX(0;ENTERO(K399)-ENTERO(SI(M399&lt;&gt;"";M399;I399))))</f>
        <v/>
      </c>
      <c r="R399" s="14" t="n"/>
      <c r="S399" s="14" t="n"/>
      <c r="T399" s="15" t="n"/>
      <c r="U399" s="14" t="n">
        <v>17</v>
      </c>
      <c r="V399" s="14" t="n"/>
    </row>
    <row r="400">
      <c r="A400" s="11" t="n">
        <v>1460</v>
      </c>
      <c r="B400" s="11" t="inlineStr">
        <is>
          <t>SABANALARGA</t>
        </is>
      </c>
      <c r="C400" s="11" t="inlineStr">
        <is>
          <t>Sabanalarga</t>
        </is>
      </c>
      <c r="D400" s="11" t="inlineStr">
        <is>
          <t>Antioquia</t>
        </is>
      </c>
      <c r="E400" s="11" t="inlineStr">
        <is>
          <t>ANTIOQUIA</t>
        </is>
      </c>
      <c r="F400" s="11" t="inlineStr">
        <is>
          <t>Ever Enrique Esquivel Movilla</t>
        </is>
      </c>
      <c r="G400" s="11" t="inlineStr">
        <is>
          <t>1</t>
        </is>
      </c>
      <c r="H400" s="12" t="n">
        <v>46289</v>
      </c>
      <c r="I400" s="12" t="n">
        <v>46289</v>
      </c>
      <c r="J400" s="12" t="n"/>
      <c r="K400" s="12" t="n"/>
      <c r="L400" s="11" t="inlineStr">
        <is>
          <t>Programada</t>
        </is>
      </c>
      <c r="M400" s="12" t="n"/>
      <c r="N400" s="11">
        <f>SI(O(H400="";J400="");"";SI(J400&lt;=H400;"SÍ";"NO"))</f>
        <v/>
      </c>
      <c r="O400" s="11">
        <f>SI(O(I400="";K400="");"";SI(K400&lt;=SI(M400&lt;&gt;"";M400;I400);"SÍ";"NO"))</f>
        <v/>
      </c>
      <c r="P400" s="11">
        <f>SI(O(N400="";O400="");"";SI(Y(N400="SÍ";O400="SÍ");"SÍ";"NO"))</f>
        <v/>
      </c>
      <c r="Q400" s="13">
        <f>SI(O(I400="";K400="");"";MAX(0;ENTERO(K400)-ENTERO(SI(M400&lt;&gt;"";M400;I400))))</f>
        <v/>
      </c>
      <c r="R400" s="11" t="n"/>
      <c r="S400" s="11" t="n"/>
      <c r="T400" s="12" t="n"/>
      <c r="U400" s="11" t="n">
        <v>14</v>
      </c>
      <c r="V400" s="11" t="n"/>
    </row>
    <row r="401">
      <c r="A401" s="14" t="n">
        <v>1507</v>
      </c>
      <c r="B401" s="14" t="inlineStr">
        <is>
          <t>DUITAMA</t>
        </is>
      </c>
      <c r="C401" s="14" t="inlineStr">
        <is>
          <t>Duitama</t>
        </is>
      </c>
      <c r="D401" s="14" t="inlineStr">
        <is>
          <t>Boyacá</t>
        </is>
      </c>
      <c r="E401" s="14" t="inlineStr">
        <is>
          <t>ORIENTE</t>
        </is>
      </c>
      <c r="F401" s="14" t="inlineStr">
        <is>
          <t>Andrés Felipe Díaz Noy</t>
        </is>
      </c>
      <c r="G401" s="14" t="inlineStr">
        <is>
          <t>10</t>
        </is>
      </c>
      <c r="H401" s="15" t="n">
        <v>46289</v>
      </c>
      <c r="I401" s="15" t="n">
        <v>46290</v>
      </c>
      <c r="J401" s="15" t="n"/>
      <c r="K401" s="15" t="n"/>
      <c r="L401" s="14" t="inlineStr">
        <is>
          <t>Programada</t>
        </is>
      </c>
      <c r="M401" s="15" t="n"/>
      <c r="N401" s="14">
        <f>SI(O(H401="";J401="");"";SI(J401&lt;=H401;"SÍ";"NO"))</f>
        <v/>
      </c>
      <c r="O401" s="14">
        <f>SI(O(I401="";K401="");"";SI(K401&lt;=SI(M401&lt;&gt;"";M401;I401);"SÍ";"NO"))</f>
        <v/>
      </c>
      <c r="P401" s="14">
        <f>SI(O(N401="";O401="");"";SI(Y(N401="SÍ";O401="SÍ");"SÍ";"NO"))</f>
        <v/>
      </c>
      <c r="Q401" s="16">
        <f>SI(O(I401="";K401="");"";MAX(0;ENTERO(K401)-ENTERO(SI(M401&lt;&gt;"";M401;I401))))</f>
        <v/>
      </c>
      <c r="R401" s="14" t="n"/>
      <c r="S401" s="14" t="n"/>
      <c r="T401" s="15" t="n"/>
      <c r="U401" s="14" t="n">
        <v>57</v>
      </c>
      <c r="V401" s="14" t="n"/>
    </row>
    <row r="402">
      <c r="A402" s="11" t="n">
        <v>1516</v>
      </c>
      <c r="B402" s="11" t="inlineStr">
        <is>
          <t>SOGAMOSO</t>
        </is>
      </c>
      <c r="C402" s="11" t="inlineStr">
        <is>
          <t>Sogamoso</t>
        </is>
      </c>
      <c r="D402" s="11" t="inlineStr">
        <is>
          <t>Boyacá</t>
        </is>
      </c>
      <c r="E402" s="11" t="inlineStr">
        <is>
          <t>ORIENTE</t>
        </is>
      </c>
      <c r="F402" s="11" t="inlineStr">
        <is>
          <t>Luz Nélida Barragán Toro</t>
        </is>
      </c>
      <c r="G402" s="11" t="inlineStr">
        <is>
          <t>9</t>
        </is>
      </c>
      <c r="H402" s="12" t="n">
        <v>46289</v>
      </c>
      <c r="I402" s="12" t="n">
        <v>46290</v>
      </c>
      <c r="J402" s="12" t="n"/>
      <c r="K402" s="12" t="n"/>
      <c r="L402" s="11" t="inlineStr">
        <is>
          <t>Programada</t>
        </is>
      </c>
      <c r="M402" s="12" t="n"/>
      <c r="N402" s="11">
        <f>SI(O(H402="";J402="");"";SI(J402&lt;=H402;"SÍ";"NO"))</f>
        <v/>
      </c>
      <c r="O402" s="11">
        <f>SI(O(I402="";K402="");"";SI(K402&lt;=SI(M402&lt;&gt;"";M402;I402);"SÍ";"NO"))</f>
        <v/>
      </c>
      <c r="P402" s="11">
        <f>SI(O(N402="";O402="");"";SI(Y(N402="SÍ";O402="SÍ");"SÍ";"NO"))</f>
        <v/>
      </c>
      <c r="Q402" s="13">
        <f>SI(O(I402="";K402="");"";MAX(0;ENTERO(K402)-ENTERO(SI(M402&lt;&gt;"";M402;I402))))</f>
        <v/>
      </c>
      <c r="R402" s="11" t="n"/>
      <c r="S402" s="11" t="n"/>
      <c r="T402" s="12" t="n"/>
      <c r="U402" s="11" t="n">
        <v>55</v>
      </c>
      <c r="V402" s="11" t="n"/>
    </row>
    <row r="403">
      <c r="A403" s="14" t="n">
        <v>1554</v>
      </c>
      <c r="B403" s="14" t="inlineStr">
        <is>
          <t>PAJARITO</t>
        </is>
      </c>
      <c r="C403" s="14" t="inlineStr">
        <is>
          <t>Pajarito</t>
        </is>
      </c>
      <c r="D403" s="14" t="inlineStr">
        <is>
          <t>Boyacá</t>
        </is>
      </c>
      <c r="E403" s="14" t="inlineStr">
        <is>
          <t>ORIENTE</t>
        </is>
      </c>
      <c r="F403" s="14" t="inlineStr">
        <is>
          <t>Mauricio Andrés Rivera Páez</t>
        </is>
      </c>
      <c r="G403" s="14" t="inlineStr">
        <is>
          <t>1</t>
        </is>
      </c>
      <c r="H403" s="15" t="n">
        <v>46289</v>
      </c>
      <c r="I403" s="15" t="n">
        <v>46290</v>
      </c>
      <c r="J403" s="15" t="n"/>
      <c r="K403" s="15" t="n"/>
      <c r="L403" s="14" t="inlineStr">
        <is>
          <t>Programada</t>
        </is>
      </c>
      <c r="M403" s="15" t="n"/>
      <c r="N403" s="14">
        <f>SI(O(H403="";J403="");"";SI(J403&lt;=H403;"SÍ";"NO"))</f>
        <v/>
      </c>
      <c r="O403" s="14">
        <f>SI(O(I403="";K403="");"";SI(K403&lt;=SI(M403&lt;&gt;"";M403;I403);"SÍ";"NO"))</f>
        <v/>
      </c>
      <c r="P403" s="14">
        <f>SI(O(N403="";O403="");"";SI(Y(N403="SÍ";O403="SÍ");"SÍ";"NO"))</f>
        <v/>
      </c>
      <c r="Q403" s="16">
        <f>SI(O(I403="";K403="");"";MAX(0;ENTERO(K403)-ENTERO(SI(M403&lt;&gt;"";M403;I403))))</f>
        <v/>
      </c>
      <c r="R403" s="14" t="n"/>
      <c r="S403" s="14" t="n"/>
      <c r="T403" s="15" t="n"/>
      <c r="U403" s="14" t="n">
        <v>16</v>
      </c>
      <c r="V403" s="14" t="n"/>
    </row>
    <row r="404">
      <c r="A404" s="11" t="n">
        <v>1593</v>
      </c>
      <c r="B404" s="11" t="inlineStr">
        <is>
          <t>VENTAQUEMADA</t>
        </is>
      </c>
      <c r="C404" s="11" t="inlineStr">
        <is>
          <t>Ventaquemada</t>
        </is>
      </c>
      <c r="D404" s="11" t="inlineStr">
        <is>
          <t>Boyacá</t>
        </is>
      </c>
      <c r="E404" s="11" t="inlineStr">
        <is>
          <t>ORIENTE</t>
        </is>
      </c>
      <c r="F404" s="11" t="inlineStr">
        <is>
          <t>Andrés Felipe Carvajal Pire</t>
        </is>
      </c>
      <c r="G404" s="11" t="inlineStr">
        <is>
          <t>3</t>
        </is>
      </c>
      <c r="H404" s="12" t="n">
        <v>46289</v>
      </c>
      <c r="I404" s="12" t="n">
        <v>46290</v>
      </c>
      <c r="J404" s="12" t="n"/>
      <c r="K404" s="12" t="n"/>
      <c r="L404" s="11" t="inlineStr">
        <is>
          <t>Programada</t>
        </is>
      </c>
      <c r="M404" s="12" t="n"/>
      <c r="N404" s="11">
        <f>SI(O(H404="";J404="");"";SI(J404&lt;=H404;"SÍ";"NO"))</f>
        <v/>
      </c>
      <c r="O404" s="11">
        <f>SI(O(I404="";K404="");"";SI(K404&lt;=SI(M404&lt;&gt;"";M404;I404);"SÍ";"NO"))</f>
        <v/>
      </c>
      <c r="P404" s="11">
        <f>SI(O(N404="";O404="");"";SI(Y(N404="SÍ";O404="SÍ");"SÍ";"NO"))</f>
        <v/>
      </c>
      <c r="Q404" s="13">
        <f>SI(O(I404="";K404="");"";MAX(0;ENTERO(K404)-ENTERO(SI(M404&lt;&gt;"";M404;I404))))</f>
        <v/>
      </c>
      <c r="R404" s="11" t="n"/>
      <c r="S404" s="11" t="n"/>
      <c r="T404" s="12" t="n"/>
      <c r="U404" s="11" t="n">
        <v>22</v>
      </c>
      <c r="V404" s="11" t="n"/>
    </row>
    <row r="405">
      <c r="A405" s="14" t="n">
        <v>1832</v>
      </c>
      <c r="B405" s="14" t="inlineStr">
        <is>
          <t>MARMATO</t>
        </is>
      </c>
      <c r="C405" s="14" t="inlineStr">
        <is>
          <t>Marmato</t>
        </is>
      </c>
      <c r="D405" s="14" t="inlineStr">
        <is>
          <t>Caldas</t>
        </is>
      </c>
      <c r="E405" s="14" t="inlineStr">
        <is>
          <t>CAFETERA</t>
        </is>
      </c>
      <c r="F405" s="14" t="inlineStr">
        <is>
          <t>JULIO  CESAR AUDELO  - ANDRES FELIPE BOTERO</t>
        </is>
      </c>
      <c r="G405" s="14" t="inlineStr">
        <is>
          <t>1</t>
        </is>
      </c>
      <c r="H405" s="15" t="n">
        <v>46289</v>
      </c>
      <c r="I405" s="15" t="n">
        <v>46290</v>
      </c>
      <c r="J405" s="15" t="n"/>
      <c r="K405" s="15" t="n"/>
      <c r="L405" s="14" t="inlineStr">
        <is>
          <t>Programada</t>
        </is>
      </c>
      <c r="M405" s="15" t="n"/>
      <c r="N405" s="14">
        <f>SI(O(H405="";J405="");"";SI(J405&lt;=H405;"SÍ";"NO"))</f>
        <v/>
      </c>
      <c r="O405" s="14">
        <f>SI(O(I405="";K405="");"";SI(K405&lt;=SI(M405&lt;&gt;"";M405;I405);"SÍ";"NO"))</f>
        <v/>
      </c>
      <c r="P405" s="14">
        <f>SI(O(N405="";O405="");"";SI(Y(N405="SÍ";O405="SÍ");"SÍ";"NO"))</f>
        <v/>
      </c>
      <c r="Q405" s="16">
        <f>SI(O(I405="";K405="");"";MAX(0;ENTERO(K405)-ENTERO(SI(M405&lt;&gt;"";M405;I405))))</f>
        <v/>
      </c>
      <c r="R405" s="14" t="n"/>
      <c r="S405" s="14" t="n"/>
      <c r="T405" s="15" t="n"/>
      <c r="U405" s="14" t="n">
        <v>16</v>
      </c>
      <c r="V405" s="14" t="n"/>
    </row>
    <row r="406">
      <c r="A406" s="11" t="n">
        <v>1846</v>
      </c>
      <c r="B406" s="11" t="inlineStr">
        <is>
          <t>LA MERCED</t>
        </is>
      </c>
      <c r="C406" s="11" t="inlineStr">
        <is>
          <t>La Merced</t>
        </is>
      </c>
      <c r="D406" s="11" t="inlineStr">
        <is>
          <t>Caldas</t>
        </is>
      </c>
      <c r="E406" s="11" t="inlineStr">
        <is>
          <t>CAFETERA</t>
        </is>
      </c>
      <c r="F406" s="11" t="inlineStr">
        <is>
          <t>JULIO  CESAR AUDELO  - ANDRES FELIPE BOTERO</t>
        </is>
      </c>
      <c r="G406" s="11" t="inlineStr">
        <is>
          <t>1</t>
        </is>
      </c>
      <c r="H406" s="12" t="n">
        <v>46289</v>
      </c>
      <c r="I406" s="12" t="n">
        <v>46290</v>
      </c>
      <c r="J406" s="12" t="n"/>
      <c r="K406" s="12" t="n"/>
      <c r="L406" s="11" t="inlineStr">
        <is>
          <t>Programada</t>
        </is>
      </c>
      <c r="M406" s="12" t="n"/>
      <c r="N406" s="11">
        <f>SI(O(H406="";J406="");"";SI(J406&lt;=H406;"SÍ";"NO"))</f>
        <v/>
      </c>
      <c r="O406" s="11">
        <f>SI(O(I406="";K406="");"";SI(K406&lt;=SI(M406&lt;&gt;"";M406;I406);"SÍ";"NO"))</f>
        <v/>
      </c>
      <c r="P406" s="11">
        <f>SI(O(N406="";O406="");"";SI(Y(N406="SÍ";O406="SÍ");"SÍ";"NO"))</f>
        <v/>
      </c>
      <c r="Q406" s="13">
        <f>SI(O(I406="";K406="");"";MAX(0;ENTERO(K406)-ENTERO(SI(M406&lt;&gt;"";M406;I406))))</f>
        <v/>
      </c>
      <c r="R406" s="11" t="n"/>
      <c r="S406" s="11" t="n"/>
      <c r="T406" s="12" t="n"/>
      <c r="U406" s="11" t="n">
        <v>17</v>
      </c>
      <c r="V406" s="11" t="n"/>
    </row>
    <row r="407">
      <c r="A407" s="14" t="n">
        <v>2435</v>
      </c>
      <c r="B407" s="14" t="inlineStr">
        <is>
          <t>SAN ALBERTO</t>
        </is>
      </c>
      <c r="C407" s="14" t="inlineStr">
        <is>
          <t>San Alberto</t>
        </is>
      </c>
      <c r="D407" s="14" t="inlineStr">
        <is>
          <t>Cesar</t>
        </is>
      </c>
      <c r="E407" s="14" t="inlineStr">
        <is>
          <t>SANTANDERES</t>
        </is>
      </c>
      <c r="F407" s="14" t="inlineStr">
        <is>
          <t>Juan Diego Mariño Rivera</t>
        </is>
      </c>
      <c r="G407" s="14" t="inlineStr">
        <is>
          <t>6</t>
        </is>
      </c>
      <c r="H407" s="15" t="n">
        <v>46289</v>
      </c>
      <c r="I407" s="15" t="n">
        <v>46289</v>
      </c>
      <c r="J407" s="15" t="n"/>
      <c r="K407" s="15" t="n"/>
      <c r="L407" s="14" t="inlineStr">
        <is>
          <t>Programada</t>
        </is>
      </c>
      <c r="M407" s="15" t="n"/>
      <c r="N407" s="14">
        <f>SI(O(H407="";J407="");"";SI(J407&lt;=H407;"SÍ";"NO"))</f>
        <v/>
      </c>
      <c r="O407" s="14">
        <f>SI(O(I407="";K407="");"";SI(K407&lt;=SI(M407&lt;&gt;"";M407;I407);"SÍ";"NO"))</f>
        <v/>
      </c>
      <c r="P407" s="14">
        <f>SI(O(N407="";O407="");"";SI(Y(N407="SÍ";O407="SÍ");"SÍ";"NO"))</f>
        <v/>
      </c>
      <c r="Q407" s="16">
        <f>SI(O(I407="";K407="");"";MAX(0;ENTERO(K407)-ENTERO(SI(M407&lt;&gt;"";M407;I407))))</f>
        <v/>
      </c>
      <c r="R407" s="14" t="n"/>
      <c r="S407" s="14" t="n"/>
      <c r="T407" s="15" t="n"/>
      <c r="U407" s="14" t="n">
        <v>33</v>
      </c>
      <c r="V407" s="14" t="n"/>
    </row>
    <row r="408">
      <c r="A408" s="11" t="n">
        <v>2757</v>
      </c>
      <c r="B408" s="11" t="inlineStr">
        <is>
          <t>SAN BERNARDO DEL VIENTO</t>
        </is>
      </c>
      <c r="C408" s="11" t="inlineStr">
        <is>
          <t>San Bernardo Del Viento</t>
        </is>
      </c>
      <c r="D408" s="11" t="inlineStr">
        <is>
          <t>Córdoba</t>
        </is>
      </c>
      <c r="E408" s="11" t="inlineStr">
        <is>
          <t>COSTA</t>
        </is>
      </c>
      <c r="F408" s="11" t="inlineStr">
        <is>
          <t>Jhon Jairo Vergara Pelaez</t>
        </is>
      </c>
      <c r="G408" s="11" t="inlineStr">
        <is>
          <t>2</t>
        </is>
      </c>
      <c r="H408" s="12" t="n">
        <v>46289</v>
      </c>
      <c r="I408" s="12" t="n">
        <v>46289</v>
      </c>
      <c r="J408" s="12" t="n"/>
      <c r="K408" s="12" t="n"/>
      <c r="L408" s="11" t="inlineStr">
        <is>
          <t>Programada</t>
        </is>
      </c>
      <c r="M408" s="12" t="n"/>
      <c r="N408" s="11">
        <f>SI(O(H408="";J408="");"";SI(J408&lt;=H408;"SÍ";"NO"))</f>
        <v/>
      </c>
      <c r="O408" s="11">
        <f>SI(O(I408="";K408="");"";SI(K408&lt;=SI(M408&lt;&gt;"";M408;I408);"SÍ";"NO"))</f>
        <v/>
      </c>
      <c r="P408" s="11">
        <f>SI(O(N408="";O408="");"";SI(Y(N408="SÍ";O408="SÍ");"SÍ";"NO"))</f>
        <v/>
      </c>
      <c r="Q408" s="13">
        <f>SI(O(I408="";K408="");"";MAX(0;ENTERO(K408)-ENTERO(SI(M408&lt;&gt;"";M408;I408))))</f>
        <v/>
      </c>
      <c r="R408" s="11" t="n"/>
      <c r="S408" s="11" t="n"/>
      <c r="T408" s="12" t="n"/>
      <c r="U408" s="11" t="n">
        <v>15</v>
      </c>
      <c r="V408" s="11" t="n"/>
    </row>
    <row r="409">
      <c r="A409" s="14" t="n">
        <v>2775</v>
      </c>
      <c r="B409" s="14" t="inlineStr">
        <is>
          <t>SAN ANDRES DE SOTAVENTO</t>
        </is>
      </c>
      <c r="C409" s="14" t="inlineStr">
        <is>
          <t>San Andrés De Sotavento</t>
        </is>
      </c>
      <c r="D409" s="14" t="inlineStr">
        <is>
          <t>Córdoba</t>
        </is>
      </c>
      <c r="E409" s="14" t="inlineStr">
        <is>
          <t>COSTA</t>
        </is>
      </c>
      <c r="F409" s="14" t="inlineStr">
        <is>
          <t>Laura Camila Ospino Taborda</t>
        </is>
      </c>
      <c r="G409" s="14" t="inlineStr">
        <is>
          <t>1</t>
        </is>
      </c>
      <c r="H409" s="15" t="n">
        <v>46289</v>
      </c>
      <c r="I409" s="15" t="n">
        <v>46289</v>
      </c>
      <c r="J409" s="15" t="n"/>
      <c r="K409" s="15" t="n"/>
      <c r="L409" s="14" t="inlineStr">
        <is>
          <t>Programada</t>
        </is>
      </c>
      <c r="M409" s="15" t="n"/>
      <c r="N409" s="14">
        <f>SI(O(H409="";J409="");"";SI(J409&lt;=H409;"SÍ";"NO"))</f>
        <v/>
      </c>
      <c r="O409" s="14">
        <f>SI(O(I409="";K409="");"";SI(K409&lt;=SI(M409&lt;&gt;"";M409;I409);"SÍ";"NO"))</f>
        <v/>
      </c>
      <c r="P409" s="14">
        <f>SI(O(N409="";O409="");"";SI(Y(N409="SÍ";O409="SÍ");"SÍ";"NO"))</f>
        <v/>
      </c>
      <c r="Q409" s="16">
        <f>SI(O(I409="";K409="");"";MAX(0;ENTERO(K409)-ENTERO(SI(M409&lt;&gt;"";M409;I409))))</f>
        <v/>
      </c>
      <c r="R409" s="14" t="n"/>
      <c r="S409" s="14" t="n"/>
      <c r="T409" s="15" t="n"/>
      <c r="U409" s="14" t="n">
        <v>16</v>
      </c>
      <c r="V409" s="14" t="n"/>
    </row>
    <row r="410">
      <c r="A410" s="11" t="n">
        <v>3109</v>
      </c>
      <c r="B410" s="11" t="inlineStr">
        <is>
          <t>APULO</t>
        </is>
      </c>
      <c r="C410" s="11" t="inlineStr">
        <is>
          <t>Apulo</t>
        </is>
      </c>
      <c r="D410" s="11" t="inlineStr">
        <is>
          <t>Cundinamarca</t>
        </is>
      </c>
      <c r="E410" s="11" t="inlineStr">
        <is>
          <t>BOGOTA</t>
        </is>
      </c>
      <c r="F410" s="11" t="inlineStr">
        <is>
          <t>Nelson Leonardo Paez Suarez</t>
        </is>
      </c>
      <c r="G410" s="11" t="inlineStr">
        <is>
          <t>1</t>
        </is>
      </c>
      <c r="H410" s="12" t="n">
        <v>46289</v>
      </c>
      <c r="I410" s="12" t="n">
        <v>46289</v>
      </c>
      <c r="J410" s="12" t="n"/>
      <c r="K410" s="12" t="n"/>
      <c r="L410" s="11" t="inlineStr">
        <is>
          <t>Programada</t>
        </is>
      </c>
      <c r="M410" s="12" t="n"/>
      <c r="N410" s="11">
        <f>SI(O(H410="";J410="");"";SI(J410&lt;=H410;"SÍ";"NO"))</f>
        <v/>
      </c>
      <c r="O410" s="11">
        <f>SI(O(I410="";K410="");"";SI(K410&lt;=SI(M410&lt;&gt;"";M410;I410);"SÍ";"NO"))</f>
        <v/>
      </c>
      <c r="P410" s="11">
        <f>SI(O(N410="";O410="");"";SI(Y(N410="SÍ";O410="SÍ");"SÍ";"NO"))</f>
        <v/>
      </c>
      <c r="Q410" s="13">
        <f>SI(O(I410="";K410="");"";MAX(0;ENTERO(K410)-ENTERO(SI(M410&lt;&gt;"";M410;I410))))</f>
        <v/>
      </c>
      <c r="R410" s="11" t="n"/>
      <c r="S410" s="11" t="n"/>
      <c r="T410" s="12" t="n"/>
      <c r="U410" s="11" t="n">
        <v>16</v>
      </c>
      <c r="V410" s="11" t="n"/>
    </row>
    <row r="411">
      <c r="A411" s="14" t="n">
        <v>3144</v>
      </c>
      <c r="B411" s="14" t="inlineStr">
        <is>
          <t>LA PEÑA</t>
        </is>
      </c>
      <c r="C411" s="14" t="inlineStr">
        <is>
          <t>La Peña</t>
        </is>
      </c>
      <c r="D411" s="14" t="inlineStr">
        <is>
          <t>Cundinamarca</t>
        </is>
      </c>
      <c r="E411" s="14" t="inlineStr">
        <is>
          <t>BOGOTA</t>
        </is>
      </c>
      <c r="F411" s="14" t="inlineStr">
        <is>
          <t>Jhonatan Felipe Hernandez Gamboa</t>
        </is>
      </c>
      <c r="G411" s="14" t="inlineStr">
        <is>
          <t>2</t>
        </is>
      </c>
      <c r="H411" s="15" t="n">
        <v>46289</v>
      </c>
      <c r="I411" s="15" t="n">
        <v>46289</v>
      </c>
      <c r="J411" s="15" t="n"/>
      <c r="K411" s="15" t="n"/>
      <c r="L411" s="14" t="inlineStr">
        <is>
          <t>Programada</t>
        </is>
      </c>
      <c r="M411" s="15" t="n"/>
      <c r="N411" s="14">
        <f>SI(O(H411="";J411="");"";SI(J411&lt;=H411;"SÍ";"NO"))</f>
        <v/>
      </c>
      <c r="O411" s="14">
        <f>SI(O(I411="";K411="");"";SI(K411&lt;=SI(M411&lt;&gt;"";M411;I411);"SÍ";"NO"))</f>
        <v/>
      </c>
      <c r="P411" s="14">
        <f>SI(O(N411="";O411="");"";SI(Y(N411="SÍ";O411="SÍ");"SÍ";"NO"))</f>
        <v/>
      </c>
      <c r="Q411" s="16">
        <f>SI(O(I411="";K411="");"";MAX(0;ENTERO(K411)-ENTERO(SI(M411&lt;&gt;"";M411;I411))))</f>
        <v/>
      </c>
      <c r="R411" s="14" t="n"/>
      <c r="S411" s="14" t="n"/>
      <c r="T411" s="15" t="n"/>
      <c r="U411" s="14" t="n">
        <v>14</v>
      </c>
      <c r="V411" s="14" t="n"/>
    </row>
    <row r="412">
      <c r="A412" s="11" t="n">
        <v>3156</v>
      </c>
      <c r="B412" s="11" t="inlineStr">
        <is>
          <t>SAN BERNARDO</t>
        </is>
      </c>
      <c r="C412" s="11" t="inlineStr">
        <is>
          <t>San Bernardo</t>
        </is>
      </c>
      <c r="D412" s="11" t="inlineStr">
        <is>
          <t>Cundinamarca</t>
        </is>
      </c>
      <c r="E412" s="11" t="inlineStr">
        <is>
          <t>BOGOTA</t>
        </is>
      </c>
      <c r="F412" s="11" t="inlineStr">
        <is>
          <t>Edwin Santiago Cuchivaguen Diaz</t>
        </is>
      </c>
      <c r="G412" s="11" t="inlineStr">
        <is>
          <t>2</t>
        </is>
      </c>
      <c r="H412" s="12" t="n">
        <v>46289</v>
      </c>
      <c r="I412" s="12" t="n">
        <v>46289</v>
      </c>
      <c r="J412" s="12" t="n"/>
      <c r="K412" s="12" t="n"/>
      <c r="L412" s="11" t="inlineStr">
        <is>
          <t>Programada</t>
        </is>
      </c>
      <c r="M412" s="12" t="n"/>
      <c r="N412" s="11">
        <f>SI(O(H412="";J412="");"";SI(J412&lt;=H412;"SÍ";"NO"))</f>
        <v/>
      </c>
      <c r="O412" s="11">
        <f>SI(O(I412="";K412="");"";SI(K412&lt;=SI(M412&lt;&gt;"";M412;I412);"SÍ";"NO"))</f>
        <v/>
      </c>
      <c r="P412" s="11">
        <f>SI(O(N412="";O412="");"";SI(Y(N412="SÍ";O412="SÍ");"SÍ";"NO"))</f>
        <v/>
      </c>
      <c r="Q412" s="13">
        <f>SI(O(I412="";K412="");"";MAX(0;ENTERO(K412)-ENTERO(SI(M412&lt;&gt;"";M412;I412))))</f>
        <v/>
      </c>
      <c r="R412" s="11" t="n"/>
      <c r="S412" s="11" t="n"/>
      <c r="T412" s="12" t="n"/>
      <c r="U412" s="11" t="n">
        <v>17</v>
      </c>
      <c r="V412" s="11" t="n"/>
    </row>
    <row r="413">
      <c r="A413" s="14" t="n">
        <v>3178</v>
      </c>
      <c r="B413" s="14" t="inlineStr">
        <is>
          <t>VERGARA</t>
        </is>
      </c>
      <c r="C413" s="14" t="inlineStr">
        <is>
          <t>Vergara</t>
        </is>
      </c>
      <c r="D413" s="14" t="inlineStr">
        <is>
          <t>Cundinamarca</t>
        </is>
      </c>
      <c r="E413" s="14" t="inlineStr">
        <is>
          <t>BOGOTA</t>
        </is>
      </c>
      <c r="F413" s="14" t="inlineStr">
        <is>
          <t>Carlos Andres Cuchivaguen Diaz</t>
        </is>
      </c>
      <c r="G413" s="14" t="inlineStr">
        <is>
          <t>2</t>
        </is>
      </c>
      <c r="H413" s="15" t="n">
        <v>46289</v>
      </c>
      <c r="I413" s="15" t="n">
        <v>46289</v>
      </c>
      <c r="J413" s="15" t="n"/>
      <c r="K413" s="15" t="n"/>
      <c r="L413" s="14" t="inlineStr">
        <is>
          <t>Programada</t>
        </is>
      </c>
      <c r="M413" s="15" t="n"/>
      <c r="N413" s="14">
        <f>SI(O(H413="";J413="");"";SI(J413&lt;=H413;"SÍ";"NO"))</f>
        <v/>
      </c>
      <c r="O413" s="14">
        <f>SI(O(I413="";K413="");"";SI(K413&lt;=SI(M413&lt;&gt;"";M413;I413);"SÍ";"NO"))</f>
        <v/>
      </c>
      <c r="P413" s="14">
        <f>SI(O(N413="";O413="");"";SI(Y(N413="SÍ";O413="SÍ");"SÍ";"NO"))</f>
        <v/>
      </c>
      <c r="Q413" s="16">
        <f>SI(O(I413="";K413="");"";MAX(0;ENTERO(K413)-ENTERO(SI(M413&lt;&gt;"";M413;I413))))</f>
        <v/>
      </c>
      <c r="R413" s="14" t="n"/>
      <c r="S413" s="14" t="n"/>
      <c r="T413" s="15" t="n"/>
      <c r="U413" s="14" t="n">
        <v>17</v>
      </c>
      <c r="V413" s="14" t="n"/>
    </row>
    <row r="414">
      <c r="A414" s="11" t="n">
        <v>3909</v>
      </c>
      <c r="B414" s="11" t="inlineStr">
        <is>
          <t>ALTAMIRA</t>
        </is>
      </c>
      <c r="C414" s="11" t="inlineStr">
        <is>
          <t>Altamira</t>
        </is>
      </c>
      <c r="D414" s="11" t="inlineStr">
        <is>
          <t>Huila</t>
        </is>
      </c>
      <c r="E414" s="11" t="inlineStr">
        <is>
          <t>SUR</t>
        </is>
      </c>
      <c r="F414" s="11" t="inlineStr">
        <is>
          <t>ERIKA VARGAS</t>
        </is>
      </c>
      <c r="G414" s="11" t="inlineStr">
        <is>
          <t>1</t>
        </is>
      </c>
      <c r="H414" s="12" t="n">
        <v>46289</v>
      </c>
      <c r="I414" s="12" t="n">
        <v>46289</v>
      </c>
      <c r="J414" s="12" t="n"/>
      <c r="K414" s="12" t="n"/>
      <c r="L414" s="11" t="inlineStr">
        <is>
          <t>Programada</t>
        </is>
      </c>
      <c r="M414" s="12" t="n"/>
      <c r="N414" s="11">
        <f>SI(O(H414="";J414="");"";SI(J414&lt;=H414;"SÍ";"NO"))</f>
        <v/>
      </c>
      <c r="O414" s="11">
        <f>SI(O(I414="";K414="");"";SI(K414&lt;=SI(M414&lt;&gt;"";M414;I414);"SÍ";"NO"))</f>
        <v/>
      </c>
      <c r="P414" s="11">
        <f>SI(O(N414="";O414="");"";SI(Y(N414="SÍ";O414="SÍ");"SÍ";"NO"))</f>
        <v/>
      </c>
      <c r="Q414" s="13">
        <f>SI(O(I414="";K414="");"";MAX(0;ENTERO(K414)-ENTERO(SI(M414&lt;&gt;"";M414;I414))))</f>
        <v/>
      </c>
      <c r="R414" s="11" t="n"/>
      <c r="S414" s="11" t="n"/>
      <c r="T414" s="12" t="n"/>
      <c r="U414" s="11" t="n">
        <v>13</v>
      </c>
      <c r="V414" s="11" t="n"/>
    </row>
    <row r="415">
      <c r="A415" s="14" t="n">
        <v>4830</v>
      </c>
      <c r="B415" s="14" t="inlineStr">
        <is>
          <t>EL TAMBO</t>
        </is>
      </c>
      <c r="C415" s="14" t="inlineStr">
        <is>
          <t>El Tambo</t>
        </is>
      </c>
      <c r="D415" s="14" t="inlineStr">
        <is>
          <t>Nariño</t>
        </is>
      </c>
      <c r="E415" s="14" t="inlineStr">
        <is>
          <t>OCCIDENTE</t>
        </is>
      </c>
      <c r="F415" s="14" t="inlineStr">
        <is>
          <t>Juan Carlos Narvaez Acosta / Luis Fernando Ibarra Guio</t>
        </is>
      </c>
      <c r="G415" s="14" t="inlineStr">
        <is>
          <t>3</t>
        </is>
      </c>
      <c r="H415" s="15" t="n">
        <v>46289</v>
      </c>
      <c r="I415" s="15" t="n">
        <v>46289</v>
      </c>
      <c r="J415" s="15" t="n"/>
      <c r="K415" s="15" t="n"/>
      <c r="L415" s="14" t="inlineStr">
        <is>
          <t>Programada</t>
        </is>
      </c>
      <c r="M415" s="15" t="n"/>
      <c r="N415" s="14">
        <f>SI(O(H415="";J415="");"";SI(J415&lt;=H415;"SÍ";"NO"))</f>
        <v/>
      </c>
      <c r="O415" s="14">
        <f>SI(O(I415="";K415="");"";SI(K415&lt;=SI(M415&lt;&gt;"";M415;I415);"SÍ";"NO"))</f>
        <v/>
      </c>
      <c r="P415" s="14">
        <f>SI(O(N415="";O415="");"";SI(Y(N415="SÍ";O415="SÍ");"SÍ";"NO"))</f>
        <v/>
      </c>
      <c r="Q415" s="16">
        <f>SI(O(I415="";K415="");"";MAX(0;ENTERO(K415)-ENTERO(SI(M415&lt;&gt;"";M415;I415))))</f>
        <v/>
      </c>
      <c r="R415" s="14" t="n"/>
      <c r="S415" s="14" t="n"/>
      <c r="T415" s="15" t="n"/>
      <c r="U415" s="14" t="n">
        <v>23</v>
      </c>
      <c r="V415" s="14" t="n"/>
    </row>
    <row r="416">
      <c r="A416" s="11" t="n">
        <v>5117</v>
      </c>
      <c r="B416" s="11" t="inlineStr">
        <is>
          <t>CUCUTILLA</t>
        </is>
      </c>
      <c r="C416" s="11" t="inlineStr">
        <is>
          <t>Cucutilla</t>
        </is>
      </c>
      <c r="D416" s="11" t="inlineStr">
        <is>
          <t>Norte de Santander</t>
        </is>
      </c>
      <c r="E416" s="11" t="inlineStr">
        <is>
          <t>SANTANDERES</t>
        </is>
      </c>
      <c r="F416" s="11" t="inlineStr">
        <is>
          <t>Ali Kassem Issa Sierra</t>
        </is>
      </c>
      <c r="G416" s="11" t="inlineStr">
        <is>
          <t>1</t>
        </is>
      </c>
      <c r="H416" s="12" t="n">
        <v>46289</v>
      </c>
      <c r="I416" s="12" t="n">
        <v>46290</v>
      </c>
      <c r="J416" s="12" t="n"/>
      <c r="K416" s="12" t="n"/>
      <c r="L416" s="11" t="inlineStr">
        <is>
          <t>Programada</t>
        </is>
      </c>
      <c r="M416" s="12" t="n"/>
      <c r="N416" s="11">
        <f>SI(O(H416="";J416="");"";SI(J416&lt;=H416;"SÍ";"NO"))</f>
        <v/>
      </c>
      <c r="O416" s="11">
        <f>SI(O(I416="";K416="");"";SI(K416&lt;=SI(M416&lt;&gt;"";M416;I416);"SÍ";"NO"))</f>
        <v/>
      </c>
      <c r="P416" s="11">
        <f>SI(O(N416="";O416="");"";SI(Y(N416="SÍ";O416="SÍ");"SÍ";"NO"))</f>
        <v/>
      </c>
      <c r="Q416" s="13">
        <f>SI(O(I416="";K416="");"";MAX(0;ENTERO(K416)-ENTERO(SI(M416&lt;&gt;"";M416;I416))))</f>
        <v/>
      </c>
      <c r="R416" s="11" t="n"/>
      <c r="S416" s="11" t="n"/>
      <c r="T416" s="12" t="n"/>
      <c r="U416" s="11" t="n">
        <v>16</v>
      </c>
      <c r="V416" s="11" t="n"/>
    </row>
    <row r="417">
      <c r="A417" s="14" t="n">
        <v>5750</v>
      </c>
      <c r="B417" s="14" t="inlineStr">
        <is>
          <t>MISTRATO</t>
        </is>
      </c>
      <c r="C417" s="14" t="inlineStr">
        <is>
          <t>Mistrató</t>
        </is>
      </c>
      <c r="D417" s="14" t="inlineStr">
        <is>
          <t>Risaralda</t>
        </is>
      </c>
      <c r="E417" s="14" t="inlineStr">
        <is>
          <t>CAFETERA</t>
        </is>
      </c>
      <c r="F417" s="14" t="inlineStr">
        <is>
          <t>CESAR AUGUSTO HENAO</t>
        </is>
      </c>
      <c r="G417" s="14" t="inlineStr">
        <is>
          <t>1</t>
        </is>
      </c>
      <c r="H417" s="15" t="n">
        <v>46289</v>
      </c>
      <c r="I417" s="15" t="n">
        <v>46290</v>
      </c>
      <c r="J417" s="15" t="n"/>
      <c r="K417" s="15" t="n"/>
      <c r="L417" s="14" t="inlineStr">
        <is>
          <t>Programada</t>
        </is>
      </c>
      <c r="M417" s="15" t="n"/>
      <c r="N417" s="14">
        <f>SI(O(H417="";J417="");"";SI(J417&lt;=H417;"SÍ";"NO"))</f>
        <v/>
      </c>
      <c r="O417" s="14">
        <f>SI(O(I417="";K417="");"";SI(K417&lt;=SI(M417&lt;&gt;"";M417;I417);"SÍ";"NO"))</f>
        <v/>
      </c>
      <c r="P417" s="14">
        <f>SI(O(N417="";O417="");"";SI(Y(N417="SÍ";O417="SÍ");"SÍ";"NO"))</f>
        <v/>
      </c>
      <c r="Q417" s="16">
        <f>SI(O(I417="";K417="");"";MAX(0;ENTERO(K417)-ENTERO(SI(M417&lt;&gt;"";M417;I417))))</f>
        <v/>
      </c>
      <c r="R417" s="14" t="n"/>
      <c r="S417" s="14" t="n"/>
      <c r="T417" s="15" t="n"/>
      <c r="U417" s="14" t="n">
        <v>15</v>
      </c>
      <c r="V417" s="14" t="n"/>
    </row>
    <row r="418">
      <c r="A418" s="11" t="n">
        <v>6320</v>
      </c>
      <c r="B418" s="11" t="inlineStr">
        <is>
          <t>GALERAS</t>
        </is>
      </c>
      <c r="C418" s="11" t="inlineStr">
        <is>
          <t>Galeras</t>
        </is>
      </c>
      <c r="D418" s="11" t="inlineStr">
        <is>
          <t>Sucre</t>
        </is>
      </c>
      <c r="E418" s="11" t="inlineStr">
        <is>
          <t>COSTA</t>
        </is>
      </c>
      <c r="F418" s="11" t="inlineStr">
        <is>
          <t>Mauricio Rafael Narvaez Iriarte</t>
        </is>
      </c>
      <c r="G418" s="11" t="inlineStr">
        <is>
          <t>3</t>
        </is>
      </c>
      <c r="H418" s="12" t="n">
        <v>46289</v>
      </c>
      <c r="I418" s="12" t="n">
        <v>46289</v>
      </c>
      <c r="J418" s="12" t="n"/>
      <c r="K418" s="12" t="n"/>
      <c r="L418" s="11" t="inlineStr">
        <is>
          <t>Programada</t>
        </is>
      </c>
      <c r="M418" s="12" t="n"/>
      <c r="N418" s="11">
        <f>SI(O(H418="";J418="");"";SI(J418&lt;=H418;"SÍ";"NO"))</f>
        <v/>
      </c>
      <c r="O418" s="11">
        <f>SI(O(I418="";K418="");"";SI(K418&lt;=SI(M418&lt;&gt;"";M418;I418);"SÍ";"NO"))</f>
        <v/>
      </c>
      <c r="P418" s="11">
        <f>SI(O(N418="";O418="");"";SI(Y(N418="SÍ";O418="SÍ");"SÍ";"NO"))</f>
        <v/>
      </c>
      <c r="Q418" s="13">
        <f>SI(O(I418="";K418="");"";MAX(0;ENTERO(K418)-ENTERO(SI(M418&lt;&gt;"";M418;I418))))</f>
        <v/>
      </c>
      <c r="R418" s="11" t="n"/>
      <c r="S418" s="11" t="n"/>
      <c r="T418" s="12" t="n"/>
      <c r="U418" s="11" t="n">
        <v>20</v>
      </c>
      <c r="V418" s="11" t="n"/>
    </row>
    <row r="419">
      <c r="A419" s="14" t="n">
        <v>6649</v>
      </c>
      <c r="B419" s="14" t="inlineStr">
        <is>
          <t>ATACO</t>
        </is>
      </c>
      <c r="C419" s="14" t="inlineStr">
        <is>
          <t>Ataco</t>
        </is>
      </c>
      <c r="D419" s="14" t="inlineStr">
        <is>
          <t>Tolima</t>
        </is>
      </c>
      <c r="E419" s="14" t="inlineStr">
        <is>
          <t>SUR</t>
        </is>
      </c>
      <c r="F419" s="14" t="inlineStr">
        <is>
          <t>Johan Cardenas</t>
        </is>
      </c>
      <c r="G419" s="14" t="inlineStr">
        <is>
          <t>2</t>
        </is>
      </c>
      <c r="H419" s="15" t="n">
        <v>46289</v>
      </c>
      <c r="I419" s="15" t="n">
        <v>46289</v>
      </c>
      <c r="J419" s="15" t="n"/>
      <c r="K419" s="15" t="n"/>
      <c r="L419" s="14" t="inlineStr">
        <is>
          <t>Programada</t>
        </is>
      </c>
      <c r="M419" s="15" t="n"/>
      <c r="N419" s="14">
        <f>SI(O(H419="";J419="");"";SI(J419&lt;=H419;"SÍ";"NO"))</f>
        <v/>
      </c>
      <c r="O419" s="14">
        <f>SI(O(I419="";K419="");"";SI(K419&lt;=SI(M419&lt;&gt;"";M419;I419);"SÍ";"NO"))</f>
        <v/>
      </c>
      <c r="P419" s="14">
        <f>SI(O(N419="";O419="");"";SI(Y(N419="SÍ";O419="SÍ");"SÍ";"NO"))</f>
        <v/>
      </c>
      <c r="Q419" s="16">
        <f>SI(O(I419="";K419="");"";MAX(0;ENTERO(K419)-ENTERO(SI(M419&lt;&gt;"";M419;I419))))</f>
        <v/>
      </c>
      <c r="R419" s="14" t="n"/>
      <c r="S419" s="14" t="n"/>
      <c r="T419" s="15" t="n"/>
      <c r="U419" s="14" t="n">
        <v>19</v>
      </c>
      <c r="V419" s="14" t="n"/>
    </row>
    <row r="420">
      <c r="A420" s="11" t="n">
        <v>6922</v>
      </c>
      <c r="B420" s="11" t="inlineStr">
        <is>
          <t>PIENDAMO</t>
        </is>
      </c>
      <c r="C420" s="11" t="inlineStr">
        <is>
          <t>Piendamó</t>
        </is>
      </c>
      <c r="D420" s="11" t="inlineStr">
        <is>
          <t>Cauca</t>
        </is>
      </c>
      <c r="E420" s="11" t="inlineStr">
        <is>
          <t>OCCIDENTE</t>
        </is>
      </c>
      <c r="F420" s="11" t="inlineStr">
        <is>
          <t>Holmes Arley Astudillo Fajardo</t>
        </is>
      </c>
      <c r="G420" s="11" t="inlineStr">
        <is>
          <t>4</t>
        </is>
      </c>
      <c r="H420" s="12" t="n">
        <v>46289</v>
      </c>
      <c r="I420" s="12" t="n">
        <v>46289</v>
      </c>
      <c r="J420" s="12" t="n"/>
      <c r="K420" s="12" t="n"/>
      <c r="L420" s="11" t="inlineStr">
        <is>
          <t>Programada</t>
        </is>
      </c>
      <c r="M420" s="12" t="n"/>
      <c r="N420" s="11">
        <f>SI(O(H420="";J420="");"";SI(J420&lt;=H420;"SÍ";"NO"))</f>
        <v/>
      </c>
      <c r="O420" s="11">
        <f>SI(O(I420="";K420="");"";SI(K420&lt;=SI(M420&lt;&gt;"";M420;I420);"SÍ";"NO"))</f>
        <v/>
      </c>
      <c r="P420" s="11">
        <f>SI(O(N420="";O420="");"";SI(Y(N420="SÍ";O420="SÍ");"SÍ";"NO"))</f>
        <v/>
      </c>
      <c r="Q420" s="13">
        <f>SI(O(I420="";K420="");"";MAX(0;ENTERO(K420)-ENTERO(SI(M420&lt;&gt;"";M420;I420))))</f>
        <v/>
      </c>
      <c r="R420" s="11" t="n"/>
      <c r="S420" s="11" t="n"/>
      <c r="T420" s="12" t="n"/>
      <c r="U420" s="11" t="n">
        <v>29</v>
      </c>
      <c r="V420" s="11" t="n"/>
    </row>
    <row r="421">
      <c r="A421" s="14" t="n">
        <v>1385</v>
      </c>
      <c r="B421" s="14" t="inlineStr">
        <is>
          <t>SAN CRISTOBAL</t>
        </is>
      </c>
      <c r="C421" s="14" t="inlineStr">
        <is>
          <t>Medellín</t>
        </is>
      </c>
      <c r="D421" s="14" t="inlineStr">
        <is>
          <t>Antioquia</t>
        </is>
      </c>
      <c r="E421" s="14" t="inlineStr">
        <is>
          <t>ANTIOQUIA</t>
        </is>
      </c>
      <c r="F421" s="14" t="inlineStr">
        <is>
          <t>Andrés Mariano Bustamante Castro</t>
        </is>
      </c>
      <c r="G421" s="14" t="inlineStr">
        <is>
          <t>1</t>
        </is>
      </c>
      <c r="H421" s="15" t="n">
        <v>46290</v>
      </c>
      <c r="I421" s="15" t="n">
        <v>46290</v>
      </c>
      <c r="J421" s="15" t="n"/>
      <c r="K421" s="15" t="n"/>
      <c r="L421" s="14" t="inlineStr">
        <is>
          <t>Programada</t>
        </is>
      </c>
      <c r="M421" s="15" t="n"/>
      <c r="N421" s="14">
        <f>SI(O(H421="";J421="");"";SI(J421&lt;=H421;"SÍ";"NO"))</f>
        <v/>
      </c>
      <c r="O421" s="14">
        <f>SI(O(I421="";K421="");"";SI(K421&lt;=SI(M421&lt;&gt;"";M421;I421);"SÍ";"NO"))</f>
        <v/>
      </c>
      <c r="P421" s="14">
        <f>SI(O(N421="";O421="");"";SI(Y(N421="SÍ";O421="SÍ");"SÍ";"NO"))</f>
        <v/>
      </c>
      <c r="Q421" s="16">
        <f>SI(O(I421="";K421="");"";MAX(0;ENTERO(K421)-ENTERO(SI(M421&lt;&gt;"";M421;I421))))</f>
        <v/>
      </c>
      <c r="R421" s="14" t="n"/>
      <c r="S421" s="14" t="n"/>
      <c r="T421" s="15" t="n"/>
      <c r="U421" s="14" t="n">
        <v>15</v>
      </c>
      <c r="V421" s="14" t="n"/>
    </row>
    <row r="422">
      <c r="A422" s="11" t="n">
        <v>1414</v>
      </c>
      <c r="B422" s="11" t="inlineStr">
        <is>
          <t>CAROLINA</t>
        </is>
      </c>
      <c r="C422" s="11" t="inlineStr">
        <is>
          <t>Carolina</t>
        </is>
      </c>
      <c r="D422" s="11" t="inlineStr">
        <is>
          <t>Antioquia</t>
        </is>
      </c>
      <c r="E422" s="11" t="inlineStr">
        <is>
          <t>ANTIOQUIA</t>
        </is>
      </c>
      <c r="F422" s="11" t="inlineStr">
        <is>
          <t>Juan Pablo Osorio Ramirez</t>
        </is>
      </c>
      <c r="G422" s="11" t="inlineStr">
        <is>
          <t>1</t>
        </is>
      </c>
      <c r="H422" s="12" t="n">
        <v>46290</v>
      </c>
      <c r="I422" s="12" t="n">
        <v>46290</v>
      </c>
      <c r="J422" s="12" t="n"/>
      <c r="K422" s="12" t="n"/>
      <c r="L422" s="11" t="inlineStr">
        <is>
          <t>Programada</t>
        </is>
      </c>
      <c r="M422" s="12" t="n"/>
      <c r="N422" s="11">
        <f>SI(O(H422="";J422="");"";SI(J422&lt;=H422;"SÍ";"NO"))</f>
        <v/>
      </c>
      <c r="O422" s="11">
        <f>SI(O(I422="";K422="");"";SI(K422&lt;=SI(M422&lt;&gt;"";M422;I422);"SÍ";"NO"))</f>
        <v/>
      </c>
      <c r="P422" s="11">
        <f>SI(O(N422="";O422="");"";SI(Y(N422="SÍ";O422="SÍ");"SÍ";"NO"))</f>
        <v/>
      </c>
      <c r="Q422" s="13">
        <f>SI(O(I422="";K422="");"";MAX(0;ENTERO(K422)-ENTERO(SI(M422&lt;&gt;"";M422;I422))))</f>
        <v/>
      </c>
      <c r="R422" s="11" t="n"/>
      <c r="S422" s="11" t="n"/>
      <c r="T422" s="12" t="n"/>
      <c r="U422" s="11" t="n">
        <v>13</v>
      </c>
      <c r="V422" s="11" t="n"/>
    </row>
    <row r="423">
      <c r="A423" s="14" t="n">
        <v>1422</v>
      </c>
      <c r="B423" s="14" t="inlineStr">
        <is>
          <t>GOMEZ PLATA</t>
        </is>
      </c>
      <c r="C423" s="14" t="inlineStr">
        <is>
          <t>Gómez Plata</t>
        </is>
      </c>
      <c r="D423" s="14" t="inlineStr">
        <is>
          <t>Antioquia</t>
        </is>
      </c>
      <c r="E423" s="14" t="inlineStr">
        <is>
          <t>ANTIOQUIA</t>
        </is>
      </c>
      <c r="F423" s="14" t="inlineStr">
        <is>
          <t>Juan Pablo Osorio Ramirez</t>
        </is>
      </c>
      <c r="G423" s="14" t="inlineStr">
        <is>
          <t>1</t>
        </is>
      </c>
      <c r="H423" s="15" t="n">
        <v>46290</v>
      </c>
      <c r="I423" s="15" t="n">
        <v>46290</v>
      </c>
      <c r="J423" s="15" t="n"/>
      <c r="K423" s="15" t="n"/>
      <c r="L423" s="14" t="inlineStr">
        <is>
          <t>Programada</t>
        </is>
      </c>
      <c r="M423" s="15" t="n"/>
      <c r="N423" s="14">
        <f>SI(O(H423="";J423="");"";SI(J423&lt;=H423;"SÍ";"NO"))</f>
        <v/>
      </c>
      <c r="O423" s="14">
        <f>SI(O(I423="";K423="");"";SI(K423&lt;=SI(M423&lt;&gt;"";M423;I423);"SÍ";"NO"))</f>
        <v/>
      </c>
      <c r="P423" s="14">
        <f>SI(O(N423="";O423="");"";SI(Y(N423="SÍ";O423="SÍ");"SÍ";"NO"))</f>
        <v/>
      </c>
      <c r="Q423" s="16">
        <f>SI(O(I423="";K423="");"";MAX(0;ENTERO(K423)-ENTERO(SI(M423&lt;&gt;"";M423;I423))))</f>
        <v/>
      </c>
      <c r="R423" s="14" t="n"/>
      <c r="S423" s="14" t="n"/>
      <c r="T423" s="15" t="n"/>
      <c r="U423" s="14" t="n">
        <v>13</v>
      </c>
      <c r="V423" s="14" t="n"/>
    </row>
    <row r="424">
      <c r="A424" s="11" t="n">
        <v>1428</v>
      </c>
      <c r="B424" s="11" t="inlineStr">
        <is>
          <t>DABEIBA</t>
        </is>
      </c>
      <c r="C424" s="11" t="inlineStr">
        <is>
          <t>Dabeiba</t>
        </is>
      </c>
      <c r="D424" s="11" t="inlineStr">
        <is>
          <t>Antioquia</t>
        </is>
      </c>
      <c r="E424" s="11" t="inlineStr">
        <is>
          <t>ANTIOQUIA</t>
        </is>
      </c>
      <c r="F424" s="11" t="inlineStr">
        <is>
          <t>Ever Enrique Esquivel Movilla</t>
        </is>
      </c>
      <c r="G424" s="11" t="inlineStr">
        <is>
          <t>3</t>
        </is>
      </c>
      <c r="H424" s="12" t="n">
        <v>46290</v>
      </c>
      <c r="I424" s="12" t="n">
        <v>46290</v>
      </c>
      <c r="J424" s="12" t="n"/>
      <c r="K424" s="12" t="n"/>
      <c r="L424" s="11" t="inlineStr">
        <is>
          <t>Programada</t>
        </is>
      </c>
      <c r="M424" s="12" t="n"/>
      <c r="N424" s="11">
        <f>SI(O(H424="";J424="");"";SI(J424&lt;=H424;"SÍ";"NO"))</f>
        <v/>
      </c>
      <c r="O424" s="11">
        <f>SI(O(I424="";K424="");"";SI(K424&lt;=SI(M424&lt;&gt;"";M424;I424);"SÍ";"NO"))</f>
        <v/>
      </c>
      <c r="P424" s="11">
        <f>SI(O(N424="";O424="");"";SI(Y(N424="SÍ";O424="SÍ");"SÍ";"NO"))</f>
        <v/>
      </c>
      <c r="Q424" s="13">
        <f>SI(O(I424="";K424="");"";MAX(0;ENTERO(K424)-ENTERO(SI(M424&lt;&gt;"";M424;I424))))</f>
        <v/>
      </c>
      <c r="R424" s="11" t="n"/>
      <c r="S424" s="11" t="n"/>
      <c r="T424" s="12" t="n"/>
      <c r="U424" s="11" t="n">
        <v>29</v>
      </c>
      <c r="V424" s="11" t="n"/>
    </row>
    <row r="425">
      <c r="A425" s="14" t="n">
        <v>1511</v>
      </c>
      <c r="B425" s="14" t="inlineStr">
        <is>
          <t>PAIPA</t>
        </is>
      </c>
      <c r="C425" s="14" t="inlineStr">
        <is>
          <t>Paipa</t>
        </is>
      </c>
      <c r="D425" s="14" t="inlineStr">
        <is>
          <t>Boyacá</t>
        </is>
      </c>
      <c r="E425" s="14" t="inlineStr">
        <is>
          <t>ORIENTE</t>
        </is>
      </c>
      <c r="F425" s="14" t="inlineStr">
        <is>
          <t>Andrés Felipe Carvajal Pire</t>
        </is>
      </c>
      <c r="G425" s="14" t="inlineStr">
        <is>
          <t>4</t>
        </is>
      </c>
      <c r="H425" s="15" t="n">
        <v>46290</v>
      </c>
      <c r="I425" s="15" t="n">
        <v>46290</v>
      </c>
      <c r="J425" s="15" t="n"/>
      <c r="K425" s="15" t="n"/>
      <c r="L425" s="14" t="inlineStr">
        <is>
          <t>Programada</t>
        </is>
      </c>
      <c r="M425" s="15" t="n"/>
      <c r="N425" s="14">
        <f>SI(O(H425="";J425="");"";SI(J425&lt;=H425;"SÍ";"NO"))</f>
        <v/>
      </c>
      <c r="O425" s="14">
        <f>SI(O(I425="";K425="");"";SI(K425&lt;=SI(M425&lt;&gt;"";M425;I425);"SÍ";"NO"))</f>
        <v/>
      </c>
      <c r="P425" s="14">
        <f>SI(O(N425="";O425="");"";SI(Y(N425="SÍ";O425="SÍ");"SÍ";"NO"))</f>
        <v/>
      </c>
      <c r="Q425" s="16">
        <f>SI(O(I425="";K425="");"";MAX(0;ENTERO(K425)-ENTERO(SI(M425&lt;&gt;"";M425;I425))))</f>
        <v/>
      </c>
      <c r="R425" s="14" t="n"/>
      <c r="S425" s="14" t="n"/>
      <c r="T425" s="15" t="n"/>
      <c r="U425" s="14" t="n">
        <v>34</v>
      </c>
      <c r="V425" s="14" t="n"/>
    </row>
    <row r="426">
      <c r="A426" s="11" t="n">
        <v>2103</v>
      </c>
      <c r="B426" s="11" t="inlineStr">
        <is>
          <t>BALBOA</t>
        </is>
      </c>
      <c r="C426" s="11" t="inlineStr">
        <is>
          <t>Balboa</t>
        </is>
      </c>
      <c r="D426" s="11" t="inlineStr">
        <is>
          <t>Cauca</t>
        </is>
      </c>
      <c r="E426" s="11" t="inlineStr">
        <is>
          <t>OCCIDENTE</t>
        </is>
      </c>
      <c r="F426" s="11" t="inlineStr">
        <is>
          <t>Holmes Arley Astudillo Fajardo</t>
        </is>
      </c>
      <c r="G426" s="11" t="inlineStr">
        <is>
          <t>2</t>
        </is>
      </c>
      <c r="H426" s="12" t="n">
        <v>46290</v>
      </c>
      <c r="I426" s="12" t="n">
        <v>46290</v>
      </c>
      <c r="J426" s="12" t="n"/>
      <c r="K426" s="12" t="n"/>
      <c r="L426" s="11" t="inlineStr">
        <is>
          <t>Programada</t>
        </is>
      </c>
      <c r="M426" s="12" t="n"/>
      <c r="N426" s="11">
        <f>SI(O(H426="";J426="");"";SI(J426&lt;=H426;"SÍ";"NO"))</f>
        <v/>
      </c>
      <c r="O426" s="11">
        <f>SI(O(I426="";K426="");"";SI(K426&lt;=SI(M426&lt;&gt;"";M426;I426);"SÍ";"NO"))</f>
        <v/>
      </c>
      <c r="P426" s="11">
        <f>SI(O(N426="";O426="");"";SI(Y(N426="SÍ";O426="SÍ");"SÍ";"NO"))</f>
        <v/>
      </c>
      <c r="Q426" s="13">
        <f>SI(O(I426="";K426="");"";MAX(0;ENTERO(K426)-ENTERO(SI(M426&lt;&gt;"";M426;I426))))</f>
        <v/>
      </c>
      <c r="R426" s="11" t="n"/>
      <c r="S426" s="11" t="n"/>
      <c r="T426" s="12" t="n"/>
      <c r="U426" s="11" t="n">
        <v>15</v>
      </c>
      <c r="V426" s="11" t="n"/>
    </row>
    <row r="427">
      <c r="A427" s="14" t="n">
        <v>2115</v>
      </c>
      <c r="B427" s="14" t="inlineStr">
        <is>
          <t>ARGELIA</t>
        </is>
      </c>
      <c r="C427" s="14" t="inlineStr">
        <is>
          <t>Argelia</t>
        </is>
      </c>
      <c r="D427" s="14" t="inlineStr">
        <is>
          <t>Cauca</t>
        </is>
      </c>
      <c r="E427" s="14" t="inlineStr">
        <is>
          <t>OCCIDENTE</t>
        </is>
      </c>
      <c r="F427" s="14" t="inlineStr">
        <is>
          <t>Holmes Arley Astudillo Fajardo</t>
        </is>
      </c>
      <c r="G427" s="14" t="inlineStr">
        <is>
          <t>2</t>
        </is>
      </c>
      <c r="H427" s="15" t="n">
        <v>46290</v>
      </c>
      <c r="I427" s="15" t="n">
        <v>46290</v>
      </c>
      <c r="J427" s="15" t="n"/>
      <c r="K427" s="15" t="n"/>
      <c r="L427" s="14" t="inlineStr">
        <is>
          <t>Programada</t>
        </is>
      </c>
      <c r="M427" s="15" t="n"/>
      <c r="N427" s="14">
        <f>SI(O(H427="";J427="");"";SI(J427&lt;=H427;"SÍ";"NO"))</f>
        <v/>
      </c>
      <c r="O427" s="14">
        <f>SI(O(I427="";K427="");"";SI(K427&lt;=SI(M427&lt;&gt;"";M427;I427);"SÍ";"NO"))</f>
        <v/>
      </c>
      <c r="P427" s="14">
        <f>SI(O(N427="";O427="");"";SI(Y(N427="SÍ";O427="SÍ");"SÍ";"NO"))</f>
        <v/>
      </c>
      <c r="Q427" s="16">
        <f>SI(O(I427="";K427="");"";MAX(0;ENTERO(K427)-ENTERO(SI(M427&lt;&gt;"";M427;I427))))</f>
        <v/>
      </c>
      <c r="R427" s="14" t="n"/>
      <c r="S427" s="14" t="n"/>
      <c r="T427" s="15" t="n"/>
      <c r="U427" s="14" t="n">
        <v>15</v>
      </c>
      <c r="V427" s="14" t="n"/>
    </row>
    <row r="428">
      <c r="A428" s="11" t="n">
        <v>2773</v>
      </c>
      <c r="B428" s="11" t="inlineStr">
        <is>
          <t>PURISIMA</t>
        </is>
      </c>
      <c r="C428" s="11" t="inlineStr">
        <is>
          <t>Purísima</t>
        </is>
      </c>
      <c r="D428" s="11" t="inlineStr">
        <is>
          <t>Córdoba</t>
        </is>
      </c>
      <c r="E428" s="11" t="inlineStr">
        <is>
          <t>COSTA</t>
        </is>
      </c>
      <c r="F428" s="11" t="inlineStr">
        <is>
          <t>Jhon Jairo Vergara Pelaez</t>
        </is>
      </c>
      <c r="G428" s="11" t="inlineStr">
        <is>
          <t>1</t>
        </is>
      </c>
      <c r="H428" s="12" t="n">
        <v>46290</v>
      </c>
      <c r="I428" s="12" t="n">
        <v>46290</v>
      </c>
      <c r="J428" s="12" t="n"/>
      <c r="K428" s="12" t="n"/>
      <c r="L428" s="11" t="inlineStr">
        <is>
          <t>Programada</t>
        </is>
      </c>
      <c r="M428" s="12" t="n"/>
      <c r="N428" s="11">
        <f>SI(O(H428="";J428="");"";SI(J428&lt;=H428;"SÍ";"NO"))</f>
        <v/>
      </c>
      <c r="O428" s="11">
        <f>SI(O(I428="";K428="");"";SI(K428&lt;=SI(M428&lt;&gt;"";M428;I428);"SÍ";"NO"))</f>
        <v/>
      </c>
      <c r="P428" s="11">
        <f>SI(O(N428="";O428="");"";SI(Y(N428="SÍ";O428="SÍ");"SÍ";"NO"))</f>
        <v/>
      </c>
      <c r="Q428" s="13">
        <f>SI(O(I428="";K428="");"";MAX(0;ENTERO(K428)-ENTERO(SI(M428&lt;&gt;"";M428;I428))))</f>
        <v/>
      </c>
      <c r="R428" s="11" t="n"/>
      <c r="S428" s="11" t="n"/>
      <c r="T428" s="12" t="n"/>
      <c r="U428" s="11" t="n">
        <v>13</v>
      </c>
      <c r="V428" s="11" t="n"/>
    </row>
    <row r="429">
      <c r="A429" s="14" t="n">
        <v>2790</v>
      </c>
      <c r="B429" s="14" t="inlineStr">
        <is>
          <t>CHINU</t>
        </is>
      </c>
      <c r="C429" s="14" t="inlineStr">
        <is>
          <t>Chinú</t>
        </is>
      </c>
      <c r="D429" s="14" t="inlineStr">
        <is>
          <t>Córdoba</t>
        </is>
      </c>
      <c r="E429" s="14" t="inlineStr">
        <is>
          <t>COSTA</t>
        </is>
      </c>
      <c r="F429" s="14" t="inlineStr">
        <is>
          <t>Laura Camila Ospino Taborda</t>
        </is>
      </c>
      <c r="G429" s="14" t="inlineStr">
        <is>
          <t>2</t>
        </is>
      </c>
      <c r="H429" s="15" t="n">
        <v>46290</v>
      </c>
      <c r="I429" s="15" t="n">
        <v>46290</v>
      </c>
      <c r="J429" s="15" t="n"/>
      <c r="K429" s="15" t="n"/>
      <c r="L429" s="14" t="inlineStr">
        <is>
          <t>Programada</t>
        </is>
      </c>
      <c r="M429" s="15" t="n"/>
      <c r="N429" s="14">
        <f>SI(O(H429="";J429="");"";SI(J429&lt;=H429;"SÍ";"NO"))</f>
        <v/>
      </c>
      <c r="O429" s="14">
        <f>SI(O(I429="";K429="");"";SI(K429&lt;=SI(M429&lt;&gt;"";M429;I429);"SÍ";"NO"))</f>
        <v/>
      </c>
      <c r="P429" s="14">
        <f>SI(O(N429="";O429="");"";SI(Y(N429="SÍ";O429="SÍ");"SÍ";"NO"))</f>
        <v/>
      </c>
      <c r="Q429" s="16">
        <f>SI(O(I429="";K429="");"";MAX(0;ENTERO(K429)-ENTERO(SI(M429&lt;&gt;"";M429;I429))))</f>
        <v/>
      </c>
      <c r="R429" s="14" t="n"/>
      <c r="S429" s="14" t="n"/>
      <c r="T429" s="15" t="n"/>
      <c r="U429" s="14" t="n">
        <v>15</v>
      </c>
      <c r="V429" s="14" t="n"/>
    </row>
    <row r="430">
      <c r="A430" s="11" t="n">
        <v>3106</v>
      </c>
      <c r="B430" s="11" t="inlineStr">
        <is>
          <t>ANAPOIMA</t>
        </is>
      </c>
      <c r="C430" s="11" t="inlineStr">
        <is>
          <t>Anapoima</t>
        </is>
      </c>
      <c r="D430" s="11" t="inlineStr">
        <is>
          <t>Cundinamarca</t>
        </is>
      </c>
      <c r="E430" s="11" t="inlineStr">
        <is>
          <t>BOGOTA</t>
        </is>
      </c>
      <c r="F430" s="11" t="inlineStr">
        <is>
          <t>Nelson Leonardo Paez Suarez</t>
        </is>
      </c>
      <c r="G430" s="11" t="inlineStr">
        <is>
          <t>1</t>
        </is>
      </c>
      <c r="H430" s="12" t="n">
        <v>46290</v>
      </c>
      <c r="I430" s="12" t="n">
        <v>46290</v>
      </c>
      <c r="J430" s="12" t="n"/>
      <c r="K430" s="12" t="n"/>
      <c r="L430" s="11" t="inlineStr">
        <is>
          <t>Programada</t>
        </is>
      </c>
      <c r="M430" s="12" t="n"/>
      <c r="N430" s="11">
        <f>SI(O(H430="";J430="");"";SI(J430&lt;=H430;"SÍ";"NO"))</f>
        <v/>
      </c>
      <c r="O430" s="11">
        <f>SI(O(I430="";K430="");"";SI(K430&lt;=SI(M430&lt;&gt;"";M430;I430);"SÍ";"NO"))</f>
        <v/>
      </c>
      <c r="P430" s="11">
        <f>SI(O(N430="";O430="");"";SI(Y(N430="SÍ";O430="SÍ");"SÍ";"NO"))</f>
        <v/>
      </c>
      <c r="Q430" s="13">
        <f>SI(O(I430="";K430="");"";MAX(0;ENTERO(K430)-ENTERO(SI(M430&lt;&gt;"";M430;I430))))</f>
        <v/>
      </c>
      <c r="R430" s="11" t="n"/>
      <c r="S430" s="11" t="n"/>
      <c r="T430" s="12" t="n"/>
      <c r="U430" s="11" t="n">
        <v>16</v>
      </c>
      <c r="V430" s="11" t="n"/>
    </row>
    <row r="431">
      <c r="A431" s="14" t="n">
        <v>3149</v>
      </c>
      <c r="B431" s="14" t="inlineStr">
        <is>
          <t>NOCAIMA</t>
        </is>
      </c>
      <c r="C431" s="14" t="inlineStr">
        <is>
          <t>Nocaima</t>
        </is>
      </c>
      <c r="D431" s="14" t="inlineStr">
        <is>
          <t>Cundinamarca</t>
        </is>
      </c>
      <c r="E431" s="14" t="inlineStr">
        <is>
          <t>BOGOTA</t>
        </is>
      </c>
      <c r="F431" s="14" t="inlineStr">
        <is>
          <t>Carlos Andres Cuchivaguen Diaz</t>
        </is>
      </c>
      <c r="G431" s="14" t="inlineStr">
        <is>
          <t>1</t>
        </is>
      </c>
      <c r="H431" s="15" t="n">
        <v>46290</v>
      </c>
      <c r="I431" s="15" t="n">
        <v>46290</v>
      </c>
      <c r="J431" s="15" t="n"/>
      <c r="K431" s="15" t="n"/>
      <c r="L431" s="14" t="inlineStr">
        <is>
          <t>Programada</t>
        </is>
      </c>
      <c r="M431" s="15" t="n"/>
      <c r="N431" s="14">
        <f>SI(O(H431="";J431="");"";SI(J431&lt;=H431;"SÍ";"NO"))</f>
        <v/>
      </c>
      <c r="O431" s="14">
        <f>SI(O(I431="";K431="");"";SI(K431&lt;=SI(M431&lt;&gt;"";M431;I431);"SÍ";"NO"))</f>
        <v/>
      </c>
      <c r="P431" s="14">
        <f>SI(O(N431="";O431="");"";SI(Y(N431="SÍ";O431="SÍ");"SÍ";"NO"))</f>
        <v/>
      </c>
      <c r="Q431" s="16">
        <f>SI(O(I431="";K431="");"";MAX(0;ENTERO(K431)-ENTERO(SI(M431&lt;&gt;"";M431;I431))))</f>
        <v/>
      </c>
      <c r="R431" s="14" t="n"/>
      <c r="S431" s="14" t="n"/>
      <c r="T431" s="15" t="n"/>
      <c r="U431" s="14" t="n">
        <v>17</v>
      </c>
      <c r="V431" s="14" t="n"/>
    </row>
    <row r="432">
      <c r="A432" s="11" t="n">
        <v>3153</v>
      </c>
      <c r="B432" s="11" t="inlineStr">
        <is>
          <t>PASCA</t>
        </is>
      </c>
      <c r="C432" s="11" t="inlineStr">
        <is>
          <t>Pasca</t>
        </is>
      </c>
      <c r="D432" s="11" t="inlineStr">
        <is>
          <t>Cundinamarca</t>
        </is>
      </c>
      <c r="E432" s="11" t="inlineStr">
        <is>
          <t>BOGOTA</t>
        </is>
      </c>
      <c r="F432" s="11" t="inlineStr">
        <is>
          <t>Edwin Santiago Cuchivaguen Diaz</t>
        </is>
      </c>
      <c r="G432" s="11" t="inlineStr">
        <is>
          <t>2</t>
        </is>
      </c>
      <c r="H432" s="12" t="n">
        <v>46290</v>
      </c>
      <c r="I432" s="12" t="n">
        <v>46290</v>
      </c>
      <c r="J432" s="12" t="n"/>
      <c r="K432" s="12" t="n"/>
      <c r="L432" s="11" t="inlineStr">
        <is>
          <t>Programada</t>
        </is>
      </c>
      <c r="M432" s="12" t="n"/>
      <c r="N432" s="11">
        <f>SI(O(H432="";J432="");"";SI(J432&lt;=H432;"SÍ";"NO"))</f>
        <v/>
      </c>
      <c r="O432" s="11">
        <f>SI(O(I432="";K432="");"";SI(K432&lt;=SI(M432&lt;&gt;"";M432;I432);"SÍ";"NO"))</f>
        <v/>
      </c>
      <c r="P432" s="11">
        <f>SI(O(N432="";O432="");"";SI(Y(N432="SÍ";O432="SÍ");"SÍ";"NO"))</f>
        <v/>
      </c>
      <c r="Q432" s="13">
        <f>SI(O(I432="";K432="");"";MAX(0;ENTERO(K432)-ENTERO(SI(M432&lt;&gt;"";M432;I432))))</f>
        <v/>
      </c>
      <c r="R432" s="11" t="n"/>
      <c r="S432" s="11" t="n"/>
      <c r="T432" s="12" t="n"/>
      <c r="U432" s="11" t="n">
        <v>20</v>
      </c>
      <c r="V432" s="11" t="n"/>
    </row>
    <row r="433">
      <c r="A433" s="14" t="n">
        <v>3176</v>
      </c>
      <c r="B433" s="14" t="inlineStr">
        <is>
          <t>UTICA</t>
        </is>
      </c>
      <c r="C433" s="14" t="inlineStr">
        <is>
          <t>Útica</t>
        </is>
      </c>
      <c r="D433" s="14" t="inlineStr">
        <is>
          <t>Cundinamarca</t>
        </is>
      </c>
      <c r="E433" s="14" t="inlineStr">
        <is>
          <t>BOGOTA</t>
        </is>
      </c>
      <c r="F433" s="14" t="inlineStr">
        <is>
          <t>Jhonatan Felipe Hernandez Gamboa</t>
        </is>
      </c>
      <c r="G433" s="14" t="inlineStr">
        <is>
          <t>1</t>
        </is>
      </c>
      <c r="H433" s="15" t="n">
        <v>46290</v>
      </c>
      <c r="I433" s="15" t="n">
        <v>46290</v>
      </c>
      <c r="J433" s="15" t="n"/>
      <c r="K433" s="15" t="n"/>
      <c r="L433" s="14" t="inlineStr">
        <is>
          <t>Programada</t>
        </is>
      </c>
      <c r="M433" s="15" t="n"/>
      <c r="N433" s="14">
        <f>SI(O(H433="";J433="");"";SI(J433&lt;=H433;"SÍ";"NO"))</f>
        <v/>
      </c>
      <c r="O433" s="14">
        <f>SI(O(I433="";K433="");"";SI(K433&lt;=SI(M433&lt;&gt;"";M433;I433);"SÍ";"NO"))</f>
        <v/>
      </c>
      <c r="P433" s="14">
        <f>SI(O(N433="";O433="");"";SI(Y(N433="SÍ";O433="SÍ");"SÍ";"NO"))</f>
        <v/>
      </c>
      <c r="Q433" s="16">
        <f>SI(O(I433="";K433="");"";MAX(0;ENTERO(K433)-ENTERO(SI(M433&lt;&gt;"";M433;I433))))</f>
        <v/>
      </c>
      <c r="R433" s="14" t="n"/>
      <c r="S433" s="14" t="n"/>
      <c r="T433" s="15" t="n"/>
      <c r="U433" s="14" t="n">
        <v>16</v>
      </c>
      <c r="V433" s="14" t="n"/>
    </row>
    <row r="434">
      <c r="A434" s="11" t="n">
        <v>6370</v>
      </c>
      <c r="B434" s="11" t="inlineStr">
        <is>
          <t>SINCE</t>
        </is>
      </c>
      <c r="C434" s="11" t="inlineStr">
        <is>
          <t>San Luis De Sincé</t>
        </is>
      </c>
      <c r="D434" s="11" t="inlineStr">
        <is>
          <t>Sucre</t>
        </is>
      </c>
      <c r="E434" s="11" t="inlineStr">
        <is>
          <t>COSTA</t>
        </is>
      </c>
      <c r="F434" s="11" t="inlineStr">
        <is>
          <t>Mauricio Rafael Narvaez Iriarte</t>
        </is>
      </c>
      <c r="G434" s="11" t="inlineStr">
        <is>
          <t>3</t>
        </is>
      </c>
      <c r="H434" s="12" t="n">
        <v>46290</v>
      </c>
      <c r="I434" s="12" t="n">
        <v>46290</v>
      </c>
      <c r="J434" s="12" t="n"/>
      <c r="K434" s="12" t="n"/>
      <c r="L434" s="11" t="inlineStr">
        <is>
          <t>Programada</t>
        </is>
      </c>
      <c r="M434" s="12" t="n"/>
      <c r="N434" s="11">
        <f>SI(O(H434="";J434="");"";SI(J434&lt;=H434;"SÍ";"NO"))</f>
        <v/>
      </c>
      <c r="O434" s="11">
        <f>SI(O(I434="";K434="");"";SI(K434&lt;=SI(M434&lt;&gt;"";M434;I434);"SÍ";"NO"))</f>
        <v/>
      </c>
      <c r="P434" s="11">
        <f>SI(O(N434="";O434="");"";SI(Y(N434="SÍ";O434="SÍ");"SÍ";"NO"))</f>
        <v/>
      </c>
      <c r="Q434" s="13">
        <f>SI(O(I434="";K434="");"";MAX(0;ENTERO(K434)-ENTERO(SI(M434&lt;&gt;"";M434;I434))))</f>
        <v/>
      </c>
      <c r="R434" s="11" t="n"/>
      <c r="S434" s="11" t="n"/>
      <c r="T434" s="12" t="n"/>
      <c r="U434" s="11" t="n">
        <v>16</v>
      </c>
      <c r="V434" s="11" t="n"/>
    </row>
    <row r="435">
      <c r="A435" s="14" t="n">
        <v>6372</v>
      </c>
      <c r="B435" s="14" t="inlineStr">
        <is>
          <t>SUCRE</t>
        </is>
      </c>
      <c r="C435" s="14" t="inlineStr">
        <is>
          <t>Sucre</t>
        </is>
      </c>
      <c r="D435" s="14" t="inlineStr">
        <is>
          <t>Sucre</t>
        </is>
      </c>
      <c r="E435" s="14" t="inlineStr">
        <is>
          <t>COSTA</t>
        </is>
      </c>
      <c r="F435" s="14" t="inlineStr">
        <is>
          <t>Jorge Felipe Munive Medina</t>
        </is>
      </c>
      <c r="G435" s="14" t="inlineStr">
        <is>
          <t>1</t>
        </is>
      </c>
      <c r="H435" s="15" t="n">
        <v>46290</v>
      </c>
      <c r="I435" s="15" t="n">
        <v>46290</v>
      </c>
      <c r="J435" s="15" t="n"/>
      <c r="K435" s="15" t="n"/>
      <c r="L435" s="14" t="inlineStr">
        <is>
          <t>Programada</t>
        </is>
      </c>
      <c r="M435" s="15" t="n"/>
      <c r="N435" s="14">
        <f>SI(O(H435="";J435="");"";SI(J435&lt;=H435;"SÍ";"NO"))</f>
        <v/>
      </c>
      <c r="O435" s="14">
        <f>SI(O(I435="";K435="");"";SI(K435&lt;=SI(M435&lt;&gt;"";M435;I435);"SÍ";"NO"))</f>
        <v/>
      </c>
      <c r="P435" s="14">
        <f>SI(O(N435="";O435="");"";SI(Y(N435="SÍ";O435="SÍ");"SÍ";"NO"))</f>
        <v/>
      </c>
      <c r="Q435" s="16">
        <f>SI(O(I435="";K435="");"";MAX(0;ENTERO(K435)-ENTERO(SI(M435&lt;&gt;"";M435;I435))))</f>
        <v/>
      </c>
      <c r="R435" s="14" t="n"/>
      <c r="S435" s="14" t="n"/>
      <c r="T435" s="15" t="n"/>
      <c r="U435" s="14" t="n">
        <v>16</v>
      </c>
      <c r="V435" s="14" t="n"/>
    </row>
    <row r="436">
      <c r="A436" s="11" t="n">
        <v>8665</v>
      </c>
      <c r="B436" s="11" t="inlineStr">
        <is>
          <t>TRINIDAD</t>
        </is>
      </c>
      <c r="C436" s="11" t="inlineStr">
        <is>
          <t>Trinidad</t>
        </is>
      </c>
      <c r="D436" s="11" t="inlineStr">
        <is>
          <t>Casanare</t>
        </is>
      </c>
      <c r="E436" s="11" t="inlineStr">
        <is>
          <t>ORIENTE</t>
        </is>
      </c>
      <c r="F436" s="11" t="inlineStr">
        <is>
          <t>Juan Sebastian Lopez Acevedo</t>
        </is>
      </c>
      <c r="G436" s="11" t="inlineStr">
        <is>
          <t>2</t>
        </is>
      </c>
      <c r="H436" s="12" t="n">
        <v>46290</v>
      </c>
      <c r="I436" s="12" t="n">
        <v>46293</v>
      </c>
      <c r="J436" s="12" t="n"/>
      <c r="K436" s="12" t="n"/>
      <c r="L436" s="11" t="inlineStr">
        <is>
          <t>Programada</t>
        </is>
      </c>
      <c r="M436" s="12" t="n"/>
      <c r="N436" s="11">
        <f>SI(O(H436="";J436="");"";SI(J436&lt;=H436;"SÍ";"NO"))</f>
        <v/>
      </c>
      <c r="O436" s="11">
        <f>SI(O(I436="";K436="");"";SI(K436&lt;=SI(M436&lt;&gt;"";M436;I436);"SÍ";"NO"))</f>
        <v/>
      </c>
      <c r="P436" s="11">
        <f>SI(O(N436="";O436="");"";SI(Y(N436="SÍ";O436="SÍ");"SÍ";"NO"))</f>
        <v/>
      </c>
      <c r="Q436" s="13">
        <f>SI(O(I436="";K436="");"";MAX(0;ENTERO(K436)-ENTERO(SI(M436&lt;&gt;"";M436;I436))))</f>
        <v/>
      </c>
      <c r="R436" s="11" t="n"/>
      <c r="S436" s="11" t="n"/>
      <c r="T436" s="12" t="n"/>
      <c r="U436" s="11" t="n">
        <v>23</v>
      </c>
      <c r="V436" s="11" t="n"/>
    </row>
    <row r="437">
      <c r="A437" s="14" t="n">
        <v>70</v>
      </c>
      <c r="B437" s="14" t="inlineStr">
        <is>
          <t>BOGOTA - AVENIDA JIMENEZ</t>
        </is>
      </c>
      <c r="C437" s="14" t="inlineStr">
        <is>
          <t>Bogotá, D.C.</t>
        </is>
      </c>
      <c r="D437" s="14" t="inlineStr">
        <is>
          <t>Bogotá D.C</t>
        </is>
      </c>
      <c r="E437" s="14" t="inlineStr">
        <is>
          <t>BOGOTA</t>
        </is>
      </c>
      <c r="F437" s="14" t="inlineStr">
        <is>
          <t>Anderson Forero Mora</t>
        </is>
      </c>
      <c r="G437" s="14" t="inlineStr">
        <is>
          <t>6</t>
        </is>
      </c>
      <c r="H437" s="15" t="n">
        <v>46293</v>
      </c>
      <c r="I437" s="15" t="n">
        <v>46295</v>
      </c>
      <c r="J437" s="15" t="n"/>
      <c r="K437" s="15" t="n"/>
      <c r="L437" s="14" t="inlineStr">
        <is>
          <t>Programada</t>
        </is>
      </c>
      <c r="M437" s="15" t="n"/>
      <c r="N437" s="14">
        <f>SI(O(H437="";J437="");"";SI(J437&lt;=H437;"SÍ";"NO"))</f>
        <v/>
      </c>
      <c r="O437" s="14">
        <f>SI(O(I437="";K437="");"";SI(K437&lt;=SI(M437&lt;&gt;"";M437;I437);"SÍ";"NO"))</f>
        <v/>
      </c>
      <c r="P437" s="14">
        <f>SI(O(N437="";O437="");"";SI(Y(N437="SÍ";O437="SÍ");"SÍ";"NO"))</f>
        <v/>
      </c>
      <c r="Q437" s="16">
        <f>SI(O(I437="";K437="");"";MAX(0;ENTERO(K437)-ENTERO(SI(M437&lt;&gt;"";M437;I437))))</f>
        <v/>
      </c>
      <c r="R437" s="14" t="n"/>
      <c r="S437" s="14" t="n"/>
      <c r="T437" s="15" t="n"/>
      <c r="U437" s="14" t="n">
        <v>56</v>
      </c>
      <c r="V437" s="14" t="n"/>
    </row>
    <row r="438">
      <c r="A438" s="11" t="n">
        <v>1246</v>
      </c>
      <c r="B438" s="11" t="inlineStr">
        <is>
          <t>PINILLOS</t>
        </is>
      </c>
      <c r="C438" s="11" t="inlineStr">
        <is>
          <t>Pinillos</t>
        </is>
      </c>
      <c r="D438" s="11" t="inlineStr">
        <is>
          <t>Bolívar</t>
        </is>
      </c>
      <c r="E438" s="11" t="inlineStr">
        <is>
          <t>COSTA</t>
        </is>
      </c>
      <c r="F438" s="11" t="inlineStr">
        <is>
          <t>Gabriel Ivan Ballesteros Quiroz</t>
        </is>
      </c>
      <c r="G438" s="11" t="inlineStr">
        <is>
          <t>2</t>
        </is>
      </c>
      <c r="H438" s="12" t="n">
        <v>46293</v>
      </c>
      <c r="I438" s="12" t="n">
        <v>46293</v>
      </c>
      <c r="J438" s="12" t="n"/>
      <c r="K438" s="12" t="n"/>
      <c r="L438" s="11" t="inlineStr">
        <is>
          <t>Programada</t>
        </is>
      </c>
      <c r="M438" s="12" t="n"/>
      <c r="N438" s="11">
        <f>SI(O(H438="";J438="");"";SI(J438&lt;=H438;"SÍ";"NO"))</f>
        <v/>
      </c>
      <c r="O438" s="11">
        <f>SI(O(I438="";K438="");"";SI(K438&lt;=SI(M438&lt;&gt;"";M438;I438);"SÍ";"NO"))</f>
        <v/>
      </c>
      <c r="P438" s="11">
        <f>SI(O(N438="";O438="");"";SI(Y(N438="SÍ";O438="SÍ");"SÍ";"NO"))</f>
        <v/>
      </c>
      <c r="Q438" s="13">
        <f>SI(O(I438="";K438="");"";MAX(0;ENTERO(K438)-ENTERO(SI(M438&lt;&gt;"";M438;I438))))</f>
        <v/>
      </c>
      <c r="R438" s="11" t="n"/>
      <c r="S438" s="11" t="n"/>
      <c r="T438" s="12" t="n"/>
      <c r="U438" s="11" t="n">
        <v>16</v>
      </c>
      <c r="V438" s="11" t="n"/>
    </row>
    <row r="439">
      <c r="A439" s="14" t="n">
        <v>1314</v>
      </c>
      <c r="B439" s="14" t="inlineStr">
        <is>
          <t>ANGOSTURA</t>
        </is>
      </c>
      <c r="C439" s="14" t="inlineStr">
        <is>
          <t>Angostura</t>
        </is>
      </c>
      <c r="D439" s="14" t="inlineStr">
        <is>
          <t>Antioquia</t>
        </is>
      </c>
      <c r="E439" s="14" t="inlineStr">
        <is>
          <t>ANTIOQUIA</t>
        </is>
      </c>
      <c r="F439" s="14" t="inlineStr">
        <is>
          <t>Juan Pablo Osorio Ramirez</t>
        </is>
      </c>
      <c r="G439" s="14" t="inlineStr">
        <is>
          <t>2</t>
        </is>
      </c>
      <c r="H439" s="15" t="n">
        <v>46293</v>
      </c>
      <c r="I439" s="15" t="n">
        <v>46293</v>
      </c>
      <c r="J439" s="15" t="n"/>
      <c r="K439" s="15" t="n"/>
      <c r="L439" s="14" t="inlineStr">
        <is>
          <t>Programada</t>
        </is>
      </c>
      <c r="M439" s="15" t="n"/>
      <c r="N439" s="14">
        <f>SI(O(H439="";J439="");"";SI(J439&lt;=H439;"SÍ";"NO"))</f>
        <v/>
      </c>
      <c r="O439" s="14">
        <f>SI(O(I439="";K439="");"";SI(K439&lt;=SI(M439&lt;&gt;"";M439;I439);"SÍ";"NO"))</f>
        <v/>
      </c>
      <c r="P439" s="14">
        <f>SI(O(N439="";O439="");"";SI(Y(N439="SÍ";O439="SÍ");"SÍ";"NO"))</f>
        <v/>
      </c>
      <c r="Q439" s="16">
        <f>SI(O(I439="";K439="");"";MAX(0;ENTERO(K439)-ENTERO(SI(M439&lt;&gt;"";M439;I439))))</f>
        <v/>
      </c>
      <c r="R439" s="14" t="n"/>
      <c r="S439" s="14" t="n"/>
      <c r="T439" s="15" t="n"/>
      <c r="U439" s="14" t="n">
        <v>16</v>
      </c>
      <c r="V439" s="14" t="n"/>
    </row>
    <row r="440">
      <c r="A440" s="11" t="n">
        <v>1361</v>
      </c>
      <c r="B440" s="11" t="inlineStr">
        <is>
          <t>CAMPAMENTO</t>
        </is>
      </c>
      <c r="C440" s="11" t="inlineStr">
        <is>
          <t>Campamento</t>
        </is>
      </c>
      <c r="D440" s="11" t="inlineStr">
        <is>
          <t>Antioquia</t>
        </is>
      </c>
      <c r="E440" s="11" t="inlineStr">
        <is>
          <t>ANTIOQUIA</t>
        </is>
      </c>
      <c r="F440" s="11" t="inlineStr">
        <is>
          <t>Juan Pablo Osorio Ramirez</t>
        </is>
      </c>
      <c r="G440" s="11" t="inlineStr">
        <is>
          <t>1</t>
        </is>
      </c>
      <c r="H440" s="12" t="n">
        <v>46293</v>
      </c>
      <c r="I440" s="12" t="n">
        <v>46293</v>
      </c>
      <c r="J440" s="12" t="n"/>
      <c r="K440" s="12" t="n"/>
      <c r="L440" s="11" t="inlineStr">
        <is>
          <t>Programada</t>
        </is>
      </c>
      <c r="M440" s="12" t="n"/>
      <c r="N440" s="11">
        <f>SI(O(H440="";J440="");"";SI(J440&lt;=H440;"SÍ";"NO"))</f>
        <v/>
      </c>
      <c r="O440" s="11">
        <f>SI(O(I440="";K440="");"";SI(K440&lt;=SI(M440&lt;&gt;"";M440;I440);"SÍ";"NO"))</f>
        <v/>
      </c>
      <c r="P440" s="11">
        <f>SI(O(N440="";O440="");"";SI(Y(N440="SÍ";O440="SÍ");"SÍ";"NO"))</f>
        <v/>
      </c>
      <c r="Q440" s="13">
        <f>SI(O(I440="";K440="");"";MAX(0;ENTERO(K440)-ENTERO(SI(M440&lt;&gt;"";M440;I440))))</f>
        <v/>
      </c>
      <c r="R440" s="11" t="n"/>
      <c r="S440" s="11" t="n"/>
      <c r="T440" s="12" t="n"/>
      <c r="U440" s="11" t="n">
        <v>14</v>
      </c>
      <c r="V440" s="11" t="n"/>
    </row>
    <row r="441">
      <c r="A441" s="14" t="n">
        <v>1387</v>
      </c>
      <c r="B441" s="14" t="inlineStr">
        <is>
          <t>SAN PEDRO</t>
        </is>
      </c>
      <c r="C441" s="14" t="inlineStr">
        <is>
          <t>San Pedro De Los Milagros</t>
        </is>
      </c>
      <c r="D441" s="14" t="inlineStr">
        <is>
          <t>Antioquia</t>
        </is>
      </c>
      <c r="E441" s="14" t="inlineStr">
        <is>
          <t>ANTIOQUIA</t>
        </is>
      </c>
      <c r="F441" s="14" t="inlineStr">
        <is>
          <t>Andrés Mariano Bustamante Castro</t>
        </is>
      </c>
      <c r="G441" s="14" t="inlineStr">
        <is>
          <t>3</t>
        </is>
      </c>
      <c r="H441" s="15" t="n">
        <v>46293</v>
      </c>
      <c r="I441" s="15" t="n">
        <v>46293</v>
      </c>
      <c r="J441" s="15" t="n"/>
      <c r="K441" s="15" t="n"/>
      <c r="L441" s="14" t="inlineStr">
        <is>
          <t>Programada</t>
        </is>
      </c>
      <c r="M441" s="15" t="n"/>
      <c r="N441" s="14">
        <f>SI(O(H441="";J441="");"";SI(J441&lt;=H441;"SÍ";"NO"))</f>
        <v/>
      </c>
      <c r="O441" s="14">
        <f>SI(O(I441="";K441="");"";SI(K441&lt;=SI(M441&lt;&gt;"";M441;I441);"SÍ";"NO"))</f>
        <v/>
      </c>
      <c r="P441" s="14">
        <f>SI(O(N441="";O441="");"";SI(Y(N441="SÍ";O441="SÍ");"SÍ";"NO"))</f>
        <v/>
      </c>
      <c r="Q441" s="16">
        <f>SI(O(I441="";K441="");"";MAX(0;ENTERO(K441)-ENTERO(SI(M441&lt;&gt;"";M441;I441))))</f>
        <v/>
      </c>
      <c r="R441" s="14" t="n"/>
      <c r="S441" s="14" t="n"/>
      <c r="T441" s="15" t="n"/>
      <c r="U441" s="14" t="n">
        <v>19</v>
      </c>
      <c r="V441" s="14" t="n"/>
    </row>
    <row r="442">
      <c r="A442" s="11" t="n">
        <v>1510</v>
      </c>
      <c r="B442" s="11" t="inlineStr">
        <is>
          <t>CUBARA</t>
        </is>
      </c>
      <c r="C442" s="11" t="inlineStr">
        <is>
          <t>Cubará</t>
        </is>
      </c>
      <c r="D442" s="11" t="inlineStr">
        <is>
          <t>Boyacá</t>
        </is>
      </c>
      <c r="E442" s="11" t="inlineStr">
        <is>
          <t>BOGOTA</t>
        </is>
      </c>
      <c r="F442" s="11" t="inlineStr">
        <is>
          <t>Andrés Felipe Carvajal Pire</t>
        </is>
      </c>
      <c r="G442" s="11" t="inlineStr">
        <is>
          <t>2</t>
        </is>
      </c>
      <c r="H442" s="12" t="n">
        <v>46293</v>
      </c>
      <c r="I442" s="12" t="n">
        <v>46294</v>
      </c>
      <c r="J442" s="12" t="n"/>
      <c r="K442" s="12" t="n"/>
      <c r="L442" s="11" t="inlineStr">
        <is>
          <t>Programada</t>
        </is>
      </c>
      <c r="M442" s="12" t="n"/>
      <c r="N442" s="11">
        <f>SI(O(H442="";J442="");"";SI(J442&lt;=H442;"SÍ";"NO"))</f>
        <v/>
      </c>
      <c r="O442" s="11">
        <f>SI(O(I442="";K442="");"";SI(K442&lt;=SI(M442&lt;&gt;"";M442;I442);"SÍ";"NO"))</f>
        <v/>
      </c>
      <c r="P442" s="11">
        <f>SI(O(N442="";O442="");"";SI(Y(N442="SÍ";O442="SÍ");"SÍ";"NO"))</f>
        <v/>
      </c>
      <c r="Q442" s="13">
        <f>SI(O(I442="";K442="");"";MAX(0;ENTERO(K442)-ENTERO(SI(M442&lt;&gt;"";M442;I442))))</f>
        <v/>
      </c>
      <c r="R442" s="11" t="n"/>
      <c r="S442" s="11" t="n"/>
      <c r="T442" s="12" t="n"/>
      <c r="U442" s="11" t="n">
        <v>15</v>
      </c>
      <c r="V442" s="11" t="n"/>
    </row>
    <row r="443">
      <c r="A443" s="14" t="n">
        <v>2770</v>
      </c>
      <c r="B443" s="14" t="inlineStr">
        <is>
          <t>SAHAGUN</t>
        </is>
      </c>
      <c r="C443" s="14" t="inlineStr">
        <is>
          <t>Sahagún</t>
        </is>
      </c>
      <c r="D443" s="14" t="inlineStr">
        <is>
          <t>Córdoba</t>
        </is>
      </c>
      <c r="E443" s="14" t="inlineStr">
        <is>
          <t>COSTA</t>
        </is>
      </c>
      <c r="F443" s="14" t="inlineStr">
        <is>
          <t>Laura Camila Ospino Taborda</t>
        </is>
      </c>
      <c r="G443" s="14" t="inlineStr">
        <is>
          <t>6</t>
        </is>
      </c>
      <c r="H443" s="15" t="n">
        <v>46293</v>
      </c>
      <c r="I443" s="15" t="n">
        <v>46293</v>
      </c>
      <c r="J443" s="15" t="n"/>
      <c r="K443" s="15" t="n"/>
      <c r="L443" s="14" t="inlineStr">
        <is>
          <t>Programada</t>
        </is>
      </c>
      <c r="M443" s="15" t="n"/>
      <c r="N443" s="14">
        <f>SI(O(H443="";J443="");"";SI(J443&lt;=H443;"SÍ";"NO"))</f>
        <v/>
      </c>
      <c r="O443" s="14">
        <f>SI(O(I443="";K443="");"";SI(K443&lt;=SI(M443&lt;&gt;"";M443;I443);"SÍ";"NO"))</f>
        <v/>
      </c>
      <c r="P443" s="14">
        <f>SI(O(N443="";O443="");"";SI(Y(N443="SÍ";O443="SÍ");"SÍ";"NO"))</f>
        <v/>
      </c>
      <c r="Q443" s="16">
        <f>SI(O(I443="";K443="");"";MAX(0;ENTERO(K443)-ENTERO(SI(M443&lt;&gt;"";M443;I443))))</f>
        <v/>
      </c>
      <c r="R443" s="14" t="n"/>
      <c r="S443" s="14" t="n"/>
      <c r="T443" s="15" t="n"/>
      <c r="U443" s="14" t="n">
        <v>33</v>
      </c>
      <c r="V443" s="14" t="n"/>
    </row>
    <row r="444">
      <c r="A444" s="11" t="n">
        <v>3113</v>
      </c>
      <c r="B444" s="11" t="inlineStr">
        <is>
          <t>ARBELAEZ</t>
        </is>
      </c>
      <c r="C444" s="11" t="inlineStr">
        <is>
          <t>Arbeláez</t>
        </is>
      </c>
      <c r="D444" s="11" t="inlineStr">
        <is>
          <t>Cundinamarca</t>
        </is>
      </c>
      <c r="E444" s="11" t="inlineStr">
        <is>
          <t>BOGOTA</t>
        </is>
      </c>
      <c r="F444" s="11" t="inlineStr">
        <is>
          <t>Edwin Santiago Cuchivaguen Diaz</t>
        </is>
      </c>
      <c r="G444" s="11" t="inlineStr">
        <is>
          <t>3</t>
        </is>
      </c>
      <c r="H444" s="12" t="n">
        <v>46293</v>
      </c>
      <c r="I444" s="12" t="n">
        <v>46293</v>
      </c>
      <c r="J444" s="12" t="n"/>
      <c r="K444" s="12" t="n"/>
      <c r="L444" s="11" t="inlineStr">
        <is>
          <t>Programada</t>
        </is>
      </c>
      <c r="M444" s="12" t="n"/>
      <c r="N444" s="11">
        <f>SI(O(H444="";J444="");"";SI(J444&lt;=H444;"SÍ";"NO"))</f>
        <v/>
      </c>
      <c r="O444" s="11">
        <f>SI(O(I444="";K444="");"";SI(K444&lt;=SI(M444&lt;&gt;"";M444;I444);"SÍ";"NO"))</f>
        <v/>
      </c>
      <c r="P444" s="11">
        <f>SI(O(N444="";O444="");"";SI(Y(N444="SÍ";O444="SÍ");"SÍ";"NO"))</f>
        <v/>
      </c>
      <c r="Q444" s="13">
        <f>SI(O(I444="";K444="");"";MAX(0;ENTERO(K444)-ENTERO(SI(M444&lt;&gt;"";M444;I444))))</f>
        <v/>
      </c>
      <c r="R444" s="11" t="n"/>
      <c r="S444" s="11" t="n"/>
      <c r="T444" s="12" t="n"/>
      <c r="U444" s="11" t="n">
        <v>19</v>
      </c>
      <c r="V444" s="11" t="n"/>
    </row>
    <row r="445">
      <c r="A445" s="14" t="n">
        <v>3120</v>
      </c>
      <c r="B445" s="14" t="inlineStr">
        <is>
          <t>CHAGUANI</t>
        </is>
      </c>
      <c r="C445" s="14" t="inlineStr">
        <is>
          <t>Chaguaní</t>
        </is>
      </c>
      <c r="D445" s="14" t="inlineStr">
        <is>
          <t>Cundinamarca</t>
        </is>
      </c>
      <c r="E445" s="14" t="inlineStr">
        <is>
          <t>BOGOTA</t>
        </is>
      </c>
      <c r="F445" s="14" t="inlineStr">
        <is>
          <t>Jhonatan Felipe Hernandez Gamboa</t>
        </is>
      </c>
      <c r="G445" s="14" t="inlineStr">
        <is>
          <t>1</t>
        </is>
      </c>
      <c r="H445" s="15" t="n">
        <v>46293</v>
      </c>
      <c r="I445" s="15" t="n">
        <v>46293</v>
      </c>
      <c r="J445" s="15" t="n"/>
      <c r="K445" s="15" t="n"/>
      <c r="L445" s="14" t="inlineStr">
        <is>
          <t>Programada</t>
        </is>
      </c>
      <c r="M445" s="15" t="n"/>
      <c r="N445" s="14">
        <f>SI(O(H445="";J445="");"";SI(J445&lt;=H445;"SÍ";"NO"))</f>
        <v/>
      </c>
      <c r="O445" s="14">
        <f>SI(O(I445="";K445="");"";SI(K445&lt;=SI(M445&lt;&gt;"";M445;I445);"SÍ";"NO"))</f>
        <v/>
      </c>
      <c r="P445" s="14">
        <f>SI(O(N445="";O445="");"";SI(Y(N445="SÍ";O445="SÍ");"SÍ";"NO"))</f>
        <v/>
      </c>
      <c r="Q445" s="16">
        <f>SI(O(I445="";K445="");"";MAX(0;ENTERO(K445)-ENTERO(SI(M445&lt;&gt;"";M445;I445))))</f>
        <v/>
      </c>
      <c r="R445" s="14" t="n"/>
      <c r="S445" s="14" t="n"/>
      <c r="T445" s="15" t="n"/>
      <c r="U445" s="14" t="n">
        <v>13</v>
      </c>
      <c r="V445" s="14" t="n"/>
    </row>
    <row r="446">
      <c r="A446" s="11" t="n">
        <v>3121</v>
      </c>
      <c r="B446" s="11" t="inlineStr">
        <is>
          <t>VILLETA</t>
        </is>
      </c>
      <c r="C446" s="11" t="inlineStr">
        <is>
          <t>Villeta</t>
        </is>
      </c>
      <c r="D446" s="11" t="inlineStr">
        <is>
          <t>Cundinamarca</t>
        </is>
      </c>
      <c r="E446" s="11" t="inlineStr">
        <is>
          <t>BOGOTA</t>
        </is>
      </c>
      <c r="F446" s="11" t="inlineStr">
        <is>
          <t>Carlos Andres Cuchivaguen Diaz</t>
        </is>
      </c>
      <c r="G446" s="11" t="inlineStr">
        <is>
          <t>3</t>
        </is>
      </c>
      <c r="H446" s="12" t="n">
        <v>46293</v>
      </c>
      <c r="I446" s="12" t="n">
        <v>46293</v>
      </c>
      <c r="J446" s="12" t="n"/>
      <c r="K446" s="12" t="n"/>
      <c r="L446" s="11" t="inlineStr">
        <is>
          <t>Programada</t>
        </is>
      </c>
      <c r="M446" s="12" t="n"/>
      <c r="N446" s="11">
        <f>SI(O(H446="";J446="");"";SI(J446&lt;=H446;"SÍ";"NO"))</f>
        <v/>
      </c>
      <c r="O446" s="11">
        <f>SI(O(I446="";K446="");"";SI(K446&lt;=SI(M446&lt;&gt;"";M446;I446);"SÍ";"NO"))</f>
        <v/>
      </c>
      <c r="P446" s="11">
        <f>SI(O(N446="";O446="");"";SI(Y(N446="SÍ";O446="SÍ");"SÍ";"NO"))</f>
        <v/>
      </c>
      <c r="Q446" s="13">
        <f>SI(O(I446="";K446="");"";MAX(0;ENTERO(K446)-ENTERO(SI(M446&lt;&gt;"";M446;I446))))</f>
        <v/>
      </c>
      <c r="R446" s="11" t="n"/>
      <c r="S446" s="11" t="n"/>
      <c r="T446" s="12" t="n"/>
      <c r="U446" s="11" t="n">
        <v>22</v>
      </c>
      <c r="V446" s="11" t="n"/>
    </row>
    <row r="447">
      <c r="A447" s="14" t="n">
        <v>3124</v>
      </c>
      <c r="B447" s="14" t="inlineStr">
        <is>
          <t>EL COLEGIO</t>
        </is>
      </c>
      <c r="C447" s="14" t="inlineStr">
        <is>
          <t>El Colegio</t>
        </is>
      </c>
      <c r="D447" s="14" t="inlineStr">
        <is>
          <t>Cundinamarca</t>
        </is>
      </c>
      <c r="E447" s="14" t="inlineStr">
        <is>
          <t>BOGOTA</t>
        </is>
      </c>
      <c r="F447" s="14" t="inlineStr">
        <is>
          <t>Nelson Leonardo Paez Suarez</t>
        </is>
      </c>
      <c r="G447" s="14" t="inlineStr">
        <is>
          <t>3</t>
        </is>
      </c>
      <c r="H447" s="15" t="n">
        <v>46293</v>
      </c>
      <c r="I447" s="15" t="n">
        <v>46293</v>
      </c>
      <c r="J447" s="15" t="n"/>
      <c r="K447" s="15" t="n"/>
      <c r="L447" s="14" t="inlineStr">
        <is>
          <t>Programada</t>
        </is>
      </c>
      <c r="M447" s="15" t="n"/>
      <c r="N447" s="14">
        <f>SI(O(H447="";J447="");"";SI(J447&lt;=H447;"SÍ";"NO"))</f>
        <v/>
      </c>
      <c r="O447" s="14">
        <f>SI(O(I447="";K447="");"";SI(K447&lt;=SI(M447&lt;&gt;"";M447;I447);"SÍ";"NO"))</f>
        <v/>
      </c>
      <c r="P447" s="14">
        <f>SI(O(N447="";O447="");"";SI(Y(N447="SÍ";O447="SÍ");"SÍ";"NO"))</f>
        <v/>
      </c>
      <c r="Q447" s="16">
        <f>SI(O(I447="";K447="");"";MAX(0;ENTERO(K447)-ENTERO(SI(M447&lt;&gt;"";M447;I447))))</f>
        <v/>
      </c>
      <c r="R447" s="14" t="n"/>
      <c r="S447" s="14" t="n"/>
      <c r="T447" s="15" t="n"/>
      <c r="U447" s="14" t="n">
        <v>23</v>
      </c>
      <c r="V447" s="14" t="n"/>
    </row>
    <row r="448">
      <c r="A448" s="11" t="n">
        <v>3942</v>
      </c>
      <c r="B448" s="11" t="inlineStr">
        <is>
          <t>PITALITO</t>
        </is>
      </c>
      <c r="C448" s="11" t="inlineStr">
        <is>
          <t>Pitalito</t>
        </is>
      </c>
      <c r="D448" s="11" t="inlineStr">
        <is>
          <t>Huila</t>
        </is>
      </c>
      <c r="E448" s="11" t="inlineStr">
        <is>
          <t>SUR</t>
        </is>
      </c>
      <c r="F448" s="11" t="inlineStr">
        <is>
          <t>ERIKA VARGAS</t>
        </is>
      </c>
      <c r="G448" s="11" t="inlineStr">
        <is>
          <t>9</t>
        </is>
      </c>
      <c r="H448" s="12" t="n">
        <v>46293</v>
      </c>
      <c r="I448" s="12" t="n">
        <v>46294</v>
      </c>
      <c r="J448" s="12" t="n"/>
      <c r="K448" s="12" t="n"/>
      <c r="L448" s="11" t="inlineStr">
        <is>
          <t>Programada</t>
        </is>
      </c>
      <c r="M448" s="12" t="n"/>
      <c r="N448" s="11">
        <f>SI(O(H448="";J448="");"";SI(J448&lt;=H448;"SÍ";"NO"))</f>
        <v/>
      </c>
      <c r="O448" s="11">
        <f>SI(O(I448="";K448="");"";SI(K448&lt;=SI(M448&lt;&gt;"";M448;I448);"SÍ";"NO"))</f>
        <v/>
      </c>
      <c r="P448" s="11">
        <f>SI(O(N448="";O448="");"";SI(Y(N448="SÍ";O448="SÍ");"SÍ";"NO"))</f>
        <v/>
      </c>
      <c r="Q448" s="13">
        <f>SI(O(I448="";K448="");"";MAX(0;ENTERO(K448)-ENTERO(SI(M448&lt;&gt;"";M448;I448))))</f>
        <v/>
      </c>
      <c r="R448" s="11" t="n"/>
      <c r="S448" s="11" t="n"/>
      <c r="T448" s="12" t="n"/>
      <c r="U448" s="11" t="n">
        <v>59</v>
      </c>
      <c r="V448" s="11" t="n"/>
    </row>
    <row r="449">
      <c r="A449" s="14" t="n">
        <v>4542</v>
      </c>
      <c r="B449" s="14" t="inlineStr">
        <is>
          <t>SAN JUANITO</t>
        </is>
      </c>
      <c r="C449" s="14" t="inlineStr">
        <is>
          <t>San Juanito</t>
        </is>
      </c>
      <c r="D449" s="14" t="inlineStr">
        <is>
          <t>Meta</t>
        </is>
      </c>
      <c r="E449" s="14" t="inlineStr">
        <is>
          <t>BOGOTA</t>
        </is>
      </c>
      <c r="F449" s="14" t="inlineStr">
        <is>
          <t>Andres Felipe Balbin</t>
        </is>
      </c>
      <c r="G449" s="14" t="inlineStr">
        <is>
          <t>1</t>
        </is>
      </c>
      <c r="H449" s="15" t="n">
        <v>46293</v>
      </c>
      <c r="I449" s="15" t="n">
        <v>46294</v>
      </c>
      <c r="J449" s="15" t="n"/>
      <c r="K449" s="15" t="n"/>
      <c r="L449" s="14" t="inlineStr">
        <is>
          <t>Programada</t>
        </is>
      </c>
      <c r="M449" s="15" t="n"/>
      <c r="N449" s="14">
        <f>SI(O(H449="";J449="");"";SI(J449&lt;=H449;"SÍ";"NO"))</f>
        <v/>
      </c>
      <c r="O449" s="14">
        <f>SI(O(I449="";K449="");"";SI(K449&lt;=SI(M449&lt;&gt;"";M449;I449);"SÍ";"NO"))</f>
        <v/>
      </c>
      <c r="P449" s="14">
        <f>SI(O(N449="";O449="");"";SI(Y(N449="SÍ";O449="SÍ");"SÍ";"NO"))</f>
        <v/>
      </c>
      <c r="Q449" s="16">
        <f>SI(O(I449="";K449="");"";MAX(0;ENTERO(K449)-ENTERO(SI(M449&lt;&gt;"";M449;I449))))</f>
        <v/>
      </c>
      <c r="R449" s="14" t="n"/>
      <c r="S449" s="14" t="n"/>
      <c r="T449" s="15" t="n"/>
      <c r="U449" s="14" t="n">
        <v>14</v>
      </c>
      <c r="V449" s="14" t="n"/>
    </row>
    <row r="450">
      <c r="A450" s="11" t="n">
        <v>5111</v>
      </c>
      <c r="B450" s="11" t="inlineStr">
        <is>
          <t>ABREGO</t>
        </is>
      </c>
      <c r="C450" s="11" t="inlineStr">
        <is>
          <t>Abrego</t>
        </is>
      </c>
      <c r="D450" s="11" t="inlineStr">
        <is>
          <t>Norte de Santander</t>
        </is>
      </c>
      <c r="E450" s="11" t="inlineStr">
        <is>
          <t>SANTANDERES</t>
        </is>
      </c>
      <c r="F450" s="11" t="inlineStr">
        <is>
          <t>Juan Alfonso Cuberos Buendia</t>
        </is>
      </c>
      <c r="G450" s="11" t="inlineStr">
        <is>
          <t>3</t>
        </is>
      </c>
      <c r="H450" s="12" t="n">
        <v>46293</v>
      </c>
      <c r="I450" s="12" t="n">
        <v>46294</v>
      </c>
      <c r="J450" s="12" t="n"/>
      <c r="K450" s="12" t="n"/>
      <c r="L450" s="11" t="inlineStr">
        <is>
          <t>Programada</t>
        </is>
      </c>
      <c r="M450" s="12" t="n"/>
      <c r="N450" s="11">
        <f>SI(O(H450="";J450="");"";SI(J450&lt;=H450;"SÍ";"NO"))</f>
        <v/>
      </c>
      <c r="O450" s="11">
        <f>SI(O(I450="";K450="");"";SI(K450&lt;=SI(M450&lt;&gt;"";M450;I450);"SÍ";"NO"))</f>
        <v/>
      </c>
      <c r="P450" s="11">
        <f>SI(O(N450="";O450="");"";SI(Y(N450="SÍ";O450="SÍ");"SÍ";"NO"))</f>
        <v/>
      </c>
      <c r="Q450" s="13">
        <f>SI(O(I450="";K450="");"";MAX(0;ENTERO(K450)-ENTERO(SI(M450&lt;&gt;"";M450;I450))))</f>
        <v/>
      </c>
      <c r="R450" s="11" t="n"/>
      <c r="S450" s="11" t="n"/>
      <c r="T450" s="12" t="n"/>
      <c r="U450" s="11" t="n">
        <v>21</v>
      </c>
      <c r="V450" s="11" t="n"/>
    </row>
    <row r="451">
      <c r="A451" s="14" t="n">
        <v>6032</v>
      </c>
      <c r="B451" s="14" t="inlineStr">
        <is>
          <t>MALAGA</t>
        </is>
      </c>
      <c r="C451" s="14" t="inlineStr">
        <is>
          <t>Málaga</t>
        </is>
      </c>
      <c r="D451" s="14" t="inlineStr">
        <is>
          <t>Santander</t>
        </is>
      </c>
      <c r="E451" s="14" t="inlineStr">
        <is>
          <t>SANTANDERES</t>
        </is>
      </c>
      <c r="F451" s="14" t="inlineStr">
        <is>
          <t>Luz Nélida Barragán Toro</t>
        </is>
      </c>
      <c r="G451" s="14" t="inlineStr">
        <is>
          <t>5</t>
        </is>
      </c>
      <c r="H451" s="15" t="n">
        <v>46293</v>
      </c>
      <c r="I451" s="15" t="n">
        <v>46294</v>
      </c>
      <c r="J451" s="15" t="n"/>
      <c r="K451" s="15" t="n"/>
      <c r="L451" s="14" t="inlineStr">
        <is>
          <t>Programada</t>
        </is>
      </c>
      <c r="M451" s="15" t="n"/>
      <c r="N451" s="14">
        <f>SI(O(H451="";J451="");"";SI(J451&lt;=H451;"SÍ";"NO"))</f>
        <v/>
      </c>
      <c r="O451" s="14">
        <f>SI(O(I451="";K451="");"";SI(K451&lt;=SI(M451&lt;&gt;"";M451;I451);"SÍ";"NO"))</f>
        <v/>
      </c>
      <c r="P451" s="14">
        <f>SI(O(N451="";O451="");"";SI(Y(N451="SÍ";O451="SÍ");"SÍ";"NO"))</f>
        <v/>
      </c>
      <c r="Q451" s="16">
        <f>SI(O(I451="";K451="");"";MAX(0;ENTERO(K451)-ENTERO(SI(M451&lt;&gt;"";M451;I451))))</f>
        <v/>
      </c>
      <c r="R451" s="14" t="n"/>
      <c r="S451" s="14" t="n"/>
      <c r="T451" s="15" t="n"/>
      <c r="U451" s="14" t="n">
        <v>31</v>
      </c>
      <c r="V451" s="14" t="n"/>
    </row>
    <row r="452">
      <c r="A452" s="11" t="n">
        <v>6033</v>
      </c>
      <c r="B452" s="11" t="inlineStr">
        <is>
          <t>CAPITANEJO</t>
        </is>
      </c>
      <c r="C452" s="11" t="inlineStr">
        <is>
          <t>Capitanejo</t>
        </is>
      </c>
      <c r="D452" s="11" t="inlineStr">
        <is>
          <t>Santander</t>
        </is>
      </c>
      <c r="E452" s="11" t="inlineStr">
        <is>
          <t>ORIENTE</t>
        </is>
      </c>
      <c r="F452" s="11" t="inlineStr">
        <is>
          <t>Andrés Felipe Díaz Noy</t>
        </is>
      </c>
      <c r="G452" s="11" t="inlineStr">
        <is>
          <t>2</t>
        </is>
      </c>
      <c r="H452" s="12" t="n">
        <v>46293</v>
      </c>
      <c r="I452" s="12" t="n">
        <v>46294</v>
      </c>
      <c r="J452" s="12" t="n"/>
      <c r="K452" s="12" t="n"/>
      <c r="L452" s="11" t="inlineStr">
        <is>
          <t>Programada</t>
        </is>
      </c>
      <c r="M452" s="12" t="n"/>
      <c r="N452" s="11">
        <f>SI(O(H452="";J452="");"";SI(J452&lt;=H452;"SÍ";"NO"))</f>
        <v/>
      </c>
      <c r="O452" s="11">
        <f>SI(O(I452="";K452="");"";SI(K452&lt;=SI(M452&lt;&gt;"";M452;I452);"SÍ";"NO"))</f>
        <v/>
      </c>
      <c r="P452" s="11">
        <f>SI(O(N452="";O452="");"";SI(Y(N452="SÍ";O452="SÍ");"SÍ";"NO"))</f>
        <v/>
      </c>
      <c r="Q452" s="13">
        <f>SI(O(I452="";K452="");"";MAX(0;ENTERO(K452)-ENTERO(SI(M452&lt;&gt;"";M452;I452))))</f>
        <v/>
      </c>
      <c r="R452" s="11" t="n"/>
      <c r="S452" s="11" t="n"/>
      <c r="T452" s="12" t="n"/>
      <c r="U452" s="11" t="n">
        <v>15</v>
      </c>
      <c r="V452" s="11" t="n"/>
    </row>
    <row r="453">
      <c r="A453" s="14" t="n">
        <v>6037</v>
      </c>
      <c r="B453" s="14" t="inlineStr">
        <is>
          <t>CERRITO</t>
        </is>
      </c>
      <c r="C453" s="14" t="inlineStr">
        <is>
          <t>Cerrito</t>
        </is>
      </c>
      <c r="D453" s="14" t="inlineStr">
        <is>
          <t>Santander</t>
        </is>
      </c>
      <c r="E453" s="14" t="inlineStr">
        <is>
          <t>SANTANDERES</t>
        </is>
      </c>
      <c r="F453" s="14" t="inlineStr">
        <is>
          <t>Mauricio Andrés Rivera Páez</t>
        </is>
      </c>
      <c r="G453" s="14" t="inlineStr">
        <is>
          <t>2</t>
        </is>
      </c>
      <c r="H453" s="15" t="n">
        <v>46293</v>
      </c>
      <c r="I453" s="15" t="n">
        <v>46294</v>
      </c>
      <c r="J453" s="15" t="n"/>
      <c r="K453" s="15" t="n"/>
      <c r="L453" s="14" t="inlineStr">
        <is>
          <t>Programada</t>
        </is>
      </c>
      <c r="M453" s="15" t="n"/>
      <c r="N453" s="14">
        <f>SI(O(H453="";J453="");"";SI(J453&lt;=H453;"SÍ";"NO"))</f>
        <v/>
      </c>
      <c r="O453" s="14">
        <f>SI(O(I453="";K453="");"";SI(K453&lt;=SI(M453&lt;&gt;"";M453;I453);"SÍ";"NO"))</f>
        <v/>
      </c>
      <c r="P453" s="14">
        <f>SI(O(N453="";O453="");"";SI(Y(N453="SÍ";O453="SÍ");"SÍ";"NO"))</f>
        <v/>
      </c>
      <c r="Q453" s="16">
        <f>SI(O(I453="";K453="");"";MAX(0;ENTERO(K453)-ENTERO(SI(M453&lt;&gt;"";M453;I453))))</f>
        <v/>
      </c>
      <c r="R453" s="14" t="n"/>
      <c r="S453" s="14" t="n"/>
      <c r="T453" s="15" t="n"/>
      <c r="U453" s="14" t="n">
        <v>18</v>
      </c>
      <c r="V453" s="14" t="n"/>
    </row>
    <row r="454">
      <c r="A454" s="11" t="n">
        <v>6039</v>
      </c>
      <c r="B454" s="11" t="inlineStr">
        <is>
          <t>CONCEPCION</t>
        </is>
      </c>
      <c r="C454" s="11" t="inlineStr">
        <is>
          <t>Concepción</t>
        </is>
      </c>
      <c r="D454" s="11" t="inlineStr">
        <is>
          <t>Santander</t>
        </is>
      </c>
      <c r="E454" s="11" t="inlineStr">
        <is>
          <t>SANTANDERES</t>
        </is>
      </c>
      <c r="F454" s="11" t="inlineStr">
        <is>
          <t>CRISTIAN CAMILO DIAZ NOY</t>
        </is>
      </c>
      <c r="G454" s="11" t="inlineStr">
        <is>
          <t>2</t>
        </is>
      </c>
      <c r="H454" s="12" t="n">
        <v>46293</v>
      </c>
      <c r="I454" s="12" t="n">
        <v>46294</v>
      </c>
      <c r="J454" s="12" t="n"/>
      <c r="K454" s="12" t="n"/>
      <c r="L454" s="11" t="inlineStr">
        <is>
          <t>Programada</t>
        </is>
      </c>
      <c r="M454" s="12" t="n"/>
      <c r="N454" s="11">
        <f>SI(O(H454="";J454="");"";SI(J454&lt;=H454;"SÍ";"NO"))</f>
        <v/>
      </c>
      <c r="O454" s="11">
        <f>SI(O(I454="";K454="");"";SI(K454&lt;=SI(M454&lt;&gt;"";M454;I454);"SÍ";"NO"))</f>
        <v/>
      </c>
      <c r="P454" s="11">
        <f>SI(O(N454="";O454="");"";SI(Y(N454="SÍ";O454="SÍ");"SÍ";"NO"))</f>
        <v/>
      </c>
      <c r="Q454" s="13">
        <f>SI(O(I454="";K454="");"";MAX(0;ENTERO(K454)-ENTERO(SI(M454&lt;&gt;"";M454;I454))))</f>
        <v/>
      </c>
      <c r="R454" s="11" t="n"/>
      <c r="S454" s="11" t="n"/>
      <c r="T454" s="12" t="n"/>
      <c r="U454" s="11" t="n">
        <v>15</v>
      </c>
      <c r="V454" s="11" t="n"/>
    </row>
    <row r="455">
      <c r="A455" s="14" t="n">
        <v>6921</v>
      </c>
      <c r="B455" s="14" t="inlineStr">
        <is>
          <t>PUERTO TEJADA</t>
        </is>
      </c>
      <c r="C455" s="14" t="inlineStr">
        <is>
          <t>Puerto Tejada</t>
        </is>
      </c>
      <c r="D455" s="14" t="inlineStr">
        <is>
          <t>Cauca</t>
        </is>
      </c>
      <c r="E455" s="14" t="inlineStr">
        <is>
          <t>OCCIDENTE</t>
        </is>
      </c>
      <c r="F455" s="14" t="inlineStr">
        <is>
          <t>Holmes Arley Astudillo Fajardo</t>
        </is>
      </c>
      <c r="G455" s="14" t="inlineStr">
        <is>
          <t>3</t>
        </is>
      </c>
      <c r="H455" s="15" t="n">
        <v>46293</v>
      </c>
      <c r="I455" s="15" t="n">
        <v>46293</v>
      </c>
      <c r="J455" s="15" t="n"/>
      <c r="K455" s="15" t="n"/>
      <c r="L455" s="14" t="inlineStr">
        <is>
          <t>Programada</t>
        </is>
      </c>
      <c r="M455" s="15" t="n"/>
      <c r="N455" s="14">
        <f>SI(O(H455="";J455="");"";SI(J455&lt;=H455;"SÍ";"NO"))</f>
        <v/>
      </c>
      <c r="O455" s="14">
        <f>SI(O(I455="";K455="");"";SI(K455&lt;=SI(M455&lt;&gt;"";M455;I455);"SÍ";"NO"))</f>
        <v/>
      </c>
      <c r="P455" s="14">
        <f>SI(O(N455="";O455="");"";SI(Y(N455="SÍ";O455="SÍ");"SÍ";"NO"))</f>
        <v/>
      </c>
      <c r="Q455" s="16">
        <f>SI(O(I455="";K455="");"";MAX(0;ENTERO(K455)-ENTERO(SI(M455&lt;&gt;"";M455;I455))))</f>
        <v/>
      </c>
      <c r="R455" s="14" t="n"/>
      <c r="S455" s="14" t="n"/>
      <c r="T455" s="15" t="n"/>
      <c r="U455" s="14" t="n">
        <v>28</v>
      </c>
      <c r="V455" s="14" t="n"/>
    </row>
    <row r="456">
      <c r="A456" s="11" t="n">
        <v>7310</v>
      </c>
      <c r="B456" s="11" t="inlineStr">
        <is>
          <t>CRAVO NORTE</t>
        </is>
      </c>
      <c r="C456" s="11" t="inlineStr">
        <is>
          <t>Cravo Norte</t>
        </is>
      </c>
      <c r="D456" s="11" t="inlineStr">
        <is>
          <t>Arauca</t>
        </is>
      </c>
      <c r="E456" s="11" t="inlineStr">
        <is>
          <t>BOGOTA</t>
        </is>
      </c>
      <c r="F456" s="11" t="inlineStr">
        <is>
          <t>JOAQUIN DE JESUS ROMERO PIÑEREZ</t>
        </is>
      </c>
      <c r="G456" s="11" t="inlineStr">
        <is>
          <t>1</t>
        </is>
      </c>
      <c r="H456" s="12" t="n">
        <v>46293</v>
      </c>
      <c r="I456" s="12" t="n">
        <v>46294</v>
      </c>
      <c r="J456" s="12" t="n"/>
      <c r="K456" s="12" t="n"/>
      <c r="L456" s="11" t="inlineStr">
        <is>
          <t>Programada</t>
        </is>
      </c>
      <c r="M456" s="12" t="n"/>
      <c r="N456" s="11">
        <f>SI(O(H456="";J456="");"";SI(J456&lt;=H456;"SÍ";"NO"))</f>
        <v/>
      </c>
      <c r="O456" s="11">
        <f>SI(O(I456="";K456="");"";SI(K456&lt;=SI(M456&lt;&gt;"";M456;I456);"SÍ";"NO"))</f>
        <v/>
      </c>
      <c r="P456" s="11">
        <f>SI(O(N456="";O456="");"";SI(Y(N456="SÍ";O456="SÍ");"SÍ";"NO"))</f>
        <v/>
      </c>
      <c r="Q456" s="13">
        <f>SI(O(I456="";K456="");"";MAX(0;ENTERO(K456)-ENTERO(SI(M456&lt;&gt;"";M456;I456))))</f>
        <v/>
      </c>
      <c r="R456" s="11" t="n"/>
      <c r="S456" s="11" t="n"/>
      <c r="T456" s="12" t="n"/>
      <c r="U456" s="11" t="n">
        <v>13</v>
      </c>
      <c r="V456" s="11" t="n"/>
    </row>
    <row r="457">
      <c r="A457" s="14" t="n">
        <v>8420</v>
      </c>
      <c r="B457" s="14" t="inlineStr">
        <is>
          <t>MITU</t>
        </is>
      </c>
      <c r="C457" s="14" t="inlineStr">
        <is>
          <t>Mitú</t>
        </is>
      </c>
      <c r="D457" s="14" t="inlineStr">
        <is>
          <t>Vaupés</t>
        </is>
      </c>
      <c r="E457" s="14" t="inlineStr">
        <is>
          <t>BOGOTA</t>
        </is>
      </c>
      <c r="F457" s="14" t="inlineStr">
        <is>
          <t>OSCAR MUÑOZ DASILVA</t>
        </is>
      </c>
      <c r="G457" s="14" t="inlineStr">
        <is>
          <t>1</t>
        </is>
      </c>
      <c r="H457" s="15" t="n">
        <v>46293</v>
      </c>
      <c r="I457" s="15" t="n">
        <v>46295</v>
      </c>
      <c r="J457" s="15" t="n"/>
      <c r="K457" s="15" t="n"/>
      <c r="L457" s="14" t="inlineStr">
        <is>
          <t>Programada</t>
        </is>
      </c>
      <c r="M457" s="15" t="n"/>
      <c r="N457" s="14">
        <f>SI(O(H457="";J457="");"";SI(J457&lt;=H457;"SÍ";"NO"))</f>
        <v/>
      </c>
      <c r="O457" s="14">
        <f>SI(O(I457="";K457="");"";SI(K457&lt;=SI(M457&lt;&gt;"";M457;I457);"SÍ";"NO"))</f>
        <v/>
      </c>
      <c r="P457" s="14">
        <f>SI(O(N457="";O457="");"";SI(Y(N457="SÍ";O457="SÍ");"SÍ";"NO"))</f>
        <v/>
      </c>
      <c r="Q457" s="16">
        <f>SI(O(I457="";K457="");"";MAX(0;ENTERO(K457)-ENTERO(SI(M457&lt;&gt;"";M457;I457))))</f>
        <v/>
      </c>
      <c r="R457" s="14" t="n"/>
      <c r="S457" s="14" t="n"/>
      <c r="T457" s="15" t="n"/>
      <c r="U457" s="14" t="n">
        <v>20</v>
      </c>
      <c r="V457" s="14" t="n"/>
    </row>
    <row r="458">
      <c r="A458" s="11" t="n">
        <v>1331</v>
      </c>
      <c r="B458" s="11" t="inlineStr">
        <is>
          <t>MEDELLIN ALPUJARRA</t>
        </is>
      </c>
      <c r="C458" s="11" t="inlineStr">
        <is>
          <t>Medellín</t>
        </is>
      </c>
      <c r="D458" s="11" t="inlineStr">
        <is>
          <t>Antioquia</t>
        </is>
      </c>
      <c r="E458" s="11" t="inlineStr">
        <is>
          <t>ANTIOQUIA</t>
        </is>
      </c>
      <c r="F458" s="11" t="inlineStr">
        <is>
          <t>Andrés Mariano Bustamante Castro</t>
        </is>
      </c>
      <c r="G458" s="11" t="inlineStr">
        <is>
          <t>5</t>
        </is>
      </c>
      <c r="H458" s="12" t="n">
        <v>46294</v>
      </c>
      <c r="I458" s="12" t="n">
        <v>46296</v>
      </c>
      <c r="J458" s="12" t="n"/>
      <c r="K458" s="12" t="n"/>
      <c r="L458" s="11" t="inlineStr">
        <is>
          <t>Programada</t>
        </is>
      </c>
      <c r="M458" s="12" t="n"/>
      <c r="N458" s="11">
        <f>SI(O(H458="";J458="");"";SI(J458&lt;=H458;"SÍ";"NO"))</f>
        <v/>
      </c>
      <c r="O458" s="11">
        <f>SI(O(I458="";K458="");"";SI(K458&lt;=SI(M458&lt;&gt;"";M458;I458);"SÍ";"NO"))</f>
        <v/>
      </c>
      <c r="P458" s="11">
        <f>SI(O(N458="";O458="");"";SI(Y(N458="SÍ";O458="SÍ");"SÍ";"NO"))</f>
        <v/>
      </c>
      <c r="Q458" s="13">
        <f>SI(O(I458="";K458="");"";MAX(0;ENTERO(K458)-ENTERO(SI(M458&lt;&gt;"";M458;I458))))</f>
        <v/>
      </c>
      <c r="R458" s="11" t="n"/>
      <c r="S458" s="11" t="n"/>
      <c r="T458" s="12" t="n"/>
      <c r="U458" s="11" t="n">
        <v>32</v>
      </c>
      <c r="V458" s="11" t="n"/>
    </row>
    <row r="459">
      <c r="A459" s="14" t="n">
        <v>1398</v>
      </c>
      <c r="B459" s="14" t="inlineStr">
        <is>
          <t>YARUMAL</t>
        </is>
      </c>
      <c r="C459" s="14" t="inlineStr">
        <is>
          <t>Yarumal</t>
        </is>
      </c>
      <c r="D459" s="14" t="inlineStr">
        <is>
          <t>Antioquia</t>
        </is>
      </c>
      <c r="E459" s="14" t="inlineStr">
        <is>
          <t>ANTIOQUIA</t>
        </is>
      </c>
      <c r="F459" s="14" t="inlineStr">
        <is>
          <t>Juan Pablo Osorio Ramirez</t>
        </is>
      </c>
      <c r="G459" s="14" t="inlineStr">
        <is>
          <t>5</t>
        </is>
      </c>
      <c r="H459" s="15" t="n">
        <v>46294</v>
      </c>
      <c r="I459" s="15" t="n">
        <v>46294</v>
      </c>
      <c r="J459" s="15" t="n"/>
      <c r="K459" s="15" t="n"/>
      <c r="L459" s="14" t="inlineStr">
        <is>
          <t>Programada</t>
        </is>
      </c>
      <c r="M459" s="15" t="n"/>
      <c r="N459" s="14">
        <f>SI(O(H459="";J459="");"";SI(J459&lt;=H459;"SÍ";"NO"))</f>
        <v/>
      </c>
      <c r="O459" s="14">
        <f>SI(O(I459="";K459="");"";SI(K459&lt;=SI(M459&lt;&gt;"";M459;I459);"SÍ";"NO"))</f>
        <v/>
      </c>
      <c r="P459" s="14">
        <f>SI(O(N459="";O459="");"";SI(Y(N459="SÍ";O459="SÍ");"SÍ";"NO"))</f>
        <v/>
      </c>
      <c r="Q459" s="16">
        <f>SI(O(I459="";K459="");"";MAX(0;ENTERO(K459)-ENTERO(SI(M459&lt;&gt;"";M459;I459))))</f>
        <v/>
      </c>
      <c r="R459" s="14" t="n"/>
      <c r="S459" s="14" t="n"/>
      <c r="T459" s="15" t="n"/>
      <c r="U459" s="14" t="n">
        <v>30</v>
      </c>
      <c r="V459" s="14" t="n"/>
    </row>
    <row r="460">
      <c r="A460" s="11" t="n">
        <v>1420</v>
      </c>
      <c r="B460" s="11" t="inlineStr">
        <is>
          <t>FRONTINO</t>
        </is>
      </c>
      <c r="C460" s="11" t="inlineStr">
        <is>
          <t>Frontino</t>
        </is>
      </c>
      <c r="D460" s="11" t="inlineStr">
        <is>
          <t>Antioquia</t>
        </is>
      </c>
      <c r="E460" s="11" t="inlineStr">
        <is>
          <t>ANTIOQUIA</t>
        </is>
      </c>
      <c r="F460" s="11" t="inlineStr">
        <is>
          <t>Ever Enrique Esquivel Movilla</t>
        </is>
      </c>
      <c r="G460" s="11" t="inlineStr">
        <is>
          <t>3</t>
        </is>
      </c>
      <c r="H460" s="12" t="n">
        <v>46294</v>
      </c>
      <c r="I460" s="12" t="n">
        <v>46294</v>
      </c>
      <c r="J460" s="12" t="n"/>
      <c r="K460" s="12" t="n"/>
      <c r="L460" s="11" t="inlineStr">
        <is>
          <t>Programada</t>
        </is>
      </c>
      <c r="M460" s="12" t="n"/>
      <c r="N460" s="11">
        <f>SI(O(H460="";J460="");"";SI(J460&lt;=H460;"SÍ";"NO"))</f>
        <v/>
      </c>
      <c r="O460" s="11">
        <f>SI(O(I460="";K460="");"";SI(K460&lt;=SI(M460&lt;&gt;"";M460;I460);"SÍ";"NO"))</f>
        <v/>
      </c>
      <c r="P460" s="11">
        <f>SI(O(N460="";O460="");"";SI(Y(N460="SÍ";O460="SÍ");"SÍ";"NO"))</f>
        <v/>
      </c>
      <c r="Q460" s="13">
        <f>SI(O(I460="";K460="");"";MAX(0;ENTERO(K460)-ENTERO(SI(M460&lt;&gt;"";M460;I460))))</f>
        <v/>
      </c>
      <c r="R460" s="11" t="n"/>
      <c r="S460" s="11" t="n"/>
      <c r="T460" s="12" t="n"/>
      <c r="U460" s="11" t="n">
        <v>23</v>
      </c>
      <c r="V460" s="11" t="n"/>
    </row>
    <row r="461">
      <c r="A461" s="14" t="n">
        <v>1466</v>
      </c>
      <c r="B461" s="14" t="inlineStr">
        <is>
          <t>SAN JOSE DE LA MONTAÑA</t>
        </is>
      </c>
      <c r="C461" s="14" t="inlineStr">
        <is>
          <t>San José De La Montaña</t>
        </is>
      </c>
      <c r="D461" s="14" t="inlineStr">
        <is>
          <t>Antioquia</t>
        </is>
      </c>
      <c r="E461" s="14" t="inlineStr">
        <is>
          <t>ANTIOQUIA</t>
        </is>
      </c>
      <c r="F461" s="14" t="inlineStr">
        <is>
          <t>Juan Pablo Osorio Ramirez</t>
        </is>
      </c>
      <c r="G461" s="14" t="inlineStr">
        <is>
          <t>1</t>
        </is>
      </c>
      <c r="H461" s="15" t="n">
        <v>46294</v>
      </c>
      <c r="I461" s="15" t="n">
        <v>46294</v>
      </c>
      <c r="J461" s="15" t="n"/>
      <c r="K461" s="15" t="n"/>
      <c r="L461" s="14" t="inlineStr">
        <is>
          <t>Programada</t>
        </is>
      </c>
      <c r="M461" s="15" t="n"/>
      <c r="N461" s="14">
        <f>SI(O(H461="";J461="");"";SI(J461&lt;=H461;"SÍ";"NO"))</f>
        <v/>
      </c>
      <c r="O461" s="14">
        <f>SI(O(I461="";K461="");"";SI(K461&lt;=SI(M461&lt;&gt;"";M461;I461);"SÍ";"NO"))</f>
        <v/>
      </c>
      <c r="P461" s="14">
        <f>SI(O(N461="";O461="");"";SI(Y(N461="SÍ";O461="SÍ");"SÍ";"NO"))</f>
        <v/>
      </c>
      <c r="Q461" s="16">
        <f>SI(O(I461="";K461="");"";MAX(0;ENTERO(K461)-ENTERO(SI(M461&lt;&gt;"";M461;I461))))</f>
        <v/>
      </c>
      <c r="R461" s="14" t="n"/>
      <c r="S461" s="14" t="n"/>
      <c r="T461" s="15" t="n"/>
      <c r="U461" s="14" t="n">
        <v>13</v>
      </c>
      <c r="V461" s="14" t="n"/>
    </row>
    <row r="462">
      <c r="A462" s="11" t="n">
        <v>1825</v>
      </c>
      <c r="B462" s="11" t="inlineStr">
        <is>
          <t>ANSERMA</t>
        </is>
      </c>
      <c r="C462" s="11" t="inlineStr">
        <is>
          <t>Anserma</t>
        </is>
      </c>
      <c r="D462" s="11" t="inlineStr">
        <is>
          <t>Caldas</t>
        </is>
      </c>
      <c r="E462" s="11" t="inlineStr">
        <is>
          <t>CAFETERA</t>
        </is>
      </c>
      <c r="F462" s="11" t="inlineStr">
        <is>
          <t>JULIO  CESAR AUDELO  - ANDRES FELIPE BOTERO</t>
        </is>
      </c>
      <c r="G462" s="11" t="inlineStr">
        <is>
          <t>3</t>
        </is>
      </c>
      <c r="H462" s="12" t="n">
        <v>46294</v>
      </c>
      <c r="I462" s="12" t="n">
        <v>46295</v>
      </c>
      <c r="J462" s="12" t="n"/>
      <c r="K462" s="12" t="n"/>
      <c r="L462" s="11" t="inlineStr">
        <is>
          <t>Programada</t>
        </is>
      </c>
      <c r="M462" s="12" t="n"/>
      <c r="N462" s="11">
        <f>SI(O(H462="";J462="");"";SI(J462&lt;=H462;"SÍ";"NO"))</f>
        <v/>
      </c>
      <c r="O462" s="11">
        <f>SI(O(I462="";K462="");"";SI(K462&lt;=SI(M462&lt;&gt;"";M462;I462);"SÍ";"NO"))</f>
        <v/>
      </c>
      <c r="P462" s="11">
        <f>SI(O(N462="";O462="");"";SI(Y(N462="SÍ";O462="SÍ");"SÍ";"NO"))</f>
        <v/>
      </c>
      <c r="Q462" s="13">
        <f>SI(O(I462="";K462="");"";MAX(0;ENTERO(K462)-ENTERO(SI(M462&lt;&gt;"";M462;I462))))</f>
        <v/>
      </c>
      <c r="R462" s="11" t="n"/>
      <c r="S462" s="11" t="n"/>
      <c r="T462" s="12" t="n"/>
      <c r="U462" s="11" t="n">
        <v>20</v>
      </c>
      <c r="V462" s="11" t="n"/>
    </row>
    <row r="463">
      <c r="A463" s="14" t="n">
        <v>1835</v>
      </c>
      <c r="B463" s="14" t="inlineStr">
        <is>
          <t>RIOSUCIO</t>
        </is>
      </c>
      <c r="C463" s="14" t="inlineStr">
        <is>
          <t>Riosucio</t>
        </is>
      </c>
      <c r="D463" s="14" t="inlineStr">
        <is>
          <t>Caldas</t>
        </is>
      </c>
      <c r="E463" s="14" t="inlineStr">
        <is>
          <t>CAFETERA</t>
        </is>
      </c>
      <c r="F463" s="14" t="inlineStr">
        <is>
          <t>JULIO  CESAR AUDELO  - ANDRES FELIPE BOTERO</t>
        </is>
      </c>
      <c r="G463" s="14" t="inlineStr">
        <is>
          <t>4</t>
        </is>
      </c>
      <c r="H463" s="15" t="n">
        <v>46294</v>
      </c>
      <c r="I463" s="15" t="n">
        <v>46295</v>
      </c>
      <c r="J463" s="15" t="n"/>
      <c r="K463" s="15" t="n"/>
      <c r="L463" s="14" t="inlineStr">
        <is>
          <t>Programada</t>
        </is>
      </c>
      <c r="M463" s="15" t="n"/>
      <c r="N463" s="14">
        <f>SI(O(H463="";J463="");"";SI(J463&lt;=H463;"SÍ";"NO"))</f>
        <v/>
      </c>
      <c r="O463" s="14">
        <f>SI(O(I463="";K463="");"";SI(K463&lt;=SI(M463&lt;&gt;"";M463;I463);"SÍ";"NO"))</f>
        <v/>
      </c>
      <c r="P463" s="14">
        <f>SI(O(N463="";O463="");"";SI(Y(N463="SÍ";O463="SÍ");"SÍ";"NO"))</f>
        <v/>
      </c>
      <c r="Q463" s="16">
        <f>SI(O(I463="";K463="");"";MAX(0;ENTERO(K463)-ENTERO(SI(M463&lt;&gt;"";M463;I463))))</f>
        <v/>
      </c>
      <c r="R463" s="14" t="n"/>
      <c r="S463" s="14" t="n"/>
      <c r="T463" s="15" t="n"/>
      <c r="U463" s="14" t="n">
        <v>29</v>
      </c>
      <c r="V463" s="14" t="n"/>
    </row>
    <row r="464">
      <c r="A464" s="11" t="n">
        <v>2128</v>
      </c>
      <c r="B464" s="11" t="inlineStr">
        <is>
          <t>BUENOS AIRES</t>
        </is>
      </c>
      <c r="C464" s="11" t="inlineStr">
        <is>
          <t>Buenos Aires</t>
        </is>
      </c>
      <c r="D464" s="11" t="inlineStr">
        <is>
          <t>Cauca</t>
        </is>
      </c>
      <c r="E464" s="11" t="inlineStr">
        <is>
          <t>OCCIDENTE</t>
        </is>
      </c>
      <c r="F464" s="11" t="inlineStr">
        <is>
          <t>Holmes Arley Astudillo Fajardo</t>
        </is>
      </c>
      <c r="G464" s="11" t="inlineStr">
        <is>
          <t>2</t>
        </is>
      </c>
      <c r="H464" s="12" t="n">
        <v>46294</v>
      </c>
      <c r="I464" s="12" t="n">
        <v>46294</v>
      </c>
      <c r="J464" s="12" t="n"/>
      <c r="K464" s="12" t="n"/>
      <c r="L464" s="11" t="inlineStr">
        <is>
          <t>Programada</t>
        </is>
      </c>
      <c r="M464" s="12" t="n"/>
      <c r="N464" s="11">
        <f>SI(O(H464="";J464="");"";SI(J464&lt;=H464;"SÍ";"NO"))</f>
        <v/>
      </c>
      <c r="O464" s="11">
        <f>SI(O(I464="";K464="");"";SI(K464&lt;=SI(M464&lt;&gt;"";M464;I464);"SÍ";"NO"))</f>
        <v/>
      </c>
      <c r="P464" s="11">
        <f>SI(O(N464="";O464="");"";SI(Y(N464="SÍ";O464="SÍ");"SÍ";"NO"))</f>
        <v/>
      </c>
      <c r="Q464" s="13">
        <f>SI(O(I464="";K464="");"";MAX(0;ENTERO(K464)-ENTERO(SI(M464&lt;&gt;"";M464;I464))))</f>
        <v/>
      </c>
      <c r="R464" s="11" t="n"/>
      <c r="S464" s="11" t="n"/>
      <c r="T464" s="12" t="n"/>
      <c r="U464" s="11" t="n">
        <v>17</v>
      </c>
      <c r="V464" s="11" t="n"/>
    </row>
    <row r="465">
      <c r="A465" s="14" t="n">
        <v>3142</v>
      </c>
      <c r="B465" s="14" t="inlineStr">
        <is>
          <t>LA MESA</t>
        </is>
      </c>
      <c r="C465" s="14" t="inlineStr">
        <is>
          <t>La Mesa</t>
        </is>
      </c>
      <c r="D465" s="14" t="inlineStr">
        <is>
          <t>Cundinamarca</t>
        </is>
      </c>
      <c r="E465" s="14" t="inlineStr">
        <is>
          <t>BOGOTA</t>
        </is>
      </c>
      <c r="F465" s="14" t="inlineStr">
        <is>
          <t>Nelson Leonardo Paez Suarez</t>
        </is>
      </c>
      <c r="G465" s="14" t="inlineStr">
        <is>
          <t>3</t>
        </is>
      </c>
      <c r="H465" s="15" t="n">
        <v>46294</v>
      </c>
      <c r="I465" s="15" t="n">
        <v>46294</v>
      </c>
      <c r="J465" s="15" t="n"/>
      <c r="K465" s="15" t="n"/>
      <c r="L465" s="14" t="inlineStr">
        <is>
          <t>Programada</t>
        </is>
      </c>
      <c r="M465" s="15" t="n"/>
      <c r="N465" s="14">
        <f>SI(O(H465="";J465="");"";SI(J465&lt;=H465;"SÍ";"NO"))</f>
        <v/>
      </c>
      <c r="O465" s="14">
        <f>SI(O(I465="";K465="");"";SI(K465&lt;=SI(M465&lt;&gt;"";M465;I465);"SÍ";"NO"))</f>
        <v/>
      </c>
      <c r="P465" s="14">
        <f>SI(O(N465="";O465="");"";SI(Y(N465="SÍ";O465="SÍ");"SÍ";"NO"))</f>
        <v/>
      </c>
      <c r="Q465" s="16">
        <f>SI(O(I465="";K465="");"";MAX(0;ENTERO(K465)-ENTERO(SI(M465&lt;&gt;"";M465;I465))))</f>
        <v/>
      </c>
      <c r="R465" s="14" t="n"/>
      <c r="S465" s="14" t="n"/>
      <c r="T465" s="15" t="n"/>
      <c r="U465" s="14" t="n">
        <v>27</v>
      </c>
      <c r="V465" s="14" t="n"/>
    </row>
    <row r="466">
      <c r="A466" s="11" t="n">
        <v>3159</v>
      </c>
      <c r="B466" s="11" t="inlineStr">
        <is>
          <t>SAN JUAN DE RIOSECO</t>
        </is>
      </c>
      <c r="C466" s="11" t="inlineStr">
        <is>
          <t>San Juan De Río Seco</t>
        </is>
      </c>
      <c r="D466" s="11" t="inlineStr">
        <is>
          <t>Cundinamarca</t>
        </is>
      </c>
      <c r="E466" s="11" t="inlineStr">
        <is>
          <t>BOGOTA</t>
        </is>
      </c>
      <c r="F466" s="11" t="inlineStr">
        <is>
          <t>Jhonatan Felipe Hernandez Gamboa</t>
        </is>
      </c>
      <c r="G466" s="11" t="inlineStr">
        <is>
          <t>3</t>
        </is>
      </c>
      <c r="H466" s="12" t="n">
        <v>46294</v>
      </c>
      <c r="I466" s="12" t="n">
        <v>46294</v>
      </c>
      <c r="J466" s="12" t="n"/>
      <c r="K466" s="12" t="n"/>
      <c r="L466" s="11" t="inlineStr">
        <is>
          <t>Programada</t>
        </is>
      </c>
      <c r="M466" s="12" t="n"/>
      <c r="N466" s="11">
        <f>SI(O(H466="";J466="");"";SI(J466&lt;=H466;"SÍ";"NO"))</f>
        <v/>
      </c>
      <c r="O466" s="11">
        <f>SI(O(I466="";K466="");"";SI(K466&lt;=SI(M466&lt;&gt;"";M466;I466);"SÍ";"NO"))</f>
        <v/>
      </c>
      <c r="P466" s="11">
        <f>SI(O(N466="";O466="");"";SI(Y(N466="SÍ";O466="SÍ");"SÍ";"NO"))</f>
        <v/>
      </c>
      <c r="Q466" s="13">
        <f>SI(O(I466="";K466="");"";MAX(0;ENTERO(K466)-ENTERO(SI(M466&lt;&gt;"";M466;I466))))</f>
        <v/>
      </c>
      <c r="R466" s="11" t="n"/>
      <c r="S466" s="11" t="n"/>
      <c r="T466" s="12" t="n"/>
      <c r="U466" s="11" t="n">
        <v>20</v>
      </c>
      <c r="V466" s="11" t="n"/>
    </row>
    <row r="467">
      <c r="A467" s="14" t="n">
        <v>3166</v>
      </c>
      <c r="B467" s="14" t="inlineStr">
        <is>
          <t>FUSAGASUGA</t>
        </is>
      </c>
      <c r="C467" s="14" t="inlineStr">
        <is>
          <t>Fusagasugá</t>
        </is>
      </c>
      <c r="D467" s="14" t="inlineStr">
        <is>
          <t>Cundinamarca</t>
        </is>
      </c>
      <c r="E467" s="14" t="inlineStr">
        <is>
          <t>BOGOTA</t>
        </is>
      </c>
      <c r="F467" s="14" t="inlineStr">
        <is>
          <t>Edwin Santiago Cuchivaguen Diaz</t>
        </is>
      </c>
      <c r="G467" s="14" t="inlineStr">
        <is>
          <t>5</t>
        </is>
      </c>
      <c r="H467" s="15" t="n">
        <v>46294</v>
      </c>
      <c r="I467" s="15" t="n">
        <v>46294</v>
      </c>
      <c r="J467" s="15" t="n"/>
      <c r="K467" s="15" t="n"/>
      <c r="L467" s="14" t="inlineStr">
        <is>
          <t>Programada</t>
        </is>
      </c>
      <c r="M467" s="15" t="n"/>
      <c r="N467" s="14">
        <f>SI(O(H467="";J467="");"";SI(J467&lt;=H467;"SÍ";"NO"))</f>
        <v/>
      </c>
      <c r="O467" s="14">
        <f>SI(O(I467="";K467="");"";SI(K467&lt;=SI(M467&lt;&gt;"";M467;I467);"SÍ";"NO"))</f>
        <v/>
      </c>
      <c r="P467" s="14">
        <f>SI(O(N467="";O467="");"";SI(Y(N467="SÍ";O467="SÍ");"SÍ";"NO"))</f>
        <v/>
      </c>
      <c r="Q467" s="16">
        <f>SI(O(I467="";K467="");"";MAX(0;ENTERO(K467)-ENTERO(SI(M467&lt;&gt;"";M467;I467))))</f>
        <v/>
      </c>
      <c r="R467" s="14" t="n"/>
      <c r="S467" s="14" t="n"/>
      <c r="T467" s="15" t="n"/>
      <c r="U467" s="14" t="n">
        <v>31</v>
      </c>
      <c r="V467" s="14" t="n"/>
    </row>
    <row r="468">
      <c r="A468" s="11" t="n">
        <v>3167</v>
      </c>
      <c r="B468" s="11" t="inlineStr">
        <is>
          <t>SASAIMA</t>
        </is>
      </c>
      <c r="C468" s="11" t="inlineStr">
        <is>
          <t>Sasaima</t>
        </is>
      </c>
      <c r="D468" s="11" t="inlineStr">
        <is>
          <t>Cundinamarca</t>
        </is>
      </c>
      <c r="E468" s="11" t="inlineStr">
        <is>
          <t>BOGOTA</t>
        </is>
      </c>
      <c r="F468" s="11" t="inlineStr">
        <is>
          <t>Carlos Andres Cuchivaguen Diaz</t>
        </is>
      </c>
      <c r="G468" s="11" t="inlineStr">
        <is>
          <t>1</t>
        </is>
      </c>
      <c r="H468" s="12" t="n">
        <v>46294</v>
      </c>
      <c r="I468" s="12" t="n">
        <v>46294</v>
      </c>
      <c r="J468" s="12" t="n"/>
      <c r="K468" s="12" t="n"/>
      <c r="L468" s="11" t="inlineStr">
        <is>
          <t>Programada</t>
        </is>
      </c>
      <c r="M468" s="12" t="n"/>
      <c r="N468" s="11">
        <f>SI(O(H468="";J468="");"";SI(J468&lt;=H468;"SÍ";"NO"))</f>
        <v/>
      </c>
      <c r="O468" s="11">
        <f>SI(O(I468="";K468="");"";SI(K468&lt;=SI(M468&lt;&gt;"";M468;I468);"SÍ";"NO"))</f>
        <v/>
      </c>
      <c r="P468" s="11">
        <f>SI(O(N468="";O468="");"";SI(Y(N468="SÍ";O468="SÍ");"SÍ";"NO"))</f>
        <v/>
      </c>
      <c r="Q468" s="13">
        <f>SI(O(I468="";K468="");"";MAX(0;ENTERO(K468)-ENTERO(SI(M468&lt;&gt;"";M468;I468))))</f>
        <v/>
      </c>
      <c r="R468" s="11" t="n"/>
      <c r="S468" s="11" t="n"/>
      <c r="T468" s="12" t="n"/>
      <c r="U468" s="11" t="n">
        <v>16</v>
      </c>
      <c r="V468" s="11" t="n"/>
    </row>
    <row r="469">
      <c r="A469" s="14" t="n">
        <v>3660</v>
      </c>
      <c r="B469" s="14" t="inlineStr">
        <is>
          <t>URUMITA</t>
        </is>
      </c>
      <c r="C469" s="14" t="inlineStr">
        <is>
          <t>Urumita</t>
        </is>
      </c>
      <c r="D469" s="14" t="inlineStr">
        <is>
          <t>La Guajira</t>
        </is>
      </c>
      <c r="E469" s="14" t="inlineStr">
        <is>
          <t>COSTA</t>
        </is>
      </c>
      <c r="F469" s="14" t="inlineStr">
        <is>
          <t>Karen Katerine  Beleño Andrade</t>
        </is>
      </c>
      <c r="G469" s="14" t="inlineStr">
        <is>
          <t>1</t>
        </is>
      </c>
      <c r="H469" s="15" t="n">
        <v>46294</v>
      </c>
      <c r="I469" s="15" t="n">
        <v>46294</v>
      </c>
      <c r="J469" s="15" t="n"/>
      <c r="K469" s="15" t="n"/>
      <c r="L469" s="14" t="inlineStr">
        <is>
          <t>Programada</t>
        </is>
      </c>
      <c r="M469" s="15" t="n"/>
      <c r="N469" s="14">
        <f>SI(O(H469="";J469="");"";SI(J469&lt;=H469;"SÍ";"NO"))</f>
        <v/>
      </c>
      <c r="O469" s="14">
        <f>SI(O(I469="";K469="");"";SI(K469&lt;=SI(M469&lt;&gt;"";M469;I469);"SÍ";"NO"))</f>
        <v/>
      </c>
      <c r="P469" s="14">
        <f>SI(O(N469="";O469="");"";SI(Y(N469="SÍ";O469="SÍ");"SÍ";"NO"))</f>
        <v/>
      </c>
      <c r="Q469" s="16">
        <f>SI(O(I469="";K469="");"";MAX(0;ENTERO(K469)-ENTERO(SI(M469&lt;&gt;"";M469;I469))))</f>
        <v/>
      </c>
      <c r="R469" s="14" t="n"/>
      <c r="S469" s="14" t="n"/>
      <c r="T469" s="15" t="n"/>
      <c r="U469" s="14" t="n">
        <v>13</v>
      </c>
      <c r="V469" s="14" t="n"/>
    </row>
    <row r="470">
      <c r="A470" s="11" t="n">
        <v>4810</v>
      </c>
      <c r="B470" s="11" t="inlineStr">
        <is>
          <t>SANDONA</t>
        </is>
      </c>
      <c r="C470" s="11" t="inlineStr">
        <is>
          <t>Sandoná</t>
        </is>
      </c>
      <c r="D470" s="11" t="inlineStr">
        <is>
          <t>Nariño</t>
        </is>
      </c>
      <c r="E470" s="11" t="inlineStr">
        <is>
          <t>OCCIDENTE</t>
        </is>
      </c>
      <c r="F470" s="11" t="inlineStr">
        <is>
          <t>Juan Carlos Narvaez Acosta / Luis Fernando Ibarra Guio</t>
        </is>
      </c>
      <c r="G470" s="11" t="inlineStr">
        <is>
          <t>4</t>
        </is>
      </c>
      <c r="H470" s="12" t="n">
        <v>46294</v>
      </c>
      <c r="I470" s="12" t="n">
        <v>46294</v>
      </c>
      <c r="J470" s="12" t="n"/>
      <c r="K470" s="12" t="n"/>
      <c r="L470" s="11" t="inlineStr">
        <is>
          <t>Programada</t>
        </is>
      </c>
      <c r="M470" s="12" t="n"/>
      <c r="N470" s="11">
        <f>SI(O(H470="";J470="");"";SI(J470&lt;=H470;"SÍ";"NO"))</f>
        <v/>
      </c>
      <c r="O470" s="11">
        <f>SI(O(I470="";K470="");"";SI(K470&lt;=SI(M470&lt;&gt;"";M470;I470);"SÍ";"NO"))</f>
        <v/>
      </c>
      <c r="P470" s="11">
        <f>SI(O(N470="";O470="");"";SI(Y(N470="SÍ";O470="SÍ");"SÍ";"NO"))</f>
        <v/>
      </c>
      <c r="Q470" s="13">
        <f>SI(O(I470="";K470="");"";MAX(0;ENTERO(K470)-ENTERO(SI(M470&lt;&gt;"";M470;I470))))</f>
        <v/>
      </c>
      <c r="R470" s="11" t="n"/>
      <c r="S470" s="11" t="n"/>
      <c r="T470" s="12" t="n"/>
      <c r="U470" s="11" t="n">
        <v>29</v>
      </c>
      <c r="V470" s="11" t="n"/>
    </row>
    <row r="471">
      <c r="A471" s="14" t="n">
        <v>6035</v>
      </c>
      <c r="B471" s="14" t="inlineStr">
        <is>
          <t>CARCASI</t>
        </is>
      </c>
      <c r="C471" s="14" t="inlineStr">
        <is>
          <t>Carcasí</t>
        </is>
      </c>
      <c r="D471" s="14" t="inlineStr">
        <is>
          <t>Santander</t>
        </is>
      </c>
      <c r="E471" s="14" t="inlineStr">
        <is>
          <t>ORIENTE</t>
        </is>
      </c>
      <c r="F471" s="14" t="inlineStr">
        <is>
          <t>Andrés Felipe Díaz Noy</t>
        </is>
      </c>
      <c r="G471" s="14" t="inlineStr">
        <is>
          <t>2</t>
        </is>
      </c>
      <c r="H471" s="15" t="n">
        <v>46294</v>
      </c>
      <c r="I471" s="15" t="n">
        <v>46295</v>
      </c>
      <c r="J471" s="15" t="n"/>
      <c r="K471" s="15" t="n"/>
      <c r="L471" s="14" t="inlineStr">
        <is>
          <t>Programada</t>
        </is>
      </c>
      <c r="M471" s="15" t="n"/>
      <c r="N471" s="14">
        <f>SI(O(H471="";J471="");"";SI(J471&lt;=H471;"SÍ";"NO"))</f>
        <v/>
      </c>
      <c r="O471" s="14">
        <f>SI(O(I471="";K471="");"";SI(K471&lt;=SI(M471&lt;&gt;"";M471;I471);"SÍ";"NO"))</f>
        <v/>
      </c>
      <c r="P471" s="14">
        <f>SI(O(N471="";O471="");"";SI(Y(N471="SÍ";O471="SÍ");"SÍ";"NO"))</f>
        <v/>
      </c>
      <c r="Q471" s="16">
        <f>SI(O(I471="";K471="");"";MAX(0;ENTERO(K471)-ENTERO(SI(M471&lt;&gt;"";M471;I471))))</f>
        <v/>
      </c>
      <c r="R471" s="14" t="n"/>
      <c r="S471" s="14" t="n"/>
      <c r="T471" s="15" t="n"/>
      <c r="U471" s="14" t="n">
        <v>15</v>
      </c>
      <c r="V471" s="14" t="n"/>
    </row>
    <row r="472">
      <c r="A472" s="11" t="n">
        <v>6053</v>
      </c>
      <c r="B472" s="11" t="inlineStr">
        <is>
          <t>GUACA</t>
        </is>
      </c>
      <c r="C472" s="11" t="inlineStr">
        <is>
          <t>Guaca</t>
        </is>
      </c>
      <c r="D472" s="11" t="inlineStr">
        <is>
          <t>Santander</t>
        </is>
      </c>
      <c r="E472" s="11" t="inlineStr">
        <is>
          <t>SANTANDERES</t>
        </is>
      </c>
      <c r="F472" s="11" t="inlineStr">
        <is>
          <t>Mauricio Andrés Rivera Páez</t>
        </is>
      </c>
      <c r="G472" s="11" t="inlineStr">
        <is>
          <t>1</t>
        </is>
      </c>
      <c r="H472" s="12" t="n">
        <v>46294</v>
      </c>
      <c r="I472" s="12" t="n">
        <v>46295</v>
      </c>
      <c r="J472" s="12" t="n"/>
      <c r="K472" s="12" t="n"/>
      <c r="L472" s="11" t="inlineStr">
        <is>
          <t>Programada</t>
        </is>
      </c>
      <c r="M472" s="12" t="n"/>
      <c r="N472" s="11">
        <f>SI(O(H472="";J472="");"";SI(J472&lt;=H472;"SÍ";"NO"))</f>
        <v/>
      </c>
      <c r="O472" s="11">
        <f>SI(O(I472="";K472="");"";SI(K472&lt;=SI(M472&lt;&gt;"";M472;I472);"SÍ";"NO"))</f>
        <v/>
      </c>
      <c r="P472" s="11">
        <f>SI(O(N472="";O472="");"";SI(Y(N472="SÍ";O472="SÍ");"SÍ";"NO"))</f>
        <v/>
      </c>
      <c r="Q472" s="13">
        <f>SI(O(I472="";K472="");"";MAX(0;ENTERO(K472)-ENTERO(SI(M472&lt;&gt;"";M472;I472))))</f>
        <v/>
      </c>
      <c r="R472" s="11" t="n"/>
      <c r="S472" s="11" t="n"/>
      <c r="T472" s="12" t="n"/>
      <c r="U472" s="11" t="n">
        <v>13</v>
      </c>
      <c r="V472" s="11" t="n"/>
    </row>
    <row r="473">
      <c r="A473" s="14" t="n">
        <v>6066</v>
      </c>
      <c r="B473" s="14" t="inlineStr">
        <is>
          <t>MOLAGAVITA</t>
        </is>
      </c>
      <c r="C473" s="14" t="inlineStr">
        <is>
          <t>Molagavita</t>
        </is>
      </c>
      <c r="D473" s="14" t="inlineStr">
        <is>
          <t>Santander</t>
        </is>
      </c>
      <c r="E473" s="14" t="inlineStr">
        <is>
          <t>SANTANDERES</t>
        </is>
      </c>
      <c r="F473" s="14" t="inlineStr">
        <is>
          <t>CRISTIAN CAMILO DIAZ NOY</t>
        </is>
      </c>
      <c r="G473" s="14" t="inlineStr">
        <is>
          <t>1</t>
        </is>
      </c>
      <c r="H473" s="15" t="n">
        <v>46294</v>
      </c>
      <c r="I473" s="15" t="n">
        <v>46295</v>
      </c>
      <c r="J473" s="15" t="n"/>
      <c r="K473" s="15" t="n"/>
      <c r="L473" s="14" t="inlineStr">
        <is>
          <t>Programada</t>
        </is>
      </c>
      <c r="M473" s="15" t="n"/>
      <c r="N473" s="14">
        <f>SI(O(H473="";J473="");"";SI(J473&lt;=H473;"SÍ";"NO"))</f>
        <v/>
      </c>
      <c r="O473" s="14">
        <f>SI(O(I473="";K473="");"";SI(K473&lt;=SI(M473&lt;&gt;"";M473;I473);"SÍ";"NO"))</f>
        <v/>
      </c>
      <c r="P473" s="14">
        <f>SI(O(N473="";O473="");"";SI(Y(N473="SÍ";O473="SÍ");"SÍ";"NO"))</f>
        <v/>
      </c>
      <c r="Q473" s="16">
        <f>SI(O(I473="";K473="");"";MAX(0;ENTERO(K473)-ENTERO(SI(M473&lt;&gt;"";M473;I473))))</f>
        <v/>
      </c>
      <c r="R473" s="14" t="n"/>
      <c r="S473" s="14" t="n"/>
      <c r="T473" s="15" t="n"/>
      <c r="U473" s="14" t="n">
        <v>13</v>
      </c>
      <c r="V473" s="14" t="n"/>
    </row>
    <row r="474">
      <c r="A474" s="11" t="n">
        <v>6068</v>
      </c>
      <c r="B474" s="11" t="inlineStr">
        <is>
          <t>SAN ANDRES</t>
        </is>
      </c>
      <c r="C474" s="11" t="inlineStr">
        <is>
          <t>San Andrés</t>
        </is>
      </c>
      <c r="D474" s="11" t="inlineStr">
        <is>
          <t>Santander</t>
        </is>
      </c>
      <c r="E474" s="11" t="inlineStr">
        <is>
          <t>SANTANDERES</t>
        </is>
      </c>
      <c r="F474" s="11" t="inlineStr">
        <is>
          <t>Andrés Felipe Carvajal Pire</t>
        </is>
      </c>
      <c r="G474" s="11" t="inlineStr">
        <is>
          <t>4</t>
        </is>
      </c>
      <c r="H474" s="12" t="n">
        <v>46294</v>
      </c>
      <c r="I474" s="12" t="n">
        <v>46295</v>
      </c>
      <c r="J474" s="12" t="n"/>
      <c r="K474" s="12" t="n"/>
      <c r="L474" s="11" t="inlineStr">
        <is>
          <t>Programada</t>
        </is>
      </c>
      <c r="M474" s="12" t="n"/>
      <c r="N474" s="11">
        <f>SI(O(H474="";J474="");"";SI(J474&lt;=H474;"SÍ";"NO"))</f>
        <v/>
      </c>
      <c r="O474" s="11">
        <f>SI(O(I474="";K474="");"";SI(K474&lt;=SI(M474&lt;&gt;"";M474;I474);"SÍ";"NO"))</f>
        <v/>
      </c>
      <c r="P474" s="11">
        <f>SI(O(N474="";O474="");"";SI(Y(N474="SÍ";O474="SÍ");"SÍ";"NO"))</f>
        <v/>
      </c>
      <c r="Q474" s="13">
        <f>SI(O(I474="";K474="");"";MAX(0;ENTERO(K474)-ENTERO(SI(M474&lt;&gt;"";M474;I474))))</f>
        <v/>
      </c>
      <c r="R474" s="11" t="n"/>
      <c r="S474" s="11" t="n"/>
      <c r="T474" s="12" t="n"/>
      <c r="U474" s="11" t="n">
        <v>21</v>
      </c>
      <c r="V474" s="11" t="n"/>
    </row>
    <row r="475">
      <c r="A475" s="14" t="n">
        <v>6360</v>
      </c>
      <c r="B475" s="14" t="inlineStr">
        <is>
          <t>SAMPUES</t>
        </is>
      </c>
      <c r="C475" s="14" t="inlineStr">
        <is>
          <t>Sampués</t>
        </is>
      </c>
      <c r="D475" s="14" t="inlineStr">
        <is>
          <t>Sucre</t>
        </is>
      </c>
      <c r="E475" s="14" t="inlineStr">
        <is>
          <t>COSTA</t>
        </is>
      </c>
      <c r="F475" s="14" t="inlineStr">
        <is>
          <t>Laura Camila Ospino Taborda</t>
        </is>
      </c>
      <c r="G475" s="14" t="inlineStr">
        <is>
          <t>2</t>
        </is>
      </c>
      <c r="H475" s="15" t="n">
        <v>46294</v>
      </c>
      <c r="I475" s="15" t="n">
        <v>46294</v>
      </c>
      <c r="J475" s="15" t="n"/>
      <c r="K475" s="15" t="n"/>
      <c r="L475" s="14" t="inlineStr">
        <is>
          <t>Programada</t>
        </is>
      </c>
      <c r="M475" s="15" t="n"/>
      <c r="N475" s="14">
        <f>SI(O(H475="";J475="");"";SI(J475&lt;=H475;"SÍ";"NO"))</f>
        <v/>
      </c>
      <c r="O475" s="14">
        <f>SI(O(I475="";K475="");"";SI(K475&lt;=SI(M475&lt;&gt;"";M475;I475);"SÍ";"NO"))</f>
        <v/>
      </c>
      <c r="P475" s="14">
        <f>SI(O(N475="";O475="");"";SI(Y(N475="SÍ";O475="SÍ");"SÍ";"NO"))</f>
        <v/>
      </c>
      <c r="Q475" s="16">
        <f>SI(O(I475="";K475="");"";MAX(0;ENTERO(K475)-ENTERO(SI(M475&lt;&gt;"";M475;I475))))</f>
        <v/>
      </c>
      <c r="R475" s="14" t="n"/>
      <c r="S475" s="14" t="n"/>
      <c r="T475" s="15" t="n"/>
      <c r="U475" s="14" t="n">
        <v>20</v>
      </c>
      <c r="V475" s="14" t="n"/>
    </row>
    <row r="476">
      <c r="A476" s="11" t="n">
        <v>6650</v>
      </c>
      <c r="B476" s="11" t="inlineStr">
        <is>
          <t>SALDAÑA</t>
        </is>
      </c>
      <c r="C476" s="11" t="inlineStr">
        <is>
          <t>Saldaña</t>
        </is>
      </c>
      <c r="D476" s="11" t="inlineStr">
        <is>
          <t>Tolima</t>
        </is>
      </c>
      <c r="E476" s="11" t="inlineStr">
        <is>
          <t>SUR</t>
        </is>
      </c>
      <c r="F476" s="11" t="inlineStr">
        <is>
          <t>Fernando Valencia- Bernardo Arango</t>
        </is>
      </c>
      <c r="G476" s="11" t="inlineStr">
        <is>
          <t>4</t>
        </is>
      </c>
      <c r="H476" s="12" t="n">
        <v>46294</v>
      </c>
      <c r="I476" s="12" t="n">
        <v>46295</v>
      </c>
      <c r="J476" s="12" t="n"/>
      <c r="K476" s="12" t="n"/>
      <c r="L476" s="11" t="inlineStr">
        <is>
          <t>Programada</t>
        </is>
      </c>
      <c r="M476" s="12" t="n"/>
      <c r="N476" s="11">
        <f>SI(O(H476="";J476="");"";SI(J476&lt;=H476;"SÍ";"NO"))</f>
        <v/>
      </c>
      <c r="O476" s="11">
        <f>SI(O(I476="";K476="");"";SI(K476&lt;=SI(M476&lt;&gt;"";M476;I476);"SÍ";"NO"))</f>
        <v/>
      </c>
      <c r="P476" s="11">
        <f>SI(O(N476="";O476="");"";SI(Y(N476="SÍ";O476="SÍ");"SÍ";"NO"))</f>
        <v/>
      </c>
      <c r="Q476" s="13">
        <f>SI(O(I476="";K476="");"";MAX(0;ENTERO(K476)-ENTERO(SI(M476&lt;&gt;"";M476;I476))))</f>
        <v/>
      </c>
      <c r="R476" s="11" t="n"/>
      <c r="S476" s="11" t="n"/>
      <c r="T476" s="12" t="n"/>
      <c r="U476" s="11" t="n">
        <v>21</v>
      </c>
      <c r="V476" s="11" t="n"/>
    </row>
    <row r="477">
      <c r="A477" s="14" t="n">
        <v>6652</v>
      </c>
      <c r="B477" s="14" t="inlineStr">
        <is>
          <t>SAN ANTONIO</t>
        </is>
      </c>
      <c r="C477" s="14" t="inlineStr">
        <is>
          <t>San Antonio</t>
        </is>
      </c>
      <c r="D477" s="14" t="inlineStr">
        <is>
          <t>Tolima</t>
        </is>
      </c>
      <c r="E477" s="14" t="inlineStr">
        <is>
          <t>SUR</t>
        </is>
      </c>
      <c r="F477" s="14" t="inlineStr">
        <is>
          <t>Johan Cardenas</t>
        </is>
      </c>
      <c r="G477" s="14" t="inlineStr">
        <is>
          <t>1</t>
        </is>
      </c>
      <c r="H477" s="15" t="n">
        <v>46294</v>
      </c>
      <c r="I477" s="15" t="n">
        <v>46295</v>
      </c>
      <c r="J477" s="15" t="n"/>
      <c r="K477" s="15" t="n"/>
      <c r="L477" s="14" t="inlineStr">
        <is>
          <t>Programada</t>
        </is>
      </c>
      <c r="M477" s="15" t="n"/>
      <c r="N477" s="14">
        <f>SI(O(H477="";J477="");"";SI(J477&lt;=H477;"SÍ";"NO"))</f>
        <v/>
      </c>
      <c r="O477" s="14">
        <f>SI(O(I477="";K477="");"";SI(K477&lt;=SI(M477&lt;&gt;"";M477;I477);"SÍ";"NO"))</f>
        <v/>
      </c>
      <c r="P477" s="14">
        <f>SI(O(N477="";O477="");"";SI(Y(N477="SÍ";O477="SÍ");"SÍ";"NO"))</f>
        <v/>
      </c>
      <c r="Q477" s="16">
        <f>SI(O(I477="";K477="");"";MAX(0;ENTERO(K477)-ENTERO(SI(M477&lt;&gt;"";M477;I477))))</f>
        <v/>
      </c>
      <c r="R477" s="14" t="n"/>
      <c r="S477" s="14" t="n"/>
      <c r="T477" s="15" t="n"/>
      <c r="U477" s="14" t="n">
        <v>17</v>
      </c>
      <c r="V477" s="14" t="n"/>
    </row>
    <row r="478">
      <c r="A478" s="11" t="n">
        <v>8630</v>
      </c>
      <c r="B478" s="11" t="inlineStr">
        <is>
          <t>OROCUE</t>
        </is>
      </c>
      <c r="C478" s="11" t="inlineStr">
        <is>
          <t>Orocué</t>
        </is>
      </c>
      <c r="D478" s="11" t="inlineStr">
        <is>
          <t>Casanare</t>
        </is>
      </c>
      <c r="E478" s="11" t="inlineStr">
        <is>
          <t>BOGOTA</t>
        </is>
      </c>
      <c r="F478" s="11" t="inlineStr">
        <is>
          <t>Juan Sebastian Lopez Acevedo</t>
        </is>
      </c>
      <c r="G478" s="11" t="inlineStr">
        <is>
          <t>1</t>
        </is>
      </c>
      <c r="H478" s="12" t="n">
        <v>46294</v>
      </c>
      <c r="I478" s="12" t="n">
        <v>46295</v>
      </c>
      <c r="J478" s="12" t="n"/>
      <c r="K478" s="12" t="n"/>
      <c r="L478" s="11" t="inlineStr">
        <is>
          <t>Programada</t>
        </is>
      </c>
      <c r="M478" s="12" t="n"/>
      <c r="N478" s="11">
        <f>SI(O(H478="";J478="");"";SI(J478&lt;=H478;"SÍ";"NO"))</f>
        <v/>
      </c>
      <c r="O478" s="11">
        <f>SI(O(I478="";K478="");"";SI(K478&lt;=SI(M478&lt;&gt;"";M478;I478);"SÍ";"NO"))</f>
        <v/>
      </c>
      <c r="P478" s="11">
        <f>SI(O(N478="";O478="");"";SI(Y(N478="SÍ";O478="SÍ");"SÍ";"NO"))</f>
        <v/>
      </c>
      <c r="Q478" s="13">
        <f>SI(O(I478="";K478="");"";MAX(0;ENTERO(K478)-ENTERO(SI(M478&lt;&gt;"";M478;I478))))</f>
        <v/>
      </c>
      <c r="R478" s="11" t="n"/>
      <c r="S478" s="11" t="n"/>
      <c r="T478" s="12" t="n"/>
      <c r="U478" s="11" t="n">
        <v>16</v>
      </c>
      <c r="V478" s="11" t="n"/>
    </row>
    <row r="479">
      <c r="A479" s="14" t="n">
        <v>980</v>
      </c>
      <c r="B479" s="14" t="inlineStr">
        <is>
          <t>SUBACHOQUE</t>
        </is>
      </c>
      <c r="C479" s="14" t="inlineStr">
        <is>
          <t>Subachoque</t>
        </is>
      </c>
      <c r="D479" s="14" t="inlineStr">
        <is>
          <t>Cundinamarca</t>
        </is>
      </c>
      <c r="E479" s="14" t="inlineStr">
        <is>
          <t>BOGOTA</t>
        </is>
      </c>
      <c r="F479" s="14" t="inlineStr">
        <is>
          <t>Carlos Andres Cuchivaguen Diaz</t>
        </is>
      </c>
      <c r="G479" s="14" t="inlineStr">
        <is>
          <t>2</t>
        </is>
      </c>
      <c r="H479" s="15" t="n">
        <v>46295</v>
      </c>
      <c r="I479" s="15" t="n">
        <v>46295</v>
      </c>
      <c r="J479" s="15" t="n"/>
      <c r="K479" s="15" t="n"/>
      <c r="L479" s="14" t="inlineStr">
        <is>
          <t>Programada</t>
        </is>
      </c>
      <c r="M479" s="15" t="n"/>
      <c r="N479" s="14">
        <f>SI(O(H479="";J479="");"";SI(J479&lt;=H479;"SÍ";"NO"))</f>
        <v/>
      </c>
      <c r="O479" s="14">
        <f>SI(O(I479="";K479="");"";SI(K479&lt;=SI(M479&lt;&gt;"";M479;I479);"SÍ";"NO"))</f>
        <v/>
      </c>
      <c r="P479" s="14">
        <f>SI(O(N479="";O479="");"";SI(Y(N479="SÍ";O479="SÍ");"SÍ";"NO"))</f>
        <v/>
      </c>
      <c r="Q479" s="16">
        <f>SI(O(I479="";K479="");"";MAX(0;ENTERO(K479)-ENTERO(SI(M479&lt;&gt;"";M479;I479))))</f>
        <v/>
      </c>
      <c r="R479" s="14" t="n"/>
      <c r="S479" s="14" t="n"/>
      <c r="T479" s="15" t="n"/>
      <c r="U479" s="14" t="n">
        <v>15</v>
      </c>
      <c r="V479" s="14" t="n"/>
    </row>
    <row r="480">
      <c r="A480" s="11" t="n">
        <v>1352</v>
      </c>
      <c r="B480" s="11" t="inlineStr">
        <is>
          <t>APARTADO</t>
        </is>
      </c>
      <c r="C480" s="11" t="inlineStr">
        <is>
          <t>Apartadó</t>
        </is>
      </c>
      <c r="D480" s="11" t="inlineStr">
        <is>
          <t>Antioquia</t>
        </is>
      </c>
      <c r="E480" s="11" t="inlineStr">
        <is>
          <t>ANTIOQUIA</t>
        </is>
      </c>
      <c r="F480" s="11" t="inlineStr">
        <is>
          <t>Ever Enrique Esquivel Movilla</t>
        </is>
      </c>
      <c r="G480" s="11" t="inlineStr">
        <is>
          <t>7</t>
        </is>
      </c>
      <c r="H480" s="12" t="n">
        <v>46295</v>
      </c>
      <c r="I480" s="12" t="n">
        <v>46296</v>
      </c>
      <c r="J480" s="12" t="n"/>
      <c r="K480" s="12" t="n"/>
      <c r="L480" s="11" t="inlineStr">
        <is>
          <t>Programada</t>
        </is>
      </c>
      <c r="M480" s="12" t="n"/>
      <c r="N480" s="11">
        <f>SI(O(H480="";J480="");"";SI(J480&lt;=H480;"SÍ";"NO"))</f>
        <v/>
      </c>
      <c r="O480" s="11">
        <f>SI(O(I480="";K480="");"";SI(K480&lt;=SI(M480&lt;&gt;"";M480;I480);"SÍ";"NO"))</f>
        <v/>
      </c>
      <c r="P480" s="11">
        <f>SI(O(N480="";O480="");"";SI(Y(N480="SÍ";O480="SÍ");"SÍ";"NO"))</f>
        <v/>
      </c>
      <c r="Q480" s="13">
        <f>SI(O(I480="";K480="");"";MAX(0;ENTERO(K480)-ENTERO(SI(M480&lt;&gt;"";M480;I480))))</f>
        <v/>
      </c>
      <c r="R480" s="11" t="n"/>
      <c r="S480" s="11" t="n"/>
      <c r="T480" s="12" t="n"/>
      <c r="U480" s="11" t="n">
        <v>42</v>
      </c>
      <c r="V480" s="11" t="n"/>
    </row>
    <row r="481">
      <c r="A481" s="14" t="n">
        <v>1424</v>
      </c>
      <c r="B481" s="14" t="inlineStr">
        <is>
          <t>ITUANGO</t>
        </is>
      </c>
      <c r="C481" s="14" t="inlineStr">
        <is>
          <t>Ituango</t>
        </is>
      </c>
      <c r="D481" s="14" t="inlineStr">
        <is>
          <t>Antioquia</t>
        </is>
      </c>
      <c r="E481" s="14" t="inlineStr">
        <is>
          <t>ANTIOQUIA</t>
        </is>
      </c>
      <c r="F481" s="14" t="inlineStr">
        <is>
          <t>Juan Pablo Osorio Ramirez</t>
        </is>
      </c>
      <c r="G481" s="14" t="inlineStr">
        <is>
          <t>2</t>
        </is>
      </c>
      <c r="H481" s="15" t="n">
        <v>46295</v>
      </c>
      <c r="I481" s="15" t="n">
        <v>46295</v>
      </c>
      <c r="J481" s="15" t="n"/>
      <c r="K481" s="15" t="n"/>
      <c r="L481" s="14" t="inlineStr">
        <is>
          <t>Programada</t>
        </is>
      </c>
      <c r="M481" s="15" t="n"/>
      <c r="N481" s="14">
        <f>SI(O(H481="";J481="");"";SI(J481&lt;=H481;"SÍ";"NO"))</f>
        <v/>
      </c>
      <c r="O481" s="14">
        <f>SI(O(I481="";K481="");"";SI(K481&lt;=SI(M481&lt;&gt;"";M481;I481);"SÍ";"NO"))</f>
        <v/>
      </c>
      <c r="P481" s="14">
        <f>SI(O(N481="";O481="");"";SI(Y(N481="SÍ";O481="SÍ");"SÍ";"NO"))</f>
        <v/>
      </c>
      <c r="Q481" s="16">
        <f>SI(O(I481="";K481="");"";MAX(0;ENTERO(K481)-ENTERO(SI(M481&lt;&gt;"";M481;I481))))</f>
        <v/>
      </c>
      <c r="R481" s="14" t="n"/>
      <c r="S481" s="14" t="n"/>
      <c r="T481" s="15" t="n"/>
      <c r="U481" s="14" t="n">
        <v>20</v>
      </c>
      <c r="V481" s="14" t="n"/>
    </row>
    <row r="482">
      <c r="A482" s="11" t="n">
        <v>1482</v>
      </c>
      <c r="B482" s="11" t="inlineStr">
        <is>
          <t>TOLEDO</t>
        </is>
      </c>
      <c r="C482" s="11" t="inlineStr">
        <is>
          <t>Toledo</t>
        </is>
      </c>
      <c r="D482" s="11" t="inlineStr">
        <is>
          <t>Antioquia</t>
        </is>
      </c>
      <c r="E482" s="11" t="inlineStr">
        <is>
          <t>ANTIOQUIA</t>
        </is>
      </c>
      <c r="F482" s="11" t="inlineStr">
        <is>
          <t>Juan Pablo Osorio Ramirez</t>
        </is>
      </c>
      <c r="G482" s="11" t="inlineStr">
        <is>
          <t>1</t>
        </is>
      </c>
      <c r="H482" s="12" t="n">
        <v>46295</v>
      </c>
      <c r="I482" s="12" t="n">
        <v>46295</v>
      </c>
      <c r="J482" s="12" t="n"/>
      <c r="K482" s="12" t="n"/>
      <c r="L482" s="11" t="inlineStr">
        <is>
          <t>Programada</t>
        </is>
      </c>
      <c r="M482" s="12" t="n"/>
      <c r="N482" s="11">
        <f>SI(O(H482="";J482="");"";SI(J482&lt;=H482;"SÍ";"NO"))</f>
        <v/>
      </c>
      <c r="O482" s="11">
        <f>SI(O(I482="";K482="");"";SI(K482&lt;=SI(M482&lt;&gt;"";M482;I482);"SÍ";"NO"))</f>
        <v/>
      </c>
      <c r="P482" s="11">
        <f>SI(O(N482="";O482="");"";SI(Y(N482="SÍ";O482="SÍ");"SÍ";"NO"))</f>
        <v/>
      </c>
      <c r="Q482" s="13">
        <f>SI(O(I482="";K482="");"";MAX(0;ENTERO(K482)-ENTERO(SI(M482&lt;&gt;"";M482;I482))))</f>
        <v/>
      </c>
      <c r="R482" s="11" t="n"/>
      <c r="S482" s="11" t="n"/>
      <c r="T482" s="12" t="n"/>
      <c r="U482" s="11" t="n">
        <v>13</v>
      </c>
      <c r="V482" s="11" t="n"/>
    </row>
    <row r="483">
      <c r="A483" s="14" t="n">
        <v>2120</v>
      </c>
      <c r="B483" s="14" t="inlineStr">
        <is>
          <t>INZA</t>
        </is>
      </c>
      <c r="C483" s="14" t="inlineStr">
        <is>
          <t>Inzá</t>
        </is>
      </c>
      <c r="D483" s="14" t="inlineStr">
        <is>
          <t>Cauca</t>
        </is>
      </c>
      <c r="E483" s="14" t="inlineStr">
        <is>
          <t>SUR</t>
        </is>
      </c>
      <c r="F483" s="14" t="inlineStr">
        <is>
          <t>Holmes Arley Astudillo Fajardo</t>
        </is>
      </c>
      <c r="G483" s="14" t="inlineStr">
        <is>
          <t>1</t>
        </is>
      </c>
      <c r="H483" s="15" t="n">
        <v>46295</v>
      </c>
      <c r="I483" s="15" t="n">
        <v>46295</v>
      </c>
      <c r="J483" s="15" t="n"/>
      <c r="K483" s="15" t="n"/>
      <c r="L483" s="14" t="inlineStr">
        <is>
          <t>Programada</t>
        </is>
      </c>
      <c r="M483" s="15" t="n"/>
      <c r="N483" s="14">
        <f>SI(O(H483="";J483="");"";SI(J483&lt;=H483;"SÍ";"NO"))</f>
        <v/>
      </c>
      <c r="O483" s="14">
        <f>SI(O(I483="";K483="");"";SI(K483&lt;=SI(M483&lt;&gt;"";M483;I483);"SÍ";"NO"))</f>
        <v/>
      </c>
      <c r="P483" s="14">
        <f>SI(O(N483="";O483="");"";SI(Y(N483="SÍ";O483="SÍ");"SÍ";"NO"))</f>
        <v/>
      </c>
      <c r="Q483" s="16">
        <f>SI(O(I483="";K483="");"";MAX(0;ENTERO(K483)-ENTERO(SI(M483&lt;&gt;"";M483;I483))))</f>
        <v/>
      </c>
      <c r="R483" s="14" t="n"/>
      <c r="S483" s="14" t="n"/>
      <c r="T483" s="15" t="n"/>
      <c r="U483" s="14" t="n">
        <v>13</v>
      </c>
      <c r="V483" s="14" t="n"/>
    </row>
    <row r="484">
      <c r="A484" s="11" t="n">
        <v>2140</v>
      </c>
      <c r="B484" s="11" t="inlineStr">
        <is>
          <t>PAEZ BELALCAZAR</t>
        </is>
      </c>
      <c r="C484" s="11" t="inlineStr">
        <is>
          <t>Paez</t>
        </is>
      </c>
      <c r="D484" s="11" t="inlineStr">
        <is>
          <t>Cauca</t>
        </is>
      </c>
      <c r="E484" s="11" t="inlineStr">
        <is>
          <t>SUR</t>
        </is>
      </c>
      <c r="F484" s="11" t="inlineStr">
        <is>
          <t>Holmes Arley Astudillo Fajardo</t>
        </is>
      </c>
      <c r="G484" s="11" t="inlineStr">
        <is>
          <t>2</t>
        </is>
      </c>
      <c r="H484" s="12" t="n">
        <v>46295</v>
      </c>
      <c r="I484" s="12" t="n">
        <v>46295</v>
      </c>
      <c r="J484" s="12" t="n"/>
      <c r="K484" s="12" t="n"/>
      <c r="L484" s="11" t="inlineStr">
        <is>
          <t>Programada</t>
        </is>
      </c>
      <c r="M484" s="12" t="n"/>
      <c r="N484" s="11">
        <f>SI(O(H484="";J484="");"";SI(J484&lt;=H484;"SÍ";"NO"))</f>
        <v/>
      </c>
      <c r="O484" s="11">
        <f>SI(O(I484="";K484="");"";SI(K484&lt;=SI(M484&lt;&gt;"";M484;I484);"SÍ";"NO"))</f>
        <v/>
      </c>
      <c r="P484" s="11">
        <f>SI(O(N484="";O484="");"";SI(Y(N484="SÍ";O484="SÍ");"SÍ";"NO"))</f>
        <v/>
      </c>
      <c r="Q484" s="13">
        <f>SI(O(I484="";K484="");"";MAX(0;ENTERO(K484)-ENTERO(SI(M484&lt;&gt;"";M484;I484))))</f>
        <v/>
      </c>
      <c r="R484" s="11" t="n"/>
      <c r="S484" s="11" t="n"/>
      <c r="T484" s="12" t="n"/>
      <c r="U484" s="11" t="n">
        <v>14</v>
      </c>
      <c r="V484" s="11" t="n"/>
    </row>
    <row r="485">
      <c r="A485" s="14" t="n">
        <v>3138</v>
      </c>
      <c r="B485" s="14" t="inlineStr">
        <is>
          <t>GUAYABAL DE SIQUIMA</t>
        </is>
      </c>
      <c r="C485" s="14" t="inlineStr">
        <is>
          <t>Guayabal De Siquima</t>
        </is>
      </c>
      <c r="D485" s="14" t="inlineStr">
        <is>
          <t>Cundinamarca</t>
        </is>
      </c>
      <c r="E485" s="14" t="inlineStr">
        <is>
          <t>BOGOTA</t>
        </is>
      </c>
      <c r="F485" s="14" t="inlineStr">
        <is>
          <t>Jhonatan Felipe Hernandez Gamboa</t>
        </is>
      </c>
      <c r="G485" s="14" t="inlineStr">
        <is>
          <t>1</t>
        </is>
      </c>
      <c r="H485" s="15" t="n">
        <v>46295</v>
      </c>
      <c r="I485" s="15" t="n">
        <v>46295</v>
      </c>
      <c r="J485" s="15" t="n"/>
      <c r="K485" s="15" t="n"/>
      <c r="L485" s="14" t="inlineStr">
        <is>
          <t>Programada</t>
        </is>
      </c>
      <c r="M485" s="15" t="n"/>
      <c r="N485" s="14">
        <f>SI(O(H485="";J485="");"";SI(J485&lt;=H485;"SÍ";"NO"))</f>
        <v/>
      </c>
      <c r="O485" s="14">
        <f>SI(O(I485="";K485="");"";SI(K485&lt;=SI(M485&lt;&gt;"";M485;I485);"SÍ";"NO"))</f>
        <v/>
      </c>
      <c r="P485" s="14">
        <f>SI(O(N485="";O485="");"";SI(Y(N485="SÍ";O485="SÍ");"SÍ";"NO"))</f>
        <v/>
      </c>
      <c r="Q485" s="16">
        <f>SI(O(I485="";K485="");"";MAX(0;ENTERO(K485)-ENTERO(SI(M485&lt;&gt;"";M485;I485))))</f>
        <v/>
      </c>
      <c r="R485" s="14" t="n"/>
      <c r="S485" s="14" t="n"/>
      <c r="T485" s="15" t="n"/>
      <c r="U485" s="14" t="n">
        <v>13</v>
      </c>
      <c r="V485" s="14" t="n"/>
    </row>
    <row r="486">
      <c r="A486" s="11" t="n">
        <v>3155</v>
      </c>
      <c r="B486" s="11" t="inlineStr">
        <is>
          <t>QUIPILE</t>
        </is>
      </c>
      <c r="C486" s="11" t="inlineStr">
        <is>
          <t>Quipile</t>
        </is>
      </c>
      <c r="D486" s="11" t="inlineStr">
        <is>
          <t>Cundinamarca</t>
        </is>
      </c>
      <c r="E486" s="11" t="inlineStr">
        <is>
          <t>BOGOTA</t>
        </is>
      </c>
      <c r="F486" s="11" t="inlineStr">
        <is>
          <t>Nelson Leonardo Paez Suarez</t>
        </is>
      </c>
      <c r="G486" s="11" t="inlineStr">
        <is>
          <t>1</t>
        </is>
      </c>
      <c r="H486" s="12" t="n">
        <v>46295</v>
      </c>
      <c r="I486" s="12" t="n">
        <v>46295</v>
      </c>
      <c r="J486" s="12" t="n"/>
      <c r="K486" s="12" t="n"/>
      <c r="L486" s="11" t="inlineStr">
        <is>
          <t>Programada</t>
        </is>
      </c>
      <c r="M486" s="12" t="n"/>
      <c r="N486" s="11">
        <f>SI(O(H486="";J486="");"";SI(J486&lt;=H486;"SÍ";"NO"))</f>
        <v/>
      </c>
      <c r="O486" s="11">
        <f>SI(O(I486="";K486="");"";SI(K486&lt;=SI(M486&lt;&gt;"";M486;I486);"SÍ";"NO"))</f>
        <v/>
      </c>
      <c r="P486" s="11">
        <f>SI(O(N486="";O486="");"";SI(Y(N486="SÍ";O486="SÍ");"SÍ";"NO"))</f>
        <v/>
      </c>
      <c r="Q486" s="13">
        <f>SI(O(I486="";K486="");"";MAX(0;ENTERO(K486)-ENTERO(SI(M486&lt;&gt;"";M486;I486))))</f>
        <v/>
      </c>
      <c r="R486" s="11" t="n"/>
      <c r="S486" s="11" t="n"/>
      <c r="T486" s="12" t="n"/>
      <c r="U486" s="11" t="n">
        <v>13</v>
      </c>
      <c r="V486" s="11" t="n"/>
    </row>
    <row r="487">
      <c r="A487" s="14" t="n">
        <v>3163</v>
      </c>
      <c r="B487" s="14" t="inlineStr">
        <is>
          <t>SILVANIA</t>
        </is>
      </c>
      <c r="C487" s="14" t="inlineStr">
        <is>
          <t>Silvania</t>
        </is>
      </c>
      <c r="D487" s="14" t="inlineStr">
        <is>
          <t>Cundinamarca</t>
        </is>
      </c>
      <c r="E487" s="14" t="inlineStr">
        <is>
          <t>BOGOTA</t>
        </is>
      </c>
      <c r="F487" s="14" t="inlineStr">
        <is>
          <t>Edwin Santiago Cuchivaguen Diaz</t>
        </is>
      </c>
      <c r="G487" s="14" t="inlineStr">
        <is>
          <t>4</t>
        </is>
      </c>
      <c r="H487" s="15" t="n">
        <v>46295</v>
      </c>
      <c r="I487" s="15" t="n">
        <v>46295</v>
      </c>
      <c r="J487" s="15" t="n"/>
      <c r="K487" s="15" t="n"/>
      <c r="L487" s="14" t="inlineStr">
        <is>
          <t>Programada</t>
        </is>
      </c>
      <c r="M487" s="15" t="n"/>
      <c r="N487" s="14">
        <f>SI(O(H487="";J487="");"";SI(J487&lt;=H487;"SÍ";"NO"))</f>
        <v/>
      </c>
      <c r="O487" s="14">
        <f>SI(O(I487="";K487="");"";SI(K487&lt;=SI(M487&lt;&gt;"";M487;I487);"SÍ";"NO"))</f>
        <v/>
      </c>
      <c r="P487" s="14">
        <f>SI(O(N487="";O487="");"";SI(Y(N487="SÍ";O487="SÍ");"SÍ";"NO"))</f>
        <v/>
      </c>
      <c r="Q487" s="16">
        <f>SI(O(I487="";K487="");"";MAX(0;ENTERO(K487)-ENTERO(SI(M487&lt;&gt;"";M487;I487))))</f>
        <v/>
      </c>
      <c r="R487" s="14" t="n"/>
      <c r="S487" s="14" t="n"/>
      <c r="T487" s="15" t="n"/>
      <c r="U487" s="14" t="n">
        <v>34</v>
      </c>
      <c r="V487" s="14" t="n"/>
    </row>
    <row r="488">
      <c r="A488" s="11" t="n">
        <v>3655</v>
      </c>
      <c r="B488" s="11" t="inlineStr">
        <is>
          <t>VILLANUEVA</t>
        </is>
      </c>
      <c r="C488" s="11" t="inlineStr">
        <is>
          <t>VILLANUEVA</t>
        </is>
      </c>
      <c r="D488" s="11" t="inlineStr">
        <is>
          <t>La Guajira</t>
        </is>
      </c>
      <c r="E488" s="11" t="inlineStr">
        <is>
          <t>COSTA</t>
        </is>
      </c>
      <c r="F488" s="11" t="inlineStr">
        <is>
          <t>Karen Katerine  Beleño Andrade</t>
        </is>
      </c>
      <c r="G488" s="11" t="inlineStr">
        <is>
          <t>1</t>
        </is>
      </c>
      <c r="H488" s="12" t="n">
        <v>46295</v>
      </c>
      <c r="I488" s="12" t="n">
        <v>46295</v>
      </c>
      <c r="J488" s="12" t="n"/>
      <c r="K488" s="12" t="n"/>
      <c r="L488" s="11" t="inlineStr">
        <is>
          <t>Programada</t>
        </is>
      </c>
      <c r="M488" s="12" t="n"/>
      <c r="N488" s="11">
        <f>SI(O(H488="";J488="");"";SI(J488&lt;=H488;"SÍ";"NO"))</f>
        <v/>
      </c>
      <c r="O488" s="11">
        <f>SI(O(I488="";K488="");"";SI(K488&lt;=SI(M488&lt;&gt;"";M488;I488);"SÍ";"NO"))</f>
        <v/>
      </c>
      <c r="P488" s="11">
        <f>SI(O(N488="";O488="");"";SI(Y(N488="SÍ";O488="SÍ");"SÍ";"NO"))</f>
        <v/>
      </c>
      <c r="Q488" s="13">
        <f>SI(O(I488="";K488="");"";MAX(0;ENTERO(K488)-ENTERO(SI(M488&lt;&gt;"";M488;I488))))</f>
        <v/>
      </c>
      <c r="R488" s="11" t="n"/>
      <c r="S488" s="11" t="n"/>
      <c r="T488" s="12" t="n"/>
      <c r="U488" s="11" t="n">
        <v>13</v>
      </c>
      <c r="V488" s="11" t="n"/>
    </row>
    <row r="489">
      <c r="A489" s="14" t="n">
        <v>3943</v>
      </c>
      <c r="B489" s="14" t="inlineStr">
        <is>
          <t>BRUSELAS (Corregimiento de Pitalito - Huila)</t>
        </is>
      </c>
      <c r="C489" s="14" t="inlineStr">
        <is>
          <t>Pitalito</t>
        </is>
      </c>
      <c r="D489" s="14" t="inlineStr">
        <is>
          <t>Huila</t>
        </is>
      </c>
      <c r="E489" s="14" t="inlineStr">
        <is>
          <t>SUR</t>
        </is>
      </c>
      <c r="F489" s="14" t="inlineStr">
        <is>
          <t>ERIKA VARGAS</t>
        </is>
      </c>
      <c r="G489" s="14" t="inlineStr">
        <is>
          <t>3</t>
        </is>
      </c>
      <c r="H489" s="15" t="n">
        <v>46295</v>
      </c>
      <c r="I489" s="15" t="n">
        <v>46295</v>
      </c>
      <c r="J489" s="15" t="n"/>
      <c r="K489" s="15" t="n"/>
      <c r="L489" s="14" t="inlineStr">
        <is>
          <t>Programada</t>
        </is>
      </c>
      <c r="M489" s="15" t="n"/>
      <c r="N489" s="14">
        <f>SI(O(H489="";J489="");"";SI(J489&lt;=H489;"SÍ";"NO"))</f>
        <v/>
      </c>
      <c r="O489" s="14">
        <f>SI(O(I489="";K489="");"";SI(K489&lt;=SI(M489&lt;&gt;"";M489;I489);"SÍ";"NO"))</f>
        <v/>
      </c>
      <c r="P489" s="14">
        <f>SI(O(N489="";O489="");"";SI(Y(N489="SÍ";O489="SÍ");"SÍ";"NO"))</f>
        <v/>
      </c>
      <c r="Q489" s="16">
        <f>SI(O(I489="";K489="");"";MAX(0;ENTERO(K489)-ENTERO(SI(M489&lt;&gt;"";M489;I489))))</f>
        <v/>
      </c>
      <c r="R489" s="14" t="n"/>
      <c r="S489" s="14" t="n"/>
      <c r="T489" s="15" t="n"/>
      <c r="U489" s="14" t="n">
        <v>19</v>
      </c>
      <c r="V489" s="14" t="n"/>
    </row>
    <row r="490">
      <c r="A490" s="11" t="n">
        <v>4543</v>
      </c>
      <c r="B490" s="11" t="inlineStr">
        <is>
          <t>MAPIRIPAN</t>
        </is>
      </c>
      <c r="C490" s="11" t="inlineStr">
        <is>
          <t>Mapiripán</t>
        </is>
      </c>
      <c r="D490" s="11" t="inlineStr">
        <is>
          <t>Meta</t>
        </is>
      </c>
      <c r="E490" s="11" t="inlineStr">
        <is>
          <t>BOGOTA</t>
        </is>
      </c>
      <c r="F490" s="11" t="inlineStr">
        <is>
          <t>Andres Felipe Balbin</t>
        </is>
      </c>
      <c r="G490" s="11" t="inlineStr">
        <is>
          <t>1</t>
        </is>
      </c>
      <c r="H490" s="12" t="n">
        <v>46295</v>
      </c>
      <c r="I490" s="12" t="n">
        <v>46297</v>
      </c>
      <c r="J490" s="12" t="n"/>
      <c r="K490" s="12" t="n"/>
      <c r="L490" s="11" t="inlineStr">
        <is>
          <t>Programada</t>
        </is>
      </c>
      <c r="M490" s="12" t="n"/>
      <c r="N490" s="11">
        <f>SI(O(H490="";J490="");"";SI(J490&lt;=H490;"SÍ";"NO"))</f>
        <v/>
      </c>
      <c r="O490" s="11">
        <f>SI(O(I490="";K490="");"";SI(K490&lt;=SI(M490&lt;&gt;"";M490;I490);"SÍ";"NO"))</f>
        <v/>
      </c>
      <c r="P490" s="11">
        <f>SI(O(N490="";O490="");"";SI(Y(N490="SÍ";O490="SÍ");"SÍ";"NO"))</f>
        <v/>
      </c>
      <c r="Q490" s="13">
        <f>SI(O(I490="";K490="");"";MAX(0;ENTERO(K490)-ENTERO(SI(M490&lt;&gt;"";M490;I490))))</f>
        <v/>
      </c>
      <c r="R490" s="11" t="n"/>
      <c r="S490" s="11" t="n"/>
      <c r="T490" s="12" t="n"/>
      <c r="U490" s="11" t="n">
        <v>13</v>
      </c>
      <c r="V490" s="11" t="n"/>
    </row>
    <row r="491">
      <c r="A491" s="14" t="n">
        <v>4811</v>
      </c>
      <c r="B491" s="14" t="inlineStr">
        <is>
          <t>ANCUYA</t>
        </is>
      </c>
      <c r="C491" s="14" t="inlineStr">
        <is>
          <t>Ancuyá</t>
        </is>
      </c>
      <c r="D491" s="14" t="inlineStr">
        <is>
          <t>Nariño</t>
        </is>
      </c>
      <c r="E491" s="14" t="inlineStr">
        <is>
          <t>OCCIDENTE</t>
        </is>
      </c>
      <c r="F491" s="14" t="inlineStr">
        <is>
          <t>Juan Carlos Narvaez Acosta / Luis Fernando Ibarra Guio</t>
        </is>
      </c>
      <c r="G491" s="14" t="inlineStr">
        <is>
          <t>1</t>
        </is>
      </c>
      <c r="H491" s="15" t="n">
        <v>46295</v>
      </c>
      <c r="I491" s="15" t="n">
        <v>46295</v>
      </c>
      <c r="J491" s="15" t="n"/>
      <c r="K491" s="15" t="n"/>
      <c r="L491" s="14" t="inlineStr">
        <is>
          <t>Programada</t>
        </is>
      </c>
      <c r="M491" s="15" t="n"/>
      <c r="N491" s="14">
        <f>SI(O(H491="";J491="");"";SI(J491&lt;=H491;"SÍ";"NO"))</f>
        <v/>
      </c>
      <c r="O491" s="14">
        <f>SI(O(I491="";K491="");"";SI(K491&lt;=SI(M491&lt;&gt;"";M491;I491);"SÍ";"NO"))</f>
        <v/>
      </c>
      <c r="P491" s="14">
        <f>SI(O(N491="";O491="");"";SI(Y(N491="SÍ";O491="SÍ");"SÍ";"NO"))</f>
        <v/>
      </c>
      <c r="Q491" s="16">
        <f>SI(O(I491="";K491="");"";MAX(0;ENTERO(K491)-ENTERO(SI(M491&lt;&gt;"";M491;I491))))</f>
        <v/>
      </c>
      <c r="R491" s="14" t="n"/>
      <c r="S491" s="14" t="n"/>
      <c r="T491" s="15" t="n"/>
      <c r="U491" s="14" t="n">
        <v>14</v>
      </c>
      <c r="V491" s="14" t="n"/>
    </row>
    <row r="492">
      <c r="A492" s="11" t="n">
        <v>6005</v>
      </c>
      <c r="B492" s="11" t="inlineStr">
        <is>
          <t>RIONEGRO</t>
        </is>
      </c>
      <c r="C492" s="11" t="inlineStr">
        <is>
          <t>Rionegro</t>
        </is>
      </c>
      <c r="D492" s="11" t="inlineStr">
        <is>
          <t>Santander</t>
        </is>
      </c>
      <c r="E492" s="11" t="inlineStr">
        <is>
          <t>SANTANDERES</t>
        </is>
      </c>
      <c r="F492" s="11" t="inlineStr">
        <is>
          <t>Mauricio Andrés Rivera Páez</t>
        </is>
      </c>
      <c r="G492" s="11" t="inlineStr">
        <is>
          <t>3</t>
        </is>
      </c>
      <c r="H492" s="12" t="n">
        <v>46295</v>
      </c>
      <c r="I492" s="12" t="n">
        <v>46296</v>
      </c>
      <c r="J492" s="12" t="n"/>
      <c r="K492" s="12" t="n"/>
      <c r="L492" s="11" t="inlineStr">
        <is>
          <t>Programada</t>
        </is>
      </c>
      <c r="M492" s="12" t="n"/>
      <c r="N492" s="11">
        <f>SI(O(H492="";J492="");"";SI(J492&lt;=H492;"SÍ";"NO"))</f>
        <v/>
      </c>
      <c r="O492" s="11">
        <f>SI(O(I492="";K492="");"";SI(K492&lt;=SI(M492&lt;&gt;"";M492;I492);"SÍ";"NO"))</f>
        <v/>
      </c>
      <c r="P492" s="11">
        <f>SI(O(N492="";O492="");"";SI(Y(N492="SÍ";O492="SÍ");"SÍ";"NO"))</f>
        <v/>
      </c>
      <c r="Q492" s="13">
        <f>SI(O(I492="";K492="");"";MAX(0;ENTERO(K492)-ENTERO(SI(M492&lt;&gt;"";M492;I492))))</f>
        <v/>
      </c>
      <c r="R492" s="11" t="n"/>
      <c r="S492" s="11" t="n"/>
      <c r="T492" s="12" t="n"/>
      <c r="U492" s="11" t="n">
        <v>23</v>
      </c>
      <c r="V492" s="11" t="n"/>
    </row>
    <row r="493">
      <c r="A493" s="14" t="n">
        <v>6011</v>
      </c>
      <c r="B493" s="14" t="inlineStr">
        <is>
          <t>GIRON</t>
        </is>
      </c>
      <c r="C493" s="14" t="inlineStr">
        <is>
          <t>Girón</t>
        </is>
      </c>
      <c r="D493" s="14" t="inlineStr">
        <is>
          <t>Santander</t>
        </is>
      </c>
      <c r="E493" s="14" t="inlineStr">
        <is>
          <t>SANTANDERES</t>
        </is>
      </c>
      <c r="F493" s="14" t="inlineStr">
        <is>
          <t>Andrés Felipe Díaz Noy</t>
        </is>
      </c>
      <c r="G493" s="14" t="inlineStr">
        <is>
          <t>5</t>
        </is>
      </c>
      <c r="H493" s="15" t="n">
        <v>46295</v>
      </c>
      <c r="I493" s="15" t="n">
        <v>46296</v>
      </c>
      <c r="J493" s="15" t="n"/>
      <c r="K493" s="15" t="n"/>
      <c r="L493" s="14" t="inlineStr">
        <is>
          <t>Programada</t>
        </is>
      </c>
      <c r="M493" s="15" t="n"/>
      <c r="N493" s="14">
        <f>SI(O(H493="";J493="");"";SI(J493&lt;=H493;"SÍ";"NO"))</f>
        <v/>
      </c>
      <c r="O493" s="14">
        <f>SI(O(I493="";K493="");"";SI(K493&lt;=SI(M493&lt;&gt;"";M493;I493);"SÍ";"NO"))</f>
        <v/>
      </c>
      <c r="P493" s="14">
        <f>SI(O(N493="";O493="");"";SI(Y(N493="SÍ";O493="SÍ");"SÍ";"NO"))</f>
        <v/>
      </c>
      <c r="Q493" s="16">
        <f>SI(O(I493="";K493="");"";MAX(0;ENTERO(K493)-ENTERO(SI(M493&lt;&gt;"";M493;I493))))</f>
        <v/>
      </c>
      <c r="R493" s="14" t="n"/>
      <c r="S493" s="14" t="n"/>
      <c r="T493" s="15" t="n"/>
      <c r="U493" s="14" t="n">
        <v>36</v>
      </c>
      <c r="V493" s="14" t="n"/>
    </row>
    <row r="494">
      <c r="A494" s="11" t="n">
        <v>6013</v>
      </c>
      <c r="B494" s="11" t="inlineStr">
        <is>
          <t>LEBRIJA</t>
        </is>
      </c>
      <c r="C494" s="11" t="inlineStr">
        <is>
          <t>Lebrija</t>
        </is>
      </c>
      <c r="D494" s="11" t="inlineStr">
        <is>
          <t>Santander</t>
        </is>
      </c>
      <c r="E494" s="11" t="inlineStr">
        <is>
          <t>SANTANDERES</t>
        </is>
      </c>
      <c r="F494" s="11" t="inlineStr">
        <is>
          <t>Andrés Felipe Carvajal Pire</t>
        </is>
      </c>
      <c r="G494" s="11" t="inlineStr">
        <is>
          <t>4</t>
        </is>
      </c>
      <c r="H494" s="12" t="n">
        <v>46295</v>
      </c>
      <c r="I494" s="12" t="n">
        <v>46296</v>
      </c>
      <c r="J494" s="12" t="n"/>
      <c r="K494" s="12" t="n"/>
      <c r="L494" s="11" t="inlineStr">
        <is>
          <t>Programada</t>
        </is>
      </c>
      <c r="M494" s="12" t="n"/>
      <c r="N494" s="11">
        <f>SI(O(H494="";J494="");"";SI(J494&lt;=H494;"SÍ";"NO"))</f>
        <v/>
      </c>
      <c r="O494" s="11">
        <f>SI(O(I494="";K494="");"";SI(K494&lt;=SI(M494&lt;&gt;"";M494;I494);"SÍ";"NO"))</f>
        <v/>
      </c>
      <c r="P494" s="11">
        <f>SI(O(N494="";O494="");"";SI(Y(N494="SÍ";O494="SÍ");"SÍ";"NO"))</f>
        <v/>
      </c>
      <c r="Q494" s="13">
        <f>SI(O(I494="";K494="");"";MAX(0;ENTERO(K494)-ENTERO(SI(M494&lt;&gt;"";M494;I494))))</f>
        <v/>
      </c>
      <c r="R494" s="11" t="n"/>
      <c r="S494" s="11" t="n"/>
      <c r="T494" s="12" t="n"/>
      <c r="U494" s="11" t="n">
        <v>31</v>
      </c>
      <c r="V494" s="11" t="n"/>
    </row>
    <row r="495">
      <c r="A495" s="14" t="n">
        <v>6015</v>
      </c>
      <c r="B495" s="14" t="inlineStr">
        <is>
          <t>FLORIDABLANCA</t>
        </is>
      </c>
      <c r="C495" s="14" t="inlineStr">
        <is>
          <t>Floridablanca</t>
        </is>
      </c>
      <c r="D495" s="14" t="inlineStr">
        <is>
          <t>Santander</t>
        </is>
      </c>
      <c r="E495" s="14" t="inlineStr">
        <is>
          <t>SANTANDERES</t>
        </is>
      </c>
      <c r="F495" s="14" t="inlineStr">
        <is>
          <t>Luz Nélida Barragán Toro</t>
        </is>
      </c>
      <c r="G495" s="14" t="inlineStr">
        <is>
          <t>7</t>
        </is>
      </c>
      <c r="H495" s="15" t="n">
        <v>46295</v>
      </c>
      <c r="I495" s="15" t="n">
        <v>46296</v>
      </c>
      <c r="J495" s="15" t="n"/>
      <c r="K495" s="15" t="n"/>
      <c r="L495" s="14" t="inlineStr">
        <is>
          <t>Programada</t>
        </is>
      </c>
      <c r="M495" s="15" t="n"/>
      <c r="N495" s="14">
        <f>SI(O(H495="";J495="");"";SI(J495&lt;=H495;"SÍ";"NO"))</f>
        <v/>
      </c>
      <c r="O495" s="14">
        <f>SI(O(I495="";K495="");"";SI(K495&lt;=SI(M495&lt;&gt;"";M495;I495);"SÍ";"NO"))</f>
        <v/>
      </c>
      <c r="P495" s="14">
        <f>SI(O(N495="";O495="");"";SI(Y(N495="SÍ";O495="SÍ");"SÍ";"NO"))</f>
        <v/>
      </c>
      <c r="Q495" s="16">
        <f>SI(O(I495="";K495="");"";MAX(0;ENTERO(K495)-ENTERO(SI(M495&lt;&gt;"";M495;I495))))</f>
        <v/>
      </c>
      <c r="R495" s="14" t="n"/>
      <c r="S495" s="14" t="n"/>
      <c r="T495" s="15" t="n"/>
      <c r="U495" s="14" t="n">
        <v>42</v>
      </c>
      <c r="V495" s="14" t="n"/>
    </row>
    <row r="496">
      <c r="A496" s="11" t="n">
        <v>6335</v>
      </c>
      <c r="B496" s="11" t="inlineStr">
        <is>
          <t>LOS PALMITOS</t>
        </is>
      </c>
      <c r="C496" s="11" t="inlineStr">
        <is>
          <t>Los Palmitos</t>
        </is>
      </c>
      <c r="D496" s="11" t="inlineStr">
        <is>
          <t>Sucre</t>
        </is>
      </c>
      <c r="E496" s="11" t="inlineStr">
        <is>
          <t>COSTA</t>
        </is>
      </c>
      <c r="F496" s="11" t="inlineStr">
        <is>
          <t>Laura Camila Ospino Taborda</t>
        </is>
      </c>
      <c r="G496" s="11" t="inlineStr">
        <is>
          <t>2</t>
        </is>
      </c>
      <c r="H496" s="12" t="n">
        <v>46295</v>
      </c>
      <c r="I496" s="12" t="n">
        <v>46295</v>
      </c>
      <c r="J496" s="12" t="n"/>
      <c r="K496" s="12" t="n"/>
      <c r="L496" s="11" t="inlineStr">
        <is>
          <t>Programada</t>
        </is>
      </c>
      <c r="M496" s="12" t="n"/>
      <c r="N496" s="11">
        <f>SI(O(H496="";J496="");"";SI(J496&lt;=H496;"SÍ";"NO"))</f>
        <v/>
      </c>
      <c r="O496" s="11">
        <f>SI(O(I496="";K496="");"";SI(K496&lt;=SI(M496&lt;&gt;"";M496;I496);"SÍ";"NO"))</f>
        <v/>
      </c>
      <c r="P496" s="11">
        <f>SI(O(N496="";O496="");"";SI(Y(N496="SÍ";O496="SÍ");"SÍ";"NO"))</f>
        <v/>
      </c>
      <c r="Q496" s="13">
        <f>SI(O(I496="";K496="");"";MAX(0;ENTERO(K496)-ENTERO(SI(M496&lt;&gt;"";M496;I496))))</f>
        <v/>
      </c>
      <c r="R496" s="11" t="n"/>
      <c r="S496" s="11" t="n"/>
      <c r="T496" s="12" t="n"/>
      <c r="U496" s="11" t="n">
        <v>15</v>
      </c>
      <c r="V496" s="11" t="n"/>
    </row>
    <row r="497">
      <c r="A497" s="14" t="n">
        <v>750</v>
      </c>
      <c r="B497" s="14" t="inlineStr">
        <is>
          <t>BOGOTÀ - SUBA</t>
        </is>
      </c>
      <c r="C497" s="14" t="inlineStr">
        <is>
          <t>Bogotá, D.C.</t>
        </is>
      </c>
      <c r="D497" s="14" t="inlineStr">
        <is>
          <t>Bogotá D.C</t>
        </is>
      </c>
      <c r="E497" s="14" t="inlineStr">
        <is>
          <t>BOGOTA</t>
        </is>
      </c>
      <c r="F497" s="14" t="inlineStr">
        <is>
          <t>Anderson Forero Mora</t>
        </is>
      </c>
      <c r="G497" s="14" t="inlineStr">
        <is>
          <t>2</t>
        </is>
      </c>
      <c r="H497" s="15" t="n">
        <v>46296</v>
      </c>
      <c r="I497" s="15" t="n">
        <v>46296</v>
      </c>
      <c r="J497" s="15" t="n"/>
      <c r="K497" s="15" t="n"/>
      <c r="L497" s="14" t="inlineStr">
        <is>
          <t>Programada</t>
        </is>
      </c>
      <c r="M497" s="15" t="n"/>
      <c r="N497" s="14">
        <f>SI(O(H497="";J497="");"";SI(J497&lt;=H497;"SÍ";"NO"))</f>
        <v/>
      </c>
      <c r="O497" s="14">
        <f>SI(O(I497="";K497="");"";SI(K497&lt;=SI(M497&lt;&gt;"";M497;I497);"SÍ";"NO"))</f>
        <v/>
      </c>
      <c r="P497" s="14">
        <f>SI(O(N497="";O497="");"";SI(Y(N497="SÍ";O497="SÍ");"SÍ";"NO"))</f>
        <v/>
      </c>
      <c r="Q497" s="16">
        <f>SI(O(I497="";K497="");"";MAX(0;ENTERO(K497)-ENTERO(SI(M497&lt;&gt;"";M497;I497))))</f>
        <v/>
      </c>
      <c r="R497" s="14" t="n"/>
      <c r="S497" s="14" t="n"/>
      <c r="T497" s="15" t="n"/>
      <c r="U497" s="14" t="n">
        <v>15</v>
      </c>
      <c r="V497" s="14" t="n"/>
    </row>
    <row r="498">
      <c r="A498" s="11" t="n">
        <v>900</v>
      </c>
      <c r="B498" s="11" t="inlineStr">
        <is>
          <t>FACATATIVA</t>
        </is>
      </c>
      <c r="C498" s="11" t="inlineStr">
        <is>
          <t>Facatativá</t>
        </is>
      </c>
      <c r="D498" s="11" t="inlineStr">
        <is>
          <t>Cundinamarca</t>
        </is>
      </c>
      <c r="E498" s="11" t="inlineStr">
        <is>
          <t>BOGOTA</t>
        </is>
      </c>
      <c r="F498" s="11" t="inlineStr">
        <is>
          <t>Jhonatan Felipe Hernandez Gamboa</t>
        </is>
      </c>
      <c r="G498" s="11" t="inlineStr">
        <is>
          <t>7</t>
        </is>
      </c>
      <c r="H498" s="12" t="n">
        <v>46296</v>
      </c>
      <c r="I498" s="12" t="n">
        <v>46296</v>
      </c>
      <c r="J498" s="12" t="n"/>
      <c r="K498" s="12" t="n"/>
      <c r="L498" s="11" t="inlineStr">
        <is>
          <t>Programada</t>
        </is>
      </c>
      <c r="M498" s="12" t="n"/>
      <c r="N498" s="11">
        <f>SI(O(H498="";J498="");"";SI(J498&lt;=H498;"SÍ";"NO"))</f>
        <v/>
      </c>
      <c r="O498" s="11">
        <f>SI(O(I498="";K498="");"";SI(K498&lt;=SI(M498&lt;&gt;"";M498;I498);"SÍ";"NO"))</f>
        <v/>
      </c>
      <c r="P498" s="11">
        <f>SI(O(N498="";O498="");"";SI(Y(N498="SÍ";O498="SÍ");"SÍ";"NO"))</f>
        <v/>
      </c>
      <c r="Q498" s="13">
        <f>SI(O(I498="";K498="");"";MAX(0;ENTERO(K498)-ENTERO(SI(M498&lt;&gt;"";M498;I498))))</f>
        <v/>
      </c>
      <c r="R498" s="11" t="n"/>
      <c r="S498" s="11" t="n"/>
      <c r="T498" s="12" t="n"/>
      <c r="U498" s="11" t="n">
        <v>38</v>
      </c>
      <c r="V498" s="11" t="n"/>
    </row>
    <row r="499">
      <c r="A499" s="14" t="n">
        <v>1462</v>
      </c>
      <c r="B499" s="14" t="inlineStr">
        <is>
          <t>SAN ANDRES DE CUERQUIA</t>
        </is>
      </c>
      <c r="C499" s="14" t="inlineStr">
        <is>
          <t>San Andrés De Cuerquía</t>
        </is>
      </c>
      <c r="D499" s="14" t="inlineStr">
        <is>
          <t>Antioquia</t>
        </is>
      </c>
      <c r="E499" s="14" t="inlineStr">
        <is>
          <t>ANTIOQUIA</t>
        </is>
      </c>
      <c r="F499" s="14" t="inlineStr">
        <is>
          <t>Juan Pablo Osorio Ramirez</t>
        </is>
      </c>
      <c r="G499" s="14" t="inlineStr">
        <is>
          <t>1</t>
        </is>
      </c>
      <c r="H499" s="15" t="n">
        <v>46296</v>
      </c>
      <c r="I499" s="15" t="n">
        <v>46296</v>
      </c>
      <c r="J499" s="15" t="n"/>
      <c r="K499" s="15" t="n"/>
      <c r="L499" s="14" t="inlineStr">
        <is>
          <t>Programada</t>
        </is>
      </c>
      <c r="M499" s="15" t="n"/>
      <c r="N499" s="14">
        <f>SI(O(H499="";J499="");"";SI(J499&lt;=H499;"SÍ";"NO"))</f>
        <v/>
      </c>
      <c r="O499" s="14">
        <f>SI(O(I499="";K499="");"";SI(K499&lt;=SI(M499&lt;&gt;"";M499;I499);"SÍ";"NO"))</f>
        <v/>
      </c>
      <c r="P499" s="14">
        <f>SI(O(N499="";O499="");"";SI(Y(N499="SÍ";O499="SÍ");"SÍ";"NO"))</f>
        <v/>
      </c>
      <c r="Q499" s="16">
        <f>SI(O(I499="";K499="");"";MAX(0;ENTERO(K499)-ENTERO(SI(M499&lt;&gt;"";M499;I499))))</f>
        <v/>
      </c>
      <c r="R499" s="14" t="n"/>
      <c r="S499" s="14" t="n"/>
      <c r="T499" s="15" t="n"/>
      <c r="U499" s="14" t="n">
        <v>13</v>
      </c>
      <c r="V499" s="14" t="n"/>
    </row>
    <row r="500">
      <c r="A500" s="11" t="n">
        <v>1487</v>
      </c>
      <c r="B500" s="11" t="inlineStr">
        <is>
          <t>ENTRERRIOS</t>
        </is>
      </c>
      <c r="C500" s="11" t="inlineStr">
        <is>
          <t>ENTRERRIOS</t>
        </is>
      </c>
      <c r="D500" s="11" t="inlineStr">
        <is>
          <t>Antioquia</t>
        </is>
      </c>
      <c r="E500" s="11" t="inlineStr">
        <is>
          <t>ANTIOQUIA</t>
        </is>
      </c>
      <c r="F500" s="11" t="inlineStr">
        <is>
          <t>Juan Pablo Osorio Ramirez</t>
        </is>
      </c>
      <c r="G500" s="11" t="inlineStr">
        <is>
          <t>3</t>
        </is>
      </c>
      <c r="H500" s="12" t="n">
        <v>46296</v>
      </c>
      <c r="I500" s="12" t="n">
        <v>46296</v>
      </c>
      <c r="J500" s="12" t="n"/>
      <c r="K500" s="12" t="n"/>
      <c r="L500" s="11" t="inlineStr">
        <is>
          <t>Programada</t>
        </is>
      </c>
      <c r="M500" s="12" t="n"/>
      <c r="N500" s="11">
        <f>SI(O(H500="";J500="");"";SI(J500&lt;=H500;"SÍ";"NO"))</f>
        <v/>
      </c>
      <c r="O500" s="11">
        <f>SI(O(I500="";K500="");"";SI(K500&lt;=SI(M500&lt;&gt;"";M500;I500);"SÍ";"NO"))</f>
        <v/>
      </c>
      <c r="P500" s="11">
        <f>SI(O(N500="";O500="");"";SI(Y(N500="SÍ";O500="SÍ");"SÍ";"NO"))</f>
        <v/>
      </c>
      <c r="Q500" s="13">
        <f>SI(O(I500="";K500="");"";MAX(0;ENTERO(K500)-ENTERO(SI(M500&lt;&gt;"";M500;I500))))</f>
        <v/>
      </c>
      <c r="R500" s="11" t="n"/>
      <c r="S500" s="11" t="n"/>
      <c r="T500" s="12" t="n"/>
      <c r="U500" s="11" t="n">
        <v>17</v>
      </c>
      <c r="V500" s="11" t="n"/>
    </row>
    <row r="501">
      <c r="A501" s="14" t="n">
        <v>1610</v>
      </c>
      <c r="B501" s="14" t="inlineStr">
        <is>
          <t>BARRANQUILLA PRADO</t>
        </is>
      </c>
      <c r="C501" s="14" t="inlineStr">
        <is>
          <t>Barranquilla</t>
        </is>
      </c>
      <c r="D501" s="14" t="inlineStr">
        <is>
          <t>Atlántico</t>
        </is>
      </c>
      <c r="E501" s="14" t="inlineStr">
        <is>
          <t>COSTA</t>
        </is>
      </c>
      <c r="F501" s="14" t="inlineStr">
        <is>
          <t>Vladimir Faneyte Taborda/Karolyn Ripoll</t>
        </is>
      </c>
      <c r="G501" s="14" t="inlineStr">
        <is>
          <t>5</t>
        </is>
      </c>
      <c r="H501" s="15" t="n">
        <v>46296</v>
      </c>
      <c r="I501" s="15" t="n">
        <v>46297</v>
      </c>
      <c r="J501" s="15" t="n"/>
      <c r="K501" s="15" t="n"/>
      <c r="L501" s="14" t="inlineStr">
        <is>
          <t>Programada</t>
        </is>
      </c>
      <c r="M501" s="15" t="n"/>
      <c r="N501" s="14">
        <f>SI(O(H501="";J501="");"";SI(J501&lt;=H501;"SÍ";"NO"))</f>
        <v/>
      </c>
      <c r="O501" s="14">
        <f>SI(O(I501="";K501="");"";SI(K501&lt;=SI(M501&lt;&gt;"";M501;I501);"SÍ";"NO"))</f>
        <v/>
      </c>
      <c r="P501" s="14">
        <f>SI(O(N501="";O501="");"";SI(Y(N501="SÍ";O501="SÍ");"SÍ";"NO"))</f>
        <v/>
      </c>
      <c r="Q501" s="16">
        <f>SI(O(I501="";K501="");"";MAX(0;ENTERO(K501)-ENTERO(SI(M501&lt;&gt;"";M501;I501))))</f>
        <v/>
      </c>
      <c r="R501" s="14" t="n"/>
      <c r="S501" s="14" t="n"/>
      <c r="T501" s="15" t="n"/>
      <c r="U501" s="14" t="n">
        <v>36</v>
      </c>
      <c r="V501" s="14" t="n"/>
    </row>
    <row r="502">
      <c r="A502" s="11" t="n">
        <v>1862</v>
      </c>
      <c r="B502" s="11" t="inlineStr">
        <is>
          <t>RISARALDA</t>
        </is>
      </c>
      <c r="C502" s="11" t="inlineStr">
        <is>
          <t>Risaralda</t>
        </is>
      </c>
      <c r="D502" s="11" t="inlineStr">
        <is>
          <t>Caldas</t>
        </is>
      </c>
      <c r="E502" s="11" t="inlineStr">
        <is>
          <t>CAFETERA</t>
        </is>
      </c>
      <c r="F502" s="11" t="inlineStr">
        <is>
          <t>JULIO  CESAR AUDELO  - ANDRES FELIPE BOTERO</t>
        </is>
      </c>
      <c r="G502" s="11" t="inlineStr">
        <is>
          <t>1</t>
        </is>
      </c>
      <c r="H502" s="12" t="n">
        <v>46296</v>
      </c>
      <c r="I502" s="12" t="n">
        <v>46297</v>
      </c>
      <c r="J502" s="12" t="n"/>
      <c r="K502" s="12" t="n"/>
      <c r="L502" s="11" t="inlineStr">
        <is>
          <t>Programada</t>
        </is>
      </c>
      <c r="M502" s="12" t="n"/>
      <c r="N502" s="11">
        <f>SI(O(H502="";J502="");"";SI(J502&lt;=H502;"SÍ";"NO"))</f>
        <v/>
      </c>
      <c r="O502" s="11">
        <f>SI(O(I502="";K502="");"";SI(K502&lt;=SI(M502&lt;&gt;"";M502;I502);"SÍ";"NO"))</f>
        <v/>
      </c>
      <c r="P502" s="11">
        <f>SI(O(N502="";O502="");"";SI(Y(N502="SÍ";O502="SÍ");"SÍ";"NO"))</f>
        <v/>
      </c>
      <c r="Q502" s="13">
        <f>SI(O(I502="";K502="");"";MAX(0;ENTERO(K502)-ENTERO(SI(M502&lt;&gt;"";M502;I502))))</f>
        <v/>
      </c>
      <c r="R502" s="11" t="n"/>
      <c r="S502" s="11" t="n"/>
      <c r="T502" s="12" t="n"/>
      <c r="U502" s="11" t="n">
        <v>15</v>
      </c>
      <c r="V502" s="11" t="n"/>
    </row>
    <row r="503">
      <c r="A503" s="14" t="n">
        <v>1870</v>
      </c>
      <c r="B503" s="14" t="inlineStr">
        <is>
          <t>SAN JOSÉ</t>
        </is>
      </c>
      <c r="C503" s="14" t="inlineStr">
        <is>
          <t>San José</t>
        </is>
      </c>
      <c r="D503" s="14" t="inlineStr">
        <is>
          <t>Caldas</t>
        </is>
      </c>
      <c r="E503" s="14" t="inlineStr">
        <is>
          <t>CAFETERA</t>
        </is>
      </c>
      <c r="F503" s="14" t="inlineStr">
        <is>
          <t>JULIO  CESAR AUDELO  - ANDRES FELIPE BOTERO</t>
        </is>
      </c>
      <c r="G503" s="14" t="inlineStr">
        <is>
          <t>1</t>
        </is>
      </c>
      <c r="H503" s="15" t="n">
        <v>46296</v>
      </c>
      <c r="I503" s="15" t="n">
        <v>46297</v>
      </c>
      <c r="J503" s="15" t="n"/>
      <c r="K503" s="15" t="n"/>
      <c r="L503" s="14" t="inlineStr">
        <is>
          <t>Programada</t>
        </is>
      </c>
      <c r="M503" s="15" t="n"/>
      <c r="N503" s="14">
        <f>SI(O(H503="";J503="");"";SI(J503&lt;=H503;"SÍ";"NO"))</f>
        <v/>
      </c>
      <c r="O503" s="14">
        <f>SI(O(I503="";K503="");"";SI(K503&lt;=SI(M503&lt;&gt;"";M503;I503);"SÍ";"NO"))</f>
        <v/>
      </c>
      <c r="P503" s="14">
        <f>SI(O(N503="";O503="");"";SI(Y(N503="SÍ";O503="SÍ");"SÍ";"NO"))</f>
        <v/>
      </c>
      <c r="Q503" s="16">
        <f>SI(O(I503="";K503="");"";MAX(0;ENTERO(K503)-ENTERO(SI(M503&lt;&gt;"";M503;I503))))</f>
        <v/>
      </c>
      <c r="R503" s="14" t="n"/>
      <c r="S503" s="14" t="n"/>
      <c r="T503" s="15" t="n"/>
      <c r="U503" s="14" t="n">
        <v>13</v>
      </c>
      <c r="V503" s="14" t="n"/>
    </row>
    <row r="504">
      <c r="A504" s="11" t="n">
        <v>2107</v>
      </c>
      <c r="B504" s="11" t="inlineStr">
        <is>
          <t>TOTORO</t>
        </is>
      </c>
      <c r="C504" s="11" t="inlineStr">
        <is>
          <t>Totoró</t>
        </is>
      </c>
      <c r="D504" s="11" t="inlineStr">
        <is>
          <t>Cauca</t>
        </is>
      </c>
      <c r="E504" s="11" t="inlineStr">
        <is>
          <t>OCCIDENTE</t>
        </is>
      </c>
      <c r="F504" s="11" t="inlineStr">
        <is>
          <t>Holmes Arley Astudillo Fajardo</t>
        </is>
      </c>
      <c r="G504" s="11" t="inlineStr">
        <is>
          <t>1</t>
        </is>
      </c>
      <c r="H504" s="12" t="n">
        <v>46296</v>
      </c>
      <c r="I504" s="12" t="n">
        <v>46296</v>
      </c>
      <c r="J504" s="12" t="n"/>
      <c r="K504" s="12" t="n"/>
      <c r="L504" s="11" t="inlineStr">
        <is>
          <t>Programada</t>
        </is>
      </c>
      <c r="M504" s="12" t="n"/>
      <c r="N504" s="11">
        <f>SI(O(H504="";J504="");"";SI(J504&lt;=H504;"SÍ";"NO"))</f>
        <v/>
      </c>
      <c r="O504" s="11">
        <f>SI(O(I504="";K504="");"";SI(K504&lt;=SI(M504&lt;&gt;"";M504;I504);"SÍ";"NO"))</f>
        <v/>
      </c>
      <c r="P504" s="11">
        <f>SI(O(N504="";O504="");"";SI(Y(N504="SÍ";O504="SÍ");"SÍ";"NO"))</f>
        <v/>
      </c>
      <c r="Q504" s="13">
        <f>SI(O(I504="";K504="");"";MAX(0;ENTERO(K504)-ENTERO(SI(M504&lt;&gt;"";M504;I504))))</f>
        <v/>
      </c>
      <c r="R504" s="11" t="n"/>
      <c r="S504" s="11" t="n"/>
      <c r="T504" s="12" t="n"/>
      <c r="U504" s="11" t="n">
        <v>13</v>
      </c>
      <c r="V504" s="11" t="n"/>
    </row>
    <row r="505">
      <c r="A505" s="14" t="n">
        <v>2402</v>
      </c>
      <c r="B505" s="14" t="inlineStr">
        <is>
          <t>ASTREA</t>
        </is>
      </c>
      <c r="C505" s="14" t="inlineStr">
        <is>
          <t>Astrea</t>
        </is>
      </c>
      <c r="D505" s="14" t="inlineStr">
        <is>
          <t>Cesar</t>
        </is>
      </c>
      <c r="E505" s="14" t="inlineStr">
        <is>
          <t>COSTA</t>
        </is>
      </c>
      <c r="F505" s="14" t="inlineStr">
        <is>
          <t>María Fernanda Mendoza Martinez</t>
        </is>
      </c>
      <c r="G505" s="14" t="inlineStr">
        <is>
          <t>2</t>
        </is>
      </c>
      <c r="H505" s="15" t="n">
        <v>46296</v>
      </c>
      <c r="I505" s="15" t="n">
        <v>46296</v>
      </c>
      <c r="J505" s="15" t="n"/>
      <c r="K505" s="15" t="n"/>
      <c r="L505" s="14" t="inlineStr">
        <is>
          <t>Programada</t>
        </is>
      </c>
      <c r="M505" s="15" t="n"/>
      <c r="N505" s="14">
        <f>SI(O(H505="";J505="");"";SI(J505&lt;=H505;"SÍ";"NO"))</f>
        <v/>
      </c>
      <c r="O505" s="14">
        <f>SI(O(I505="";K505="");"";SI(K505&lt;=SI(M505&lt;&gt;"";M505;I505);"SÍ";"NO"))</f>
        <v/>
      </c>
      <c r="P505" s="14">
        <f>SI(O(N505="";O505="");"";SI(Y(N505="SÍ";O505="SÍ");"SÍ";"NO"))</f>
        <v/>
      </c>
      <c r="Q505" s="16">
        <f>SI(O(I505="";K505="");"";MAX(0;ENTERO(K505)-ENTERO(SI(M505&lt;&gt;"";M505;I505))))</f>
        <v/>
      </c>
      <c r="R505" s="14" t="n"/>
      <c r="S505" s="14" t="n"/>
      <c r="T505" s="15" t="n"/>
      <c r="U505" s="14" t="n">
        <v>17</v>
      </c>
      <c r="V505" s="14" t="n"/>
    </row>
    <row r="506">
      <c r="A506" s="11" t="n">
        <v>3101</v>
      </c>
      <c r="B506" s="11" t="inlineStr">
        <is>
          <t>TENA</t>
        </is>
      </c>
      <c r="C506" s="11" t="inlineStr">
        <is>
          <t>Tena</t>
        </is>
      </c>
      <c r="D506" s="11" t="inlineStr">
        <is>
          <t>Cundinamarca</t>
        </is>
      </c>
      <c r="E506" s="11" t="inlineStr">
        <is>
          <t>BOGOTA</t>
        </is>
      </c>
      <c r="F506" s="11" t="inlineStr">
        <is>
          <t>Carlos Andres Cuchivaguen Diaz</t>
        </is>
      </c>
      <c r="G506" s="11" t="inlineStr">
        <is>
          <t>1</t>
        </is>
      </c>
      <c r="H506" s="12" t="n">
        <v>46296</v>
      </c>
      <c r="I506" s="12" t="n">
        <v>46296</v>
      </c>
      <c r="J506" s="12" t="n"/>
      <c r="K506" s="12" t="n"/>
      <c r="L506" s="11" t="inlineStr">
        <is>
          <t>Programada</t>
        </is>
      </c>
      <c r="M506" s="12" t="n"/>
      <c r="N506" s="11">
        <f>SI(O(H506="";J506="");"";SI(J506&lt;=H506;"SÍ";"NO"))</f>
        <v/>
      </c>
      <c r="O506" s="11">
        <f>SI(O(I506="";K506="");"";SI(K506&lt;=SI(M506&lt;&gt;"";M506;I506);"SÍ";"NO"))</f>
        <v/>
      </c>
      <c r="P506" s="11">
        <f>SI(O(N506="";O506="");"";SI(Y(N506="SÍ";O506="SÍ");"SÍ";"NO"))</f>
        <v/>
      </c>
      <c r="Q506" s="13">
        <f>SI(O(I506="";K506="");"";MAX(0;ENTERO(K506)-ENTERO(SI(M506&lt;&gt;"";M506;I506))))</f>
        <v/>
      </c>
      <c r="R506" s="11" t="n"/>
      <c r="S506" s="11" t="n"/>
      <c r="T506" s="12" t="n"/>
      <c r="U506" s="11" t="n">
        <v>13</v>
      </c>
      <c r="V506" s="11" t="n"/>
    </row>
    <row r="507">
      <c r="A507" s="14" t="n">
        <v>3115</v>
      </c>
      <c r="B507" s="14" t="inlineStr">
        <is>
          <t>CACHIPAY</t>
        </is>
      </c>
      <c r="C507" s="14" t="inlineStr">
        <is>
          <t>Cachipay</t>
        </is>
      </c>
      <c r="D507" s="14" t="inlineStr">
        <is>
          <t>Cundinamarca</t>
        </is>
      </c>
      <c r="E507" s="14" t="inlineStr">
        <is>
          <t>BOGOTA</t>
        </is>
      </c>
      <c r="F507" s="14" t="inlineStr">
        <is>
          <t>Nelson Leonardo Paez Suarez</t>
        </is>
      </c>
      <c r="G507" s="14" t="inlineStr">
        <is>
          <t>1</t>
        </is>
      </c>
      <c r="H507" s="15" t="n">
        <v>46296</v>
      </c>
      <c r="I507" s="15" t="n">
        <v>46296</v>
      </c>
      <c r="J507" s="15" t="n"/>
      <c r="K507" s="15" t="n"/>
      <c r="L507" s="14" t="inlineStr">
        <is>
          <t>Programada</t>
        </is>
      </c>
      <c r="M507" s="15" t="n"/>
      <c r="N507" s="14">
        <f>SI(O(H507="";J507="");"";SI(J507&lt;=H507;"SÍ";"NO"))</f>
        <v/>
      </c>
      <c r="O507" s="14">
        <f>SI(O(I507="";K507="");"";SI(K507&lt;=SI(M507&lt;&gt;"";M507;I507);"SÍ";"NO"))</f>
        <v/>
      </c>
      <c r="P507" s="14">
        <f>SI(O(N507="";O507="");"";SI(Y(N507="SÍ";O507="SÍ");"SÍ";"NO"))</f>
        <v/>
      </c>
      <c r="Q507" s="16">
        <f>SI(O(I507="";K507="");"";MAX(0;ENTERO(K507)-ENTERO(SI(M507&lt;&gt;"";M507;I507))))</f>
        <v/>
      </c>
      <c r="R507" s="14" t="n"/>
      <c r="S507" s="14" t="n"/>
      <c r="T507" s="15" t="n"/>
      <c r="U507" s="14" t="n">
        <v>16</v>
      </c>
      <c r="V507" s="14" t="n"/>
    </row>
    <row r="508">
      <c r="A508" s="11" t="n">
        <v>3945</v>
      </c>
      <c r="B508" s="11" t="inlineStr">
        <is>
          <t>PALESTINA</t>
        </is>
      </c>
      <c r="C508" s="11" t="inlineStr">
        <is>
          <t>Palestina</t>
        </is>
      </c>
      <c r="D508" s="11" t="inlineStr">
        <is>
          <t>Huila</t>
        </is>
      </c>
      <c r="E508" s="11" t="inlineStr">
        <is>
          <t>SUR</t>
        </is>
      </c>
      <c r="F508" s="11" t="inlineStr">
        <is>
          <t>ERIKA VARGAS</t>
        </is>
      </c>
      <c r="G508" s="11" t="inlineStr">
        <is>
          <t>2</t>
        </is>
      </c>
      <c r="H508" s="12" t="n">
        <v>46296</v>
      </c>
      <c r="I508" s="12" t="n">
        <v>46296</v>
      </c>
      <c r="J508" s="12" t="n"/>
      <c r="K508" s="12" t="n"/>
      <c r="L508" s="11" t="inlineStr">
        <is>
          <t>Programada</t>
        </is>
      </c>
      <c r="M508" s="12" t="n"/>
      <c r="N508" s="11">
        <f>SI(O(H508="";J508="");"";SI(J508&lt;=H508;"SÍ";"NO"))</f>
        <v/>
      </c>
      <c r="O508" s="11">
        <f>SI(O(I508="";K508="");"";SI(K508&lt;=SI(M508&lt;&gt;"";M508;I508);"SÍ";"NO"))</f>
        <v/>
      </c>
      <c r="P508" s="11">
        <f>SI(O(N508="";O508="");"";SI(Y(N508="SÍ";O508="SÍ");"SÍ";"NO"))</f>
        <v/>
      </c>
      <c r="Q508" s="13">
        <f>SI(O(I508="";K508="");"";MAX(0;ENTERO(K508)-ENTERO(SI(M508&lt;&gt;"";M508;I508))))</f>
        <v/>
      </c>
      <c r="R508" s="11" t="n"/>
      <c r="S508" s="11" t="n"/>
      <c r="T508" s="12" t="n"/>
      <c r="U508" s="11" t="n">
        <v>17</v>
      </c>
      <c r="V508" s="11" t="n"/>
    </row>
    <row r="509">
      <c r="A509" s="14" t="n">
        <v>4844</v>
      </c>
      <c r="B509" s="14" t="inlineStr">
        <is>
          <t>LINARES</t>
        </is>
      </c>
      <c r="C509" s="14" t="inlineStr">
        <is>
          <t>Linares</t>
        </is>
      </c>
      <c r="D509" s="14" t="inlineStr">
        <is>
          <t>Nariño</t>
        </is>
      </c>
      <c r="E509" s="14" t="inlineStr">
        <is>
          <t>OCCIDENTE</t>
        </is>
      </c>
      <c r="F509" s="14" t="inlineStr">
        <is>
          <t>Juan Carlos Narvaez Acosta / Luis Fernando Ibarra Guio</t>
        </is>
      </c>
      <c r="G509" s="14" t="inlineStr">
        <is>
          <t>1</t>
        </is>
      </c>
      <c r="H509" s="15" t="n">
        <v>46296</v>
      </c>
      <c r="I509" s="15" t="n">
        <v>46296</v>
      </c>
      <c r="J509" s="15" t="n"/>
      <c r="K509" s="15" t="n"/>
      <c r="L509" s="14" t="inlineStr">
        <is>
          <t>Programada</t>
        </is>
      </c>
      <c r="M509" s="15" t="n"/>
      <c r="N509" s="14">
        <f>SI(O(H509="";J509="");"";SI(J509&lt;=H509;"SÍ";"NO"))</f>
        <v/>
      </c>
      <c r="O509" s="14">
        <f>SI(O(I509="";K509="");"";SI(K509&lt;=SI(M509&lt;&gt;"";M509;I509);"SÍ";"NO"))</f>
        <v/>
      </c>
      <c r="P509" s="14">
        <f>SI(O(N509="";O509="");"";SI(Y(N509="SÍ";O509="SÍ");"SÍ";"NO"))</f>
        <v/>
      </c>
      <c r="Q509" s="16">
        <f>SI(O(I509="";K509="");"";MAX(0;ENTERO(K509)-ENTERO(SI(M509&lt;&gt;"";M509;I509))))</f>
        <v/>
      </c>
      <c r="R509" s="14" t="n"/>
      <c r="S509" s="14" t="n"/>
      <c r="T509" s="15" t="n"/>
      <c r="U509" s="14" t="n">
        <v>15</v>
      </c>
      <c r="V509" s="14" t="n"/>
    </row>
    <row r="510">
      <c r="A510" s="11" t="n">
        <v>5180</v>
      </c>
      <c r="B510" s="11" t="inlineStr">
        <is>
          <t>VILLACARO</t>
        </is>
      </c>
      <c r="C510" s="11" t="inlineStr">
        <is>
          <t>Villa Caro</t>
        </is>
      </c>
      <c r="D510" s="11" t="inlineStr">
        <is>
          <t>Norte de Santander</t>
        </is>
      </c>
      <c r="E510" s="11" t="inlineStr">
        <is>
          <t>SANTANDERES</t>
        </is>
      </c>
      <c r="F510" s="11" t="inlineStr">
        <is>
          <t>Juan Alfonso Cuberos Buendia</t>
        </is>
      </c>
      <c r="G510" s="11" t="inlineStr">
        <is>
          <t>1</t>
        </is>
      </c>
      <c r="H510" s="12" t="n">
        <v>46296</v>
      </c>
      <c r="I510" s="12" t="n">
        <v>46296</v>
      </c>
      <c r="J510" s="12" t="n"/>
      <c r="K510" s="12" t="n"/>
      <c r="L510" s="11" t="inlineStr">
        <is>
          <t>Programada</t>
        </is>
      </c>
      <c r="M510" s="12" t="n"/>
      <c r="N510" s="11">
        <f>SI(O(H510="";J510="");"";SI(J510&lt;=H510;"SÍ";"NO"))</f>
        <v/>
      </c>
      <c r="O510" s="11">
        <f>SI(O(I510="";K510="");"";SI(K510&lt;=SI(M510&lt;&gt;"";M510;I510);"SÍ";"NO"))</f>
        <v/>
      </c>
      <c r="P510" s="11">
        <f>SI(O(N510="";O510="");"";SI(Y(N510="SÍ";O510="SÍ");"SÍ";"NO"))</f>
        <v/>
      </c>
      <c r="Q510" s="13">
        <f>SI(O(I510="";K510="");"";MAX(0;ENTERO(K510)-ENTERO(SI(M510&lt;&gt;"";M510;I510))))</f>
        <v/>
      </c>
      <c r="R510" s="11" t="n"/>
      <c r="S510" s="11" t="n"/>
      <c r="T510" s="12" t="n"/>
      <c r="U510" s="11" t="n">
        <v>13</v>
      </c>
      <c r="V510" s="11" t="n"/>
    </row>
    <row r="511">
      <c r="A511" s="14" t="n">
        <v>5765</v>
      </c>
      <c r="B511" s="14" t="inlineStr">
        <is>
          <t>GUATICA</t>
        </is>
      </c>
      <c r="C511" s="14" t="inlineStr">
        <is>
          <t>Guática</t>
        </is>
      </c>
      <c r="D511" s="14" t="inlineStr">
        <is>
          <t>Risaralda</t>
        </is>
      </c>
      <c r="E511" s="14" t="inlineStr">
        <is>
          <t>CAFETERA</t>
        </is>
      </c>
      <c r="F511" s="14" t="inlineStr">
        <is>
          <t>CESAR AUGUSTO HENAO</t>
        </is>
      </c>
      <c r="G511" s="14" t="inlineStr">
        <is>
          <t>1</t>
        </is>
      </c>
      <c r="H511" s="15" t="n">
        <v>46296</v>
      </c>
      <c r="I511" s="15" t="n">
        <v>46297</v>
      </c>
      <c r="J511" s="15" t="n"/>
      <c r="K511" s="15" t="n"/>
      <c r="L511" s="14" t="inlineStr">
        <is>
          <t>Programada</t>
        </is>
      </c>
      <c r="M511" s="15" t="n"/>
      <c r="N511" s="14">
        <f>SI(O(H511="";J511="");"";SI(J511&lt;=H511;"SÍ";"NO"))</f>
        <v/>
      </c>
      <c r="O511" s="14">
        <f>SI(O(I511="";K511="");"";SI(K511&lt;=SI(M511&lt;&gt;"";M511;I511);"SÍ";"NO"))</f>
        <v/>
      </c>
      <c r="P511" s="14">
        <f>SI(O(N511="";O511="");"";SI(Y(N511="SÍ";O511="SÍ");"SÍ";"NO"))</f>
        <v/>
      </c>
      <c r="Q511" s="16">
        <f>SI(O(I511="";K511="");"";MAX(0;ENTERO(K511)-ENTERO(SI(M511&lt;&gt;"";M511;I511))))</f>
        <v/>
      </c>
      <c r="R511" s="14" t="n"/>
      <c r="S511" s="14" t="n"/>
      <c r="T511" s="15" t="n"/>
      <c r="U511" s="14" t="n">
        <v>19</v>
      </c>
      <c r="V511" s="14" t="n"/>
    </row>
    <row r="512">
      <c r="A512" s="11" t="n">
        <v>6017</v>
      </c>
      <c r="B512" s="11" t="inlineStr">
        <is>
          <t>PIEDECUESTA</t>
        </is>
      </c>
      <c r="C512" s="11" t="inlineStr">
        <is>
          <t>Piedecuesta</t>
        </is>
      </c>
      <c r="D512" s="11" t="inlineStr">
        <is>
          <t>Santander</t>
        </is>
      </c>
      <c r="E512" s="11" t="inlineStr">
        <is>
          <t>SANTANDERES</t>
        </is>
      </c>
      <c r="F512" s="11" t="inlineStr">
        <is>
          <t>Mauricio Andrés Rivera Páez</t>
        </is>
      </c>
      <c r="G512" s="11" t="inlineStr">
        <is>
          <t>5</t>
        </is>
      </c>
      <c r="H512" s="12" t="n">
        <v>46296</v>
      </c>
      <c r="I512" s="12" t="n">
        <v>46297</v>
      </c>
      <c r="J512" s="12" t="n"/>
      <c r="K512" s="12" t="n"/>
      <c r="L512" s="11" t="inlineStr">
        <is>
          <t>Programada</t>
        </is>
      </c>
      <c r="M512" s="12" t="n"/>
      <c r="N512" s="11">
        <f>SI(O(H512="";J512="");"";SI(J512&lt;=H512;"SÍ";"NO"))</f>
        <v/>
      </c>
      <c r="O512" s="11">
        <f>SI(O(I512="";K512="");"";SI(K512&lt;=SI(M512&lt;&gt;"";M512;I512);"SÍ";"NO"))</f>
        <v/>
      </c>
      <c r="P512" s="11">
        <f>SI(O(N512="";O512="");"";SI(Y(N512="SÍ";O512="SÍ");"SÍ";"NO"))</f>
        <v/>
      </c>
      <c r="Q512" s="13">
        <f>SI(O(I512="";K512="");"";MAX(0;ENTERO(K512)-ENTERO(SI(M512&lt;&gt;"";M512;I512))))</f>
        <v/>
      </c>
      <c r="R512" s="11" t="n"/>
      <c r="S512" s="11" t="n"/>
      <c r="T512" s="12" t="n"/>
      <c r="U512" s="11" t="n">
        <v>38</v>
      </c>
      <c r="V512" s="11" t="n"/>
    </row>
    <row r="513">
      <c r="A513" s="14" t="n">
        <v>6366</v>
      </c>
      <c r="B513" s="14" t="inlineStr">
        <is>
          <t>SAN ONOFRE</t>
        </is>
      </c>
      <c r="C513" s="14" t="inlineStr">
        <is>
          <t>San Onofre</t>
        </is>
      </c>
      <c r="D513" s="14" t="inlineStr">
        <is>
          <t>Sucre</t>
        </is>
      </c>
      <c r="E513" s="14" t="inlineStr">
        <is>
          <t>COSTA</t>
        </is>
      </c>
      <c r="F513" s="14" t="inlineStr">
        <is>
          <t>Laura Camila Ospino Taborda</t>
        </is>
      </c>
      <c r="G513" s="14" t="inlineStr">
        <is>
          <t>3</t>
        </is>
      </c>
      <c r="H513" s="15" t="n">
        <v>46296</v>
      </c>
      <c r="I513" s="15" t="n">
        <v>46296</v>
      </c>
      <c r="J513" s="15" t="n"/>
      <c r="K513" s="15" t="n"/>
      <c r="L513" s="14" t="inlineStr">
        <is>
          <t>Programada</t>
        </is>
      </c>
      <c r="M513" s="15" t="n"/>
      <c r="N513" s="14">
        <f>SI(O(H513="";J513="");"";SI(J513&lt;=H513;"SÍ";"NO"))</f>
        <v/>
      </c>
      <c r="O513" s="14">
        <f>SI(O(I513="";K513="");"";SI(K513&lt;=SI(M513&lt;&gt;"";M513;I513);"SÍ";"NO"))</f>
        <v/>
      </c>
      <c r="P513" s="14">
        <f>SI(O(N513="";O513="");"";SI(Y(N513="SÍ";O513="SÍ");"SÍ";"NO"))</f>
        <v/>
      </c>
      <c r="Q513" s="16">
        <f>SI(O(I513="";K513="");"";MAX(0;ENTERO(K513)-ENTERO(SI(M513&lt;&gt;"";M513;I513))))</f>
        <v/>
      </c>
      <c r="R513" s="14" t="n"/>
      <c r="S513" s="14" t="n"/>
      <c r="T513" s="15" t="n"/>
      <c r="U513" s="14" t="n">
        <v>20</v>
      </c>
      <c r="V513" s="14" t="n"/>
    </row>
    <row r="514">
      <c r="A514" s="11" t="n">
        <v>6910</v>
      </c>
      <c r="B514" s="11" t="inlineStr">
        <is>
          <t>VIJES</t>
        </is>
      </c>
      <c r="C514" s="11" t="inlineStr">
        <is>
          <t>Vijes</t>
        </is>
      </c>
      <c r="D514" s="11" t="inlineStr">
        <is>
          <t>Valle del Cauca</t>
        </is>
      </c>
      <c r="E514" s="11" t="inlineStr">
        <is>
          <t>OCCIDENTE</t>
        </is>
      </c>
      <c r="F514" s="11" t="inlineStr">
        <is>
          <t>John Edwin Jimenez Chavez</t>
        </is>
      </c>
      <c r="G514" s="11" t="inlineStr">
        <is>
          <t>1</t>
        </is>
      </c>
      <c r="H514" s="12" t="n">
        <v>46296</v>
      </c>
      <c r="I514" s="12" t="n">
        <v>46296</v>
      </c>
      <c r="J514" s="12" t="n"/>
      <c r="K514" s="12" t="n"/>
      <c r="L514" s="11" t="inlineStr">
        <is>
          <t>Programada</t>
        </is>
      </c>
      <c r="M514" s="12" t="n"/>
      <c r="N514" s="11">
        <f>SI(O(H514="";J514="");"";SI(J514&lt;=H514;"SÍ";"NO"))</f>
        <v/>
      </c>
      <c r="O514" s="11">
        <f>SI(O(I514="";K514="");"";SI(K514&lt;=SI(M514&lt;&gt;"";M514;I514);"SÍ";"NO"))</f>
        <v/>
      </c>
      <c r="P514" s="11">
        <f>SI(O(N514="";O514="");"";SI(Y(N514="SÍ";O514="SÍ");"SÍ";"NO"))</f>
        <v/>
      </c>
      <c r="Q514" s="13">
        <f>SI(O(I514="";K514="");"";MAX(0;ENTERO(K514)-ENTERO(SI(M514&lt;&gt;"";M514;I514))))</f>
        <v/>
      </c>
      <c r="R514" s="11" t="n"/>
      <c r="S514" s="11" t="n"/>
      <c r="T514" s="12" t="n"/>
      <c r="U514" s="11" t="n">
        <v>15</v>
      </c>
      <c r="V514" s="11" t="n"/>
    </row>
    <row r="515">
      <c r="A515" s="14" t="n">
        <v>8660</v>
      </c>
      <c r="B515" s="14" t="inlineStr">
        <is>
          <t>TAMARA</t>
        </is>
      </c>
      <c r="C515" s="14" t="inlineStr">
        <is>
          <t>Támara</t>
        </is>
      </c>
      <c r="D515" s="14" t="inlineStr">
        <is>
          <t>Casanare</t>
        </is>
      </c>
      <c r="E515" s="14" t="inlineStr">
        <is>
          <t>ORIENTE</t>
        </is>
      </c>
      <c r="F515" s="14" t="inlineStr">
        <is>
          <t>Juan Sebastian Lopez Acevedo</t>
        </is>
      </c>
      <c r="G515" s="14" t="inlineStr">
        <is>
          <t>1</t>
        </is>
      </c>
      <c r="H515" s="15" t="n">
        <v>46296</v>
      </c>
      <c r="I515" s="15" t="n">
        <v>46297</v>
      </c>
      <c r="J515" s="15" t="n"/>
      <c r="K515" s="15" t="n"/>
      <c r="L515" s="14" t="inlineStr">
        <is>
          <t>Programada</t>
        </is>
      </c>
      <c r="M515" s="15" t="n"/>
      <c r="N515" s="14">
        <f>SI(O(H515="";J515="");"";SI(J515&lt;=H515;"SÍ";"NO"))</f>
        <v/>
      </c>
      <c r="O515" s="14">
        <f>SI(O(I515="";K515="");"";SI(K515&lt;=SI(M515&lt;&gt;"";M515;I515);"SÍ";"NO"))</f>
        <v/>
      </c>
      <c r="P515" s="14">
        <f>SI(O(N515="";O515="");"";SI(Y(N515="SÍ";O515="SÍ");"SÍ";"NO"))</f>
        <v/>
      </c>
      <c r="Q515" s="16">
        <f>SI(O(I515="";K515="");"";MAX(0;ENTERO(K515)-ENTERO(SI(M515&lt;&gt;"";M515;I515))))</f>
        <v/>
      </c>
      <c r="R515" s="14" t="n"/>
      <c r="S515" s="14" t="n"/>
      <c r="T515" s="15" t="n"/>
      <c r="U515" s="14" t="n">
        <v>15</v>
      </c>
      <c r="V515" s="14" t="n"/>
    </row>
    <row r="516">
      <c r="A516" s="11" t="n">
        <v>280</v>
      </c>
      <c r="B516" s="11" t="inlineStr">
        <is>
          <t>BOGOTA - CODABAS</t>
        </is>
      </c>
      <c r="C516" s="11" t="inlineStr">
        <is>
          <t>Bogotá, D.C.</t>
        </is>
      </c>
      <c r="D516" s="11" t="inlineStr">
        <is>
          <t>Bogotá D.C</t>
        </is>
      </c>
      <c r="E516" s="11" t="inlineStr">
        <is>
          <t>BOGOTA</t>
        </is>
      </c>
      <c r="F516" s="11" t="inlineStr">
        <is>
          <t>Anderson Forero Mora</t>
        </is>
      </c>
      <c r="G516" s="11" t="inlineStr">
        <is>
          <t>2</t>
        </is>
      </c>
      <c r="H516" s="12" t="n">
        <v>46297</v>
      </c>
      <c r="I516" s="12" t="n">
        <v>46297</v>
      </c>
      <c r="J516" s="12" t="n"/>
      <c r="K516" s="12" t="n"/>
      <c r="L516" s="11" t="inlineStr">
        <is>
          <t>Programada</t>
        </is>
      </c>
      <c r="M516" s="12" t="n"/>
      <c r="N516" s="11">
        <f>SI(O(H516="";J516="");"";SI(J516&lt;=H516;"SÍ";"NO"))</f>
        <v/>
      </c>
      <c r="O516" s="11">
        <f>SI(O(I516="";K516="");"";SI(K516&lt;=SI(M516&lt;&gt;"";M516;I516);"SÍ";"NO"))</f>
        <v/>
      </c>
      <c r="P516" s="11">
        <f>SI(O(N516="";O516="");"";SI(Y(N516="SÍ";O516="SÍ");"SÍ";"NO"))</f>
        <v/>
      </c>
      <c r="Q516" s="13">
        <f>SI(O(I516="";K516="");"";MAX(0;ENTERO(K516)-ENTERO(SI(M516&lt;&gt;"";M516;I516))))</f>
        <v/>
      </c>
      <c r="R516" s="11" t="n"/>
      <c r="S516" s="11" t="n"/>
      <c r="T516" s="12" t="n"/>
      <c r="U516" s="11" t="n">
        <v>18</v>
      </c>
      <c r="V516" s="11" t="n"/>
    </row>
    <row r="517">
      <c r="A517" s="14" t="n">
        <v>1323</v>
      </c>
      <c r="B517" s="14" t="inlineStr">
        <is>
          <t>CENTRO DE NEGOCIOS MEDELLIN CARABOBO</t>
        </is>
      </c>
      <c r="C517" s="14" t="inlineStr">
        <is>
          <t>Medellín</t>
        </is>
      </c>
      <c r="D517" s="14" t="inlineStr">
        <is>
          <t>Antioquia</t>
        </is>
      </c>
      <c r="E517" s="14" t="inlineStr">
        <is>
          <t>ANTIOQUIA</t>
        </is>
      </c>
      <c r="F517" s="14" t="inlineStr">
        <is>
          <t>Andrés Mariano Bustamante Castro</t>
        </is>
      </c>
      <c r="G517" s="14" t="inlineStr">
        <is>
          <t>1</t>
        </is>
      </c>
      <c r="H517" s="15" t="n">
        <v>46297</v>
      </c>
      <c r="I517" s="15" t="n">
        <v>46304</v>
      </c>
      <c r="J517" s="15" t="n"/>
      <c r="K517" s="15" t="n"/>
      <c r="L517" s="14" t="inlineStr">
        <is>
          <t>Programada</t>
        </is>
      </c>
      <c r="M517" s="15" t="n"/>
      <c r="N517" s="14">
        <f>SI(O(H517="";J517="");"";SI(J517&lt;=H517;"SÍ";"NO"))</f>
        <v/>
      </c>
      <c r="O517" s="14">
        <f>SI(O(I517="";K517="");"";SI(K517&lt;=SI(M517&lt;&gt;"";M517;I517);"SÍ";"NO"))</f>
        <v/>
      </c>
      <c r="P517" s="14">
        <f>SI(O(N517="";O517="");"";SI(Y(N517="SÍ";O517="SÍ");"SÍ";"NO"))</f>
        <v/>
      </c>
      <c r="Q517" s="16">
        <f>SI(O(I517="";K517="");"";MAX(0;ENTERO(K517)-ENTERO(SI(M517&lt;&gt;"";M517;I517))))</f>
        <v/>
      </c>
      <c r="R517" s="14" t="n"/>
      <c r="S517" s="14" t="n"/>
      <c r="T517" s="15" t="n"/>
      <c r="U517" s="14" t="n">
        <v>50</v>
      </c>
      <c r="V517" s="14" t="n"/>
    </row>
    <row r="518">
      <c r="A518" s="11" t="n">
        <v>1356</v>
      </c>
      <c r="B518" s="11" t="inlineStr">
        <is>
          <t>SAN JUAN DE URABA</t>
        </is>
      </c>
      <c r="C518" s="11" t="inlineStr">
        <is>
          <t>San Juan De Urabá</t>
        </is>
      </c>
      <c r="D518" s="11" t="inlineStr">
        <is>
          <t>Antioquia</t>
        </is>
      </c>
      <c r="E518" s="11" t="inlineStr">
        <is>
          <t>ANTIOQUIA</t>
        </is>
      </c>
      <c r="F518" s="11" t="inlineStr">
        <is>
          <t>Ever Enrique Esquivel Movilla</t>
        </is>
      </c>
      <c r="G518" s="11" t="inlineStr">
        <is>
          <t>1</t>
        </is>
      </c>
      <c r="H518" s="12" t="n">
        <v>46297</v>
      </c>
      <c r="I518" s="12" t="n">
        <v>46297</v>
      </c>
      <c r="J518" s="12" t="n"/>
      <c r="K518" s="12" t="n"/>
      <c r="L518" s="11" t="inlineStr">
        <is>
          <t>Programada</t>
        </is>
      </c>
      <c r="M518" s="12" t="n"/>
      <c r="N518" s="11">
        <f>SI(O(H518="";J518="");"";SI(J518&lt;=H518;"SÍ";"NO"))</f>
        <v/>
      </c>
      <c r="O518" s="11">
        <f>SI(O(I518="";K518="");"";SI(K518&lt;=SI(M518&lt;&gt;"";M518;I518);"SÍ";"NO"))</f>
        <v/>
      </c>
      <c r="P518" s="11">
        <f>SI(O(N518="";O518="");"";SI(Y(N518="SÍ";O518="SÍ");"SÍ";"NO"))</f>
        <v/>
      </c>
      <c r="Q518" s="13">
        <f>SI(O(I518="";K518="");"";MAX(0;ENTERO(K518)-ENTERO(SI(M518&lt;&gt;"";M518;I518))))</f>
        <v/>
      </c>
      <c r="R518" s="11" t="n"/>
      <c r="S518" s="11" t="n"/>
      <c r="T518" s="12" t="n"/>
      <c r="U518" s="11" t="n">
        <v>15</v>
      </c>
      <c r="V518" s="11" t="n"/>
    </row>
    <row r="519">
      <c r="A519" s="14" t="n">
        <v>1378</v>
      </c>
      <c r="B519" s="14" t="inlineStr">
        <is>
          <t>GUADALUPE</t>
        </is>
      </c>
      <c r="C519" s="14" t="inlineStr">
        <is>
          <t>Guadalupe</t>
        </is>
      </c>
      <c r="D519" s="14" t="inlineStr">
        <is>
          <t>Antioquia</t>
        </is>
      </c>
      <c r="E519" s="14" t="inlineStr">
        <is>
          <t>ANTIOQUIA</t>
        </is>
      </c>
      <c r="F519" s="14" t="inlineStr">
        <is>
          <t>Juan Pablo Osorio Ramirez</t>
        </is>
      </c>
      <c r="G519" s="14" t="inlineStr">
        <is>
          <t>1</t>
        </is>
      </c>
      <c r="H519" s="15" t="n">
        <v>46297</v>
      </c>
      <c r="I519" s="15" t="n">
        <v>46297</v>
      </c>
      <c r="J519" s="15" t="n"/>
      <c r="K519" s="15" t="n"/>
      <c r="L519" s="14" t="inlineStr">
        <is>
          <t>Programada</t>
        </is>
      </c>
      <c r="M519" s="15" t="n"/>
      <c r="N519" s="14">
        <f>SI(O(H519="";J519="");"";SI(J519&lt;=H519;"SÍ";"NO"))</f>
        <v/>
      </c>
      <c r="O519" s="14">
        <f>SI(O(I519="";K519="");"";SI(K519&lt;=SI(M519&lt;&gt;"";M519;I519);"SÍ";"NO"))</f>
        <v/>
      </c>
      <c r="P519" s="14">
        <f>SI(O(N519="";O519="");"";SI(Y(N519="SÍ";O519="SÍ");"SÍ";"NO"))</f>
        <v/>
      </c>
      <c r="Q519" s="16">
        <f>SI(O(I519="";K519="");"";MAX(0;ENTERO(K519)-ENTERO(SI(M519&lt;&gt;"";M519;I519))))</f>
        <v/>
      </c>
      <c r="R519" s="14" t="n"/>
      <c r="S519" s="14" t="n"/>
      <c r="T519" s="15" t="n"/>
      <c r="U519" s="14" t="n">
        <v>13</v>
      </c>
      <c r="V519" s="14" t="n"/>
    </row>
    <row r="520">
      <c r="A520" s="11" t="n">
        <v>2416</v>
      </c>
      <c r="B520" s="11" t="inlineStr">
        <is>
          <t>CHIMICHAGUA</t>
        </is>
      </c>
      <c r="C520" s="11" t="inlineStr">
        <is>
          <t>Chimichagua</t>
        </is>
      </c>
      <c r="D520" s="11" t="inlineStr">
        <is>
          <t>Cesar</t>
        </is>
      </c>
      <c r="E520" s="11" t="inlineStr">
        <is>
          <t>COSTA</t>
        </is>
      </c>
      <c r="F520" s="11" t="inlineStr">
        <is>
          <t>María Fernanda Mendoza Martinez</t>
        </is>
      </c>
      <c r="G520" s="11" t="inlineStr">
        <is>
          <t>3</t>
        </is>
      </c>
      <c r="H520" s="12" t="n">
        <v>46297</v>
      </c>
      <c r="I520" s="12" t="n">
        <v>46297</v>
      </c>
      <c r="J520" s="12" t="n"/>
      <c r="K520" s="12" t="n"/>
      <c r="L520" s="11" t="inlineStr">
        <is>
          <t>Programada</t>
        </is>
      </c>
      <c r="M520" s="12" t="n"/>
      <c r="N520" s="11">
        <f>SI(O(H520="";J520="");"";SI(J520&lt;=H520;"SÍ";"NO"))</f>
        <v/>
      </c>
      <c r="O520" s="11">
        <f>SI(O(I520="";K520="");"";SI(K520&lt;=SI(M520&lt;&gt;"";M520;I520);"SÍ";"NO"))</f>
        <v/>
      </c>
      <c r="P520" s="11">
        <f>SI(O(N520="";O520="");"";SI(Y(N520="SÍ";O520="SÍ");"SÍ";"NO"))</f>
        <v/>
      </c>
      <c r="Q520" s="13">
        <f>SI(O(I520="";K520="");"";MAX(0;ENTERO(K520)-ENTERO(SI(M520&lt;&gt;"";M520;I520))))</f>
        <v/>
      </c>
      <c r="R520" s="11" t="n"/>
      <c r="S520" s="11" t="n"/>
      <c r="T520" s="12" t="n"/>
      <c r="U520" s="11" t="n">
        <v>20</v>
      </c>
      <c r="V520" s="11" t="n"/>
    </row>
    <row r="521">
      <c r="A521" s="14" t="n">
        <v>3107</v>
      </c>
      <c r="B521" s="14" t="inlineStr">
        <is>
          <t>ANOLAIMA</t>
        </is>
      </c>
      <c r="C521" s="14" t="inlineStr">
        <is>
          <t>Anolaima</t>
        </is>
      </c>
      <c r="D521" s="14" t="inlineStr">
        <is>
          <t>Cundinamarca</t>
        </is>
      </c>
      <c r="E521" s="14" t="inlineStr">
        <is>
          <t>BOGOTA</t>
        </is>
      </c>
      <c r="F521" s="14" t="inlineStr">
        <is>
          <t>Nelson Leonardo Paez Suarez</t>
        </is>
      </c>
      <c r="G521" s="14" t="inlineStr">
        <is>
          <t>2</t>
        </is>
      </c>
      <c r="H521" s="15" t="n">
        <v>46297</v>
      </c>
      <c r="I521" s="15" t="n">
        <v>46297</v>
      </c>
      <c r="J521" s="15" t="n"/>
      <c r="K521" s="15" t="n"/>
      <c r="L521" s="14" t="inlineStr">
        <is>
          <t>Programada</t>
        </is>
      </c>
      <c r="M521" s="15" t="n"/>
      <c r="N521" s="14">
        <f>SI(O(H521="";J521="");"";SI(J521&lt;=H521;"SÍ";"NO"))</f>
        <v/>
      </c>
      <c r="O521" s="14">
        <f>SI(O(I521="";K521="");"";SI(K521&lt;=SI(M521&lt;&gt;"";M521;I521);"SÍ";"NO"))</f>
        <v/>
      </c>
      <c r="P521" s="14">
        <f>SI(O(N521="";O521="");"";SI(Y(N521="SÍ";O521="SÍ");"SÍ";"NO"))</f>
        <v/>
      </c>
      <c r="Q521" s="16">
        <f>SI(O(I521="";K521="");"";MAX(0;ENTERO(K521)-ENTERO(SI(M521&lt;&gt;"";M521;I521))))</f>
        <v/>
      </c>
      <c r="R521" s="14" t="n"/>
      <c r="S521" s="14" t="n"/>
      <c r="T521" s="15" t="n"/>
      <c r="U521" s="14" t="n">
        <v>20</v>
      </c>
      <c r="V521" s="14" t="n"/>
    </row>
    <row r="522">
      <c r="A522" s="11" t="n">
        <v>3940</v>
      </c>
      <c r="B522" s="11" t="inlineStr">
        <is>
          <t>YAGUARA</t>
        </is>
      </c>
      <c r="C522" s="11" t="inlineStr">
        <is>
          <t>Yaguará</t>
        </is>
      </c>
      <c r="D522" s="11" t="inlineStr">
        <is>
          <t>Huila</t>
        </is>
      </c>
      <c r="E522" s="11" t="inlineStr">
        <is>
          <t>SUR</t>
        </is>
      </c>
      <c r="F522" s="11" t="inlineStr">
        <is>
          <t>ERIKA VARGAS</t>
        </is>
      </c>
      <c r="G522" s="11" t="inlineStr">
        <is>
          <t>2</t>
        </is>
      </c>
      <c r="H522" s="12" t="n">
        <v>46297</v>
      </c>
      <c r="I522" s="12" t="n">
        <v>46297</v>
      </c>
      <c r="J522" s="12" t="n"/>
      <c r="K522" s="12" t="n"/>
      <c r="L522" s="11" t="inlineStr">
        <is>
          <t>Programada</t>
        </is>
      </c>
      <c r="M522" s="12" t="n"/>
      <c r="N522" s="11">
        <f>SI(O(H522="";J522="");"";SI(J522&lt;=H522;"SÍ";"NO"))</f>
        <v/>
      </c>
      <c r="O522" s="11">
        <f>SI(O(I522="";K522="");"";SI(K522&lt;=SI(M522&lt;&gt;"";M522;I522);"SÍ";"NO"))</f>
        <v/>
      </c>
      <c r="P522" s="11">
        <f>SI(O(N522="";O522="");"";SI(Y(N522="SÍ";O522="SÍ");"SÍ";"NO"))</f>
        <v/>
      </c>
      <c r="Q522" s="13">
        <f>SI(O(I522="";K522="");"";MAX(0;ENTERO(K522)-ENTERO(SI(M522&lt;&gt;"";M522;I522))))</f>
        <v/>
      </c>
      <c r="R522" s="11" t="n"/>
      <c r="S522" s="11" t="n"/>
      <c r="T522" s="12" t="n"/>
      <c r="U522" s="11" t="n">
        <v>16</v>
      </c>
      <c r="V522" s="11" t="n"/>
    </row>
    <row r="523">
      <c r="A523" s="14" t="n">
        <v>3965</v>
      </c>
      <c r="B523" s="14" t="inlineStr">
        <is>
          <t>TIMANA</t>
        </is>
      </c>
      <c r="C523" s="14" t="inlineStr">
        <is>
          <t>Timaná</t>
        </is>
      </c>
      <c r="D523" s="14" t="inlineStr">
        <is>
          <t>Huila</t>
        </is>
      </c>
      <c r="E523" s="14" t="inlineStr">
        <is>
          <t>SUR</t>
        </is>
      </c>
      <c r="F523" s="14" t="inlineStr">
        <is>
          <t>ERIKA VARGAS</t>
        </is>
      </c>
      <c r="G523" s="14" t="inlineStr">
        <is>
          <t>3</t>
        </is>
      </c>
      <c r="H523" s="15" t="n">
        <v>46297</v>
      </c>
      <c r="I523" s="15" t="n">
        <v>46297</v>
      </c>
      <c r="J523" s="15" t="n"/>
      <c r="K523" s="15" t="n"/>
      <c r="L523" s="14" t="inlineStr">
        <is>
          <t>Programada</t>
        </is>
      </c>
      <c r="M523" s="15" t="n"/>
      <c r="N523" s="14">
        <f>SI(O(H523="";J523="");"";SI(J523&lt;=H523;"SÍ";"NO"))</f>
        <v/>
      </c>
      <c r="O523" s="14">
        <f>SI(O(I523="";K523="");"";SI(K523&lt;=SI(M523&lt;&gt;"";M523;I523);"SÍ";"NO"))</f>
        <v/>
      </c>
      <c r="P523" s="14">
        <f>SI(O(N523="";O523="");"";SI(Y(N523="SÍ";O523="SÍ");"SÍ";"NO"))</f>
        <v/>
      </c>
      <c r="Q523" s="16">
        <f>SI(O(I523="";K523="");"";MAX(0;ENTERO(K523)-ENTERO(SI(M523&lt;&gt;"";M523;I523))))</f>
        <v/>
      </c>
      <c r="R523" s="14" t="n"/>
      <c r="S523" s="14" t="n"/>
      <c r="T523" s="15" t="n"/>
      <c r="U523" s="14" t="n">
        <v>26</v>
      </c>
      <c r="V523" s="14" t="n"/>
    </row>
    <row r="524">
      <c r="A524" s="11" t="n">
        <v>4880</v>
      </c>
      <c r="B524" s="11" t="inlineStr">
        <is>
          <t>TAMINANGO</t>
        </is>
      </c>
      <c r="C524" s="11" t="inlineStr">
        <is>
          <t>Taminango</t>
        </is>
      </c>
      <c r="D524" s="11" t="inlineStr">
        <is>
          <t>Nariño</t>
        </is>
      </c>
      <c r="E524" s="11" t="inlineStr">
        <is>
          <t>OCCIDENTE</t>
        </is>
      </c>
      <c r="F524" s="11" t="inlineStr">
        <is>
          <t>Juan Carlos Narvaez Acosta / Luis Fernando Ibarra Guio</t>
        </is>
      </c>
      <c r="G524" s="11" t="inlineStr">
        <is>
          <t>3</t>
        </is>
      </c>
      <c r="H524" s="12" t="n">
        <v>46297</v>
      </c>
      <c r="I524" s="12" t="n">
        <v>46297</v>
      </c>
      <c r="J524" s="12" t="n"/>
      <c r="K524" s="12" t="n"/>
      <c r="L524" s="11" t="inlineStr">
        <is>
          <t>Programada</t>
        </is>
      </c>
      <c r="M524" s="12" t="n"/>
      <c r="N524" s="11">
        <f>SI(O(H524="";J524="");"";SI(J524&lt;=H524;"SÍ";"NO"))</f>
        <v/>
      </c>
      <c r="O524" s="11">
        <f>SI(O(I524="";K524="");"";SI(K524&lt;=SI(M524&lt;&gt;"";M524;I524);"SÍ";"NO"))</f>
        <v/>
      </c>
      <c r="P524" s="11">
        <f>SI(O(N524="";O524="");"";SI(Y(N524="SÍ";O524="SÍ");"SÍ";"NO"))</f>
        <v/>
      </c>
      <c r="Q524" s="13">
        <f>SI(O(I524="";K524="");"";MAX(0;ENTERO(K524)-ENTERO(SI(M524&lt;&gt;"";M524;I524))))</f>
        <v/>
      </c>
      <c r="R524" s="11" t="n"/>
      <c r="S524" s="11" t="n"/>
      <c r="T524" s="12" t="n"/>
      <c r="U524" s="11" t="n">
        <v>22</v>
      </c>
      <c r="V524" s="11" t="n"/>
    </row>
    <row r="525">
      <c r="A525" s="14" t="n">
        <v>6063</v>
      </c>
      <c r="B525" s="14" t="inlineStr">
        <is>
          <t>LOS SANTOS</t>
        </is>
      </c>
      <c r="C525" s="14" t="inlineStr">
        <is>
          <t>Los Santos</t>
        </is>
      </c>
      <c r="D525" s="14" t="inlineStr">
        <is>
          <t>Santander</t>
        </is>
      </c>
      <c r="E525" s="14" t="inlineStr">
        <is>
          <t>SANTANDERES</t>
        </is>
      </c>
      <c r="F525" s="14" t="inlineStr">
        <is>
          <t>Andrés Felipe Díaz Noy</t>
        </is>
      </c>
      <c r="G525" s="14" t="inlineStr">
        <is>
          <t>2</t>
        </is>
      </c>
      <c r="H525" s="15" t="n">
        <v>46297</v>
      </c>
      <c r="I525" s="15" t="n">
        <v>46297</v>
      </c>
      <c r="J525" s="15" t="n"/>
      <c r="K525" s="15" t="n"/>
      <c r="L525" s="14" t="inlineStr">
        <is>
          <t>Programada</t>
        </is>
      </c>
      <c r="M525" s="15" t="n"/>
      <c r="N525" s="14">
        <f>SI(O(H525="";J525="");"";SI(J525&lt;=H525;"SÍ";"NO"))</f>
        <v/>
      </c>
      <c r="O525" s="14">
        <f>SI(O(I525="";K525="");"";SI(K525&lt;=SI(M525&lt;&gt;"";M525;I525);"SÍ";"NO"))</f>
        <v/>
      </c>
      <c r="P525" s="14">
        <f>SI(O(N525="";O525="");"";SI(Y(N525="SÍ";O525="SÍ");"SÍ";"NO"))</f>
        <v/>
      </c>
      <c r="Q525" s="16">
        <f>SI(O(I525="";K525="");"";MAX(0;ENTERO(K525)-ENTERO(SI(M525&lt;&gt;"";M525;I525))))</f>
        <v/>
      </c>
      <c r="R525" s="14" t="n"/>
      <c r="S525" s="14" t="n"/>
      <c r="T525" s="15" t="n"/>
      <c r="U525" s="14" t="n">
        <v>18</v>
      </c>
      <c r="V525" s="14" t="n"/>
    </row>
    <row r="526">
      <c r="A526" s="11" t="n">
        <v>6931</v>
      </c>
      <c r="B526" s="11" t="inlineStr">
        <is>
          <t>LA CUMBRE</t>
        </is>
      </c>
      <c r="C526" s="11" t="inlineStr">
        <is>
          <t>La Cumbre</t>
        </is>
      </c>
      <c r="D526" s="11" t="inlineStr">
        <is>
          <t>Valle del Cauca</t>
        </is>
      </c>
      <c r="E526" s="11" t="inlineStr">
        <is>
          <t>OCCIDENTE</t>
        </is>
      </c>
      <c r="F526" s="11" t="inlineStr">
        <is>
          <t>John Edwin Jimenez Chavez</t>
        </is>
      </c>
      <c r="G526" s="11" t="inlineStr">
        <is>
          <t>2</t>
        </is>
      </c>
      <c r="H526" s="12" t="n">
        <v>46297</v>
      </c>
      <c r="I526" s="12" t="n">
        <v>46297</v>
      </c>
      <c r="J526" s="12" t="n"/>
      <c r="K526" s="12" t="n"/>
      <c r="L526" s="11" t="inlineStr">
        <is>
          <t>Programada</t>
        </is>
      </c>
      <c r="M526" s="12" t="n"/>
      <c r="N526" s="11">
        <f>SI(O(H526="";J526="");"";SI(J526&lt;=H526;"SÍ";"NO"))</f>
        <v/>
      </c>
      <c r="O526" s="11">
        <f>SI(O(I526="";K526="");"";SI(K526&lt;=SI(M526&lt;&gt;"";M526;I526);"SÍ";"NO"))</f>
        <v/>
      </c>
      <c r="P526" s="11">
        <f>SI(O(N526="";O526="");"";SI(Y(N526="SÍ";O526="SÍ");"SÍ";"NO"))</f>
        <v/>
      </c>
      <c r="Q526" s="13">
        <f>SI(O(I526="";K526="");"";MAX(0;ENTERO(K526)-ENTERO(SI(M526&lt;&gt;"";M526;I526))))</f>
        <v/>
      </c>
      <c r="R526" s="11" t="n"/>
      <c r="S526" s="11" t="n"/>
      <c r="T526" s="12" t="n"/>
      <c r="U526" s="11" t="n">
        <v>15</v>
      </c>
      <c r="V526" s="11" t="n"/>
    </row>
    <row r="527">
      <c r="A527" s="14" t="n">
        <v>20</v>
      </c>
      <c r="B527" s="14" t="inlineStr">
        <is>
          <t>BOGOTA CENTRO DE PAGOS, RECAUDOS Y DEPOSITOS JUDICIALES CHAPINERO</t>
        </is>
      </c>
      <c r="C527" s="14" t="inlineStr">
        <is>
          <t>Bogotá, D.C.</t>
        </is>
      </c>
      <c r="D527" s="14" t="inlineStr">
        <is>
          <t>Bogotá D.C</t>
        </is>
      </c>
      <c r="E527" s="14" t="inlineStr">
        <is>
          <t>BOGOTA</t>
        </is>
      </c>
      <c r="F527" s="14" t="inlineStr">
        <is>
          <t>Anderson Forero Mora</t>
        </is>
      </c>
      <c r="G527" s="14" t="inlineStr">
        <is>
          <t>1</t>
        </is>
      </c>
      <c r="H527" s="15" t="n">
        <v>46300</v>
      </c>
      <c r="I527" s="15" t="n">
        <v>46301</v>
      </c>
      <c r="J527" s="15" t="n"/>
      <c r="K527" s="15" t="n"/>
      <c r="L527" s="14" t="inlineStr">
        <is>
          <t>Programada</t>
        </is>
      </c>
      <c r="M527" s="15" t="n"/>
      <c r="N527" s="14">
        <f>SI(O(H527="";J527="");"";SI(J527&lt;=H527;"SÍ";"NO"))</f>
        <v/>
      </c>
      <c r="O527" s="14">
        <f>SI(O(I527="";K527="");"";SI(K527&lt;=SI(M527&lt;&gt;"";M527;I527);"SÍ";"NO"))</f>
        <v/>
      </c>
      <c r="P527" s="14">
        <f>SI(O(N527="";O527="");"";SI(Y(N527="SÍ";O527="SÍ");"SÍ";"NO"))</f>
        <v/>
      </c>
      <c r="Q527" s="16">
        <f>SI(O(I527="";K527="");"";MAX(0;ENTERO(K527)-ENTERO(SI(M527&lt;&gt;"";M527;I527))))</f>
        <v/>
      </c>
      <c r="R527" s="14" t="n"/>
      <c r="S527" s="14" t="n"/>
      <c r="T527" s="15" t="n"/>
      <c r="U527" s="14" t="n">
        <v>35</v>
      </c>
      <c r="V527" s="14" t="n"/>
    </row>
    <row r="528">
      <c r="A528" s="11" t="n">
        <v>1218</v>
      </c>
      <c r="B528" s="11" t="inlineStr">
        <is>
          <t>MARIA LA BAJA</t>
        </is>
      </c>
      <c r="C528" s="11" t="inlineStr">
        <is>
          <t>María La Baja</t>
        </is>
      </c>
      <c r="D528" s="11" t="inlineStr">
        <is>
          <t>Bolívar</t>
        </is>
      </c>
      <c r="E528" s="11" t="inlineStr">
        <is>
          <t>COSTA</t>
        </is>
      </c>
      <c r="F528" s="11" t="inlineStr">
        <is>
          <t>Ramon Salgado Romero</t>
        </is>
      </c>
      <c r="G528" s="11" t="inlineStr">
        <is>
          <t>3</t>
        </is>
      </c>
      <c r="H528" s="12" t="n">
        <v>46300</v>
      </c>
      <c r="I528" s="12" t="n">
        <v>46300</v>
      </c>
      <c r="J528" s="12" t="n"/>
      <c r="K528" s="12" t="n"/>
      <c r="L528" s="11" t="inlineStr">
        <is>
          <t>Programada</t>
        </is>
      </c>
      <c r="M528" s="12" t="n"/>
      <c r="N528" s="11">
        <f>SI(O(H528="";J528="");"";SI(J528&lt;=H528;"SÍ";"NO"))</f>
        <v/>
      </c>
      <c r="O528" s="11">
        <f>SI(O(I528="";K528="");"";SI(K528&lt;=SI(M528&lt;&gt;"";M528;I528);"SÍ";"NO"))</f>
        <v/>
      </c>
      <c r="P528" s="11">
        <f>SI(O(N528="";O528="");"";SI(Y(N528="SÍ";O528="SÍ");"SÍ";"NO"))</f>
        <v/>
      </c>
      <c r="Q528" s="13">
        <f>SI(O(I528="";K528="");"";MAX(0;ENTERO(K528)-ENTERO(SI(M528&lt;&gt;"";M528;I528))))</f>
        <v/>
      </c>
      <c r="R528" s="11" t="n"/>
      <c r="S528" s="11" t="n"/>
      <c r="T528" s="12" t="n"/>
      <c r="U528" s="11" t="n">
        <v>26</v>
      </c>
      <c r="V528" s="11" t="n"/>
    </row>
    <row r="529">
      <c r="A529" s="14" t="n">
        <v>1391</v>
      </c>
      <c r="B529" s="14" t="inlineStr">
        <is>
          <t>SAN PEDRO DE URABA</t>
        </is>
      </c>
      <c r="C529" s="14" t="inlineStr">
        <is>
          <t>San Pedro De Uraba</t>
        </is>
      </c>
      <c r="D529" s="14" t="inlineStr">
        <is>
          <t>Antioquia</t>
        </is>
      </c>
      <c r="E529" s="14" t="inlineStr">
        <is>
          <t>COSTA</t>
        </is>
      </c>
      <c r="F529" s="14" t="inlineStr">
        <is>
          <t>Ever Enrique Esquivel Movilla</t>
        </is>
      </c>
      <c r="G529" s="14" t="inlineStr">
        <is>
          <t>3</t>
        </is>
      </c>
      <c r="H529" s="15" t="n">
        <v>46300</v>
      </c>
      <c r="I529" s="15" t="n">
        <v>46300</v>
      </c>
      <c r="J529" s="15" t="n"/>
      <c r="K529" s="15" t="n"/>
      <c r="L529" s="14" t="inlineStr">
        <is>
          <t>Programada</t>
        </is>
      </c>
      <c r="M529" s="15" t="n"/>
      <c r="N529" s="14">
        <f>SI(O(H529="";J529="");"";SI(J529&lt;=H529;"SÍ";"NO"))</f>
        <v/>
      </c>
      <c r="O529" s="14">
        <f>SI(O(I529="";K529="");"";SI(K529&lt;=SI(M529&lt;&gt;"";M529;I529);"SÍ";"NO"))</f>
        <v/>
      </c>
      <c r="P529" s="14">
        <f>SI(O(N529="";O529="");"";SI(Y(N529="SÍ";O529="SÍ");"SÍ";"NO"))</f>
        <v/>
      </c>
      <c r="Q529" s="16">
        <f>SI(O(I529="";K529="");"";MAX(0;ENTERO(K529)-ENTERO(SI(M529&lt;&gt;"";M529;I529))))</f>
        <v/>
      </c>
      <c r="R529" s="14" t="n"/>
      <c r="S529" s="14" t="n"/>
      <c r="T529" s="15" t="n"/>
      <c r="U529" s="14" t="n">
        <v>20</v>
      </c>
      <c r="V529" s="14" t="n"/>
    </row>
    <row r="530">
      <c r="A530" s="11" t="n">
        <v>1620</v>
      </c>
      <c r="B530" s="11" t="inlineStr">
        <is>
          <t>SABANALARGA</t>
        </is>
      </c>
      <c r="C530" s="11" t="inlineStr">
        <is>
          <t>Sabanalarga</t>
        </is>
      </c>
      <c r="D530" s="11" t="inlineStr">
        <is>
          <t>Atlántico</t>
        </is>
      </c>
      <c r="E530" s="11" t="inlineStr">
        <is>
          <t>COSTA</t>
        </is>
      </c>
      <c r="F530" s="11" t="inlineStr">
        <is>
          <t>Karolym  Maria Rypoll Bolemo</t>
        </is>
      </c>
      <c r="G530" s="11" t="inlineStr">
        <is>
          <t>3</t>
        </is>
      </c>
      <c r="H530" s="12" t="n">
        <v>46300</v>
      </c>
      <c r="I530" s="12" t="n">
        <v>46300</v>
      </c>
      <c r="J530" s="12" t="n"/>
      <c r="K530" s="12" t="n"/>
      <c r="L530" s="11" t="inlineStr">
        <is>
          <t>Programada</t>
        </is>
      </c>
      <c r="M530" s="12" t="n"/>
      <c r="N530" s="11">
        <f>SI(O(H530="";J530="");"";SI(J530&lt;=H530;"SÍ";"NO"))</f>
        <v/>
      </c>
      <c r="O530" s="11">
        <f>SI(O(I530="";K530="");"";SI(K530&lt;=SI(M530&lt;&gt;"";M530;I530);"SÍ";"NO"))</f>
        <v/>
      </c>
      <c r="P530" s="11">
        <f>SI(O(N530="";O530="");"";SI(Y(N530="SÍ";O530="SÍ");"SÍ";"NO"))</f>
        <v/>
      </c>
      <c r="Q530" s="13">
        <f>SI(O(I530="";K530="");"";MAX(0;ENTERO(K530)-ENTERO(SI(M530&lt;&gt;"";M530;I530))))</f>
        <v/>
      </c>
      <c r="R530" s="11" t="n"/>
      <c r="S530" s="11" t="n"/>
      <c r="T530" s="12" t="n"/>
      <c r="U530" s="11" t="n">
        <v>23</v>
      </c>
      <c r="V530" s="11" t="n"/>
    </row>
    <row r="531">
      <c r="A531" s="14" t="n">
        <v>2174</v>
      </c>
      <c r="B531" s="14" t="inlineStr">
        <is>
          <t>PURACE</t>
        </is>
      </c>
      <c r="C531" s="14" t="inlineStr">
        <is>
          <t>Puracé</t>
        </is>
      </c>
      <c r="D531" s="14" t="inlineStr">
        <is>
          <t>Cauca</t>
        </is>
      </c>
      <c r="E531" s="14" t="inlineStr">
        <is>
          <t>OCCIDENTE</t>
        </is>
      </c>
      <c r="F531" s="14" t="inlineStr">
        <is>
          <t>Holmes Arley Astudillo Fajardo</t>
        </is>
      </c>
      <c r="G531" s="14" t="inlineStr">
        <is>
          <t>1</t>
        </is>
      </c>
      <c r="H531" s="15" t="n">
        <v>46300</v>
      </c>
      <c r="I531" s="15" t="n">
        <v>46300</v>
      </c>
      <c r="J531" s="15" t="n"/>
      <c r="K531" s="15" t="n"/>
      <c r="L531" s="14" t="inlineStr">
        <is>
          <t>Programada</t>
        </is>
      </c>
      <c r="M531" s="15" t="n"/>
      <c r="N531" s="14">
        <f>SI(O(H531="";J531="");"";SI(J531&lt;=H531;"SÍ";"NO"))</f>
        <v/>
      </c>
      <c r="O531" s="14">
        <f>SI(O(I531="";K531="");"";SI(K531&lt;=SI(M531&lt;&gt;"";M531;I531);"SÍ";"NO"))</f>
        <v/>
      </c>
      <c r="P531" s="14">
        <f>SI(O(N531="";O531="");"";SI(Y(N531="SÍ";O531="SÍ");"SÍ";"NO"))</f>
        <v/>
      </c>
      <c r="Q531" s="16">
        <f>SI(O(I531="";K531="");"";MAX(0;ENTERO(K531)-ENTERO(SI(M531&lt;&gt;"";M531;I531))))</f>
        <v/>
      </c>
      <c r="R531" s="14" t="n"/>
      <c r="S531" s="14" t="n"/>
      <c r="T531" s="15" t="n"/>
      <c r="U531" s="14" t="n">
        <v>14</v>
      </c>
      <c r="V531" s="14" t="n"/>
    </row>
    <row r="532">
      <c r="A532" s="11" t="n">
        <v>3952</v>
      </c>
      <c r="B532" s="11" t="inlineStr">
        <is>
          <t>SAN AGUSTIN</t>
        </is>
      </c>
      <c r="C532" s="11" t="inlineStr">
        <is>
          <t>San Agustín</t>
        </is>
      </c>
      <c r="D532" s="11" t="inlineStr">
        <is>
          <t>Huila</t>
        </is>
      </c>
      <c r="E532" s="11" t="inlineStr">
        <is>
          <t>SUR</t>
        </is>
      </c>
      <c r="F532" s="11" t="inlineStr">
        <is>
          <t>ERIKA VARGAS</t>
        </is>
      </c>
      <c r="G532" s="11" t="inlineStr">
        <is>
          <t>3</t>
        </is>
      </c>
      <c r="H532" s="12" t="n">
        <v>46300</v>
      </c>
      <c r="I532" s="12" t="n">
        <v>46300</v>
      </c>
      <c r="J532" s="12" t="n"/>
      <c r="K532" s="12" t="n"/>
      <c r="L532" s="11" t="inlineStr">
        <is>
          <t>Programada</t>
        </is>
      </c>
      <c r="M532" s="12" t="n"/>
      <c r="N532" s="11">
        <f>SI(O(H532="";J532="");"";SI(J532&lt;=H532;"SÍ";"NO"))</f>
        <v/>
      </c>
      <c r="O532" s="11">
        <f>SI(O(I532="";K532="");"";SI(K532&lt;=SI(M532&lt;&gt;"";M532;I532);"SÍ";"NO"))</f>
        <v/>
      </c>
      <c r="P532" s="11">
        <f>SI(O(N532="";O532="");"";SI(Y(N532="SÍ";O532="SÍ");"SÍ";"NO"))</f>
        <v/>
      </c>
      <c r="Q532" s="13">
        <f>SI(O(I532="";K532="");"";MAX(0;ENTERO(K532)-ENTERO(SI(M532&lt;&gt;"";M532;I532))))</f>
        <v/>
      </c>
      <c r="R532" s="11" t="n"/>
      <c r="S532" s="11" t="n"/>
      <c r="T532" s="12" t="n"/>
      <c r="U532" s="11" t="n">
        <v>36</v>
      </c>
      <c r="V532" s="11" t="n"/>
    </row>
    <row r="533">
      <c r="A533" s="14" t="n">
        <v>6042</v>
      </c>
      <c r="B533" s="14" t="inlineStr">
        <is>
          <t>SAN GIL</t>
        </is>
      </c>
      <c r="C533" s="14" t="inlineStr">
        <is>
          <t>San Gil</t>
        </is>
      </c>
      <c r="D533" s="14" t="inlineStr">
        <is>
          <t>Santander</t>
        </is>
      </c>
      <c r="E533" s="14" t="inlineStr">
        <is>
          <t>SANTANDERES</t>
        </is>
      </c>
      <c r="F533" s="14" t="inlineStr">
        <is>
          <t>Andrés Felipe Carvajal Pire</t>
        </is>
      </c>
      <c r="G533" s="14" t="inlineStr">
        <is>
          <t>7</t>
        </is>
      </c>
      <c r="H533" s="15" t="n">
        <v>46300</v>
      </c>
      <c r="I533" s="15" t="n">
        <v>46302</v>
      </c>
      <c r="J533" s="15" t="n"/>
      <c r="K533" s="15" t="n"/>
      <c r="L533" s="14" t="inlineStr">
        <is>
          <t>Programada</t>
        </is>
      </c>
      <c r="M533" s="15" t="n"/>
      <c r="N533" s="14">
        <f>SI(O(H533="";J533="");"";SI(J533&lt;=H533;"SÍ";"NO"))</f>
        <v/>
      </c>
      <c r="O533" s="14">
        <f>SI(O(I533="";K533="");"";SI(K533&lt;=SI(M533&lt;&gt;"";M533;I533);"SÍ";"NO"))</f>
        <v/>
      </c>
      <c r="P533" s="14">
        <f>SI(O(N533="";O533="");"";SI(Y(N533="SÍ";O533="SÍ");"SÍ";"NO"))</f>
        <v/>
      </c>
      <c r="Q533" s="16">
        <f>SI(O(I533="";K533="");"";MAX(0;ENTERO(K533)-ENTERO(SI(M533&lt;&gt;"";M533;I533))))</f>
        <v/>
      </c>
      <c r="R533" s="14" t="n"/>
      <c r="S533" s="14" t="n"/>
      <c r="T533" s="15" t="n"/>
      <c r="U533" s="14" t="n">
        <v>52</v>
      </c>
      <c r="V533" s="14" t="n"/>
    </row>
    <row r="534">
      <c r="A534" s="11" t="n">
        <v>6048</v>
      </c>
      <c r="B534" s="11" t="inlineStr">
        <is>
          <t>ZAPATOCA</t>
        </is>
      </c>
      <c r="C534" s="11" t="inlineStr">
        <is>
          <t>Zapatoca</t>
        </is>
      </c>
      <c r="D534" s="11" t="inlineStr">
        <is>
          <t>Santander</t>
        </is>
      </c>
      <c r="E534" s="11" t="inlineStr">
        <is>
          <t>SANTANDERES</t>
        </is>
      </c>
      <c r="F534" s="11" t="inlineStr">
        <is>
          <t>Andrés Felipe Díaz Noy</t>
        </is>
      </c>
      <c r="G534" s="11" t="inlineStr">
        <is>
          <t>3</t>
        </is>
      </c>
      <c r="H534" s="12" t="n">
        <v>46300</v>
      </c>
      <c r="I534" s="12" t="n">
        <v>46301</v>
      </c>
      <c r="J534" s="12" t="n"/>
      <c r="K534" s="12" t="n"/>
      <c r="L534" s="11" t="inlineStr">
        <is>
          <t>Programada</t>
        </is>
      </c>
      <c r="M534" s="12" t="n"/>
      <c r="N534" s="11">
        <f>SI(O(H534="";J534="");"";SI(J534&lt;=H534;"SÍ";"NO"))</f>
        <v/>
      </c>
      <c r="O534" s="11">
        <f>SI(O(I534="";K534="");"";SI(K534&lt;=SI(M534&lt;&gt;"";M534;I534);"SÍ";"NO"))</f>
        <v/>
      </c>
      <c r="P534" s="11">
        <f>SI(O(N534="";O534="");"";SI(Y(N534="SÍ";O534="SÍ");"SÍ";"NO"))</f>
        <v/>
      </c>
      <c r="Q534" s="13">
        <f>SI(O(I534="";K534="");"";MAX(0;ENTERO(K534)-ENTERO(SI(M534&lt;&gt;"";M534;I534))))</f>
        <v/>
      </c>
      <c r="R534" s="11" t="n"/>
      <c r="S534" s="11" t="n"/>
      <c r="T534" s="12" t="n"/>
      <c r="U534" s="11" t="n">
        <v>24</v>
      </c>
      <c r="V534" s="11" t="n"/>
    </row>
    <row r="535">
      <c r="A535" s="14" t="n">
        <v>6064</v>
      </c>
      <c r="B535" s="14" t="inlineStr">
        <is>
          <t>MATANZA</t>
        </is>
      </c>
      <c r="C535" s="14" t="inlineStr">
        <is>
          <t>Matanza</t>
        </is>
      </c>
      <c r="D535" s="14" t="inlineStr">
        <is>
          <t>Santander</t>
        </is>
      </c>
      <c r="E535" s="14" t="inlineStr">
        <is>
          <t>SANTANDERES</t>
        </is>
      </c>
      <c r="F535" s="14" t="inlineStr">
        <is>
          <t>Mauricio Andrés Rivera Páez</t>
        </is>
      </c>
      <c r="G535" s="14" t="inlineStr">
        <is>
          <t>1</t>
        </is>
      </c>
      <c r="H535" s="15" t="n">
        <v>46300</v>
      </c>
      <c r="I535" s="15" t="n">
        <v>46301</v>
      </c>
      <c r="J535" s="15" t="n"/>
      <c r="K535" s="15" t="n"/>
      <c r="L535" s="14" t="inlineStr">
        <is>
          <t>Programada</t>
        </is>
      </c>
      <c r="M535" s="15" t="n"/>
      <c r="N535" s="14">
        <f>SI(O(H535="";J535="");"";SI(J535&lt;=H535;"SÍ";"NO"))</f>
        <v/>
      </c>
      <c r="O535" s="14">
        <f>SI(O(I535="";K535="");"";SI(K535&lt;=SI(M535&lt;&gt;"";M535;I535);"SÍ";"NO"))</f>
        <v/>
      </c>
      <c r="P535" s="14">
        <f>SI(O(N535="";O535="");"";SI(Y(N535="SÍ";O535="SÍ");"SÍ";"NO"))</f>
        <v/>
      </c>
      <c r="Q535" s="16">
        <f>SI(O(I535="";K535="");"";MAX(0;ENTERO(K535)-ENTERO(SI(M535&lt;&gt;"";M535;I535))))</f>
        <v/>
      </c>
      <c r="R535" s="14" t="n"/>
      <c r="S535" s="14" t="n"/>
      <c r="T535" s="15" t="n"/>
      <c r="U535" s="14" t="n">
        <v>13</v>
      </c>
      <c r="V535" s="14" t="n"/>
    </row>
    <row r="536">
      <c r="A536" s="11" t="n">
        <v>6078</v>
      </c>
      <c r="B536" s="11" t="inlineStr">
        <is>
          <t>TONA</t>
        </is>
      </c>
      <c r="C536" s="11" t="inlineStr">
        <is>
          <t>Tona</t>
        </is>
      </c>
      <c r="D536" s="11" t="inlineStr">
        <is>
          <t>Santander</t>
        </is>
      </c>
      <c r="E536" s="11" t="inlineStr">
        <is>
          <t>SANTANDERES</t>
        </is>
      </c>
      <c r="F536" s="11" t="inlineStr">
        <is>
          <t>Luz Nélida Barragán Toro</t>
        </is>
      </c>
      <c r="G536" s="11" t="inlineStr">
        <is>
          <t>2</t>
        </is>
      </c>
      <c r="H536" s="12" t="n">
        <v>46300</v>
      </c>
      <c r="I536" s="12" t="n">
        <v>46301</v>
      </c>
      <c r="J536" s="12" t="n"/>
      <c r="K536" s="12" t="n"/>
      <c r="L536" s="11" t="inlineStr">
        <is>
          <t>Programada</t>
        </is>
      </c>
      <c r="M536" s="12" t="n"/>
      <c r="N536" s="11">
        <f>SI(O(H536="";J536="");"";SI(J536&lt;=H536;"SÍ";"NO"))</f>
        <v/>
      </c>
      <c r="O536" s="11">
        <f>SI(O(I536="";K536="");"";SI(K536&lt;=SI(M536&lt;&gt;"";M536;I536);"SÍ";"NO"))</f>
        <v/>
      </c>
      <c r="P536" s="11">
        <f>SI(O(N536="";O536="");"";SI(Y(N536="SÍ";O536="SÍ");"SÍ";"NO"))</f>
        <v/>
      </c>
      <c r="Q536" s="13">
        <f>SI(O(I536="";K536="");"";MAX(0;ENTERO(K536)-ENTERO(SI(M536&lt;&gt;"";M536;I536))))</f>
        <v/>
      </c>
      <c r="R536" s="11" t="n"/>
      <c r="S536" s="11" t="n"/>
      <c r="T536" s="12" t="n"/>
      <c r="U536" s="11" t="n">
        <v>14</v>
      </c>
      <c r="V536" s="11" t="n"/>
    </row>
    <row r="537">
      <c r="A537" s="14" t="n">
        <v>6303</v>
      </c>
      <c r="B537" s="14" t="inlineStr">
        <is>
          <t>SINCELEJO</t>
        </is>
      </c>
      <c r="C537" s="14" t="inlineStr">
        <is>
          <t>Sincelejo</t>
        </is>
      </c>
      <c r="D537" s="14" t="inlineStr">
        <is>
          <t>Sucre</t>
        </is>
      </c>
      <c r="E537" s="14" t="inlineStr">
        <is>
          <t>COSTA</t>
        </is>
      </c>
      <c r="F537" s="14" t="inlineStr">
        <is>
          <t>Laura Camila Ospino Taborda</t>
        </is>
      </c>
      <c r="G537" s="14" t="inlineStr">
        <is>
          <t>10</t>
        </is>
      </c>
      <c r="H537" s="15" t="n">
        <v>46300</v>
      </c>
      <c r="I537" s="15" t="n">
        <v>46302</v>
      </c>
      <c r="J537" s="15" t="n"/>
      <c r="K537" s="15" t="n"/>
      <c r="L537" s="14" t="inlineStr">
        <is>
          <t>Programada</t>
        </is>
      </c>
      <c r="M537" s="15" t="n"/>
      <c r="N537" s="14">
        <f>SI(O(H537="";J537="");"";SI(J537&lt;=H537;"SÍ";"NO"))</f>
        <v/>
      </c>
      <c r="O537" s="14">
        <f>SI(O(I537="";K537="");"";SI(K537&lt;=SI(M537&lt;&gt;"";M537;I537);"SÍ";"NO"))</f>
        <v/>
      </c>
      <c r="P537" s="14">
        <f>SI(O(N537="";O537="");"";SI(Y(N537="SÍ";O537="SÍ");"SÍ";"NO"))</f>
        <v/>
      </c>
      <c r="Q537" s="16">
        <f>SI(O(I537="";K537="");"";MAX(0;ENTERO(K537)-ENTERO(SI(M537&lt;&gt;"";M537;I537))))</f>
        <v/>
      </c>
      <c r="R537" s="14" t="n"/>
      <c r="S537" s="14" t="n"/>
      <c r="T537" s="15" t="n"/>
      <c r="U537" s="14" t="n">
        <v>57</v>
      </c>
      <c r="V537" s="14" t="n"/>
    </row>
    <row r="538">
      <c r="A538" s="11" t="n">
        <v>6928</v>
      </c>
      <c r="B538" s="11" t="inlineStr">
        <is>
          <t>JAMUNDÍ</t>
        </is>
      </c>
      <c r="C538" s="11" t="inlineStr">
        <is>
          <t>Jamundí</t>
        </is>
      </c>
      <c r="D538" s="11" t="inlineStr">
        <is>
          <t>Valle del Cauca</t>
        </is>
      </c>
      <c r="E538" s="11" t="inlineStr">
        <is>
          <t>OCCIDENTE</t>
        </is>
      </c>
      <c r="F538" s="11" t="inlineStr">
        <is>
          <t>John Edwin Jimenez Chavez</t>
        </is>
      </c>
      <c r="G538" s="11" t="inlineStr">
        <is>
          <t>3</t>
        </is>
      </c>
      <c r="H538" s="12" t="n">
        <v>46300</v>
      </c>
      <c r="I538" s="12" t="n">
        <v>46300</v>
      </c>
      <c r="J538" s="12" t="n"/>
      <c r="K538" s="12" t="n"/>
      <c r="L538" s="11" t="inlineStr">
        <is>
          <t>Programada</t>
        </is>
      </c>
      <c r="M538" s="12" t="n"/>
      <c r="N538" s="11">
        <f>SI(O(H538="";J538="");"";SI(J538&lt;=H538;"SÍ";"NO"))</f>
        <v/>
      </c>
      <c r="O538" s="11">
        <f>SI(O(I538="";K538="");"";SI(K538&lt;=SI(M538&lt;&gt;"";M538;I538);"SÍ";"NO"))</f>
        <v/>
      </c>
      <c r="P538" s="11">
        <f>SI(O(N538="";O538="");"";SI(Y(N538="SÍ";O538="SÍ");"SÍ";"NO"))</f>
        <v/>
      </c>
      <c r="Q538" s="13">
        <f>SI(O(I538="";K538="");"";MAX(0;ENTERO(K538)-ENTERO(SI(M538&lt;&gt;"";M538;I538))))</f>
        <v/>
      </c>
      <c r="R538" s="11" t="n"/>
      <c r="S538" s="11" t="n"/>
      <c r="T538" s="12" t="n"/>
      <c r="U538" s="11" t="n">
        <v>19</v>
      </c>
      <c r="V538" s="11" t="n"/>
    </row>
    <row r="539">
      <c r="A539" s="14" t="n">
        <v>8610</v>
      </c>
      <c r="B539" s="14" t="inlineStr">
        <is>
          <t>HATO COROZAL</t>
        </is>
      </c>
      <c r="C539" s="14" t="inlineStr">
        <is>
          <t>Hato Corozal</t>
        </is>
      </c>
      <c r="D539" s="14" t="inlineStr">
        <is>
          <t>Casanare</t>
        </is>
      </c>
      <c r="E539" s="14" t="inlineStr">
        <is>
          <t>ORIENTE</t>
        </is>
      </c>
      <c r="F539" s="14" t="inlineStr">
        <is>
          <t>Juan Sebastian Lopez Acevedo</t>
        </is>
      </c>
      <c r="G539" s="14" t="inlineStr">
        <is>
          <t>2</t>
        </is>
      </c>
      <c r="H539" s="15" t="n">
        <v>46300</v>
      </c>
      <c r="I539" s="15" t="n">
        <v>46301</v>
      </c>
      <c r="J539" s="15" t="n"/>
      <c r="K539" s="15" t="n"/>
      <c r="L539" s="14" t="inlineStr">
        <is>
          <t>Programada</t>
        </is>
      </c>
      <c r="M539" s="15" t="n"/>
      <c r="N539" s="14">
        <f>SI(O(H539="";J539="");"";SI(J539&lt;=H539;"SÍ";"NO"))</f>
        <v/>
      </c>
      <c r="O539" s="14">
        <f>SI(O(I539="";K539="");"";SI(K539&lt;=SI(M539&lt;&gt;"";M539;I539);"SÍ";"NO"))</f>
        <v/>
      </c>
      <c r="P539" s="14">
        <f>SI(O(N539="";O539="");"";SI(Y(N539="SÍ";O539="SÍ");"SÍ";"NO"))</f>
        <v/>
      </c>
      <c r="Q539" s="16">
        <f>SI(O(I539="";K539="");"";MAX(0;ENTERO(K539)-ENTERO(SI(M539&lt;&gt;"";M539;I539))))</f>
        <v/>
      </c>
      <c r="R539" s="14" t="n"/>
      <c r="S539" s="14" t="n"/>
      <c r="T539" s="15" t="n"/>
      <c r="U539" s="14" t="n">
        <v>18</v>
      </c>
      <c r="V539" s="14" t="n"/>
    </row>
    <row r="540">
      <c r="A540" s="11" t="n">
        <v>1267</v>
      </c>
      <c r="B540" s="11" t="inlineStr">
        <is>
          <t>SANTA CATALINA</t>
        </is>
      </c>
      <c r="C540" s="11" t="inlineStr">
        <is>
          <t>Santa Catalina</t>
        </is>
      </c>
      <c r="D540" s="11" t="inlineStr">
        <is>
          <t>Bolívar</t>
        </is>
      </c>
      <c r="E540" s="11" t="inlineStr">
        <is>
          <t>COSTA</t>
        </is>
      </c>
      <c r="F540" s="11" t="inlineStr">
        <is>
          <t>Ramon Salgado Romero</t>
        </is>
      </c>
      <c r="G540" s="11" t="inlineStr">
        <is>
          <t>1</t>
        </is>
      </c>
      <c r="H540" s="12" t="n">
        <v>46301</v>
      </c>
      <c r="I540" s="12" t="n">
        <v>46301</v>
      </c>
      <c r="J540" s="12" t="n"/>
      <c r="K540" s="12" t="n"/>
      <c r="L540" s="11" t="inlineStr">
        <is>
          <t>Programada</t>
        </is>
      </c>
      <c r="M540" s="12" t="n"/>
      <c r="N540" s="11">
        <f>SI(O(H540="";J540="");"";SI(J540&lt;=H540;"SÍ";"NO"))</f>
        <v/>
      </c>
      <c r="O540" s="11">
        <f>SI(O(I540="";K540="");"";SI(K540&lt;=SI(M540&lt;&gt;"";M540;I540);"SÍ";"NO"))</f>
        <v/>
      </c>
      <c r="P540" s="11">
        <f>SI(O(N540="";O540="");"";SI(Y(N540="SÍ";O540="SÍ");"SÍ";"NO"))</f>
        <v/>
      </c>
      <c r="Q540" s="13">
        <f>SI(O(I540="";K540="");"";MAX(0;ENTERO(K540)-ENTERO(SI(M540&lt;&gt;"";M540;I540))))</f>
        <v/>
      </c>
      <c r="R540" s="11" t="n"/>
      <c r="S540" s="11" t="n"/>
      <c r="T540" s="12" t="n"/>
      <c r="U540" s="11" t="n">
        <v>13</v>
      </c>
      <c r="V540" s="11" t="n"/>
    </row>
    <row r="541">
      <c r="A541" s="14" t="n">
        <v>1471</v>
      </c>
      <c r="B541" s="14" t="inlineStr">
        <is>
          <t>ALEJANDRIA</t>
        </is>
      </c>
      <c r="C541" s="14" t="inlineStr">
        <is>
          <t>Alejandría</t>
        </is>
      </c>
      <c r="D541" s="14" t="inlineStr">
        <is>
          <t>Antioquia</t>
        </is>
      </c>
      <c r="E541" s="14" t="inlineStr">
        <is>
          <t>ANTIOQUIA</t>
        </is>
      </c>
      <c r="F541" s="14" t="inlineStr">
        <is>
          <t>Juan Pablo Osorio Ramirez</t>
        </is>
      </c>
      <c r="G541" s="14" t="inlineStr">
        <is>
          <t>1</t>
        </is>
      </c>
      <c r="H541" s="15" t="n">
        <v>46301</v>
      </c>
      <c r="I541" s="15" t="n">
        <v>46301</v>
      </c>
      <c r="J541" s="15" t="n"/>
      <c r="K541" s="15" t="n"/>
      <c r="L541" s="14" t="inlineStr">
        <is>
          <t>Programada</t>
        </is>
      </c>
      <c r="M541" s="15" t="n"/>
      <c r="N541" s="14">
        <f>SI(O(H541="";J541="");"";SI(J541&lt;=H541;"SÍ";"NO"))</f>
        <v/>
      </c>
      <c r="O541" s="14">
        <f>SI(O(I541="";K541="");"";SI(K541&lt;=SI(M541&lt;&gt;"";M541;I541);"SÍ";"NO"))</f>
        <v/>
      </c>
      <c r="P541" s="14">
        <f>SI(O(N541="";O541="");"";SI(Y(N541="SÍ";O541="SÍ");"SÍ";"NO"))</f>
        <v/>
      </c>
      <c r="Q541" s="16">
        <f>SI(O(I541="";K541="");"";MAX(0;ENTERO(K541)-ENTERO(SI(M541&lt;&gt;"";M541;I541))))</f>
        <v/>
      </c>
      <c r="R541" s="14" t="n"/>
      <c r="S541" s="14" t="n"/>
      <c r="T541" s="15" t="n"/>
      <c r="U541" s="14" t="n">
        <v>13</v>
      </c>
      <c r="V541" s="14" t="n"/>
    </row>
    <row r="542">
      <c r="A542" s="11" t="n">
        <v>1474</v>
      </c>
      <c r="B542" s="11" t="inlineStr">
        <is>
          <t>SANTO DOMINGO</t>
        </is>
      </c>
      <c r="C542" s="11" t="inlineStr">
        <is>
          <t>Santo Domingo</t>
        </is>
      </c>
      <c r="D542" s="11" t="inlineStr">
        <is>
          <t>Antioquia</t>
        </is>
      </c>
      <c r="E542" s="11" t="inlineStr">
        <is>
          <t>ANTIOQUIA</t>
        </is>
      </c>
      <c r="F542" s="11" t="inlineStr">
        <is>
          <t>Juan Pablo Osorio Ramirez</t>
        </is>
      </c>
      <c r="G542" s="11" t="inlineStr">
        <is>
          <t>1</t>
        </is>
      </c>
      <c r="H542" s="12" t="n">
        <v>46301</v>
      </c>
      <c r="I542" s="12" t="n">
        <v>46301</v>
      </c>
      <c r="J542" s="12" t="n"/>
      <c r="K542" s="12" t="n"/>
      <c r="L542" s="11" t="inlineStr">
        <is>
          <t>Programada</t>
        </is>
      </c>
      <c r="M542" s="12" t="n"/>
      <c r="N542" s="11">
        <f>SI(O(H542="";J542="");"";SI(J542&lt;=H542;"SÍ";"NO"))</f>
        <v/>
      </c>
      <c r="O542" s="11">
        <f>SI(O(I542="";K542="");"";SI(K542&lt;=SI(M542&lt;&gt;"";M542;I542);"SÍ";"NO"))</f>
        <v/>
      </c>
      <c r="P542" s="11">
        <f>SI(O(N542="";O542="");"";SI(Y(N542="SÍ";O542="SÍ");"SÍ";"NO"))</f>
        <v/>
      </c>
      <c r="Q542" s="13">
        <f>SI(O(I542="";K542="");"";MAX(0;ENTERO(K542)-ENTERO(SI(M542&lt;&gt;"";M542;I542))))</f>
        <v/>
      </c>
      <c r="R542" s="11" t="n"/>
      <c r="S542" s="11" t="n"/>
      <c r="T542" s="12" t="n"/>
      <c r="U542" s="11" t="n">
        <v>13</v>
      </c>
      <c r="V542" s="11" t="n"/>
    </row>
    <row r="543">
      <c r="A543" s="14" t="n">
        <v>1503</v>
      </c>
      <c r="B543" s="14" t="inlineStr">
        <is>
          <t>TUNJA</t>
        </is>
      </c>
      <c r="C543" s="14" t="inlineStr">
        <is>
          <t>Tunja</t>
        </is>
      </c>
      <c r="D543" s="14" t="inlineStr">
        <is>
          <t>Boyacá</t>
        </is>
      </c>
      <c r="E543" s="14" t="inlineStr">
        <is>
          <t>ORIENTE</t>
        </is>
      </c>
      <c r="F543" s="14" t="inlineStr">
        <is>
          <t>CARLOS ENRIQUE CUCHIVAGUEN FORERO</t>
        </is>
      </c>
      <c r="G543" s="14" t="inlineStr">
        <is>
          <t>15</t>
        </is>
      </c>
      <c r="H543" s="15" t="n">
        <v>46301</v>
      </c>
      <c r="I543" s="15" t="n">
        <v>46311</v>
      </c>
      <c r="J543" s="15" t="n"/>
      <c r="K543" s="15" t="n"/>
      <c r="L543" s="14" t="inlineStr">
        <is>
          <t>Programada</t>
        </is>
      </c>
      <c r="M543" s="15" t="n"/>
      <c r="N543" s="14">
        <f>SI(O(H543="";J543="");"";SI(J543&lt;=H543;"SÍ";"NO"))</f>
        <v/>
      </c>
      <c r="O543" s="14">
        <f>SI(O(I543="";K543="");"";SI(K543&lt;=SI(M543&lt;&gt;"";M543;I543);"SÍ";"NO"))</f>
        <v/>
      </c>
      <c r="P543" s="14">
        <f>SI(O(N543="";O543="");"";SI(Y(N543="SÍ";O543="SÍ");"SÍ";"NO"))</f>
        <v/>
      </c>
      <c r="Q543" s="16">
        <f>SI(O(I543="";K543="");"";MAX(0;ENTERO(K543)-ENTERO(SI(M543&lt;&gt;"";M543;I543))))</f>
        <v/>
      </c>
      <c r="R543" s="14" t="n"/>
      <c r="S543" s="14" t="n"/>
      <c r="T543" s="15" t="n"/>
      <c r="U543" s="14" t="n">
        <v>86</v>
      </c>
      <c r="V543" s="14" t="n"/>
    </row>
    <row r="544">
      <c r="A544" s="11" t="n">
        <v>1601</v>
      </c>
      <c r="B544" s="11" t="inlineStr">
        <is>
          <t>BARRANQUILLA ( PRINCIPAL )</t>
        </is>
      </c>
      <c r="C544" s="11" t="inlineStr">
        <is>
          <t>Barranquilla</t>
        </is>
      </c>
      <c r="D544" s="11" t="inlineStr">
        <is>
          <t>Atlántico</t>
        </is>
      </c>
      <c r="E544" s="11" t="inlineStr">
        <is>
          <t>COSTA</t>
        </is>
      </c>
      <c r="F544" s="11" t="inlineStr">
        <is>
          <t>JOSÉ CONTRERAS VALERA</t>
        </is>
      </c>
      <c r="G544" s="11" t="inlineStr">
        <is>
          <t>6</t>
        </is>
      </c>
      <c r="H544" s="12" t="n">
        <v>46301</v>
      </c>
      <c r="I544" s="12" t="n">
        <v>46311</v>
      </c>
      <c r="J544" s="12" t="n"/>
      <c r="K544" s="12" t="n"/>
      <c r="L544" s="11" t="inlineStr">
        <is>
          <t>Programada</t>
        </is>
      </c>
      <c r="M544" s="12" t="n"/>
      <c r="N544" s="11">
        <f>SI(O(H544="";J544="");"";SI(J544&lt;=H544;"SÍ";"NO"))</f>
        <v/>
      </c>
      <c r="O544" s="11">
        <f>SI(O(I544="";K544="");"";SI(K544&lt;=SI(M544&lt;&gt;"";M544;I544);"SÍ";"NO"))</f>
        <v/>
      </c>
      <c r="P544" s="11">
        <f>SI(O(N544="";O544="");"";SI(Y(N544="SÍ";O544="SÍ");"SÍ";"NO"))</f>
        <v/>
      </c>
      <c r="Q544" s="13">
        <f>SI(O(I544="";K544="");"";MAX(0;ENTERO(K544)-ENTERO(SI(M544&lt;&gt;"";M544;I544))))</f>
        <v/>
      </c>
      <c r="R544" s="11" t="n"/>
      <c r="S544" s="11" t="n"/>
      <c r="T544" s="12" t="n"/>
      <c r="U544" s="11" t="n">
        <v>86</v>
      </c>
      <c r="V544" s="11" t="n"/>
    </row>
    <row r="545">
      <c r="A545" s="14" t="n">
        <v>1660</v>
      </c>
      <c r="B545" s="14" t="inlineStr">
        <is>
          <t>SANTO TOMAS</t>
        </is>
      </c>
      <c r="C545" s="14" t="inlineStr">
        <is>
          <t>Santo Tomás</t>
        </is>
      </c>
      <c r="D545" s="14" t="inlineStr">
        <is>
          <t>Atlántico</t>
        </is>
      </c>
      <c r="E545" s="14" t="inlineStr">
        <is>
          <t>COSTA</t>
        </is>
      </c>
      <c r="F545" s="14" t="inlineStr">
        <is>
          <t>Vladimir Faneyte Taborda</t>
        </is>
      </c>
      <c r="G545" s="14" t="inlineStr">
        <is>
          <t>3</t>
        </is>
      </c>
      <c r="H545" s="15" t="n">
        <v>46301</v>
      </c>
      <c r="I545" s="15" t="n">
        <v>46301</v>
      </c>
      <c r="J545" s="15" t="n"/>
      <c r="K545" s="15" t="n"/>
      <c r="L545" s="14" t="inlineStr">
        <is>
          <t>Programada</t>
        </is>
      </c>
      <c r="M545" s="15" t="n"/>
      <c r="N545" s="14">
        <f>SI(O(H545="";J545="");"";SI(J545&lt;=H545;"SÍ";"NO"))</f>
        <v/>
      </c>
      <c r="O545" s="14">
        <f>SI(O(I545="";K545="");"";SI(K545&lt;=SI(M545&lt;&gt;"";M545;I545);"SÍ";"NO"))</f>
        <v/>
      </c>
      <c r="P545" s="14">
        <f>SI(O(N545="";O545="");"";SI(Y(N545="SÍ";O545="SÍ");"SÍ";"NO"))</f>
        <v/>
      </c>
      <c r="Q545" s="16">
        <f>SI(O(I545="";K545="");"";MAX(0;ENTERO(K545)-ENTERO(SI(M545&lt;&gt;"";M545;I545))))</f>
        <v/>
      </c>
      <c r="R545" s="14" t="n"/>
      <c r="S545" s="14" t="n"/>
      <c r="T545" s="15" t="n"/>
      <c r="U545" s="14" t="n">
        <v>28</v>
      </c>
      <c r="V545" s="14" t="n"/>
    </row>
    <row r="546">
      <c r="A546" s="11" t="n">
        <v>1855</v>
      </c>
      <c r="B546" s="11" t="inlineStr">
        <is>
          <t>VITERBO</t>
        </is>
      </c>
      <c r="C546" s="11" t="inlineStr">
        <is>
          <t>Viterbo</t>
        </is>
      </c>
      <c r="D546" s="11" t="inlineStr">
        <is>
          <t>Caldas</t>
        </is>
      </c>
      <c r="E546" s="11" t="inlineStr">
        <is>
          <t>CAFETERA</t>
        </is>
      </c>
      <c r="F546" s="11" t="inlineStr">
        <is>
          <t>JULIO  CESAR AUDELO  - ANDRES FELIPE BOTERO</t>
        </is>
      </c>
      <c r="G546" s="11" t="inlineStr">
        <is>
          <t>2</t>
        </is>
      </c>
      <c r="H546" s="12" t="n">
        <v>46301</v>
      </c>
      <c r="I546" s="12" t="n">
        <v>46302</v>
      </c>
      <c r="J546" s="12" t="n"/>
      <c r="K546" s="12" t="n"/>
      <c r="L546" s="11" t="inlineStr">
        <is>
          <t>Programada</t>
        </is>
      </c>
      <c r="M546" s="12" t="n"/>
      <c r="N546" s="11">
        <f>SI(O(H546="";J546="");"";SI(J546&lt;=H546;"SÍ";"NO"))</f>
        <v/>
      </c>
      <c r="O546" s="11">
        <f>SI(O(I546="";K546="");"";SI(K546&lt;=SI(M546&lt;&gt;"";M546;I546);"SÍ";"NO"))</f>
        <v/>
      </c>
      <c r="P546" s="11">
        <f>SI(O(N546="";O546="");"";SI(Y(N546="SÍ";O546="SÍ");"SÍ";"NO"))</f>
        <v/>
      </c>
      <c r="Q546" s="13">
        <f>SI(O(I546="";K546="");"";MAX(0;ENTERO(K546)-ENTERO(SI(M546&lt;&gt;"";M546;I546))))</f>
        <v/>
      </c>
      <c r="R546" s="11" t="n"/>
      <c r="S546" s="11" t="n"/>
      <c r="T546" s="12" t="n"/>
      <c r="U546" s="11" t="n">
        <v>19</v>
      </c>
      <c r="V546" s="11" t="n"/>
    </row>
    <row r="547">
      <c r="A547" s="14" t="n">
        <v>2108</v>
      </c>
      <c r="B547" s="14" t="inlineStr">
        <is>
          <t>ROSAS</t>
        </is>
      </c>
      <c r="C547" s="14" t="inlineStr">
        <is>
          <t>Rosas</t>
        </is>
      </c>
      <c r="D547" s="14" t="inlineStr">
        <is>
          <t>Cauca</t>
        </is>
      </c>
      <c r="E547" s="14" t="inlineStr">
        <is>
          <t>OCCIDENTE</t>
        </is>
      </c>
      <c r="F547" s="14" t="inlineStr">
        <is>
          <t>Holmes Arley Astudillo Fajardo</t>
        </is>
      </c>
      <c r="G547" s="14" t="inlineStr">
        <is>
          <t>1</t>
        </is>
      </c>
      <c r="H547" s="15" t="n">
        <v>46301</v>
      </c>
      <c r="I547" s="15" t="n">
        <v>46301</v>
      </c>
      <c r="J547" s="15" t="n"/>
      <c r="K547" s="15" t="n"/>
      <c r="L547" s="14" t="inlineStr">
        <is>
          <t>Programada</t>
        </is>
      </c>
      <c r="M547" s="15" t="n"/>
      <c r="N547" s="14">
        <f>SI(O(H547="";J547="");"";SI(J547&lt;=H547;"SÍ";"NO"))</f>
        <v/>
      </c>
      <c r="O547" s="14">
        <f>SI(O(I547="";K547="");"";SI(K547&lt;=SI(M547&lt;&gt;"";M547;I547);"SÍ";"NO"))</f>
        <v/>
      </c>
      <c r="P547" s="14">
        <f>SI(O(N547="";O547="");"";SI(Y(N547="SÍ";O547="SÍ");"SÍ";"NO"))</f>
        <v/>
      </c>
      <c r="Q547" s="16">
        <f>SI(O(I547="";K547="");"";MAX(0;ENTERO(K547)-ENTERO(SI(M547&lt;&gt;"";M547;I547))))</f>
        <v/>
      </c>
      <c r="R547" s="14" t="n"/>
      <c r="S547" s="14" t="n"/>
      <c r="T547" s="15" t="n"/>
      <c r="U547" s="14" t="n">
        <v>15</v>
      </c>
      <c r="V547" s="14" t="n"/>
    </row>
    <row r="548">
      <c r="A548" s="11" t="n">
        <v>2109</v>
      </c>
      <c r="B548" s="11" t="inlineStr">
        <is>
          <t>LA SIERRA</t>
        </is>
      </c>
      <c r="C548" s="11" t="inlineStr">
        <is>
          <t>La Sierra</t>
        </is>
      </c>
      <c r="D548" s="11" t="inlineStr">
        <is>
          <t>Cauca</t>
        </is>
      </c>
      <c r="E548" s="11" t="inlineStr">
        <is>
          <t>OCCIDENTE</t>
        </is>
      </c>
      <c r="F548" s="11" t="inlineStr">
        <is>
          <t>Holmes Arley Astudillo Fajardo</t>
        </is>
      </c>
      <c r="G548" s="11" t="inlineStr">
        <is>
          <t>1</t>
        </is>
      </c>
      <c r="H548" s="12" t="n">
        <v>46301</v>
      </c>
      <c r="I548" s="12" t="n">
        <v>46301</v>
      </c>
      <c r="J548" s="12" t="n"/>
      <c r="K548" s="12" t="n"/>
      <c r="L548" s="11" t="inlineStr">
        <is>
          <t>Programada</t>
        </is>
      </c>
      <c r="M548" s="12" t="n"/>
      <c r="N548" s="11">
        <f>SI(O(H548="";J548="");"";SI(J548&lt;=H548;"SÍ";"NO"))</f>
        <v/>
      </c>
      <c r="O548" s="11">
        <f>SI(O(I548="";K548="");"";SI(K548&lt;=SI(M548&lt;&gt;"";M548;I548);"SÍ";"NO"))</f>
        <v/>
      </c>
      <c r="P548" s="11">
        <f>SI(O(N548="";O548="");"";SI(Y(N548="SÍ";O548="SÍ");"SÍ";"NO"))</f>
        <v/>
      </c>
      <c r="Q548" s="13">
        <f>SI(O(I548="";K548="");"";MAX(0;ENTERO(K548)-ENTERO(SI(M548&lt;&gt;"";M548;I548))))</f>
        <v/>
      </c>
      <c r="R548" s="11" t="n"/>
      <c r="S548" s="11" t="n"/>
      <c r="T548" s="12" t="n"/>
      <c r="U548" s="11" t="n">
        <v>13</v>
      </c>
      <c r="V548" s="11" t="n"/>
    </row>
    <row r="549">
      <c r="A549" s="14" t="n">
        <v>2403</v>
      </c>
      <c r="B549" s="14" t="inlineStr">
        <is>
          <t>VALLEDUPAR</t>
        </is>
      </c>
      <c r="C549" s="14" t="inlineStr">
        <is>
          <t>Valledupar</t>
        </is>
      </c>
      <c r="D549" s="14" t="inlineStr">
        <is>
          <t>Cesar</t>
        </is>
      </c>
      <c r="E549" s="14" t="inlineStr">
        <is>
          <t>COSTA</t>
        </is>
      </c>
      <c r="F549" s="14" t="inlineStr">
        <is>
          <t>ANDREY TIMOTHY RODRIGUEZ MARTINEZ</t>
        </is>
      </c>
      <c r="G549" s="14" t="inlineStr">
        <is>
          <t>10</t>
        </is>
      </c>
      <c r="H549" s="15" t="n">
        <v>46301</v>
      </c>
      <c r="I549" s="15" t="n">
        <v>46311</v>
      </c>
      <c r="J549" s="15" t="n"/>
      <c r="K549" s="15" t="n"/>
      <c r="L549" s="14" t="inlineStr">
        <is>
          <t>Programada</t>
        </is>
      </c>
      <c r="M549" s="15" t="n"/>
      <c r="N549" s="14">
        <f>SI(O(H549="";J549="");"";SI(J549&lt;=H549;"SÍ";"NO"))</f>
        <v/>
      </c>
      <c r="O549" s="14">
        <f>SI(O(I549="";K549="");"";SI(K549&lt;=SI(M549&lt;&gt;"";M549;I549);"SÍ";"NO"))</f>
        <v/>
      </c>
      <c r="P549" s="14">
        <f>SI(O(N549="";O549="");"";SI(Y(N549="SÍ";O549="SÍ");"SÍ";"NO"))</f>
        <v/>
      </c>
      <c r="Q549" s="16">
        <f>SI(O(I549="";K549="");"";MAX(0;ENTERO(K549)-ENTERO(SI(M549&lt;&gt;"";M549;I549))))</f>
        <v/>
      </c>
      <c r="R549" s="14" t="n"/>
      <c r="S549" s="14" t="n"/>
      <c r="T549" s="15" t="n"/>
      <c r="U549" s="14" t="n">
        <v>53</v>
      </c>
      <c r="V549" s="14" t="n"/>
    </row>
    <row r="550">
      <c r="A550" s="11" t="n">
        <v>2703</v>
      </c>
      <c r="B550" s="11" t="inlineStr">
        <is>
          <t>MONTERIA</t>
        </is>
      </c>
      <c r="C550" s="11" t="inlineStr">
        <is>
          <t>Montería</t>
        </is>
      </c>
      <c r="D550" s="11" t="inlineStr">
        <is>
          <t>Córdoba</t>
        </is>
      </c>
      <c r="E550" s="11" t="inlineStr">
        <is>
          <t>COSTA</t>
        </is>
      </c>
      <c r="F550" s="11" t="inlineStr">
        <is>
          <t>MIGUEL ANGEL VEGA ARRIETA</t>
        </is>
      </c>
      <c r="G550" s="11" t="inlineStr">
        <is>
          <t>10</t>
        </is>
      </c>
      <c r="H550" s="12" t="n">
        <v>46301</v>
      </c>
      <c r="I550" s="12" t="n">
        <v>46311</v>
      </c>
      <c r="J550" s="12" t="n"/>
      <c r="K550" s="12" t="n"/>
      <c r="L550" s="11" t="inlineStr">
        <is>
          <t>Programada</t>
        </is>
      </c>
      <c r="M550" s="12" t="n"/>
      <c r="N550" s="11">
        <f>SI(O(H550="";J550="");"";SI(J550&lt;=H550;"SÍ";"NO"))</f>
        <v/>
      </c>
      <c r="O550" s="11">
        <f>SI(O(I550="";K550="");"";SI(K550&lt;=SI(M550&lt;&gt;"";M550;I550);"SÍ";"NO"))</f>
        <v/>
      </c>
      <c r="P550" s="11">
        <f>SI(O(N550="";O550="");"";SI(Y(N550="SÍ";O550="SÍ");"SÍ";"NO"))</f>
        <v/>
      </c>
      <c r="Q550" s="13">
        <f>SI(O(I550="";K550="");"";MAX(0;ENTERO(K550)-ENTERO(SI(M550&lt;&gt;"";M550;I550))))</f>
        <v/>
      </c>
      <c r="R550" s="11" t="n"/>
      <c r="S550" s="11" t="n"/>
      <c r="T550" s="12" t="n"/>
      <c r="U550" s="11" t="n">
        <v>63</v>
      </c>
      <c r="V550" s="11" t="n"/>
    </row>
    <row r="551">
      <c r="A551" s="14" t="n">
        <v>3301</v>
      </c>
      <c r="B551" s="14" t="inlineStr">
        <is>
          <t>ACANDI</t>
        </is>
      </c>
      <c r="C551" s="14" t="inlineStr">
        <is>
          <t>Acandí</t>
        </is>
      </c>
      <c r="D551" s="14" t="inlineStr">
        <is>
          <t>Chocó</t>
        </is>
      </c>
      <c r="E551" s="14" t="inlineStr">
        <is>
          <t>ANTIOQUIA</t>
        </is>
      </c>
      <c r="F551" s="14" t="inlineStr">
        <is>
          <t>Ever Enrique Esquivel Movilla</t>
        </is>
      </c>
      <c r="G551" s="14" t="inlineStr">
        <is>
          <t>1</t>
        </is>
      </c>
      <c r="H551" s="15" t="n">
        <v>46301</v>
      </c>
      <c r="I551" s="15" t="n">
        <v>46301</v>
      </c>
      <c r="J551" s="15" t="n"/>
      <c r="K551" s="15" t="n"/>
      <c r="L551" s="14" t="inlineStr">
        <is>
          <t>Programada</t>
        </is>
      </c>
      <c r="M551" s="15" t="n"/>
      <c r="N551" s="14">
        <f>SI(O(H551="";J551="");"";SI(J551&lt;=H551;"SÍ";"NO"))</f>
        <v/>
      </c>
      <c r="O551" s="14">
        <f>SI(O(I551="";K551="");"";SI(K551&lt;=SI(M551&lt;&gt;"";M551;I551);"SÍ";"NO"))</f>
        <v/>
      </c>
      <c r="P551" s="14">
        <f>SI(O(N551="";O551="");"";SI(Y(N551="SÍ";O551="SÍ");"SÍ";"NO"))</f>
        <v/>
      </c>
      <c r="Q551" s="16">
        <f>SI(O(I551="";K551="");"";MAX(0;ENTERO(K551)-ENTERO(SI(M551&lt;&gt;"";M551;I551))))</f>
        <v/>
      </c>
      <c r="R551" s="14" t="n"/>
      <c r="S551" s="14" t="n"/>
      <c r="T551" s="15" t="n"/>
      <c r="U551" s="14" t="n">
        <v>13</v>
      </c>
      <c r="V551" s="14" t="n"/>
    </row>
    <row r="552">
      <c r="A552" s="11" t="n">
        <v>3905</v>
      </c>
      <c r="B552" s="11" t="inlineStr">
        <is>
          <t>NEIVA</t>
        </is>
      </c>
      <c r="C552" s="11" t="inlineStr">
        <is>
          <t>Neiva</t>
        </is>
      </c>
      <c r="D552" s="11" t="inlineStr">
        <is>
          <t>Huila</t>
        </is>
      </c>
      <c r="E552" s="11" t="inlineStr">
        <is>
          <t>SUR</t>
        </is>
      </c>
      <c r="F552" s="11" t="inlineStr">
        <is>
          <t>VICTOR ALFONSO ULLOA ACOSTA</t>
        </is>
      </c>
      <c r="G552" s="11" t="inlineStr">
        <is>
          <t>12</t>
        </is>
      </c>
      <c r="H552" s="12" t="n">
        <v>46301</v>
      </c>
      <c r="I552" s="12" t="n">
        <v>46311</v>
      </c>
      <c r="J552" s="12" t="n"/>
      <c r="K552" s="12" t="n"/>
      <c r="L552" s="11" t="inlineStr">
        <is>
          <t>Programada</t>
        </is>
      </c>
      <c r="M552" s="12" t="n"/>
      <c r="N552" s="11">
        <f>SI(O(H552="";J552="");"";SI(J552&lt;=H552;"SÍ";"NO"))</f>
        <v/>
      </c>
      <c r="O552" s="11">
        <f>SI(O(I552="";K552="");"";SI(K552&lt;=SI(M552&lt;&gt;"";M552;I552);"SÍ";"NO"))</f>
        <v/>
      </c>
      <c r="P552" s="11">
        <f>SI(O(N552="";O552="");"";SI(Y(N552="SÍ";O552="SÍ");"SÍ";"NO"))</f>
        <v/>
      </c>
      <c r="Q552" s="13">
        <f>SI(O(I552="";K552="");"";MAX(0;ENTERO(K552)-ENTERO(SI(M552&lt;&gt;"";M552;I552))))</f>
        <v/>
      </c>
      <c r="R552" s="11" t="n"/>
      <c r="S552" s="11" t="n"/>
      <c r="T552" s="12" t="n"/>
      <c r="U552" s="11" t="n">
        <v>71</v>
      </c>
      <c r="V552" s="11" t="n"/>
    </row>
    <row r="553">
      <c r="A553" s="14" t="n">
        <v>3967</v>
      </c>
      <c r="B553" s="14" t="inlineStr">
        <is>
          <t>SALADOBLANCO</t>
        </is>
      </c>
      <c r="C553" s="14" t="inlineStr">
        <is>
          <t>Saladoblanco</t>
        </is>
      </c>
      <c r="D553" s="14" t="inlineStr">
        <is>
          <t>Huila</t>
        </is>
      </c>
      <c r="E553" s="14" t="inlineStr">
        <is>
          <t>SUR</t>
        </is>
      </c>
      <c r="F553" s="14" t="inlineStr">
        <is>
          <t>ERIKA VARGAS</t>
        </is>
      </c>
      <c r="G553" s="14" t="inlineStr">
        <is>
          <t>1</t>
        </is>
      </c>
      <c r="H553" s="15" t="n">
        <v>46301</v>
      </c>
      <c r="I553" s="15" t="n">
        <v>46301</v>
      </c>
      <c r="J553" s="15" t="n"/>
      <c r="K553" s="15" t="n"/>
      <c r="L553" s="14" t="inlineStr">
        <is>
          <t>Programada</t>
        </is>
      </c>
      <c r="M553" s="15" t="n"/>
      <c r="N553" s="14">
        <f>SI(O(H553="";J553="");"";SI(J553&lt;=H553;"SÍ";"NO"))</f>
        <v/>
      </c>
      <c r="O553" s="14">
        <f>SI(O(I553="";K553="");"";SI(K553&lt;=SI(M553&lt;&gt;"";M553;I553);"SÍ";"NO"))</f>
        <v/>
      </c>
      <c r="P553" s="14">
        <f>SI(O(N553="";O553="");"";SI(Y(N553="SÍ";O553="SÍ");"SÍ";"NO"))</f>
        <v/>
      </c>
      <c r="Q553" s="16">
        <f>SI(O(I553="";K553="");"";MAX(0;ENTERO(K553)-ENTERO(SI(M553&lt;&gt;"";M553;I553))))</f>
        <v/>
      </c>
      <c r="R553" s="14" t="n"/>
      <c r="S553" s="14" t="n"/>
      <c r="T553" s="15" t="n"/>
      <c r="U553" s="14" t="n">
        <v>17</v>
      </c>
      <c r="V553" s="14" t="n"/>
    </row>
    <row r="554">
      <c r="A554" s="11" t="n">
        <v>4501</v>
      </c>
      <c r="B554" s="11" t="inlineStr">
        <is>
          <t>VILLAVICENCIO</t>
        </is>
      </c>
      <c r="C554" s="11" t="inlineStr">
        <is>
          <t>Villavicencio</t>
        </is>
      </c>
      <c r="D554" s="11" t="inlineStr">
        <is>
          <t>Meta</t>
        </is>
      </c>
      <c r="E554" s="11" t="inlineStr">
        <is>
          <t>BOGOTA</t>
        </is>
      </c>
      <c r="F554" s="11" t="inlineStr">
        <is>
          <t>CESAR AUGUSTO PORRAS</t>
        </is>
      </c>
      <c r="G554" s="11" t="inlineStr">
        <is>
          <t>12</t>
        </is>
      </c>
      <c r="H554" s="12" t="n">
        <v>46301</v>
      </c>
      <c r="I554" s="12" t="n">
        <v>46311</v>
      </c>
      <c r="J554" s="12" t="n"/>
      <c r="K554" s="12" t="n"/>
      <c r="L554" s="11" t="inlineStr">
        <is>
          <t>Programada</t>
        </is>
      </c>
      <c r="M554" s="12" t="n"/>
      <c r="N554" s="11">
        <f>SI(O(H554="";J554="");"";SI(J554&lt;=H554;"SÍ";"NO"))</f>
        <v/>
      </c>
      <c r="O554" s="11">
        <f>SI(O(I554="";K554="");"";SI(K554&lt;=SI(M554&lt;&gt;"";M554;I554);"SÍ";"NO"))</f>
        <v/>
      </c>
      <c r="P554" s="11">
        <f>SI(O(N554="";O554="");"";SI(Y(N554="SÍ";O554="SÍ");"SÍ";"NO"))</f>
        <v/>
      </c>
      <c r="Q554" s="13">
        <f>SI(O(I554="";K554="");"";MAX(0;ENTERO(K554)-ENTERO(SI(M554&lt;&gt;"";M554;I554))))</f>
        <v/>
      </c>
      <c r="R554" s="11" t="n"/>
      <c r="S554" s="11" t="n"/>
      <c r="T554" s="12" t="n"/>
      <c r="U554" s="11" t="n">
        <v>69</v>
      </c>
      <c r="V554" s="11" t="n"/>
    </row>
    <row r="555">
      <c r="A555" s="14" t="n">
        <v>4801</v>
      </c>
      <c r="B555" s="14" t="inlineStr">
        <is>
          <t>PASTO</t>
        </is>
      </c>
      <c r="C555" s="14" t="inlineStr">
        <is>
          <t>Pasto</t>
        </is>
      </c>
      <c r="D555" s="14" t="inlineStr">
        <is>
          <t>Nariño</t>
        </is>
      </c>
      <c r="E555" s="14" t="inlineStr">
        <is>
          <t>OCCIDENTE</t>
        </is>
      </c>
      <c r="F555" s="14" t="inlineStr">
        <is>
          <t>JIMMY FABIAN ERAZO CERON</t>
        </is>
      </c>
      <c r="G555" s="14" t="inlineStr">
        <is>
          <t>12</t>
        </is>
      </c>
      <c r="H555" s="15" t="n">
        <v>46301</v>
      </c>
      <c r="I555" s="15" t="n">
        <v>46311</v>
      </c>
      <c r="J555" s="15" t="n"/>
      <c r="K555" s="15" t="n"/>
      <c r="L555" s="14" t="inlineStr">
        <is>
          <t>Programada</t>
        </is>
      </c>
      <c r="M555" s="15" t="n"/>
      <c r="N555" s="14">
        <f>SI(O(H555="";J555="");"";SI(J555&lt;=H555;"SÍ";"NO"))</f>
        <v/>
      </c>
      <c r="O555" s="14">
        <f>SI(O(I555="";K555="");"";SI(K555&lt;=SI(M555&lt;&gt;"";M555;I555);"SÍ";"NO"))</f>
        <v/>
      </c>
      <c r="P555" s="14">
        <f>SI(O(N555="";O555="");"";SI(Y(N555="SÍ";O555="SÍ");"SÍ";"NO"))</f>
        <v/>
      </c>
      <c r="Q555" s="16">
        <f>SI(O(I555="";K555="");"";MAX(0;ENTERO(K555)-ENTERO(SI(M555&lt;&gt;"";M555;I555))))</f>
        <v/>
      </c>
      <c r="R555" s="14" t="n"/>
      <c r="S555" s="14" t="n"/>
      <c r="T555" s="15" t="n"/>
      <c r="U555" s="14" t="n">
        <v>73</v>
      </c>
      <c r="V555" s="14" t="n"/>
    </row>
    <row r="556">
      <c r="A556" s="11" t="n">
        <v>4874</v>
      </c>
      <c r="B556" s="11" t="inlineStr">
        <is>
          <t>SAN LORENZO</t>
        </is>
      </c>
      <c r="C556" s="11" t="inlineStr">
        <is>
          <t>San Lorenzo</t>
        </is>
      </c>
      <c r="D556" s="11" t="inlineStr">
        <is>
          <t>Nariño</t>
        </is>
      </c>
      <c r="E556" s="11" t="inlineStr">
        <is>
          <t>OCCIDENTE</t>
        </is>
      </c>
      <c r="F556" s="11" t="inlineStr">
        <is>
          <t>Juan Carlos Narvaez Acosta / Luis Fernando Ibarra Guio</t>
        </is>
      </c>
      <c r="G556" s="11" t="inlineStr">
        <is>
          <t>3</t>
        </is>
      </c>
      <c r="H556" s="12" t="n">
        <v>46301</v>
      </c>
      <c r="I556" s="12" t="n">
        <v>46301</v>
      </c>
      <c r="J556" s="12" t="n"/>
      <c r="K556" s="12" t="n"/>
      <c r="L556" s="11" t="inlineStr">
        <is>
          <t>Programada</t>
        </is>
      </c>
      <c r="M556" s="12" t="n"/>
      <c r="N556" s="11">
        <f>SI(O(H556="";J556="");"";SI(J556&lt;=H556;"SÍ";"NO"))</f>
        <v/>
      </c>
      <c r="O556" s="11">
        <f>SI(O(I556="";K556="");"";SI(K556&lt;=SI(M556&lt;&gt;"";M556;I556);"SÍ";"NO"))</f>
        <v/>
      </c>
      <c r="P556" s="11">
        <f>SI(O(N556="";O556="");"";SI(Y(N556="SÍ";O556="SÍ");"SÍ";"NO"))</f>
        <v/>
      </c>
      <c r="Q556" s="13">
        <f>SI(O(I556="";K556="");"";MAX(0;ENTERO(K556)-ENTERO(SI(M556&lt;&gt;"";M556;I556))))</f>
        <v/>
      </c>
      <c r="R556" s="11" t="n"/>
      <c r="S556" s="11" t="n"/>
      <c r="T556" s="12" t="n"/>
      <c r="U556" s="11" t="n">
        <v>23</v>
      </c>
      <c r="V556" s="11" t="n"/>
    </row>
    <row r="557">
      <c r="A557" s="14" t="n">
        <v>5101</v>
      </c>
      <c r="B557" s="14" t="inlineStr">
        <is>
          <t>CUCUTA</t>
        </is>
      </c>
      <c r="C557" s="14" t="inlineStr">
        <is>
          <t>Cúcuta</t>
        </is>
      </c>
      <c r="D557" s="14" t="inlineStr">
        <is>
          <t>Norte de Santander</t>
        </is>
      </c>
      <c r="E557" s="14" t="inlineStr">
        <is>
          <t>SANTANDERES</t>
        </is>
      </c>
      <c r="F557" s="14" t="inlineStr">
        <is>
          <t>CRISTIAN VARGAS RODRIGUEZ</t>
        </is>
      </c>
      <c r="G557" s="14" t="inlineStr">
        <is>
          <t>9</t>
        </is>
      </c>
      <c r="H557" s="15" t="n">
        <v>46301</v>
      </c>
      <c r="I557" s="15" t="n">
        <v>46311</v>
      </c>
      <c r="J557" s="15" t="n"/>
      <c r="K557" s="15" t="n"/>
      <c r="L557" s="14" t="inlineStr">
        <is>
          <t>Programada</t>
        </is>
      </c>
      <c r="M557" s="15" t="n"/>
      <c r="N557" s="14">
        <f>SI(O(H557="";J557="");"";SI(J557&lt;=H557;"SÍ";"NO"))</f>
        <v/>
      </c>
      <c r="O557" s="14">
        <f>SI(O(I557="";K557="");"";SI(K557&lt;=SI(M557&lt;&gt;"";M557;I557);"SÍ";"NO"))</f>
        <v/>
      </c>
      <c r="P557" s="14">
        <f>SI(O(N557="";O557="");"";SI(Y(N557="SÍ";O557="SÍ");"SÍ";"NO"))</f>
        <v/>
      </c>
      <c r="Q557" s="16">
        <f>SI(O(I557="";K557="");"";MAX(0;ENTERO(K557)-ENTERO(SI(M557&lt;&gt;"";M557;I557))))</f>
        <v/>
      </c>
      <c r="R557" s="14" t="n"/>
      <c r="S557" s="14" t="n"/>
      <c r="T557" s="15" t="n"/>
      <c r="U557" s="14" t="n">
        <v>81</v>
      </c>
      <c r="V557" s="14" t="n"/>
    </row>
    <row r="558">
      <c r="A558" s="11" t="n">
        <v>5127</v>
      </c>
      <c r="B558" s="11" t="inlineStr">
        <is>
          <t>HERRAN</t>
        </is>
      </c>
      <c r="C558" s="11" t="inlineStr">
        <is>
          <t>Herrán</t>
        </is>
      </c>
      <c r="D558" s="11" t="inlineStr">
        <is>
          <t>Norte de Santander</t>
        </is>
      </c>
      <c r="E558" s="11" t="inlineStr">
        <is>
          <t>SANTANDERES</t>
        </is>
      </c>
      <c r="F558" s="11" t="inlineStr">
        <is>
          <t>Ali Kassem Issa Sierra</t>
        </is>
      </c>
      <c r="G558" s="11" t="inlineStr">
        <is>
          <t>1</t>
        </is>
      </c>
      <c r="H558" s="12" t="n">
        <v>46301</v>
      </c>
      <c r="I558" s="12" t="n">
        <v>46301</v>
      </c>
      <c r="J558" s="12" t="n"/>
      <c r="K558" s="12" t="n"/>
      <c r="L558" s="11" t="inlineStr">
        <is>
          <t>Programada</t>
        </is>
      </c>
      <c r="M558" s="12" t="n"/>
      <c r="N558" s="11">
        <f>SI(O(H558="";J558="");"";SI(J558&lt;=H558;"SÍ";"NO"))</f>
        <v/>
      </c>
      <c r="O558" s="11">
        <f>SI(O(I558="";K558="");"";SI(K558&lt;=SI(M558&lt;&gt;"";M558;I558);"SÍ";"NO"))</f>
        <v/>
      </c>
      <c r="P558" s="11">
        <f>SI(O(N558="";O558="");"";SI(Y(N558="SÍ";O558="SÍ");"SÍ";"NO"))</f>
        <v/>
      </c>
      <c r="Q558" s="13">
        <f>SI(O(I558="";K558="");"";MAX(0;ENTERO(K558)-ENTERO(SI(M558&lt;&gt;"";M558;I558))))</f>
        <v/>
      </c>
      <c r="R558" s="11" t="n"/>
      <c r="S558" s="11" t="n"/>
      <c r="T558" s="12" t="n"/>
      <c r="U558" s="11" t="n">
        <v>13</v>
      </c>
      <c r="V558" s="11" t="n"/>
    </row>
    <row r="559">
      <c r="A559" s="14" t="n">
        <v>5150</v>
      </c>
      <c r="B559" s="14" t="inlineStr">
        <is>
          <t>SARDINATA</t>
        </is>
      </c>
      <c r="C559" s="14" t="inlineStr">
        <is>
          <t>Sardinata</t>
        </is>
      </c>
      <c r="D559" s="14" t="inlineStr">
        <is>
          <t>Norte de Santander</t>
        </is>
      </c>
      <c r="E559" s="14" t="inlineStr">
        <is>
          <t>SANTANDERES</t>
        </is>
      </c>
      <c r="F559" s="14" t="inlineStr">
        <is>
          <t>Juan Alfonso Cuberos Buendia</t>
        </is>
      </c>
      <c r="G559" s="14" t="inlineStr">
        <is>
          <t>3</t>
        </is>
      </c>
      <c r="H559" s="15" t="n">
        <v>46301</v>
      </c>
      <c r="I559" s="15" t="n">
        <v>46302</v>
      </c>
      <c r="J559" s="15" t="n"/>
      <c r="K559" s="15" t="n"/>
      <c r="L559" s="14" t="inlineStr">
        <is>
          <t>Programada</t>
        </is>
      </c>
      <c r="M559" s="15" t="n"/>
      <c r="N559" s="14">
        <f>SI(O(H559="";J559="");"";SI(J559&lt;=H559;"SÍ";"NO"))</f>
        <v/>
      </c>
      <c r="O559" s="14">
        <f>SI(O(I559="";K559="");"";SI(K559&lt;=SI(M559&lt;&gt;"";M559;I559);"SÍ";"NO"))</f>
        <v/>
      </c>
      <c r="P559" s="14">
        <f>SI(O(N559="";O559="");"";SI(Y(N559="SÍ";O559="SÍ");"SÍ";"NO"))</f>
        <v/>
      </c>
      <c r="Q559" s="16">
        <f>SI(O(I559="";K559="");"";MAX(0;ENTERO(K559)-ENTERO(SI(M559&lt;&gt;"";M559;I559))))</f>
        <v/>
      </c>
      <c r="R559" s="14" t="n"/>
      <c r="S559" s="14" t="n"/>
      <c r="T559" s="15" t="n"/>
      <c r="U559" s="14" t="n">
        <v>24</v>
      </c>
      <c r="V559" s="14" t="n"/>
    </row>
    <row r="560">
      <c r="A560" s="11" t="n">
        <v>6001</v>
      </c>
      <c r="B560" s="11" t="inlineStr">
        <is>
          <t>BUCARAMANGA</t>
        </is>
      </c>
      <c r="C560" s="11" t="inlineStr">
        <is>
          <t>Bucaramanga</t>
        </is>
      </c>
      <c r="D560" s="11" t="inlineStr">
        <is>
          <t>Santander</t>
        </is>
      </c>
      <c r="E560" s="11" t="inlineStr">
        <is>
          <t>SANTANDERES</t>
        </is>
      </c>
      <c r="F560" s="11" t="inlineStr">
        <is>
          <t>CARLOS MIGUEL JIMENEZ</t>
        </is>
      </c>
      <c r="G560" s="11" t="inlineStr">
        <is>
          <t>9</t>
        </is>
      </c>
      <c r="H560" s="12" t="n">
        <v>46301</v>
      </c>
      <c r="I560" s="12" t="n">
        <v>46311</v>
      </c>
      <c r="J560" s="12" t="n"/>
      <c r="K560" s="12" t="n"/>
      <c r="L560" s="11" t="inlineStr">
        <is>
          <t>Programada</t>
        </is>
      </c>
      <c r="M560" s="12" t="n"/>
      <c r="N560" s="11">
        <f>SI(O(H560="";J560="");"";SI(J560&lt;=H560;"SÍ";"NO"))</f>
        <v/>
      </c>
      <c r="O560" s="11">
        <f>SI(O(I560="";K560="");"";SI(K560&lt;=SI(M560&lt;&gt;"";M560;I560);"SÍ";"NO"))</f>
        <v/>
      </c>
      <c r="P560" s="11">
        <f>SI(O(N560="";O560="");"";SI(Y(N560="SÍ";O560="SÍ");"SÍ";"NO"))</f>
        <v/>
      </c>
      <c r="Q560" s="13">
        <f>SI(O(I560="";K560="");"";MAX(0;ENTERO(K560)-ENTERO(SI(M560&lt;&gt;"";M560;I560))))</f>
        <v/>
      </c>
      <c r="R560" s="11" t="n"/>
      <c r="S560" s="11" t="n"/>
      <c r="T560" s="12" t="n"/>
      <c r="U560" s="11" t="n">
        <v>84</v>
      </c>
      <c r="V560" s="11" t="n"/>
    </row>
    <row r="561">
      <c r="A561" s="14" t="n">
        <v>6027</v>
      </c>
      <c r="B561" s="14" t="inlineStr">
        <is>
          <t>BETULIA</t>
        </is>
      </c>
      <c r="C561" s="14" t="inlineStr">
        <is>
          <t>Betulia</t>
        </is>
      </c>
      <c r="D561" s="14" t="inlineStr">
        <is>
          <t>Santander</t>
        </is>
      </c>
      <c r="E561" s="14" t="inlineStr">
        <is>
          <t>SANTANDERES</t>
        </is>
      </c>
      <c r="F561" s="14" t="inlineStr">
        <is>
          <t>Andrés Felipe Díaz Noy</t>
        </is>
      </c>
      <c r="G561" s="14" t="inlineStr">
        <is>
          <t>1</t>
        </is>
      </c>
      <c r="H561" s="15" t="n">
        <v>46301</v>
      </c>
      <c r="I561" s="15" t="n">
        <v>46302</v>
      </c>
      <c r="J561" s="15" t="n"/>
      <c r="K561" s="15" t="n"/>
      <c r="L561" s="14" t="inlineStr">
        <is>
          <t>Programada</t>
        </is>
      </c>
      <c r="M561" s="15" t="n"/>
      <c r="N561" s="14">
        <f>SI(O(H561="";J561="");"";SI(J561&lt;=H561;"SÍ";"NO"))</f>
        <v/>
      </c>
      <c r="O561" s="14">
        <f>SI(O(I561="";K561="");"";SI(K561&lt;=SI(M561&lt;&gt;"";M561;I561);"SÍ";"NO"))</f>
        <v/>
      </c>
      <c r="P561" s="14">
        <f>SI(O(N561="";O561="");"";SI(Y(N561="SÍ";O561="SÍ");"SÍ";"NO"))</f>
        <v/>
      </c>
      <c r="Q561" s="16">
        <f>SI(O(I561="";K561="");"";MAX(0;ENTERO(K561)-ENTERO(SI(M561&lt;&gt;"";M561;I561))))</f>
        <v/>
      </c>
      <c r="R561" s="14" t="n"/>
      <c r="S561" s="14" t="n"/>
      <c r="T561" s="15" t="n"/>
      <c r="U561" s="14" t="n">
        <v>13</v>
      </c>
      <c r="V561" s="14" t="n"/>
    </row>
    <row r="562">
      <c r="A562" s="11" t="n">
        <v>6077</v>
      </c>
      <c r="B562" s="11" t="inlineStr">
        <is>
          <t>SURATA</t>
        </is>
      </c>
      <c r="C562" s="11" t="inlineStr">
        <is>
          <t>Suratá</t>
        </is>
      </c>
      <c r="D562" s="11" t="inlineStr">
        <is>
          <t>Santander</t>
        </is>
      </c>
      <c r="E562" s="11" t="inlineStr">
        <is>
          <t>SANTANDERES</t>
        </is>
      </c>
      <c r="F562" s="11" t="inlineStr">
        <is>
          <t>Andrés Felipe Carvajal Pire</t>
        </is>
      </c>
      <c r="G562" s="11" t="inlineStr">
        <is>
          <t>1</t>
        </is>
      </c>
      <c r="H562" s="12" t="n">
        <v>46301</v>
      </c>
      <c r="I562" s="12" t="n">
        <v>46302</v>
      </c>
      <c r="J562" s="12" t="n"/>
      <c r="K562" s="12" t="n"/>
      <c r="L562" s="11" t="inlineStr">
        <is>
          <t>Programada</t>
        </is>
      </c>
      <c r="M562" s="12" t="n"/>
      <c r="N562" s="11">
        <f>SI(O(H562="";J562="");"";SI(J562&lt;=H562;"SÍ";"NO"))</f>
        <v/>
      </c>
      <c r="O562" s="11">
        <f>SI(O(I562="";K562="");"";SI(K562&lt;=SI(M562&lt;&gt;"";M562;I562);"SÍ";"NO"))</f>
        <v/>
      </c>
      <c r="P562" s="11">
        <f>SI(O(N562="";O562="");"";SI(Y(N562="SÍ";O562="SÍ");"SÍ";"NO"))</f>
        <v/>
      </c>
      <c r="Q562" s="13">
        <f>SI(O(I562="";K562="");"";MAX(0;ENTERO(K562)-ENTERO(SI(M562&lt;&gt;"";M562;I562))))</f>
        <v/>
      </c>
      <c r="R562" s="11" t="n"/>
      <c r="S562" s="11" t="n"/>
      <c r="T562" s="12" t="n"/>
      <c r="U562" s="11" t="n">
        <v>15</v>
      </c>
      <c r="V562" s="11" t="n"/>
    </row>
    <row r="563">
      <c r="A563" s="14" t="n">
        <v>6601</v>
      </c>
      <c r="B563" s="14" t="inlineStr">
        <is>
          <t>IBAGUE</t>
        </is>
      </c>
      <c r="C563" s="14" t="inlineStr">
        <is>
          <t>Ibagué</t>
        </is>
      </c>
      <c r="D563" s="14" t="inlineStr">
        <is>
          <t>Tolima</t>
        </is>
      </c>
      <c r="E563" s="14" t="inlineStr">
        <is>
          <t>SUR</t>
        </is>
      </c>
      <c r="F563" s="14" t="inlineStr">
        <is>
          <t>WILLIAM FERNANDO ALDANA NIÑO</t>
        </is>
      </c>
      <c r="G563" s="14" t="inlineStr">
        <is>
          <t>15</t>
        </is>
      </c>
      <c r="H563" s="15" t="n">
        <v>46301</v>
      </c>
      <c r="I563" s="15" t="n">
        <v>46311</v>
      </c>
      <c r="J563" s="15" t="n"/>
      <c r="K563" s="15" t="n"/>
      <c r="L563" s="14" t="inlineStr">
        <is>
          <t>Programada</t>
        </is>
      </c>
      <c r="M563" s="15" t="n"/>
      <c r="N563" s="14">
        <f>SI(O(H563="";J563="");"";SI(J563&lt;=H563;"SÍ";"NO"))</f>
        <v/>
      </c>
      <c r="O563" s="14">
        <f>SI(O(I563="";K563="");"";SI(K563&lt;=SI(M563&lt;&gt;"";M563;I563);"SÍ";"NO"))</f>
        <v/>
      </c>
      <c r="P563" s="14">
        <f>SI(O(N563="";O563="");"";SI(Y(N563="SÍ";O563="SÍ");"SÍ";"NO"))</f>
        <v/>
      </c>
      <c r="Q563" s="16">
        <f>SI(O(I563="";K563="");"";MAX(0;ENTERO(K563)-ENTERO(SI(M563&lt;&gt;"";M563;I563))))</f>
        <v/>
      </c>
      <c r="R563" s="14" t="n"/>
      <c r="S563" s="14" t="n"/>
      <c r="T563" s="15" t="n"/>
      <c r="U563" s="14" t="n">
        <v>90</v>
      </c>
      <c r="V563" s="14" t="n"/>
    </row>
    <row r="564">
      <c r="A564" s="11" t="n">
        <v>6660</v>
      </c>
      <c r="B564" s="11" t="inlineStr">
        <is>
          <t>ROVIRA</t>
        </is>
      </c>
      <c r="C564" s="11" t="inlineStr">
        <is>
          <t>Rovira</t>
        </is>
      </c>
      <c r="D564" s="11" t="inlineStr">
        <is>
          <t>Tolima</t>
        </is>
      </c>
      <c r="E564" s="11" t="inlineStr">
        <is>
          <t>SUR</t>
        </is>
      </c>
      <c r="F564" s="11" t="inlineStr">
        <is>
          <t>Fernando Valencia- Bernardo Arango</t>
        </is>
      </c>
      <c r="G564" s="11" t="inlineStr">
        <is>
          <t>2</t>
        </is>
      </c>
      <c r="H564" s="12" t="n">
        <v>46301</v>
      </c>
      <c r="I564" s="12" t="n">
        <v>46302</v>
      </c>
      <c r="J564" s="12" t="n"/>
      <c r="K564" s="12" t="n"/>
      <c r="L564" s="11" t="inlineStr">
        <is>
          <t>Programada</t>
        </is>
      </c>
      <c r="M564" s="12" t="n"/>
      <c r="N564" s="11">
        <f>SI(O(H564="";J564="");"";SI(J564&lt;=H564;"SÍ";"NO"))</f>
        <v/>
      </c>
      <c r="O564" s="11">
        <f>SI(O(I564="";K564="");"";SI(K564&lt;=SI(M564&lt;&gt;"";M564;I564);"SÍ";"NO"))</f>
        <v/>
      </c>
      <c r="P564" s="11">
        <f>SI(O(N564="";O564="");"";SI(Y(N564="SÍ";O564="SÍ");"SÍ";"NO"))</f>
        <v/>
      </c>
      <c r="Q564" s="13">
        <f>SI(O(I564="";K564="");"";MAX(0;ENTERO(K564)-ENTERO(SI(M564&lt;&gt;"";M564;I564))))</f>
        <v/>
      </c>
      <c r="R564" s="11" t="n"/>
      <c r="S564" s="11" t="n"/>
      <c r="T564" s="12" t="n"/>
      <c r="U564" s="11" t="n">
        <v>26</v>
      </c>
      <c r="V564" s="11" t="n"/>
    </row>
    <row r="565">
      <c r="A565" s="14" t="n">
        <v>6918</v>
      </c>
      <c r="B565" s="14" t="inlineStr">
        <is>
          <t>POPAYAN</t>
        </is>
      </c>
      <c r="C565" s="14" t="inlineStr">
        <is>
          <t>Popayán</t>
        </is>
      </c>
      <c r="D565" s="14" t="inlineStr">
        <is>
          <t>Cauca</t>
        </is>
      </c>
      <c r="E565" s="14" t="inlineStr">
        <is>
          <t>OCCIDENTE</t>
        </is>
      </c>
      <c r="F565" s="14" t="inlineStr">
        <is>
          <t>MABEL BOTINA IBARRA</t>
        </is>
      </c>
      <c r="G565" s="14" t="inlineStr">
        <is>
          <t>11</t>
        </is>
      </c>
      <c r="H565" s="15" t="n">
        <v>46301</v>
      </c>
      <c r="I565" s="15" t="n">
        <v>46311</v>
      </c>
      <c r="J565" s="15" t="n"/>
      <c r="K565" s="15" t="n"/>
      <c r="L565" s="14" t="inlineStr">
        <is>
          <t>Programada</t>
        </is>
      </c>
      <c r="M565" s="15" t="n"/>
      <c r="N565" s="14">
        <f>SI(O(H565="";J565="");"";SI(J565&lt;=H565;"SÍ";"NO"))</f>
        <v/>
      </c>
      <c r="O565" s="14">
        <f>SI(O(I565="";K565="");"";SI(K565&lt;=SI(M565&lt;&gt;"";M565;I565);"SÍ";"NO"))</f>
        <v/>
      </c>
      <c r="P565" s="14">
        <f>SI(O(N565="";O565="");"";SI(Y(N565="SÍ";O565="SÍ");"SÍ";"NO"))</f>
        <v/>
      </c>
      <c r="Q565" s="16">
        <f>SI(O(I565="";K565="");"";MAX(0;ENTERO(K565)-ENTERO(SI(M565&lt;&gt;"";M565;I565))))</f>
        <v/>
      </c>
      <c r="R565" s="14" t="n"/>
      <c r="S565" s="14" t="n"/>
      <c r="T565" s="15" t="n"/>
      <c r="U565" s="14" t="n">
        <v>60</v>
      </c>
      <c r="V565" s="14" t="n"/>
    </row>
    <row r="566">
      <c r="A566" s="11" t="n">
        <v>6976</v>
      </c>
      <c r="B566" s="11" t="inlineStr">
        <is>
          <t>DAGUA</t>
        </is>
      </c>
      <c r="C566" s="11" t="inlineStr">
        <is>
          <t>Dagua</t>
        </is>
      </c>
      <c r="D566" s="11" t="inlineStr">
        <is>
          <t>Valle del Cauca</t>
        </is>
      </c>
      <c r="E566" s="11" t="inlineStr">
        <is>
          <t>OCCIDENTE</t>
        </is>
      </c>
      <c r="F566" s="11" t="inlineStr">
        <is>
          <t>John Edwin Jimenez Chavez</t>
        </is>
      </c>
      <c r="G566" s="11" t="inlineStr">
        <is>
          <t>3</t>
        </is>
      </c>
      <c r="H566" s="12" t="n">
        <v>46301</v>
      </c>
      <c r="I566" s="12" t="n">
        <v>46301</v>
      </c>
      <c r="J566" s="12" t="n"/>
      <c r="K566" s="12" t="n"/>
      <c r="L566" s="11" t="inlineStr">
        <is>
          <t>Programada</t>
        </is>
      </c>
      <c r="M566" s="12" t="n"/>
      <c r="N566" s="11">
        <f>SI(O(H566="";J566="");"";SI(J566&lt;=H566;"SÍ";"NO"))</f>
        <v/>
      </c>
      <c r="O566" s="11">
        <f>SI(O(I566="";K566="");"";SI(K566&lt;=SI(M566&lt;&gt;"";M566;I566);"SÍ";"NO"))</f>
        <v/>
      </c>
      <c r="P566" s="11">
        <f>SI(O(N566="";O566="");"";SI(Y(N566="SÍ";O566="SÍ");"SÍ";"NO"))</f>
        <v/>
      </c>
      <c r="Q566" s="13">
        <f>SI(O(I566="";K566="");"";MAX(0;ENTERO(K566)-ENTERO(SI(M566&lt;&gt;"";M566;I566))))</f>
        <v/>
      </c>
      <c r="R566" s="11" t="n"/>
      <c r="S566" s="11" t="n"/>
      <c r="T566" s="12" t="n"/>
      <c r="U566" s="11" t="n">
        <v>20</v>
      </c>
      <c r="V566" s="11" t="n"/>
    </row>
    <row r="567">
      <c r="A567" s="14" t="n">
        <v>8315</v>
      </c>
      <c r="B567" s="14" t="inlineStr">
        <is>
          <t>MIRAFLORES</t>
        </is>
      </c>
      <c r="C567" s="14" t="inlineStr">
        <is>
          <t>Miraflores</t>
        </is>
      </c>
      <c r="D567" s="14" t="inlineStr">
        <is>
          <t>Guaviare</t>
        </is>
      </c>
      <c r="E567" s="14" t="inlineStr">
        <is>
          <t>BOGOTA</t>
        </is>
      </c>
      <c r="F567" s="14" t="inlineStr">
        <is>
          <t>JORGE STIWER PALMA</t>
        </is>
      </c>
      <c r="G567" s="14" t="inlineStr">
        <is>
          <t>1</t>
        </is>
      </c>
      <c r="H567" s="15" t="n">
        <v>46301</v>
      </c>
      <c r="I567" s="15" t="n">
        <v>46302</v>
      </c>
      <c r="J567" s="15" t="n"/>
      <c r="K567" s="15" t="n"/>
      <c r="L567" s="14" t="inlineStr">
        <is>
          <t>Programada</t>
        </is>
      </c>
      <c r="M567" s="15" t="n"/>
      <c r="N567" s="14">
        <f>SI(O(H567="";J567="");"";SI(J567&lt;=H567;"SÍ";"NO"))</f>
        <v/>
      </c>
      <c r="O567" s="14">
        <f>SI(O(I567="";K567="");"";SI(K567&lt;=SI(M567&lt;&gt;"";M567;I567);"SÍ";"NO"))</f>
        <v/>
      </c>
      <c r="P567" s="14">
        <f>SI(O(N567="";O567="");"";SI(Y(N567="SÍ";O567="SÍ");"SÍ";"NO"))</f>
        <v/>
      </c>
      <c r="Q567" s="16">
        <f>SI(O(I567="";K567="");"";MAX(0;ENTERO(K567)-ENTERO(SI(M567&lt;&gt;"";M567;I567))))</f>
        <v/>
      </c>
      <c r="R567" s="14" t="n"/>
      <c r="S567" s="14" t="n"/>
      <c r="T567" s="15" t="n"/>
      <c r="U567" s="14" t="n">
        <v>13</v>
      </c>
      <c r="V567" s="14" t="n"/>
    </row>
    <row r="568">
      <c r="A568" s="11" t="n">
        <v>10</v>
      </c>
      <c r="B568" s="11" t="inlineStr">
        <is>
          <t>CENTRO DE NEGOCIOS BOGOTA CENTRO</t>
        </is>
      </c>
      <c r="C568" s="11" t="inlineStr">
        <is>
          <t>Bogotá, D.C.</t>
        </is>
      </c>
      <c r="D568" s="11" t="inlineStr">
        <is>
          <t>Bogotá D.C</t>
        </is>
      </c>
      <c r="E568" s="11" t="inlineStr">
        <is>
          <t>BOGOTA</t>
        </is>
      </c>
      <c r="F568" s="11" t="inlineStr">
        <is>
          <t>Anderson Forero Mora</t>
        </is>
      </c>
      <c r="G568" s="11" t="inlineStr">
        <is>
          <t>1</t>
        </is>
      </c>
      <c r="H568" s="12" t="n">
        <v>46302</v>
      </c>
      <c r="I568" s="12" t="n">
        <v>46304</v>
      </c>
      <c r="J568" s="12" t="n"/>
      <c r="K568" s="12" t="n"/>
      <c r="L568" s="11" t="inlineStr">
        <is>
          <t>Programada</t>
        </is>
      </c>
      <c r="M568" s="12" t="n"/>
      <c r="N568" s="11">
        <f>SI(O(H568="";J568="");"";SI(J568&lt;=H568;"SÍ";"NO"))</f>
        <v/>
      </c>
      <c r="O568" s="11">
        <f>SI(O(I568="";K568="");"";SI(K568&lt;=SI(M568&lt;&gt;"";M568;I568);"SÍ";"NO"))</f>
        <v/>
      </c>
      <c r="P568" s="11">
        <f>SI(O(N568="";O568="");"";SI(Y(N568="SÍ";O568="SÍ");"SÍ";"NO"))</f>
        <v/>
      </c>
      <c r="Q568" s="13">
        <f>SI(O(I568="";K568="");"";MAX(0;ENTERO(K568)-ENTERO(SI(M568&lt;&gt;"";M568;I568))))</f>
        <v/>
      </c>
      <c r="R568" s="11" t="n"/>
      <c r="S568" s="11" t="n"/>
      <c r="T568" s="12" t="n"/>
      <c r="U568" s="11" t="n">
        <v>76</v>
      </c>
      <c r="V568" s="11" t="n"/>
    </row>
    <row r="569">
      <c r="A569" s="14" t="n">
        <v>1215</v>
      </c>
      <c r="B569" s="14" t="inlineStr">
        <is>
          <t>ARJONA</t>
        </is>
      </c>
      <c r="C569" s="14" t="inlineStr">
        <is>
          <t>Arjona</t>
        </is>
      </c>
      <c r="D569" s="14" t="inlineStr">
        <is>
          <t>Bolívar</t>
        </is>
      </c>
      <c r="E569" s="14" t="inlineStr">
        <is>
          <t>COSTA</t>
        </is>
      </c>
      <c r="F569" s="14" t="inlineStr">
        <is>
          <t>Ramon Salgado Romero</t>
        </is>
      </c>
      <c r="G569" s="14" t="inlineStr">
        <is>
          <t>3</t>
        </is>
      </c>
      <c r="H569" s="15" t="n">
        <v>46302</v>
      </c>
      <c r="I569" s="15" t="n">
        <v>46302</v>
      </c>
      <c r="J569" s="15" t="n"/>
      <c r="K569" s="15" t="n"/>
      <c r="L569" s="14" t="inlineStr">
        <is>
          <t>Programada</t>
        </is>
      </c>
      <c r="M569" s="15" t="n"/>
      <c r="N569" s="14">
        <f>SI(O(H569="";J569="");"";SI(J569&lt;=H569;"SÍ";"NO"))</f>
        <v/>
      </c>
      <c r="O569" s="14">
        <f>SI(O(I569="";K569="");"";SI(K569&lt;=SI(M569&lt;&gt;"";M569;I569);"SÍ";"NO"))</f>
        <v/>
      </c>
      <c r="P569" s="14">
        <f>SI(O(N569="";O569="");"";SI(Y(N569="SÍ";O569="SÍ");"SÍ";"NO"))</f>
        <v/>
      </c>
      <c r="Q569" s="16">
        <f>SI(O(I569="";K569="");"";MAX(0;ENTERO(K569)-ENTERO(SI(M569&lt;&gt;"";M569;I569))))</f>
        <v/>
      </c>
      <c r="R569" s="14" t="n"/>
      <c r="S569" s="14" t="n"/>
      <c r="T569" s="15" t="n"/>
      <c r="U569" s="14" t="n">
        <v>29</v>
      </c>
      <c r="V569" s="14" t="n"/>
    </row>
    <row r="570">
      <c r="A570" s="11" t="n">
        <v>1388</v>
      </c>
      <c r="B570" s="11" t="inlineStr">
        <is>
          <t>SAN VICENTE</t>
        </is>
      </c>
      <c r="C570" s="11" t="inlineStr">
        <is>
          <t>San Vicente</t>
        </is>
      </c>
      <c r="D570" s="11" t="inlineStr">
        <is>
          <t>Antioquia</t>
        </is>
      </c>
      <c r="E570" s="11" t="inlineStr">
        <is>
          <t>ANTIOQUIA</t>
        </is>
      </c>
      <c r="F570" s="11" t="inlineStr">
        <is>
          <t>Juan Pablo Osorio Ramirez</t>
        </is>
      </c>
      <c r="G570" s="11" t="inlineStr">
        <is>
          <t>2</t>
        </is>
      </c>
      <c r="H570" s="12" t="n">
        <v>46302</v>
      </c>
      <c r="I570" s="12" t="n">
        <v>46302</v>
      </c>
      <c r="J570" s="12" t="n"/>
      <c r="K570" s="12" t="n"/>
      <c r="L570" s="11" t="inlineStr">
        <is>
          <t>Programada</t>
        </is>
      </c>
      <c r="M570" s="12" t="n"/>
      <c r="N570" s="11">
        <f>SI(O(H570="";J570="");"";SI(J570&lt;=H570;"SÍ";"NO"))</f>
        <v/>
      </c>
      <c r="O570" s="11">
        <f>SI(O(I570="";K570="");"";SI(K570&lt;=SI(M570&lt;&gt;"";M570;I570);"SÍ";"NO"))</f>
        <v/>
      </c>
      <c r="P570" s="11">
        <f>SI(O(N570="";O570="");"";SI(Y(N570="SÍ";O570="SÍ");"SÍ";"NO"))</f>
        <v/>
      </c>
      <c r="Q570" s="13">
        <f>SI(O(I570="";K570="");"";MAX(0;ENTERO(K570)-ENTERO(SI(M570&lt;&gt;"";M570;I570))))</f>
        <v/>
      </c>
      <c r="R570" s="11" t="n"/>
      <c r="S570" s="11" t="n"/>
      <c r="T570" s="12" t="n"/>
      <c r="U570" s="11" t="n">
        <v>22</v>
      </c>
      <c r="V570" s="11" t="n"/>
    </row>
    <row r="571">
      <c r="A571" s="14" t="n">
        <v>1401</v>
      </c>
      <c r="B571" s="14" t="inlineStr">
        <is>
          <t>CONCEPCION</t>
        </is>
      </c>
      <c r="C571" s="14" t="inlineStr">
        <is>
          <t>Concepción</t>
        </is>
      </c>
      <c r="D571" s="14" t="inlineStr">
        <is>
          <t>Antioquia</t>
        </is>
      </c>
      <c r="E571" s="14" t="inlineStr">
        <is>
          <t>ANTIOQUIA</t>
        </is>
      </c>
      <c r="F571" s="14" t="inlineStr">
        <is>
          <t>Juan Pablo Osorio Ramirez</t>
        </is>
      </c>
      <c r="G571" s="14" t="inlineStr">
        <is>
          <t>1</t>
        </is>
      </c>
      <c r="H571" s="15" t="n">
        <v>46302</v>
      </c>
      <c r="I571" s="15" t="n">
        <v>46302</v>
      </c>
      <c r="J571" s="15" t="n"/>
      <c r="K571" s="15" t="n"/>
      <c r="L571" s="14" t="inlineStr">
        <is>
          <t>Programada</t>
        </is>
      </c>
      <c r="M571" s="15" t="n"/>
      <c r="N571" s="14">
        <f>SI(O(H571="";J571="");"";SI(J571&lt;=H571;"SÍ";"NO"))</f>
        <v/>
      </c>
      <c r="O571" s="14">
        <f>SI(O(I571="";K571="");"";SI(K571&lt;=SI(M571&lt;&gt;"";M571;I571);"SÍ";"NO"))</f>
        <v/>
      </c>
      <c r="P571" s="14">
        <f>SI(O(N571="";O571="");"";SI(Y(N571="SÍ";O571="SÍ");"SÍ";"NO"))</f>
        <v/>
      </c>
      <c r="Q571" s="16">
        <f>SI(O(I571="";K571="");"";MAX(0;ENTERO(K571)-ENTERO(SI(M571&lt;&gt;"";M571;I571))))</f>
        <v/>
      </c>
      <c r="R571" s="14" t="n"/>
      <c r="S571" s="14" t="n"/>
      <c r="T571" s="15" t="n"/>
      <c r="U571" s="14" t="n">
        <v>13</v>
      </c>
      <c r="V571" s="14" t="n"/>
    </row>
    <row r="572">
      <c r="A572" s="11" t="n">
        <v>1652</v>
      </c>
      <c r="B572" s="11" t="inlineStr">
        <is>
          <t>PUERTO COLOMBIA</t>
        </is>
      </c>
      <c r="C572" s="11" t="inlineStr">
        <is>
          <t>Puerto Colombia</t>
        </is>
      </c>
      <c r="D572" s="11" t="inlineStr">
        <is>
          <t>Atlántico</t>
        </is>
      </c>
      <c r="E572" s="11" t="inlineStr">
        <is>
          <t>COSTA</t>
        </is>
      </c>
      <c r="F572" s="11" t="inlineStr">
        <is>
          <t>Karolym  Maria Rypoll Bolemo</t>
        </is>
      </c>
      <c r="G572" s="11" t="inlineStr">
        <is>
          <t>2</t>
        </is>
      </c>
      <c r="H572" s="12" t="n">
        <v>46302</v>
      </c>
      <c r="I572" s="12" t="n">
        <v>46302</v>
      </c>
      <c r="J572" s="12" t="n"/>
      <c r="K572" s="12" t="n"/>
      <c r="L572" s="11" t="inlineStr">
        <is>
          <t>Programada</t>
        </is>
      </c>
      <c r="M572" s="12" t="n"/>
      <c r="N572" s="11">
        <f>SI(O(H572="";J572="");"";SI(J572&lt;=H572;"SÍ";"NO"))</f>
        <v/>
      </c>
      <c r="O572" s="11">
        <f>SI(O(I572="";K572="");"";SI(K572&lt;=SI(M572&lt;&gt;"";M572;I572);"SÍ";"NO"))</f>
        <v/>
      </c>
      <c r="P572" s="11">
        <f>SI(O(N572="";O572="");"";SI(Y(N572="SÍ";O572="SÍ");"SÍ";"NO"))</f>
        <v/>
      </c>
      <c r="Q572" s="13">
        <f>SI(O(I572="";K572="");"";MAX(0;ENTERO(K572)-ENTERO(SI(M572&lt;&gt;"";M572;I572))))</f>
        <v/>
      </c>
      <c r="R572" s="11" t="n"/>
      <c r="S572" s="11" t="n"/>
      <c r="T572" s="12" t="n"/>
      <c r="U572" s="11" t="n">
        <v>14</v>
      </c>
      <c r="V572" s="11" t="n"/>
    </row>
    <row r="573">
      <c r="A573" s="14" t="n">
        <v>2102</v>
      </c>
      <c r="B573" s="14" t="inlineStr">
        <is>
          <t>EL BORDO</t>
        </is>
      </c>
      <c r="C573" s="14" t="inlineStr">
        <is>
          <t>Patía</t>
        </is>
      </c>
      <c r="D573" s="14" t="inlineStr">
        <is>
          <t>Cauca</t>
        </is>
      </c>
      <c r="E573" s="14" t="inlineStr">
        <is>
          <t>OCCIDENTE</t>
        </is>
      </c>
      <c r="F573" s="14" t="inlineStr">
        <is>
          <t>Holmes Arley Astudillo Fajardo</t>
        </is>
      </c>
      <c r="G573" s="14" t="inlineStr">
        <is>
          <t>4</t>
        </is>
      </c>
      <c r="H573" s="15" t="n">
        <v>46302</v>
      </c>
      <c r="I573" s="15" t="n">
        <v>46302</v>
      </c>
      <c r="J573" s="15" t="n"/>
      <c r="K573" s="15" t="n"/>
      <c r="L573" s="14" t="inlineStr">
        <is>
          <t>Programada</t>
        </is>
      </c>
      <c r="M573" s="15" t="n"/>
      <c r="N573" s="14">
        <f>SI(O(H573="";J573="");"";SI(J573&lt;=H573;"SÍ";"NO"))</f>
        <v/>
      </c>
      <c r="O573" s="14">
        <f>SI(O(I573="";K573="");"";SI(K573&lt;=SI(M573&lt;&gt;"";M573;I573);"SÍ";"NO"))</f>
        <v/>
      </c>
      <c r="P573" s="14">
        <f>SI(O(N573="";O573="");"";SI(Y(N573="SÍ";O573="SÍ");"SÍ";"NO"))</f>
        <v/>
      </c>
      <c r="Q573" s="16">
        <f>SI(O(I573="";K573="");"";MAX(0;ENTERO(K573)-ENTERO(SI(M573&lt;&gt;"";M573;I573))))</f>
        <v/>
      </c>
      <c r="R573" s="14" t="n"/>
      <c r="S573" s="14" t="n"/>
      <c r="T573" s="15" t="n"/>
      <c r="U573" s="14" t="n">
        <v>33</v>
      </c>
      <c r="V573" s="14" t="n"/>
    </row>
    <row r="574">
      <c r="A574" s="11" t="n">
        <v>3360</v>
      </c>
      <c r="B574" s="11" t="inlineStr">
        <is>
          <t>RIOSUCIO</t>
        </is>
      </c>
      <c r="C574" s="11" t="inlineStr">
        <is>
          <t>Riosucio</t>
        </is>
      </c>
      <c r="D574" s="11" t="inlineStr">
        <is>
          <t>Chocó</t>
        </is>
      </c>
      <c r="E574" s="11" t="inlineStr">
        <is>
          <t>ANTIOQUIA</t>
        </is>
      </c>
      <c r="F574" s="11" t="inlineStr">
        <is>
          <t>Ever Enrique Esquivel Movilla</t>
        </is>
      </c>
      <c r="G574" s="11" t="inlineStr">
        <is>
          <t>1</t>
        </is>
      </c>
      <c r="H574" s="12" t="n">
        <v>46302</v>
      </c>
      <c r="I574" s="12" t="n">
        <v>46302</v>
      </c>
      <c r="J574" s="12" t="n"/>
      <c r="K574" s="12" t="n"/>
      <c r="L574" s="11" t="inlineStr">
        <is>
          <t>Programada</t>
        </is>
      </c>
      <c r="M574" s="12" t="n"/>
      <c r="N574" s="11">
        <f>SI(O(H574="";J574="");"";SI(J574&lt;=H574;"SÍ";"NO"))</f>
        <v/>
      </c>
      <c r="O574" s="11">
        <f>SI(O(I574="";K574="");"";SI(K574&lt;=SI(M574&lt;&gt;"";M574;I574);"SÍ";"NO"))</f>
        <v/>
      </c>
      <c r="P574" s="11">
        <f>SI(O(N574="";O574="");"";SI(Y(N574="SÍ";O574="SÍ");"SÍ";"NO"))</f>
        <v/>
      </c>
      <c r="Q574" s="13">
        <f>SI(O(I574="";K574="");"";MAX(0;ENTERO(K574)-ENTERO(SI(M574&lt;&gt;"";M574;I574))))</f>
        <v/>
      </c>
      <c r="R574" s="11" t="n"/>
      <c r="S574" s="11" t="n"/>
      <c r="T574" s="12" t="n"/>
      <c r="U574" s="11" t="n">
        <v>13</v>
      </c>
      <c r="V574" s="11" t="n"/>
    </row>
    <row r="575">
      <c r="A575" s="14" t="n">
        <v>4890</v>
      </c>
      <c r="B575" s="14" t="inlineStr">
        <is>
          <t>BERRUECOS</t>
        </is>
      </c>
      <c r="C575" s="14" t="inlineStr">
        <is>
          <t>Arboleda</t>
        </is>
      </c>
      <c r="D575" s="14" t="inlineStr">
        <is>
          <t>Nariño</t>
        </is>
      </c>
      <c r="E575" s="14" t="inlineStr">
        <is>
          <t>OCCIDENTE</t>
        </is>
      </c>
      <c r="F575" s="14" t="inlineStr">
        <is>
          <t>Juan Carlos Narvaez Acosta / Luis Fernando Ibarra Guio</t>
        </is>
      </c>
      <c r="G575" s="14" t="inlineStr">
        <is>
          <t>1</t>
        </is>
      </c>
      <c r="H575" s="15" t="n">
        <v>46302</v>
      </c>
      <c r="I575" s="15" t="n">
        <v>46302</v>
      </c>
      <c r="J575" s="15" t="n"/>
      <c r="K575" s="15" t="n"/>
      <c r="L575" s="14" t="inlineStr">
        <is>
          <t>Programada</t>
        </is>
      </c>
      <c r="M575" s="15" t="n"/>
      <c r="N575" s="14">
        <f>SI(O(H575="";J575="");"";SI(J575&lt;=H575;"SÍ";"NO"))</f>
        <v/>
      </c>
      <c r="O575" s="14">
        <f>SI(O(I575="";K575="");"";SI(K575&lt;=SI(M575&lt;&gt;"";M575;I575);"SÍ";"NO"))</f>
        <v/>
      </c>
      <c r="P575" s="14">
        <f>SI(O(N575="";O575="");"";SI(Y(N575="SÍ";O575="SÍ");"SÍ";"NO"))</f>
        <v/>
      </c>
      <c r="Q575" s="16">
        <f>SI(O(I575="";K575="");"";MAX(0;ENTERO(K575)-ENTERO(SI(M575&lt;&gt;"";M575;I575))))</f>
        <v/>
      </c>
      <c r="R575" s="14" t="n"/>
      <c r="S575" s="14" t="n"/>
      <c r="T575" s="15" t="n"/>
      <c r="U575" s="14" t="n">
        <v>13</v>
      </c>
      <c r="V575" s="14" t="n"/>
    </row>
    <row r="576">
      <c r="A576" s="11" t="n">
        <v>5145</v>
      </c>
      <c r="B576" s="11" t="inlineStr">
        <is>
          <t>RAGONVALIA</t>
        </is>
      </c>
      <c r="C576" s="11" t="inlineStr">
        <is>
          <t>Ragonvalia</t>
        </is>
      </c>
      <c r="D576" s="11" t="inlineStr">
        <is>
          <t>Norte de Santander</t>
        </is>
      </c>
      <c r="E576" s="11" t="inlineStr">
        <is>
          <t>SANTANDERES</t>
        </is>
      </c>
      <c r="F576" s="11" t="inlineStr">
        <is>
          <t>Ali Kassem Issa Sierra</t>
        </is>
      </c>
      <c r="G576" s="11" t="inlineStr">
        <is>
          <t>1</t>
        </is>
      </c>
      <c r="H576" s="12" t="n">
        <v>46302</v>
      </c>
      <c r="I576" s="12" t="n">
        <v>46303</v>
      </c>
      <c r="J576" s="12" t="n"/>
      <c r="K576" s="12" t="n"/>
      <c r="L576" s="11" t="inlineStr">
        <is>
          <t>Programada</t>
        </is>
      </c>
      <c r="M576" s="12" t="n"/>
      <c r="N576" s="11">
        <f>SI(O(H576="";J576="");"";SI(J576&lt;=H576;"SÍ";"NO"))</f>
        <v/>
      </c>
      <c r="O576" s="11">
        <f>SI(O(I576="";K576="");"";SI(K576&lt;=SI(M576&lt;&gt;"";M576;I576);"SÍ";"NO"))</f>
        <v/>
      </c>
      <c r="P576" s="11">
        <f>SI(O(N576="";O576="");"";SI(Y(N576="SÍ";O576="SÍ");"SÍ";"NO"))</f>
        <v/>
      </c>
      <c r="Q576" s="13">
        <f>SI(O(I576="";K576="");"";MAX(0;ENTERO(K576)-ENTERO(SI(M576&lt;&gt;"";M576;I576))))</f>
        <v/>
      </c>
      <c r="R576" s="11" t="n"/>
      <c r="S576" s="11" t="n"/>
      <c r="T576" s="12" t="n"/>
      <c r="U576" s="11" t="n">
        <v>13</v>
      </c>
      <c r="V576" s="11" t="n"/>
    </row>
    <row r="577">
      <c r="A577" s="14" t="n">
        <v>6079</v>
      </c>
      <c r="B577" s="14" t="inlineStr">
        <is>
          <t>VETAS</t>
        </is>
      </c>
      <c r="C577" s="14" t="inlineStr">
        <is>
          <t>Vetas</t>
        </is>
      </c>
      <c r="D577" s="14" t="inlineStr">
        <is>
          <t>Santander</t>
        </is>
      </c>
      <c r="E577" s="14" t="inlineStr">
        <is>
          <t>SANTANDERES</t>
        </is>
      </c>
      <c r="F577" s="14" t="inlineStr">
        <is>
          <t>Luz Nélida Barragán Toro</t>
        </is>
      </c>
      <c r="G577" s="14" t="inlineStr">
        <is>
          <t>1</t>
        </is>
      </c>
      <c r="H577" s="15" t="n">
        <v>46302</v>
      </c>
      <c r="I577" s="15" t="n">
        <v>46303</v>
      </c>
      <c r="J577" s="15" t="n"/>
      <c r="K577" s="15" t="n"/>
      <c r="L577" s="14" t="inlineStr">
        <is>
          <t>Programada</t>
        </is>
      </c>
      <c r="M577" s="15" t="n"/>
      <c r="N577" s="14">
        <f>SI(O(H577="";J577="");"";SI(J577&lt;=H577;"SÍ";"NO"))</f>
        <v/>
      </c>
      <c r="O577" s="14">
        <f>SI(O(I577="";K577="");"";SI(K577&lt;=SI(M577&lt;&gt;"";M577;I577);"SÍ";"NO"))</f>
        <v/>
      </c>
      <c r="P577" s="14">
        <f>SI(O(N577="";O577="");"";SI(Y(N577="SÍ";O577="SÍ");"SÍ";"NO"))</f>
        <v/>
      </c>
      <c r="Q577" s="16">
        <f>SI(O(I577="";K577="");"";MAX(0;ENTERO(K577)-ENTERO(SI(M577&lt;&gt;"";M577;I577))))</f>
        <v/>
      </c>
      <c r="R577" s="14" t="n"/>
      <c r="S577" s="14" t="n"/>
      <c r="T577" s="15" t="n"/>
      <c r="U577" s="14" t="n">
        <v>13</v>
      </c>
      <c r="V577" s="14" t="n"/>
    </row>
    <row r="578">
      <c r="A578" s="11" t="n">
        <v>8620</v>
      </c>
      <c r="B578" s="11" t="inlineStr">
        <is>
          <t>MONTERREY</t>
        </is>
      </c>
      <c r="C578" s="11" t="inlineStr">
        <is>
          <t>Monterrey</t>
        </is>
      </c>
      <c r="D578" s="11" t="inlineStr">
        <is>
          <t>Casanare</t>
        </is>
      </c>
      <c r="E578" s="11" t="inlineStr">
        <is>
          <t>ORIENTE</t>
        </is>
      </c>
      <c r="F578" s="11" t="inlineStr">
        <is>
          <t>Juan Sebastian Lopez Acevedo</t>
        </is>
      </c>
      <c r="G578" s="11" t="inlineStr">
        <is>
          <t>3</t>
        </is>
      </c>
      <c r="H578" s="12" t="n">
        <v>46302</v>
      </c>
      <c r="I578" s="12" t="n">
        <v>46303</v>
      </c>
      <c r="J578" s="12" t="n"/>
      <c r="K578" s="12" t="n"/>
      <c r="L578" s="11" t="inlineStr">
        <is>
          <t>Programada</t>
        </is>
      </c>
      <c r="M578" s="12" t="n"/>
      <c r="N578" s="11">
        <f>SI(O(H578="";J578="");"";SI(J578&lt;=H578;"SÍ";"NO"))</f>
        <v/>
      </c>
      <c r="O578" s="11">
        <f>SI(O(I578="";K578="");"";SI(K578&lt;=SI(M578&lt;&gt;"";M578;I578);"SÍ";"NO"))</f>
        <v/>
      </c>
      <c r="P578" s="11">
        <f>SI(O(N578="";O578="");"";SI(Y(N578="SÍ";O578="SÍ");"SÍ";"NO"))</f>
        <v/>
      </c>
      <c r="Q578" s="13">
        <f>SI(O(I578="";K578="");"";MAX(0;ENTERO(K578)-ENTERO(SI(M578&lt;&gt;"";M578;I578))))</f>
        <v/>
      </c>
      <c r="R578" s="11" t="n"/>
      <c r="S578" s="11" t="n"/>
      <c r="T578" s="12" t="n"/>
      <c r="U578" s="11" t="n">
        <v>20</v>
      </c>
      <c r="V578" s="11" t="n"/>
    </row>
    <row r="579">
      <c r="A579" s="14" t="n">
        <v>1372</v>
      </c>
      <c r="B579" s="14" t="inlineStr">
        <is>
          <t>COCORNA</t>
        </is>
      </c>
      <c r="C579" s="14" t="inlineStr">
        <is>
          <t>Cocorná</t>
        </is>
      </c>
      <c r="D579" s="14" t="inlineStr">
        <is>
          <t>Antioquia</t>
        </is>
      </c>
      <c r="E579" s="14" t="inlineStr">
        <is>
          <t>ANTIOQUIA</t>
        </is>
      </c>
      <c r="F579" s="14" t="inlineStr">
        <is>
          <t>Juan Pablo Osorio Ramirez</t>
        </is>
      </c>
      <c r="G579" s="14" t="inlineStr">
        <is>
          <t>2</t>
        </is>
      </c>
      <c r="H579" s="15" t="n">
        <v>46303</v>
      </c>
      <c r="I579" s="15" t="n">
        <v>46303</v>
      </c>
      <c r="J579" s="15" t="n"/>
      <c r="K579" s="15" t="n"/>
      <c r="L579" s="14" t="inlineStr">
        <is>
          <t>Programada</t>
        </is>
      </c>
      <c r="M579" s="15" t="n"/>
      <c r="N579" s="14">
        <f>SI(O(H579="";J579="");"";SI(J579&lt;=H579;"SÍ";"NO"))</f>
        <v/>
      </c>
      <c r="O579" s="14">
        <f>SI(O(I579="";K579="");"";SI(K579&lt;=SI(M579&lt;&gt;"";M579;I579);"SÍ";"NO"))</f>
        <v/>
      </c>
      <c r="P579" s="14">
        <f>SI(O(N579="";O579="");"";SI(Y(N579="SÍ";O579="SÍ");"SÍ";"NO"))</f>
        <v/>
      </c>
      <c r="Q579" s="16">
        <f>SI(O(I579="";K579="");"";MAX(0;ENTERO(K579)-ENTERO(SI(M579&lt;&gt;"";M579;I579))))</f>
        <v/>
      </c>
      <c r="R579" s="14" t="n"/>
      <c r="S579" s="14" t="n"/>
      <c r="T579" s="15" t="n"/>
      <c r="U579" s="14" t="n">
        <v>15</v>
      </c>
      <c r="V579" s="14" t="n"/>
    </row>
    <row r="580">
      <c r="A580" s="11" t="n">
        <v>1390</v>
      </c>
      <c r="B580" s="11" t="inlineStr">
        <is>
          <t>SANTUARIO</t>
        </is>
      </c>
      <c r="C580" s="11" t="inlineStr">
        <is>
          <t>El Santuario</t>
        </is>
      </c>
      <c r="D580" s="11" t="inlineStr">
        <is>
          <t>Antioquia</t>
        </is>
      </c>
      <c r="E580" s="11" t="inlineStr">
        <is>
          <t>ANTIOQUIA</t>
        </is>
      </c>
      <c r="F580" s="11" t="inlineStr">
        <is>
          <t>Juan Pablo Osorio Ramirez</t>
        </is>
      </c>
      <c r="G580" s="11" t="inlineStr">
        <is>
          <t>4</t>
        </is>
      </c>
      <c r="H580" s="12" t="n">
        <v>46303</v>
      </c>
      <c r="I580" s="12" t="n">
        <v>46303</v>
      </c>
      <c r="J580" s="12" t="n"/>
      <c r="K580" s="12" t="n"/>
      <c r="L580" s="11" t="inlineStr">
        <is>
          <t>Programada</t>
        </is>
      </c>
      <c r="M580" s="12" t="n"/>
      <c r="N580" s="11">
        <f>SI(O(H580="";J580="");"";SI(J580&lt;=H580;"SÍ";"NO"))</f>
        <v/>
      </c>
      <c r="O580" s="11">
        <f>SI(O(I580="";K580="");"";SI(K580&lt;=SI(M580&lt;&gt;"";M580;I580);"SÍ";"NO"))</f>
        <v/>
      </c>
      <c r="P580" s="11">
        <f>SI(O(N580="";O580="");"";SI(Y(N580="SÍ";O580="SÍ");"SÍ";"NO"))</f>
        <v/>
      </c>
      <c r="Q580" s="13">
        <f>SI(O(I580="";K580="");"";MAX(0;ENTERO(K580)-ENTERO(SI(M580&lt;&gt;"";M580;I580))))</f>
        <v/>
      </c>
      <c r="R580" s="11" t="n"/>
      <c r="S580" s="11" t="n"/>
      <c r="T580" s="12" t="n"/>
      <c r="U580" s="11" t="n">
        <v>22</v>
      </c>
      <c r="V580" s="11" t="n"/>
    </row>
    <row r="581">
      <c r="A581" s="14" t="n">
        <v>1630</v>
      </c>
      <c r="B581" s="14" t="inlineStr">
        <is>
          <t>LURUACO</t>
        </is>
      </c>
      <c r="C581" s="14" t="inlineStr">
        <is>
          <t>Luruaco</t>
        </is>
      </c>
      <c r="D581" s="14" t="inlineStr">
        <is>
          <t>Atlántico</t>
        </is>
      </c>
      <c r="E581" s="14" t="inlineStr">
        <is>
          <t>COSTA</t>
        </is>
      </c>
      <c r="F581" s="14" t="inlineStr">
        <is>
          <t>Ramon Salgado Romero</t>
        </is>
      </c>
      <c r="G581" s="14" t="inlineStr">
        <is>
          <t>1</t>
        </is>
      </c>
      <c r="H581" s="15" t="n">
        <v>46303</v>
      </c>
      <c r="I581" s="15" t="n">
        <v>46303</v>
      </c>
      <c r="J581" s="15" t="n"/>
      <c r="K581" s="15" t="n"/>
      <c r="L581" s="14" t="inlineStr">
        <is>
          <t>Programada</t>
        </is>
      </c>
      <c r="M581" s="15" t="n"/>
      <c r="N581" s="14">
        <f>SI(O(H581="";J581="");"";SI(J581&lt;=H581;"SÍ";"NO"))</f>
        <v/>
      </c>
      <c r="O581" s="14">
        <f>SI(O(I581="";K581="");"";SI(K581&lt;=SI(M581&lt;&gt;"";M581;I581);"SÍ";"NO"))</f>
        <v/>
      </c>
      <c r="P581" s="14">
        <f>SI(O(N581="";O581="");"";SI(Y(N581="SÍ";O581="SÍ");"SÍ";"NO"))</f>
        <v/>
      </c>
      <c r="Q581" s="16">
        <f>SI(O(I581="";K581="");"";MAX(0;ENTERO(K581)-ENTERO(SI(M581&lt;&gt;"";M581;I581))))</f>
        <v/>
      </c>
      <c r="R581" s="14" t="n"/>
      <c r="S581" s="14" t="n"/>
      <c r="T581" s="15" t="n"/>
      <c r="U581" s="14" t="n">
        <v>13</v>
      </c>
      <c r="V581" s="14" t="n"/>
    </row>
    <row r="582">
      <c r="A582" s="11" t="n">
        <v>1840</v>
      </c>
      <c r="B582" s="11" t="inlineStr">
        <is>
          <t>PALESTINA-CALDAS</t>
        </is>
      </c>
      <c r="C582" s="11" t="inlineStr">
        <is>
          <t>Palestina</t>
        </is>
      </c>
      <c r="D582" s="11" t="inlineStr">
        <is>
          <t>Caldas</t>
        </is>
      </c>
      <c r="E582" s="11" t="inlineStr">
        <is>
          <t>CAFETERA</t>
        </is>
      </c>
      <c r="F582" s="11" t="inlineStr">
        <is>
          <t>JULIO  CESAR AUDELO  - ANDRES FELIPE BOTERO</t>
        </is>
      </c>
      <c r="G582" s="11" t="inlineStr">
        <is>
          <t>1</t>
        </is>
      </c>
      <c r="H582" s="12" t="n">
        <v>46303</v>
      </c>
      <c r="I582" s="12" t="n">
        <v>46304</v>
      </c>
      <c r="J582" s="12" t="n"/>
      <c r="K582" s="12" t="n"/>
      <c r="L582" s="11" t="inlineStr">
        <is>
          <t>Programada</t>
        </is>
      </c>
      <c r="M582" s="12" t="n"/>
      <c r="N582" s="11">
        <f>SI(O(H582="";J582="");"";SI(J582&lt;=H582;"SÍ";"NO"))</f>
        <v/>
      </c>
      <c r="O582" s="11">
        <f>SI(O(I582="";K582="");"";SI(K582&lt;=SI(M582&lt;&gt;"";M582;I582);"SÍ";"NO"))</f>
        <v/>
      </c>
      <c r="P582" s="11">
        <f>SI(O(N582="";O582="");"";SI(Y(N582="SÍ";O582="SÍ");"SÍ";"NO"))</f>
        <v/>
      </c>
      <c r="Q582" s="13">
        <f>SI(O(I582="";K582="");"";MAX(0;ENTERO(K582)-ENTERO(SI(M582&lt;&gt;"";M582;I582))))</f>
        <v/>
      </c>
      <c r="R582" s="11" t="n"/>
      <c r="S582" s="11" t="n"/>
      <c r="T582" s="12" t="n"/>
      <c r="U582" s="11" t="n">
        <v>16</v>
      </c>
      <c r="V582" s="11" t="n"/>
    </row>
    <row r="583">
      <c r="A583" s="14" t="n">
        <v>2116</v>
      </c>
      <c r="B583" s="14" t="inlineStr">
        <is>
          <t>MERCADERES</t>
        </is>
      </c>
      <c r="C583" s="14" t="inlineStr">
        <is>
          <t>Mercaderes</t>
        </is>
      </c>
      <c r="D583" s="14" t="inlineStr">
        <is>
          <t>Cauca</t>
        </is>
      </c>
      <c r="E583" s="14" t="inlineStr">
        <is>
          <t>OCCIDENTE</t>
        </is>
      </c>
      <c r="F583" s="14" t="inlineStr">
        <is>
          <t>Holmes Arley Astudillo Fajardo</t>
        </is>
      </c>
      <c r="G583" s="14" t="inlineStr">
        <is>
          <t>2</t>
        </is>
      </c>
      <c r="H583" s="15" t="n">
        <v>46303</v>
      </c>
      <c r="I583" s="15" t="n">
        <v>46303</v>
      </c>
      <c r="J583" s="15" t="n"/>
      <c r="K583" s="15" t="n"/>
      <c r="L583" s="14" t="inlineStr">
        <is>
          <t>Programada</t>
        </is>
      </c>
      <c r="M583" s="15" t="n"/>
      <c r="N583" s="14">
        <f>SI(O(H583="";J583="");"";SI(J583&lt;=H583;"SÍ";"NO"))</f>
        <v/>
      </c>
      <c r="O583" s="14">
        <f>SI(O(I583="";K583="");"";SI(K583&lt;=SI(M583&lt;&gt;"";M583;I583);"SÍ";"NO"))</f>
        <v/>
      </c>
      <c r="P583" s="14">
        <f>SI(O(N583="";O583="");"";SI(Y(N583="SÍ";O583="SÍ");"SÍ";"NO"))</f>
        <v/>
      </c>
      <c r="Q583" s="16">
        <f>SI(O(I583="";K583="");"";MAX(0;ENTERO(K583)-ENTERO(SI(M583&lt;&gt;"";M583;I583))))</f>
        <v/>
      </c>
      <c r="R583" s="14" t="n"/>
      <c r="S583" s="14" t="n"/>
      <c r="T583" s="15" t="n"/>
      <c r="U583" s="14" t="n">
        <v>17</v>
      </c>
      <c r="V583" s="14" t="n"/>
    </row>
    <row r="584">
      <c r="A584" s="11" t="n">
        <v>3370</v>
      </c>
      <c r="B584" s="11" t="inlineStr">
        <is>
          <t>UNGUIA</t>
        </is>
      </c>
      <c r="C584" s="11" t="inlineStr">
        <is>
          <t>Unguía</t>
        </is>
      </c>
      <c r="D584" s="11" t="inlineStr">
        <is>
          <t>Chocó</t>
        </is>
      </c>
      <c r="E584" s="11" t="inlineStr">
        <is>
          <t>ANTIOQUIA</t>
        </is>
      </c>
      <c r="F584" s="11" t="inlineStr">
        <is>
          <t>Ever Enrique Esquivel Movilla</t>
        </is>
      </c>
      <c r="G584" s="11" t="inlineStr">
        <is>
          <t>1</t>
        </is>
      </c>
      <c r="H584" s="12" t="n">
        <v>46303</v>
      </c>
      <c r="I584" s="12" t="n">
        <v>46303</v>
      </c>
      <c r="J584" s="12" t="n"/>
      <c r="K584" s="12" t="n"/>
      <c r="L584" s="11" t="inlineStr">
        <is>
          <t>Programada</t>
        </is>
      </c>
      <c r="M584" s="12" t="n"/>
      <c r="N584" s="11">
        <f>SI(O(H584="";J584="");"";SI(J584&lt;=H584;"SÍ";"NO"))</f>
        <v/>
      </c>
      <c r="O584" s="11">
        <f>SI(O(I584="";K584="");"";SI(K584&lt;=SI(M584&lt;&gt;"";M584;I584);"SÍ";"NO"))</f>
        <v/>
      </c>
      <c r="P584" s="11">
        <f>SI(O(N584="";O584="");"";SI(Y(N584="SÍ";O584="SÍ");"SÍ";"NO"))</f>
        <v/>
      </c>
      <c r="Q584" s="13">
        <f>SI(O(I584="";K584="");"";MAX(0;ENTERO(K584)-ENTERO(SI(M584&lt;&gt;"";M584;I584))))</f>
        <v/>
      </c>
      <c r="R584" s="11" t="n"/>
      <c r="S584" s="11" t="n"/>
      <c r="T584" s="12" t="n"/>
      <c r="U584" s="11" t="n">
        <v>13</v>
      </c>
      <c r="V584" s="11" t="n"/>
    </row>
    <row r="585">
      <c r="A585" s="14" t="n">
        <v>3947</v>
      </c>
      <c r="B585" s="14" t="inlineStr">
        <is>
          <t>OPORAPA</t>
        </is>
      </c>
      <c r="C585" s="14" t="inlineStr">
        <is>
          <t>Oporapa</t>
        </is>
      </c>
      <c r="D585" s="14" t="inlineStr">
        <is>
          <t>Huila</t>
        </is>
      </c>
      <c r="E585" s="14" t="inlineStr">
        <is>
          <t>SUR</t>
        </is>
      </c>
      <c r="F585" s="14" t="inlineStr">
        <is>
          <t>ERIKA VARGAS</t>
        </is>
      </c>
      <c r="G585" s="14" t="inlineStr">
        <is>
          <t>1</t>
        </is>
      </c>
      <c r="H585" s="15" t="n">
        <v>46303</v>
      </c>
      <c r="I585" s="15" t="n">
        <v>46303</v>
      </c>
      <c r="J585" s="15" t="n"/>
      <c r="K585" s="15" t="n"/>
      <c r="L585" s="14" t="inlineStr">
        <is>
          <t>Programada</t>
        </is>
      </c>
      <c r="M585" s="15" t="n"/>
      <c r="N585" s="14">
        <f>SI(O(H585="";J585="");"";SI(J585&lt;=H585;"SÍ";"NO"))</f>
        <v/>
      </c>
      <c r="O585" s="14">
        <f>SI(O(I585="";K585="");"";SI(K585&lt;=SI(M585&lt;&gt;"";M585;I585);"SÍ";"NO"))</f>
        <v/>
      </c>
      <c r="P585" s="14">
        <f>SI(O(N585="";O585="");"";SI(Y(N585="SÍ";O585="SÍ");"SÍ";"NO"))</f>
        <v/>
      </c>
      <c r="Q585" s="16">
        <f>SI(O(I585="";K585="");"";MAX(0;ENTERO(K585)-ENTERO(SI(M585&lt;&gt;"";M585;I585))))</f>
        <v/>
      </c>
      <c r="R585" s="14" t="n"/>
      <c r="S585" s="14" t="n"/>
      <c r="T585" s="15" t="n"/>
      <c r="U585" s="14" t="n">
        <v>16</v>
      </c>
      <c r="V585" s="14" t="n"/>
    </row>
    <row r="586">
      <c r="A586" s="11" t="n">
        <v>4872</v>
      </c>
      <c r="B586" s="11" t="inlineStr">
        <is>
          <t>SAN JOSE DE ALBAN</t>
        </is>
      </c>
      <c r="C586" s="11" t="inlineStr">
        <is>
          <t>Albán</t>
        </is>
      </c>
      <c r="D586" s="11" t="inlineStr">
        <is>
          <t>Nariño</t>
        </is>
      </c>
      <c r="E586" s="11" t="inlineStr">
        <is>
          <t>OCCIDENTE</t>
        </is>
      </c>
      <c r="F586" s="11" t="inlineStr">
        <is>
          <t>Juan Carlos Narvaez Acosta / Luis Fernando Ibarra Guio</t>
        </is>
      </c>
      <c r="G586" s="11" t="inlineStr">
        <is>
          <t>2</t>
        </is>
      </c>
      <c r="H586" s="12" t="n">
        <v>46303</v>
      </c>
      <c r="I586" s="12" t="n">
        <v>46303</v>
      </c>
      <c r="J586" s="12" t="n"/>
      <c r="K586" s="12" t="n"/>
      <c r="L586" s="11" t="inlineStr">
        <is>
          <t>Programada</t>
        </is>
      </c>
      <c r="M586" s="12" t="n"/>
      <c r="N586" s="11">
        <f>SI(O(H586="";J586="");"";SI(J586&lt;=H586;"SÍ";"NO"))</f>
        <v/>
      </c>
      <c r="O586" s="11">
        <f>SI(O(I586="";K586="");"";SI(K586&lt;=SI(M586&lt;&gt;"";M586;I586);"SÍ";"NO"))</f>
        <v/>
      </c>
      <c r="P586" s="11">
        <f>SI(O(N586="";O586="");"";SI(Y(N586="SÍ";O586="SÍ");"SÍ";"NO"))</f>
        <v/>
      </c>
      <c r="Q586" s="13">
        <f>SI(O(I586="";K586="");"";MAX(0;ENTERO(K586)-ENTERO(SI(M586&lt;&gt;"";M586;I586))))</f>
        <v/>
      </c>
      <c r="R586" s="11" t="n"/>
      <c r="S586" s="11" t="n"/>
      <c r="T586" s="12" t="n"/>
      <c r="U586" s="11" t="n">
        <v>19</v>
      </c>
      <c r="V586" s="11" t="n"/>
    </row>
    <row r="587">
      <c r="A587" s="14" t="n">
        <v>6014</v>
      </c>
      <c r="B587" s="14" t="inlineStr">
        <is>
          <t>CHARALÁ</t>
        </is>
      </c>
      <c r="C587" s="14" t="inlineStr">
        <is>
          <t>Charalá</t>
        </is>
      </c>
      <c r="D587" s="14" t="inlineStr">
        <is>
          <t>Santander</t>
        </is>
      </c>
      <c r="E587" s="14" t="inlineStr">
        <is>
          <t>SANTANDERES</t>
        </is>
      </c>
      <c r="F587" s="14" t="inlineStr">
        <is>
          <t>Andrés Felipe Díaz Noy</t>
        </is>
      </c>
      <c r="G587" s="14" t="inlineStr">
        <is>
          <t>3</t>
        </is>
      </c>
      <c r="H587" s="15" t="n">
        <v>46303</v>
      </c>
      <c r="I587" s="15" t="n">
        <v>46304</v>
      </c>
      <c r="J587" s="15" t="n"/>
      <c r="K587" s="15" t="n"/>
      <c r="L587" s="14" t="inlineStr">
        <is>
          <t>Programada</t>
        </is>
      </c>
      <c r="M587" s="15" t="n"/>
      <c r="N587" s="14">
        <f>SI(O(H587="";J587="");"";SI(J587&lt;=H587;"SÍ";"NO"))</f>
        <v/>
      </c>
      <c r="O587" s="14">
        <f>SI(O(I587="";K587="");"";SI(K587&lt;=SI(M587&lt;&gt;"";M587;I587);"SÍ";"NO"))</f>
        <v/>
      </c>
      <c r="P587" s="14">
        <f>SI(O(N587="";O587="");"";SI(Y(N587="SÍ";O587="SÍ");"SÍ";"NO"))</f>
        <v/>
      </c>
      <c r="Q587" s="16">
        <f>SI(O(I587="";K587="");"";MAX(0;ENTERO(K587)-ENTERO(SI(M587&lt;&gt;"";M587;I587))))</f>
        <v/>
      </c>
      <c r="R587" s="14" t="n"/>
      <c r="S587" s="14" t="n"/>
      <c r="T587" s="15" t="n"/>
      <c r="U587" s="14" t="n">
        <v>23</v>
      </c>
      <c r="V587" s="14" t="n"/>
    </row>
    <row r="588">
      <c r="A588" s="11" t="n">
        <v>6025</v>
      </c>
      <c r="B588" s="11" t="inlineStr">
        <is>
          <t>BARICHARA</t>
        </is>
      </c>
      <c r="C588" s="11" t="inlineStr">
        <is>
          <t>Barichara</t>
        </is>
      </c>
      <c r="D588" s="11" t="inlineStr">
        <is>
          <t>Santander</t>
        </is>
      </c>
      <c r="E588" s="11" t="inlineStr">
        <is>
          <t>SANTANDERES</t>
        </is>
      </c>
      <c r="F588" s="11" t="inlineStr">
        <is>
          <t>Luz Nélida Barragán Toro</t>
        </is>
      </c>
      <c r="G588" s="11" t="inlineStr">
        <is>
          <t>2</t>
        </is>
      </c>
      <c r="H588" s="12" t="n">
        <v>46303</v>
      </c>
      <c r="I588" s="12" t="n">
        <v>46304</v>
      </c>
      <c r="J588" s="12" t="n"/>
      <c r="K588" s="12" t="n"/>
      <c r="L588" s="11" t="inlineStr">
        <is>
          <t>Programada</t>
        </is>
      </c>
      <c r="M588" s="12" t="n"/>
      <c r="N588" s="11">
        <f>SI(O(H588="";J588="");"";SI(J588&lt;=H588;"SÍ";"NO"))</f>
        <v/>
      </c>
      <c r="O588" s="11">
        <f>SI(O(I588="";K588="");"";SI(K588&lt;=SI(M588&lt;&gt;"";M588;I588);"SÍ";"NO"))</f>
        <v/>
      </c>
      <c r="P588" s="11">
        <f>SI(O(N588="";O588="");"";SI(Y(N588="SÍ";O588="SÍ");"SÍ";"NO"))</f>
        <v/>
      </c>
      <c r="Q588" s="13">
        <f>SI(O(I588="";K588="");"";MAX(0;ENTERO(K588)-ENTERO(SI(M588&lt;&gt;"";M588;I588))))</f>
        <v/>
      </c>
      <c r="R588" s="11" t="n"/>
      <c r="S588" s="11" t="n"/>
      <c r="T588" s="12" t="n"/>
      <c r="U588" s="11" t="n">
        <v>14</v>
      </c>
      <c r="V588" s="11" t="n"/>
    </row>
    <row r="589">
      <c r="A589" s="14" t="n">
        <v>6030</v>
      </c>
      <c r="B589" s="14" t="inlineStr">
        <is>
          <t>CURITI</t>
        </is>
      </c>
      <c r="C589" s="14" t="inlineStr">
        <is>
          <t>Curití</t>
        </is>
      </c>
      <c r="D589" s="14" t="inlineStr">
        <is>
          <t>Santander</t>
        </is>
      </c>
      <c r="E589" s="14" t="inlineStr">
        <is>
          <t>SANTANDERES</t>
        </is>
      </c>
      <c r="F589" s="14" t="inlineStr">
        <is>
          <t>CRISTIAN CAMILO DIAZ NOY</t>
        </is>
      </c>
      <c r="G589" s="14" t="inlineStr">
        <is>
          <t>2</t>
        </is>
      </c>
      <c r="H589" s="15" t="n">
        <v>46303</v>
      </c>
      <c r="I589" s="15" t="n">
        <v>46304</v>
      </c>
      <c r="J589" s="15" t="n"/>
      <c r="K589" s="15" t="n"/>
      <c r="L589" s="14" t="inlineStr">
        <is>
          <t>Programada</t>
        </is>
      </c>
      <c r="M589" s="15" t="n"/>
      <c r="N589" s="14">
        <f>SI(O(H589="";J589="");"";SI(J589&lt;=H589;"SÍ";"NO"))</f>
        <v/>
      </c>
      <c r="O589" s="14">
        <f>SI(O(I589="";K589="");"";SI(K589&lt;=SI(M589&lt;&gt;"";M589;I589);"SÍ";"NO"))</f>
        <v/>
      </c>
      <c r="P589" s="14">
        <f>SI(O(N589="";O589="");"";SI(Y(N589="SÍ";O589="SÍ");"SÍ";"NO"))</f>
        <v/>
      </c>
      <c r="Q589" s="16">
        <f>SI(O(I589="";K589="");"";MAX(0;ENTERO(K589)-ENTERO(SI(M589&lt;&gt;"";M589;I589))))</f>
        <v/>
      </c>
      <c r="R589" s="14" t="n"/>
      <c r="S589" s="14" t="n"/>
      <c r="T589" s="15" t="n"/>
      <c r="U589" s="14" t="n">
        <v>17</v>
      </c>
      <c r="V589" s="14" t="n"/>
    </row>
    <row r="590">
      <c r="A590" s="11" t="n">
        <v>6065</v>
      </c>
      <c r="B590" s="11" t="inlineStr">
        <is>
          <t>MOGOTES</t>
        </is>
      </c>
      <c r="C590" s="11" t="inlineStr">
        <is>
          <t>Mogotes</t>
        </is>
      </c>
      <c r="D590" s="11" t="inlineStr">
        <is>
          <t>Santander</t>
        </is>
      </c>
      <c r="E590" s="11" t="inlineStr">
        <is>
          <t>SANTANDERES</t>
        </is>
      </c>
      <c r="F590" s="11" t="inlineStr">
        <is>
          <t>Andrés Felipe Carvajal Pire</t>
        </is>
      </c>
      <c r="G590" s="11" t="inlineStr">
        <is>
          <t>1</t>
        </is>
      </c>
      <c r="H590" s="12" t="n">
        <v>46303</v>
      </c>
      <c r="I590" s="12" t="n">
        <v>46304</v>
      </c>
      <c r="J590" s="12" t="n"/>
      <c r="K590" s="12" t="n"/>
      <c r="L590" s="11" t="inlineStr">
        <is>
          <t>Programada</t>
        </is>
      </c>
      <c r="M590" s="12" t="n"/>
      <c r="N590" s="11">
        <f>SI(O(H590="";J590="");"";SI(J590&lt;=H590;"SÍ";"NO"))</f>
        <v/>
      </c>
      <c r="O590" s="11">
        <f>SI(O(I590="";K590="");"";SI(K590&lt;=SI(M590&lt;&gt;"";M590;I590);"SÍ";"NO"))</f>
        <v/>
      </c>
      <c r="P590" s="11">
        <f>SI(O(N590="";O590="");"";SI(Y(N590="SÍ";O590="SÍ");"SÍ";"NO"))</f>
        <v/>
      </c>
      <c r="Q590" s="13">
        <f>SI(O(I590="";K590="");"";MAX(0;ENTERO(K590)-ENTERO(SI(M590&lt;&gt;"";M590;I590))))</f>
        <v/>
      </c>
      <c r="R590" s="11" t="n"/>
      <c r="S590" s="11" t="n"/>
      <c r="T590" s="12" t="n"/>
      <c r="U590" s="11" t="n">
        <v>14</v>
      </c>
      <c r="V590" s="11" t="n"/>
    </row>
    <row r="591">
      <c r="A591" s="14" t="n">
        <v>6081</v>
      </c>
      <c r="B591" s="14" t="inlineStr">
        <is>
          <t>VILLANUEVA</t>
        </is>
      </c>
      <c r="C591" s="14" t="inlineStr">
        <is>
          <t>Villanueva</t>
        </is>
      </c>
      <c r="D591" s="14" t="inlineStr">
        <is>
          <t>Santander</t>
        </is>
      </c>
      <c r="E591" s="14" t="inlineStr">
        <is>
          <t>SANTANDERES</t>
        </is>
      </c>
      <c r="F591" s="14" t="inlineStr">
        <is>
          <t>Andrés Felipe Díaz Noy</t>
        </is>
      </c>
      <c r="G591" s="14" t="inlineStr">
        <is>
          <t>3</t>
        </is>
      </c>
      <c r="H591" s="15" t="n">
        <v>46303</v>
      </c>
      <c r="I591" s="15" t="n">
        <v>46304</v>
      </c>
      <c r="J591" s="15" t="n"/>
      <c r="K591" s="15" t="n"/>
      <c r="L591" s="14" t="inlineStr">
        <is>
          <t>Programada</t>
        </is>
      </c>
      <c r="M591" s="15" t="n"/>
      <c r="N591" s="14">
        <f>SI(O(H591="";J591="");"";SI(J591&lt;=H591;"SÍ";"NO"))</f>
        <v/>
      </c>
      <c r="O591" s="14">
        <f>SI(O(I591="";K591="");"";SI(K591&lt;=SI(M591&lt;&gt;"";M591;I591);"SÍ";"NO"))</f>
        <v/>
      </c>
      <c r="P591" s="14">
        <f>SI(O(N591="";O591="");"";SI(Y(N591="SÍ";O591="SÍ");"SÍ";"NO"))</f>
        <v/>
      </c>
      <c r="Q591" s="16">
        <f>SI(O(I591="";K591="");"";MAX(0;ENTERO(K591)-ENTERO(SI(M591&lt;&gt;"";M591;I591))))</f>
        <v/>
      </c>
      <c r="R591" s="14" t="n"/>
      <c r="S591" s="14" t="n"/>
      <c r="T591" s="15" t="n"/>
      <c r="U591" s="14" t="n">
        <v>17</v>
      </c>
      <c r="V591" s="14" t="n"/>
    </row>
    <row r="592">
      <c r="A592" s="11" t="n">
        <v>1204</v>
      </c>
      <c r="B592" s="11" t="inlineStr">
        <is>
          <t>SOLEDAD</t>
        </is>
      </c>
      <c r="C592" s="11" t="inlineStr">
        <is>
          <t>Soledad</t>
        </is>
      </c>
      <c r="D592" s="11" t="inlineStr">
        <is>
          <t>Atlántico</t>
        </is>
      </c>
      <c r="E592" s="11" t="inlineStr">
        <is>
          <t>COSTA</t>
        </is>
      </c>
      <c r="F592" s="11" t="inlineStr">
        <is>
          <t>Vladimir Faneyte Taborda</t>
        </is>
      </c>
      <c r="G592" s="11" t="inlineStr">
        <is>
          <t>3</t>
        </is>
      </c>
      <c r="H592" s="12" t="n">
        <v>46304</v>
      </c>
      <c r="I592" s="12" t="n">
        <v>46304</v>
      </c>
      <c r="J592" s="12" t="n"/>
      <c r="K592" s="12" t="n"/>
      <c r="L592" s="11" t="inlineStr">
        <is>
          <t>Programada</t>
        </is>
      </c>
      <c r="M592" s="12" t="n"/>
      <c r="N592" s="11">
        <f>SI(O(H592="";J592="");"";SI(J592&lt;=H592;"SÍ";"NO"))</f>
        <v/>
      </c>
      <c r="O592" s="11">
        <f>SI(O(I592="";K592="");"";SI(K592&lt;=SI(M592&lt;&gt;"";M592;I592);"SÍ";"NO"))</f>
        <v/>
      </c>
      <c r="P592" s="11">
        <f>SI(O(N592="";O592="");"";SI(Y(N592="SÍ";O592="SÍ");"SÍ";"NO"))</f>
        <v/>
      </c>
      <c r="Q592" s="13">
        <f>SI(O(I592="";K592="");"";MAX(0;ENTERO(K592)-ENTERO(SI(M592&lt;&gt;"";M592;I592))))</f>
        <v/>
      </c>
      <c r="R592" s="11" t="n"/>
      <c r="S592" s="11" t="n"/>
      <c r="T592" s="12" t="n"/>
      <c r="U592" s="11" t="n">
        <v>27</v>
      </c>
      <c r="V592" s="11" t="n"/>
    </row>
    <row r="593">
      <c r="A593" s="14" t="n">
        <v>1260</v>
      </c>
      <c r="B593" s="14" t="inlineStr">
        <is>
          <t>SAN ESTANISLAO</t>
        </is>
      </c>
      <c r="C593" s="14" t="inlineStr">
        <is>
          <t>San Estanislao</t>
        </is>
      </c>
      <c r="D593" s="14" t="inlineStr">
        <is>
          <t>Bolívar</t>
        </is>
      </c>
      <c r="E593" s="14" t="inlineStr">
        <is>
          <t>COSTA</t>
        </is>
      </c>
      <c r="F593" s="14" t="inlineStr">
        <is>
          <t>Ramon Salgado Romero</t>
        </is>
      </c>
      <c r="G593" s="14" t="inlineStr">
        <is>
          <t>1</t>
        </is>
      </c>
      <c r="H593" s="15" t="n">
        <v>46304</v>
      </c>
      <c r="I593" s="15" t="n">
        <v>46304</v>
      </c>
      <c r="J593" s="15" t="n"/>
      <c r="K593" s="15" t="n"/>
      <c r="L593" s="14" t="inlineStr">
        <is>
          <t>Programada</t>
        </is>
      </c>
      <c r="M593" s="15" t="n"/>
      <c r="N593" s="14">
        <f>SI(O(H593="";J593="");"";SI(J593&lt;=H593;"SÍ";"NO"))</f>
        <v/>
      </c>
      <c r="O593" s="14">
        <f>SI(O(I593="";K593="");"";SI(K593&lt;=SI(M593&lt;&gt;"";M593;I593);"SÍ";"NO"))</f>
        <v/>
      </c>
      <c r="P593" s="14">
        <f>SI(O(N593="";O593="");"";SI(Y(N593="SÍ";O593="SÍ");"SÍ";"NO"))</f>
        <v/>
      </c>
      <c r="Q593" s="16">
        <f>SI(O(I593="";K593="");"";MAX(0;ENTERO(K593)-ENTERO(SI(M593&lt;&gt;"";M593;I593))))</f>
        <v/>
      </c>
      <c r="R593" s="14" t="n"/>
      <c r="S593" s="14" t="n"/>
      <c r="T593" s="15" t="n"/>
      <c r="U593" s="14" t="n">
        <v>14</v>
      </c>
      <c r="V593" s="14" t="n"/>
    </row>
    <row r="594">
      <c r="A594" s="11" t="n">
        <v>1345</v>
      </c>
      <c r="B594" s="11" t="inlineStr">
        <is>
          <t>SAN LUIS</t>
        </is>
      </c>
      <c r="C594" s="11" t="inlineStr">
        <is>
          <t>San Luis</t>
        </is>
      </c>
      <c r="D594" s="11" t="inlineStr">
        <is>
          <t>Antioquia</t>
        </is>
      </c>
      <c r="E594" s="11" t="inlineStr">
        <is>
          <t>ANTIOQUIA</t>
        </is>
      </c>
      <c r="F594" s="11" t="inlineStr">
        <is>
          <t>Juan Pablo Osorio Ramirez</t>
        </is>
      </c>
      <c r="G594" s="11" t="inlineStr">
        <is>
          <t>1</t>
        </is>
      </c>
      <c r="H594" s="12" t="n">
        <v>46304</v>
      </c>
      <c r="I594" s="12" t="n">
        <v>46304</v>
      </c>
      <c r="J594" s="12" t="n"/>
      <c r="K594" s="12" t="n"/>
      <c r="L594" s="11" t="inlineStr">
        <is>
          <t>Programada</t>
        </is>
      </c>
      <c r="M594" s="12" t="n"/>
      <c r="N594" s="11">
        <f>SI(O(H594="";J594="");"";SI(J594&lt;=H594;"SÍ";"NO"))</f>
        <v/>
      </c>
      <c r="O594" s="11">
        <f>SI(O(I594="";K594="");"";SI(K594&lt;=SI(M594&lt;&gt;"";M594;I594);"SÍ";"NO"))</f>
        <v/>
      </c>
      <c r="P594" s="11">
        <f>SI(O(N594="";O594="");"";SI(Y(N594="SÍ";O594="SÍ");"SÍ";"NO"))</f>
        <v/>
      </c>
      <c r="Q594" s="13">
        <f>SI(O(I594="";K594="");"";MAX(0;ENTERO(K594)-ENTERO(SI(M594&lt;&gt;"";M594;I594))))</f>
        <v/>
      </c>
      <c r="R594" s="11" t="n"/>
      <c r="S594" s="11" t="n"/>
      <c r="T594" s="12" t="n"/>
      <c r="U594" s="11" t="n">
        <v>13</v>
      </c>
      <c r="V594" s="11" t="n"/>
    </row>
    <row r="595">
      <c r="A595" s="14" t="n">
        <v>2104</v>
      </c>
      <c r="B595" s="14" t="inlineStr">
        <is>
          <t>BOLIVAR</t>
        </is>
      </c>
      <c r="C595" s="14" t="inlineStr">
        <is>
          <t>Bolívar</t>
        </is>
      </c>
      <c r="D595" s="14" t="inlineStr">
        <is>
          <t>Cauca</t>
        </is>
      </c>
      <c r="E595" s="14" t="inlineStr">
        <is>
          <t>OCCIDENTE</t>
        </is>
      </c>
      <c r="F595" s="14" t="inlineStr">
        <is>
          <t>Holmes Arley Astudillo Fajardo</t>
        </is>
      </c>
      <c r="G595" s="14" t="inlineStr">
        <is>
          <t>3</t>
        </is>
      </c>
      <c r="H595" s="15" t="n">
        <v>46304</v>
      </c>
      <c r="I595" s="15" t="n">
        <v>46304</v>
      </c>
      <c r="J595" s="15" t="n"/>
      <c r="K595" s="15" t="n"/>
      <c r="L595" s="14" t="inlineStr">
        <is>
          <t>Programada</t>
        </is>
      </c>
      <c r="M595" s="15" t="n"/>
      <c r="N595" s="14">
        <f>SI(O(H595="";J595="");"";SI(J595&lt;=H595;"SÍ";"NO"))</f>
        <v/>
      </c>
      <c r="O595" s="14">
        <f>SI(O(I595="";K595="");"";SI(K595&lt;=SI(M595&lt;&gt;"";M595;I595);"SÍ";"NO"))</f>
        <v/>
      </c>
      <c r="P595" s="14">
        <f>SI(O(N595="";O595="");"";SI(Y(N595="SÍ";O595="SÍ");"SÍ";"NO"))</f>
        <v/>
      </c>
      <c r="Q595" s="16">
        <f>SI(O(I595="";K595="");"";MAX(0;ENTERO(K595)-ENTERO(SI(M595&lt;&gt;"";M595;I595))))</f>
        <v/>
      </c>
      <c r="R595" s="14" t="n"/>
      <c r="S595" s="14" t="n"/>
      <c r="T595" s="15" t="n"/>
      <c r="U595" s="14" t="n">
        <v>27</v>
      </c>
      <c r="V595" s="14" t="n"/>
    </row>
    <row r="596">
      <c r="A596" s="11" t="n">
        <v>3955</v>
      </c>
      <c r="B596" s="11" t="inlineStr">
        <is>
          <t>TARQUI</t>
        </is>
      </c>
      <c r="C596" s="11" t="inlineStr">
        <is>
          <t>Tarqui</t>
        </is>
      </c>
      <c r="D596" s="11" t="inlineStr">
        <is>
          <t>Huila</t>
        </is>
      </c>
      <c r="E596" s="11" t="inlineStr">
        <is>
          <t>SUR</t>
        </is>
      </c>
      <c r="F596" s="11" t="inlineStr">
        <is>
          <t>ERIKA VARGAS</t>
        </is>
      </c>
      <c r="G596" s="11" t="inlineStr">
        <is>
          <t>1</t>
        </is>
      </c>
      <c r="H596" s="12" t="n">
        <v>46304</v>
      </c>
      <c r="I596" s="12" t="n">
        <v>46304</v>
      </c>
      <c r="J596" s="12" t="n"/>
      <c r="K596" s="12" t="n"/>
      <c r="L596" s="11" t="inlineStr">
        <is>
          <t>Programada</t>
        </is>
      </c>
      <c r="M596" s="12" t="n"/>
      <c r="N596" s="11">
        <f>SI(O(H596="";J596="");"";SI(J596&lt;=H596;"SÍ";"NO"))</f>
        <v/>
      </c>
      <c r="O596" s="11">
        <f>SI(O(I596="";K596="");"";SI(K596&lt;=SI(M596&lt;&gt;"";M596;I596);"SÍ";"NO"))</f>
        <v/>
      </c>
      <c r="P596" s="11">
        <f>SI(O(N596="";O596="");"";SI(Y(N596="SÍ";O596="SÍ");"SÍ";"NO"))</f>
        <v/>
      </c>
      <c r="Q596" s="13">
        <f>SI(O(I596="";K596="");"";MAX(0;ENTERO(K596)-ENTERO(SI(M596&lt;&gt;"";M596;I596))))</f>
        <v/>
      </c>
      <c r="R596" s="11" t="n"/>
      <c r="S596" s="11" t="n"/>
      <c r="T596" s="12" t="n"/>
      <c r="U596" s="11" t="n">
        <v>20</v>
      </c>
      <c r="V596" s="11" t="n"/>
    </row>
    <row r="597">
      <c r="A597" s="14" t="n">
        <v>4834</v>
      </c>
      <c r="B597" s="14" t="inlineStr">
        <is>
          <t>BELEN</t>
        </is>
      </c>
      <c r="C597" s="14" t="inlineStr">
        <is>
          <t>Belén</t>
        </is>
      </c>
      <c r="D597" s="14" t="inlineStr">
        <is>
          <t>Nariño</t>
        </is>
      </c>
      <c r="E597" s="14" t="inlineStr">
        <is>
          <t>OCCIDENTE</t>
        </is>
      </c>
      <c r="F597" s="14" t="inlineStr">
        <is>
          <t>Juan Carlos Narvaez Acosta / Luis Fernando Ibarra Guio</t>
        </is>
      </c>
      <c r="G597" s="14" t="inlineStr">
        <is>
          <t>1</t>
        </is>
      </c>
      <c r="H597" s="15" t="n">
        <v>46304</v>
      </c>
      <c r="I597" s="15" t="n">
        <v>46304</v>
      </c>
      <c r="J597" s="15" t="n"/>
      <c r="K597" s="15" t="n"/>
      <c r="L597" s="14" t="inlineStr">
        <is>
          <t>Programada</t>
        </is>
      </c>
      <c r="M597" s="15" t="n"/>
      <c r="N597" s="14">
        <f>SI(O(H597="";J597="");"";SI(J597&lt;=H597;"SÍ";"NO"))</f>
        <v/>
      </c>
      <c r="O597" s="14">
        <f>SI(O(I597="";K597="");"";SI(K597&lt;=SI(M597&lt;&gt;"";M597;I597);"SÍ";"NO"))</f>
        <v/>
      </c>
      <c r="P597" s="14">
        <f>SI(O(N597="";O597="");"";SI(Y(N597="SÍ";O597="SÍ");"SÍ";"NO"))</f>
        <v/>
      </c>
      <c r="Q597" s="16">
        <f>SI(O(I597="";K597="");"";MAX(0;ENTERO(K597)-ENTERO(SI(M597&lt;&gt;"";M597;I597))))</f>
        <v/>
      </c>
      <c r="R597" s="14" t="n"/>
      <c r="S597" s="14" t="n"/>
      <c r="T597" s="15" t="n"/>
      <c r="U597" s="14" t="n">
        <v>13</v>
      </c>
      <c r="V597" s="14" t="n"/>
    </row>
    <row r="598">
      <c r="A598" s="11" t="n">
        <v>5445</v>
      </c>
      <c r="B598" s="11" t="inlineStr">
        <is>
          <t>FILANDIA</t>
        </is>
      </c>
      <c r="C598" s="11" t="inlineStr">
        <is>
          <t>Filandia</t>
        </is>
      </c>
      <c r="D598" s="11" t="inlineStr">
        <is>
          <t>Quindio</t>
        </is>
      </c>
      <c r="E598" s="11" t="inlineStr">
        <is>
          <t>CAFETERA</t>
        </is>
      </c>
      <c r="F598" s="11" t="inlineStr">
        <is>
          <t>Alvaro Augusto Villalba Villamil</t>
        </is>
      </c>
      <c r="G598" s="11" t="inlineStr">
        <is>
          <t>2</t>
        </is>
      </c>
      <c r="H598" s="12" t="n">
        <v>46304</v>
      </c>
      <c r="I598" s="12" t="n">
        <v>46304</v>
      </c>
      <c r="J598" s="12" t="n"/>
      <c r="K598" s="12" t="n"/>
      <c r="L598" s="11" t="inlineStr">
        <is>
          <t>Programada</t>
        </is>
      </c>
      <c r="M598" s="12" t="n"/>
      <c r="N598" s="11">
        <f>SI(O(H598="";J598="");"";SI(J598&lt;=H598;"SÍ";"NO"))</f>
        <v/>
      </c>
      <c r="O598" s="11">
        <f>SI(O(I598="";K598="");"";SI(K598&lt;=SI(M598&lt;&gt;"";M598;I598);"SÍ";"NO"))</f>
        <v/>
      </c>
      <c r="P598" s="11">
        <f>SI(O(N598="";O598="");"";SI(Y(N598="SÍ";O598="SÍ");"SÍ";"NO"))</f>
        <v/>
      </c>
      <c r="Q598" s="13">
        <f>SI(O(I598="";K598="");"";MAX(0;ENTERO(K598)-ENTERO(SI(M598&lt;&gt;"";M598;I598))))</f>
        <v/>
      </c>
      <c r="R598" s="11" t="n"/>
      <c r="S598" s="11" t="n"/>
      <c r="T598" s="12" t="n"/>
      <c r="U598" s="11" t="n">
        <v>22</v>
      </c>
      <c r="V598" s="11" t="n"/>
    </row>
    <row r="599">
      <c r="A599" s="14" t="n">
        <v>6010</v>
      </c>
      <c r="B599" s="14" t="inlineStr">
        <is>
          <t>ARATOCA</t>
        </is>
      </c>
      <c r="C599" s="14" t="inlineStr">
        <is>
          <t>Aratoca</t>
        </is>
      </c>
      <c r="D599" s="14" t="inlineStr">
        <is>
          <t>Santander</t>
        </is>
      </c>
      <c r="E599" s="14" t="inlineStr">
        <is>
          <t>SANTANDERES</t>
        </is>
      </c>
      <c r="F599" s="14" t="inlineStr">
        <is>
          <t>Luz Nélida Barragán Toro</t>
        </is>
      </c>
      <c r="G599" s="14" t="inlineStr">
        <is>
          <t>3</t>
        </is>
      </c>
      <c r="H599" s="15" t="n">
        <v>46304</v>
      </c>
      <c r="I599" s="15" t="n">
        <v>46308</v>
      </c>
      <c r="J599" s="15" t="n"/>
      <c r="K599" s="15" t="n"/>
      <c r="L599" s="14" t="inlineStr">
        <is>
          <t>Programada</t>
        </is>
      </c>
      <c r="M599" s="15" t="n"/>
      <c r="N599" s="14">
        <f>SI(O(H599="";J599="");"";SI(J599&lt;=H599;"SÍ";"NO"))</f>
        <v/>
      </c>
      <c r="O599" s="14">
        <f>SI(O(I599="";K599="");"";SI(K599&lt;=SI(M599&lt;&gt;"";M599;I599);"SÍ";"NO"))</f>
        <v/>
      </c>
      <c r="P599" s="14">
        <f>SI(O(N599="";O599="");"";SI(Y(N599="SÍ";O599="SÍ");"SÍ";"NO"))</f>
        <v/>
      </c>
      <c r="Q599" s="16">
        <f>SI(O(I599="";K599="");"";MAX(0;ENTERO(K599)-ENTERO(SI(M599&lt;&gt;"";M599;I599))))</f>
        <v/>
      </c>
      <c r="R599" s="14" t="n"/>
      <c r="S599" s="14" t="n"/>
      <c r="T599" s="15" t="n"/>
      <c r="U599" s="14" t="n">
        <v>17</v>
      </c>
      <c r="V599" s="14" t="n"/>
    </row>
    <row r="600">
      <c r="A600" s="11" t="n">
        <v>6043</v>
      </c>
      <c r="B600" s="11" t="inlineStr">
        <is>
          <t>COROMORO</t>
        </is>
      </c>
      <c r="C600" s="11" t="inlineStr">
        <is>
          <t>Coromoro</t>
        </is>
      </c>
      <c r="D600" s="11" t="inlineStr">
        <is>
          <t>Santander</t>
        </is>
      </c>
      <c r="E600" s="11" t="inlineStr">
        <is>
          <t>SANTANDERES</t>
        </is>
      </c>
      <c r="F600" s="11" t="inlineStr">
        <is>
          <t>Andrés Felipe Díaz Noy</t>
        </is>
      </c>
      <c r="G600" s="11" t="inlineStr">
        <is>
          <t>1</t>
        </is>
      </c>
      <c r="H600" s="12" t="n">
        <v>46304</v>
      </c>
      <c r="I600" s="12" t="n">
        <v>46308</v>
      </c>
      <c r="J600" s="12" t="n"/>
      <c r="K600" s="12" t="n"/>
      <c r="L600" s="11" t="inlineStr">
        <is>
          <t>Programada</t>
        </is>
      </c>
      <c r="M600" s="12" t="n"/>
      <c r="N600" s="11">
        <f>SI(O(H600="";J600="");"";SI(J600&lt;=H600;"SÍ";"NO"))</f>
        <v/>
      </c>
      <c r="O600" s="11">
        <f>SI(O(I600="";K600="");"";SI(K600&lt;=SI(M600&lt;&gt;"";M600;I600);"SÍ";"NO"))</f>
        <v/>
      </c>
      <c r="P600" s="11">
        <f>SI(O(N600="";O600="");"";SI(Y(N600="SÍ";O600="SÍ");"SÍ";"NO"))</f>
        <v/>
      </c>
      <c r="Q600" s="13">
        <f>SI(O(I600="";K600="");"";MAX(0;ENTERO(K600)-ENTERO(SI(M600&lt;&gt;"";M600;I600))))</f>
        <v/>
      </c>
      <c r="R600" s="11" t="n"/>
      <c r="S600" s="11" t="n"/>
      <c r="T600" s="12" t="n"/>
      <c r="U600" s="11" t="n">
        <v>13</v>
      </c>
      <c r="V600" s="11" t="n"/>
    </row>
    <row r="601">
      <c r="A601" s="14" t="n">
        <v>6044</v>
      </c>
      <c r="B601" s="14" t="inlineStr">
        <is>
          <t>SOCORRO</t>
        </is>
      </c>
      <c r="C601" s="14" t="inlineStr">
        <is>
          <t>Socorro</t>
        </is>
      </c>
      <c r="D601" s="14" t="inlineStr">
        <is>
          <t>Santander</t>
        </is>
      </c>
      <c r="E601" s="14" t="inlineStr">
        <is>
          <t>SANTANDERES</t>
        </is>
      </c>
      <c r="F601" s="14" t="inlineStr">
        <is>
          <t>Mauricio Andrés Rivera Páez</t>
        </is>
      </c>
      <c r="G601" s="14" t="inlineStr">
        <is>
          <t>6</t>
        </is>
      </c>
      <c r="H601" s="15" t="n">
        <v>46304</v>
      </c>
      <c r="I601" s="15" t="n">
        <v>46308</v>
      </c>
      <c r="J601" s="15" t="n"/>
      <c r="K601" s="15" t="n"/>
      <c r="L601" s="14" t="inlineStr">
        <is>
          <t>Programada</t>
        </is>
      </c>
      <c r="M601" s="15" t="n"/>
      <c r="N601" s="14">
        <f>SI(O(H601="";J601="");"";SI(J601&lt;=H601;"SÍ";"NO"))</f>
        <v/>
      </c>
      <c r="O601" s="14">
        <f>SI(O(I601="";K601="");"";SI(K601&lt;=SI(M601&lt;&gt;"";M601;I601);"SÍ";"NO"))</f>
        <v/>
      </c>
      <c r="P601" s="14">
        <f>SI(O(N601="";O601="");"";SI(Y(N601="SÍ";O601="SÍ");"SÍ";"NO"))</f>
        <v/>
      </c>
      <c r="Q601" s="16">
        <f>SI(O(I601="";K601="");"";MAX(0;ENTERO(K601)-ENTERO(SI(M601&lt;&gt;"";M601;I601))))</f>
        <v/>
      </c>
      <c r="R601" s="14" t="n"/>
      <c r="S601" s="14" t="n"/>
      <c r="T601" s="15" t="n"/>
      <c r="U601" s="14" t="n">
        <v>47</v>
      </c>
      <c r="V601" s="14" t="n"/>
    </row>
    <row r="602">
      <c r="A602" s="11" t="n">
        <v>6067</v>
      </c>
      <c r="B602" s="11" t="inlineStr">
        <is>
          <t>ONZAGA</t>
        </is>
      </c>
      <c r="C602" s="11" t="inlineStr">
        <is>
          <t>Onzaga</t>
        </is>
      </c>
      <c r="D602" s="11" t="inlineStr">
        <is>
          <t>Santander</t>
        </is>
      </c>
      <c r="E602" s="11" t="inlineStr">
        <is>
          <t>SANTANDERES</t>
        </is>
      </c>
      <c r="F602" s="11" t="inlineStr">
        <is>
          <t>Andrés Felipe Carvajal Pire</t>
        </is>
      </c>
      <c r="G602" s="11" t="inlineStr">
        <is>
          <t>1</t>
        </is>
      </c>
      <c r="H602" s="12" t="n">
        <v>46304</v>
      </c>
      <c r="I602" s="12" t="n">
        <v>46308</v>
      </c>
      <c r="J602" s="12" t="n"/>
      <c r="K602" s="12" t="n"/>
      <c r="L602" s="11" t="inlineStr">
        <is>
          <t>Programada</t>
        </is>
      </c>
      <c r="M602" s="12" t="n"/>
      <c r="N602" s="11">
        <f>SI(O(H602="";J602="");"";SI(J602&lt;=H602;"SÍ";"NO"))</f>
        <v/>
      </c>
      <c r="O602" s="11">
        <f>SI(O(I602="";K602="");"";SI(K602&lt;=SI(M602&lt;&gt;"";M602;I602);"SÍ";"NO"))</f>
        <v/>
      </c>
      <c r="P602" s="11">
        <f>SI(O(N602="";O602="");"";SI(Y(N602="SÍ";O602="SÍ");"SÍ";"NO"))</f>
        <v/>
      </c>
      <c r="Q602" s="13">
        <f>SI(O(I602="";K602="");"";MAX(0;ENTERO(K602)-ENTERO(SI(M602&lt;&gt;"";M602;I602))))</f>
        <v/>
      </c>
      <c r="R602" s="11" t="n"/>
      <c r="S602" s="11" t="n"/>
      <c r="T602" s="12" t="n"/>
      <c r="U602" s="11" t="n">
        <v>13</v>
      </c>
      <c r="V602" s="11" t="n"/>
    </row>
    <row r="603">
      <c r="A603" s="14" t="n">
        <v>6975</v>
      </c>
      <c r="B603" s="14" t="inlineStr">
        <is>
          <t>CANDELARIA - CAVASA</t>
        </is>
      </c>
      <c r="C603" s="14" t="inlineStr">
        <is>
          <t>Candelaria</t>
        </is>
      </c>
      <c r="D603" s="14" t="inlineStr">
        <is>
          <t>Valle del Cauca</t>
        </is>
      </c>
      <c r="E603" s="14" t="inlineStr">
        <is>
          <t>OCCIDENTE</t>
        </is>
      </c>
      <c r="F603" s="14" t="inlineStr">
        <is>
          <t>John Edwin Jimenez Chavez</t>
        </is>
      </c>
      <c r="G603" s="14" t="inlineStr">
        <is>
          <t>1</t>
        </is>
      </c>
      <c r="H603" s="15" t="n">
        <v>46304</v>
      </c>
      <c r="I603" s="15" t="n">
        <v>46304</v>
      </c>
      <c r="J603" s="15" t="n"/>
      <c r="K603" s="15" t="n"/>
      <c r="L603" s="14" t="inlineStr">
        <is>
          <t>Programada</t>
        </is>
      </c>
      <c r="M603" s="15" t="n"/>
      <c r="N603" s="14">
        <f>SI(O(H603="";J603="");"";SI(J603&lt;=H603;"SÍ";"NO"))</f>
        <v/>
      </c>
      <c r="O603" s="14">
        <f>SI(O(I603="";K603="");"";SI(K603&lt;=SI(M603&lt;&gt;"";M603;I603);"SÍ";"NO"))</f>
        <v/>
      </c>
      <c r="P603" s="14">
        <f>SI(O(N603="";O603="");"";SI(Y(N603="SÍ";O603="SÍ");"SÍ";"NO"))</f>
        <v/>
      </c>
      <c r="Q603" s="16">
        <f>SI(O(I603="";K603="");"";MAX(0;ENTERO(K603)-ENTERO(SI(M603&lt;&gt;"";M603;I603))))</f>
        <v/>
      </c>
      <c r="R603" s="14" t="n"/>
      <c r="S603" s="14" t="n"/>
      <c r="T603" s="15" t="n"/>
      <c r="U603" s="14" t="n">
        <v>12</v>
      </c>
      <c r="V603" s="14" t="n"/>
    </row>
    <row r="604">
      <c r="A604" s="11" t="n">
        <v>8640</v>
      </c>
      <c r="B604" s="11" t="inlineStr">
        <is>
          <t>VILLANUEVA</t>
        </is>
      </c>
      <c r="C604" s="11" t="inlineStr">
        <is>
          <t>Villanueva</t>
        </is>
      </c>
      <c r="D604" s="11" t="inlineStr">
        <is>
          <t>Casanare</t>
        </is>
      </c>
      <c r="E604" s="11" t="inlineStr">
        <is>
          <t>ORIENTE</t>
        </is>
      </c>
      <c r="F604" s="11" t="inlineStr">
        <is>
          <t>Juan Sebastian Lopez Acevedo</t>
        </is>
      </c>
      <c r="G604" s="11" t="inlineStr">
        <is>
          <t>4</t>
        </is>
      </c>
      <c r="H604" s="12" t="n">
        <v>46304</v>
      </c>
      <c r="I604" s="12" t="n">
        <v>46308</v>
      </c>
      <c r="J604" s="12" t="n"/>
      <c r="K604" s="12" t="n"/>
      <c r="L604" s="11" t="inlineStr">
        <is>
          <t>Programada</t>
        </is>
      </c>
      <c r="M604" s="12" t="n"/>
      <c r="N604" s="11">
        <f>SI(O(H604="";J604="");"";SI(J604&lt;=H604;"SÍ";"NO"))</f>
        <v/>
      </c>
      <c r="O604" s="11">
        <f>SI(O(I604="";K604="");"";SI(K604&lt;=SI(M604&lt;&gt;"";M604;I604);"SÍ";"NO"))</f>
        <v/>
      </c>
      <c r="P604" s="11">
        <f>SI(O(N604="";O604="");"";SI(Y(N604="SÍ";O604="SÍ");"SÍ";"NO"))</f>
        <v/>
      </c>
      <c r="Q604" s="13">
        <f>SI(O(I604="";K604="");"";MAX(0;ENTERO(K604)-ENTERO(SI(M604&lt;&gt;"";M604;I604))))</f>
        <v/>
      </c>
      <c r="R604" s="11" t="n"/>
      <c r="S604" s="11" t="n"/>
      <c r="T604" s="12" t="n"/>
      <c r="U604" s="11" t="n">
        <v>30</v>
      </c>
      <c r="V604" s="11" t="n"/>
    </row>
    <row r="605">
      <c r="A605" s="14" t="n">
        <v>260</v>
      </c>
      <c r="B605" s="14" t="inlineStr">
        <is>
          <t>BOGOTA - CORABASTOS</t>
        </is>
      </c>
      <c r="C605" s="14" t="inlineStr">
        <is>
          <t>Bogotá, D.C.</t>
        </is>
      </c>
      <c r="D605" s="14" t="inlineStr">
        <is>
          <t>Bogotá D.C</t>
        </is>
      </c>
      <c r="E605" s="14" t="inlineStr">
        <is>
          <t>BOGOTA</t>
        </is>
      </c>
      <c r="F605" s="14" t="inlineStr">
        <is>
          <t>Anderson Forero Mora</t>
        </is>
      </c>
      <c r="G605" s="14" t="inlineStr">
        <is>
          <t>7</t>
        </is>
      </c>
      <c r="H605" s="15" t="n">
        <v>46308</v>
      </c>
      <c r="I605" s="15" t="n">
        <v>46309</v>
      </c>
      <c r="J605" s="15" t="n"/>
      <c r="K605" s="15" t="n"/>
      <c r="L605" s="14" t="inlineStr">
        <is>
          <t>Programada</t>
        </is>
      </c>
      <c r="M605" s="15" t="n"/>
      <c r="N605" s="14">
        <f>SI(O(H605="";J605="");"";SI(J605&lt;=H605;"SÍ";"NO"))</f>
        <v/>
      </c>
      <c r="O605" s="14">
        <f>SI(O(I605="";K605="");"";SI(K605&lt;=SI(M605&lt;&gt;"";M605;I605);"SÍ";"NO"))</f>
        <v/>
      </c>
      <c r="P605" s="14">
        <f>SI(O(N605="";O605="");"";SI(Y(N605="SÍ";O605="SÍ");"SÍ";"NO"))</f>
        <v/>
      </c>
      <c r="Q605" s="16">
        <f>SI(O(I605="";K605="");"";MAX(0;ENTERO(K605)-ENTERO(SI(M605&lt;&gt;"";M605;I605))))</f>
        <v/>
      </c>
      <c r="R605" s="14" t="n"/>
      <c r="S605" s="14" t="n"/>
      <c r="T605" s="15" t="n"/>
      <c r="U605" s="14" t="n">
        <v>42</v>
      </c>
      <c r="V605" s="14" t="n"/>
    </row>
    <row r="606">
      <c r="A606" s="11" t="n">
        <v>1318</v>
      </c>
      <c r="B606" s="11" t="inlineStr">
        <is>
          <t>ARBOLETES</t>
        </is>
      </c>
      <c r="C606" s="11" t="inlineStr">
        <is>
          <t>Arboletes</t>
        </is>
      </c>
      <c r="D606" s="11" t="inlineStr">
        <is>
          <t>Antioquia</t>
        </is>
      </c>
      <c r="E606" s="11" t="inlineStr">
        <is>
          <t>COSTA</t>
        </is>
      </c>
      <c r="F606" s="11" t="inlineStr">
        <is>
          <t>Ever Enrique Esquivel Movilla</t>
        </is>
      </c>
      <c r="G606" s="11" t="inlineStr">
        <is>
          <t>4</t>
        </is>
      </c>
      <c r="H606" s="12" t="n">
        <v>46308</v>
      </c>
      <c r="I606" s="12" t="n">
        <v>46309</v>
      </c>
      <c r="J606" s="12" t="n"/>
      <c r="K606" s="12" t="n"/>
      <c r="L606" s="11" t="inlineStr">
        <is>
          <t>Programada</t>
        </is>
      </c>
      <c r="M606" s="12" t="n"/>
      <c r="N606" s="11">
        <f>SI(O(H606="";J606="");"";SI(J606&lt;=H606;"SÍ";"NO"))</f>
        <v/>
      </c>
      <c r="O606" s="11">
        <f>SI(O(I606="";K606="");"";SI(K606&lt;=SI(M606&lt;&gt;"";M606;I606);"SÍ";"NO"))</f>
        <v/>
      </c>
      <c r="P606" s="11">
        <f>SI(O(N606="";O606="");"";SI(Y(N606="SÍ";O606="SÍ");"SÍ";"NO"))</f>
        <v/>
      </c>
      <c r="Q606" s="13">
        <f>SI(O(I606="";K606="");"";MAX(0;ENTERO(K606)-ENTERO(SI(M606&lt;&gt;"";M606;I606))))</f>
        <v/>
      </c>
      <c r="R606" s="11" t="n"/>
      <c r="S606" s="11" t="n"/>
      <c r="T606" s="12" t="n"/>
      <c r="U606" s="11" t="n">
        <v>26</v>
      </c>
      <c r="V606" s="11" t="n"/>
    </row>
    <row r="607">
      <c r="A607" s="14" t="n">
        <v>1355</v>
      </c>
      <c r="B607" s="14" t="inlineStr">
        <is>
          <t>COPACABANA</t>
        </is>
      </c>
      <c r="C607" s="14" t="inlineStr">
        <is>
          <t>Copacabana</t>
        </is>
      </c>
      <c r="D607" s="14" t="inlineStr">
        <is>
          <t>Antioquia</t>
        </is>
      </c>
      <c r="E607" s="14" t="inlineStr">
        <is>
          <t>ANTIOQUIA</t>
        </is>
      </c>
      <c r="F607" s="14" t="inlineStr">
        <is>
          <t>Andrés Mariano Bustamante Castro</t>
        </is>
      </c>
      <c r="G607" s="14" t="inlineStr">
        <is>
          <t>1</t>
        </is>
      </c>
      <c r="H607" s="15" t="n">
        <v>46308</v>
      </c>
      <c r="I607" s="15" t="n">
        <v>46308</v>
      </c>
      <c r="J607" s="15" t="n"/>
      <c r="K607" s="15" t="n"/>
      <c r="L607" s="14" t="inlineStr">
        <is>
          <t>Programada</t>
        </is>
      </c>
      <c r="M607" s="15" t="n"/>
      <c r="N607" s="14">
        <f>SI(O(H607="";J607="");"";SI(J607&lt;=H607;"SÍ";"NO"))</f>
        <v/>
      </c>
      <c r="O607" s="14">
        <f>SI(O(I607="";K607="");"";SI(K607&lt;=SI(M607&lt;&gt;"";M607;I607);"SÍ";"NO"))</f>
        <v/>
      </c>
      <c r="P607" s="14">
        <f>SI(O(N607="";O607="");"";SI(Y(N607="SÍ";O607="SÍ");"SÍ";"NO"))</f>
        <v/>
      </c>
      <c r="Q607" s="16">
        <f>SI(O(I607="";K607="");"";MAX(0;ENTERO(K607)-ENTERO(SI(M607&lt;&gt;"";M607;I607))))</f>
        <v/>
      </c>
      <c r="R607" s="14" t="n"/>
      <c r="S607" s="14" t="n"/>
      <c r="T607" s="15" t="n"/>
      <c r="U607" s="14" t="n">
        <v>23</v>
      </c>
      <c r="V607" s="14" t="n"/>
    </row>
    <row r="608">
      <c r="A608" s="11" t="n">
        <v>2114</v>
      </c>
      <c r="B608" s="11" t="inlineStr">
        <is>
          <t>CORINTO</t>
        </is>
      </c>
      <c r="C608" s="11" t="inlineStr">
        <is>
          <t>Corinto</t>
        </is>
      </c>
      <c r="D608" s="11" t="inlineStr">
        <is>
          <t>Cauca</t>
        </is>
      </c>
      <c r="E608" s="11" t="inlineStr">
        <is>
          <t>OCCIDENTE</t>
        </is>
      </c>
      <c r="F608" s="11" t="inlineStr">
        <is>
          <t>Holmes Arley Astudillo Fajardo</t>
        </is>
      </c>
      <c r="G608" s="11" t="inlineStr">
        <is>
          <t>3</t>
        </is>
      </c>
      <c r="H608" s="12" t="n">
        <v>46308</v>
      </c>
      <c r="I608" s="12" t="n">
        <v>46308</v>
      </c>
      <c r="J608" s="12" t="n"/>
      <c r="K608" s="12" t="n"/>
      <c r="L608" s="11" t="inlineStr">
        <is>
          <t>Programada</t>
        </is>
      </c>
      <c r="M608" s="12" t="n"/>
      <c r="N608" s="11">
        <f>SI(O(H608="";J608="");"";SI(J608&lt;=H608;"SÍ";"NO"))</f>
        <v/>
      </c>
      <c r="O608" s="11">
        <f>SI(O(I608="";K608="");"";SI(K608&lt;=SI(M608&lt;&gt;"";M608;I608);"SÍ";"NO"))</f>
        <v/>
      </c>
      <c r="P608" s="11">
        <f>SI(O(N608="";O608="");"";SI(Y(N608="SÍ";O608="SÍ");"SÍ";"NO"))</f>
        <v/>
      </c>
      <c r="Q608" s="13">
        <f>SI(O(I608="";K608="");"";MAX(0;ENTERO(K608)-ENTERO(SI(M608&lt;&gt;"";M608;I608))))</f>
        <v/>
      </c>
      <c r="R608" s="11" t="n"/>
      <c r="S608" s="11" t="n"/>
      <c r="T608" s="12" t="n"/>
      <c r="U608" s="11" t="n">
        <v>24</v>
      </c>
      <c r="V608" s="11" t="n"/>
    </row>
    <row r="609">
      <c r="A609" s="14" t="n">
        <v>3320</v>
      </c>
      <c r="B609" s="14" t="inlineStr">
        <is>
          <t>CONDOTO</t>
        </is>
      </c>
      <c r="C609" s="14" t="inlineStr">
        <is>
          <t>Condoto</t>
        </is>
      </c>
      <c r="D609" s="14" t="inlineStr">
        <is>
          <t>Chocó</t>
        </is>
      </c>
      <c r="E609" s="14" t="inlineStr">
        <is>
          <t>ANTIOQUIA</t>
        </is>
      </c>
      <c r="F609" s="14" t="inlineStr">
        <is>
          <t>Alvaro Francisco Moreno Palacios</t>
        </is>
      </c>
      <c r="G609" s="14" t="inlineStr">
        <is>
          <t>3</t>
        </is>
      </c>
      <c r="H609" s="15" t="n">
        <v>46308</v>
      </c>
      <c r="I609" s="15" t="n">
        <v>46309</v>
      </c>
      <c r="J609" s="15" t="n"/>
      <c r="K609" s="15" t="n"/>
      <c r="L609" s="14" t="inlineStr">
        <is>
          <t>Programada</t>
        </is>
      </c>
      <c r="M609" s="15" t="n"/>
      <c r="N609" s="14">
        <f>SI(O(H609="";J609="");"";SI(J609&lt;=H609;"SÍ";"NO"))</f>
        <v/>
      </c>
      <c r="O609" s="14">
        <f>SI(O(I609="";K609="");"";SI(K609&lt;=SI(M609&lt;&gt;"";M609;I609);"SÍ";"NO"))</f>
        <v/>
      </c>
      <c r="P609" s="14">
        <f>SI(O(N609="";O609="");"";SI(Y(N609="SÍ";O609="SÍ");"SÍ";"NO"))</f>
        <v/>
      </c>
      <c r="Q609" s="16">
        <f>SI(O(I609="";K609="");"";MAX(0;ENTERO(K609)-ENTERO(SI(M609&lt;&gt;"";M609;I609))))</f>
        <v/>
      </c>
      <c r="R609" s="14" t="n"/>
      <c r="S609" s="14" t="n"/>
      <c r="T609" s="15" t="n"/>
      <c r="U609" s="14" t="n">
        <v>26</v>
      </c>
      <c r="V609" s="14" t="n"/>
    </row>
    <row r="610">
      <c r="A610" s="11" t="n">
        <v>6016</v>
      </c>
      <c r="B610" s="11" t="inlineStr">
        <is>
          <t>OIBA</t>
        </is>
      </c>
      <c r="C610" s="11" t="inlineStr">
        <is>
          <t>Oiba</t>
        </is>
      </c>
      <c r="D610" s="11" t="inlineStr">
        <is>
          <t>Santander</t>
        </is>
      </c>
      <c r="E610" s="11" t="inlineStr">
        <is>
          <t>SANTANDERES</t>
        </is>
      </c>
      <c r="F610" s="11" t="inlineStr">
        <is>
          <t>Mauricio Andrés Rivera Páez</t>
        </is>
      </c>
      <c r="G610" s="11" t="inlineStr">
        <is>
          <t>3</t>
        </is>
      </c>
      <c r="H610" s="12" t="n">
        <v>46308</v>
      </c>
      <c r="I610" s="12" t="n">
        <v>46310</v>
      </c>
      <c r="J610" s="12" t="n"/>
      <c r="K610" s="12" t="n"/>
      <c r="L610" s="11" t="inlineStr">
        <is>
          <t>Programada</t>
        </is>
      </c>
      <c r="M610" s="12" t="n"/>
      <c r="N610" s="11">
        <f>SI(O(H610="";J610="");"";SI(J610&lt;=H610;"SÍ";"NO"))</f>
        <v/>
      </c>
      <c r="O610" s="11">
        <f>SI(O(I610="";K610="");"";SI(K610&lt;=SI(M610&lt;&gt;"";M610;I610);"SÍ";"NO"))</f>
        <v/>
      </c>
      <c r="P610" s="11">
        <f>SI(O(N610="";O610="");"";SI(Y(N610="SÍ";O610="SÍ");"SÍ";"NO"))</f>
        <v/>
      </c>
      <c r="Q610" s="13">
        <f>SI(O(I610="";K610="");"";MAX(0;ENTERO(K610)-ENTERO(SI(M610&lt;&gt;"";M610;I610))))</f>
        <v/>
      </c>
      <c r="R610" s="11" t="n"/>
      <c r="S610" s="11" t="n"/>
      <c r="T610" s="12" t="n"/>
      <c r="U610" s="11" t="n">
        <v>25</v>
      </c>
      <c r="V610" s="11" t="n"/>
    </row>
    <row r="611">
      <c r="A611" s="14" t="n">
        <v>6041</v>
      </c>
      <c r="B611" s="14" t="inlineStr">
        <is>
          <t>CONTRATACION</t>
        </is>
      </c>
      <c r="C611" s="14" t="inlineStr">
        <is>
          <t>Contratación</t>
        </is>
      </c>
      <c r="D611" s="14" t="inlineStr">
        <is>
          <t>Santander</t>
        </is>
      </c>
      <c r="E611" s="14" t="inlineStr">
        <is>
          <t>SANTANDERES</t>
        </is>
      </c>
      <c r="F611" s="14" t="inlineStr">
        <is>
          <t>Andrés Felipe Díaz Noy</t>
        </is>
      </c>
      <c r="G611" s="14" t="inlineStr">
        <is>
          <t>1</t>
        </is>
      </c>
      <c r="H611" s="15" t="n">
        <v>46308</v>
      </c>
      <c r="I611" s="15" t="n">
        <v>46309</v>
      </c>
      <c r="J611" s="15" t="n"/>
      <c r="K611" s="15" t="n"/>
      <c r="L611" s="14" t="inlineStr">
        <is>
          <t>Programada</t>
        </is>
      </c>
      <c r="M611" s="15" t="n"/>
      <c r="N611" s="14">
        <f>SI(O(H611="";J611="");"";SI(J611&lt;=H611;"SÍ";"NO"))</f>
        <v/>
      </c>
      <c r="O611" s="14">
        <f>SI(O(I611="";K611="");"";SI(K611&lt;=SI(M611&lt;&gt;"";M611;I611);"SÍ";"NO"))</f>
        <v/>
      </c>
      <c r="P611" s="14">
        <f>SI(O(N611="";O611="");"";SI(Y(N611="SÍ";O611="SÍ");"SÍ";"NO"))</f>
        <v/>
      </c>
      <c r="Q611" s="16">
        <f>SI(O(I611="";K611="");"";MAX(0;ENTERO(K611)-ENTERO(SI(M611&lt;&gt;"";M611;I611))))</f>
        <v/>
      </c>
      <c r="R611" s="14" t="n"/>
      <c r="S611" s="14" t="n"/>
      <c r="T611" s="15" t="n"/>
      <c r="U611" s="14" t="n">
        <v>13</v>
      </c>
      <c r="V611" s="14" t="n"/>
    </row>
    <row r="612">
      <c r="A612" s="11" t="n">
        <v>6045</v>
      </c>
      <c r="B612" s="11" t="inlineStr">
        <is>
          <t>CHIMA</t>
        </is>
      </c>
      <c r="C612" s="11" t="inlineStr">
        <is>
          <t>Chima</t>
        </is>
      </c>
      <c r="D612" s="11" t="inlineStr">
        <is>
          <t>Santander</t>
        </is>
      </c>
      <c r="E612" s="11" t="inlineStr">
        <is>
          <t>SANTANDERES</t>
        </is>
      </c>
      <c r="F612" s="11" t="inlineStr">
        <is>
          <t>CRISTIAN CAMILO DIAZ NOY</t>
        </is>
      </c>
      <c r="G612" s="11" t="inlineStr">
        <is>
          <t>1</t>
        </is>
      </c>
      <c r="H612" s="12" t="n">
        <v>46308</v>
      </c>
      <c r="I612" s="12" t="n">
        <v>46309</v>
      </c>
      <c r="J612" s="12" t="n"/>
      <c r="K612" s="12" t="n"/>
      <c r="L612" s="11" t="inlineStr">
        <is>
          <t>Programada</t>
        </is>
      </c>
      <c r="M612" s="12" t="n"/>
      <c r="N612" s="11">
        <f>SI(O(H612="";J612="");"";SI(J612&lt;=H612;"SÍ";"NO"))</f>
        <v/>
      </c>
      <c r="O612" s="11">
        <f>SI(O(I612="";K612="");"";SI(K612&lt;=SI(M612&lt;&gt;"";M612;I612);"SÍ";"NO"))</f>
        <v/>
      </c>
      <c r="P612" s="11">
        <f>SI(O(N612="";O612="");"";SI(Y(N612="SÍ";O612="SÍ");"SÍ";"NO"))</f>
        <v/>
      </c>
      <c r="Q612" s="13">
        <f>SI(O(I612="";K612="");"";MAX(0;ENTERO(K612)-ENTERO(SI(M612&lt;&gt;"";M612;I612))))</f>
        <v/>
      </c>
      <c r="R612" s="11" t="n"/>
      <c r="S612" s="11" t="n"/>
      <c r="T612" s="12" t="n"/>
      <c r="U612" s="11" t="n">
        <v>14</v>
      </c>
      <c r="V612" s="11" t="n"/>
    </row>
    <row r="613">
      <c r="A613" s="14" t="n">
        <v>6054</v>
      </c>
      <c r="B613" s="14" t="inlineStr">
        <is>
          <t>GUADALUPE</t>
        </is>
      </c>
      <c r="C613" s="14" t="inlineStr">
        <is>
          <t>Guadalupe</t>
        </is>
      </c>
      <c r="D613" s="14" t="inlineStr">
        <is>
          <t>Santander</t>
        </is>
      </c>
      <c r="E613" s="14" t="inlineStr">
        <is>
          <t>SANTANDERES</t>
        </is>
      </c>
      <c r="F613" s="14" t="inlineStr">
        <is>
          <t>Andrés Felipe Carvajal Pire</t>
        </is>
      </c>
      <c r="G613" s="14" t="inlineStr">
        <is>
          <t>1</t>
        </is>
      </c>
      <c r="H613" s="15" t="n">
        <v>46308</v>
      </c>
      <c r="I613" s="15" t="n">
        <v>46309</v>
      </c>
      <c r="J613" s="15" t="n"/>
      <c r="K613" s="15" t="n"/>
      <c r="L613" s="14" t="inlineStr">
        <is>
          <t>Programada</t>
        </is>
      </c>
      <c r="M613" s="15" t="n"/>
      <c r="N613" s="14">
        <f>SI(O(H613="";J613="");"";SI(J613&lt;=H613;"SÍ";"NO"))</f>
        <v/>
      </c>
      <c r="O613" s="14">
        <f>SI(O(I613="";K613="");"";SI(K613&lt;=SI(M613&lt;&gt;"";M613;I613);"SÍ";"NO"))</f>
        <v/>
      </c>
      <c r="P613" s="14">
        <f>SI(O(N613="";O613="");"";SI(Y(N613="SÍ";O613="SÍ");"SÍ";"NO"))</f>
        <v/>
      </c>
      <c r="Q613" s="16">
        <f>SI(O(I613="";K613="");"";MAX(0;ENTERO(K613)-ENTERO(SI(M613&lt;&gt;"";M613;I613))))</f>
        <v/>
      </c>
      <c r="R613" s="14" t="n"/>
      <c r="S613" s="14" t="n"/>
      <c r="T613" s="15" t="n"/>
      <c r="U613" s="14" t="n">
        <v>14</v>
      </c>
      <c r="V613" s="14" t="n"/>
    </row>
    <row r="614">
      <c r="A614" s="11" t="n">
        <v>6072</v>
      </c>
      <c r="B614" s="11" t="inlineStr">
        <is>
          <t>SIMACOTA</t>
        </is>
      </c>
      <c r="C614" s="11" t="inlineStr">
        <is>
          <t>Simacota</t>
        </is>
      </c>
      <c r="D614" s="11" t="inlineStr">
        <is>
          <t>Santander</t>
        </is>
      </c>
      <c r="E614" s="11" t="inlineStr">
        <is>
          <t>SANTANDERES</t>
        </is>
      </c>
      <c r="F614" s="11" t="inlineStr">
        <is>
          <t>Luz Nélida Barragán Toro</t>
        </is>
      </c>
      <c r="G614" s="11" t="inlineStr">
        <is>
          <t>1</t>
        </is>
      </c>
      <c r="H614" s="12" t="n">
        <v>46308</v>
      </c>
      <c r="I614" s="12" t="n">
        <v>46309</v>
      </c>
      <c r="J614" s="12" t="n"/>
      <c r="K614" s="12" t="n"/>
      <c r="L614" s="11" t="inlineStr">
        <is>
          <t>Programada</t>
        </is>
      </c>
      <c r="M614" s="12" t="n"/>
      <c r="N614" s="11">
        <f>SI(O(H614="";J614="");"";SI(J614&lt;=H614;"SÍ";"NO"))</f>
        <v/>
      </c>
      <c r="O614" s="11">
        <f>SI(O(I614="";K614="");"";SI(K614&lt;=SI(M614&lt;&gt;"";M614;I614);"SÍ";"NO"))</f>
        <v/>
      </c>
      <c r="P614" s="11">
        <f>SI(O(N614="";O614="");"";SI(Y(N614="SÍ";O614="SÍ");"SÍ";"NO"))</f>
        <v/>
      </c>
      <c r="Q614" s="13">
        <f>SI(O(I614="";K614="");"";MAX(0;ENTERO(K614)-ENTERO(SI(M614&lt;&gt;"";M614;I614))))</f>
        <v/>
      </c>
      <c r="R614" s="11" t="n"/>
      <c r="S614" s="11" t="n"/>
      <c r="T614" s="12" t="n"/>
      <c r="U614" s="11" t="n">
        <v>13</v>
      </c>
      <c r="V614" s="11" t="n"/>
    </row>
    <row r="615">
      <c r="A615" s="14" t="n">
        <v>6965</v>
      </c>
      <c r="B615" s="14" t="inlineStr">
        <is>
          <t>EL CERRITO</t>
        </is>
      </c>
      <c r="C615" s="14" t="inlineStr">
        <is>
          <t>El Cerrito</t>
        </is>
      </c>
      <c r="D615" s="14" t="inlineStr">
        <is>
          <t>Valle del Cauca</t>
        </is>
      </c>
      <c r="E615" s="14" t="inlineStr">
        <is>
          <t>OCCIDENTE</t>
        </is>
      </c>
      <c r="F615" s="14" t="inlineStr">
        <is>
          <t>John Edwin Jimenez Chavez</t>
        </is>
      </c>
      <c r="G615" s="14" t="inlineStr">
        <is>
          <t>3</t>
        </is>
      </c>
      <c r="H615" s="15" t="n">
        <v>46308</v>
      </c>
      <c r="I615" s="15" t="n">
        <v>46308</v>
      </c>
      <c r="J615" s="15" t="n"/>
      <c r="K615" s="15" t="n"/>
      <c r="L615" s="14" t="inlineStr">
        <is>
          <t>Programada</t>
        </is>
      </c>
      <c r="M615" s="15" t="n"/>
      <c r="N615" s="14">
        <f>SI(O(H615="";J615="");"";SI(J615&lt;=H615;"SÍ";"NO"))</f>
        <v/>
      </c>
      <c r="O615" s="14">
        <f>SI(O(I615="";K615="");"";SI(K615&lt;=SI(M615&lt;&gt;"";M615;I615);"SÍ";"NO"))</f>
        <v/>
      </c>
      <c r="P615" s="14">
        <f>SI(O(N615="";O615="");"";SI(Y(N615="SÍ";O615="SÍ");"SÍ";"NO"))</f>
        <v/>
      </c>
      <c r="Q615" s="16">
        <f>SI(O(I615="";K615="");"";MAX(0;ENTERO(K615)-ENTERO(SI(M615&lt;&gt;"";M615;I615))))</f>
        <v/>
      </c>
      <c r="R615" s="14" t="n"/>
      <c r="S615" s="14" t="n"/>
      <c r="T615" s="15" t="n"/>
      <c r="U615" s="14" t="n">
        <v>30</v>
      </c>
      <c r="V615" s="14" t="n"/>
    </row>
    <row r="616">
      <c r="A616" s="11" t="n">
        <v>1324</v>
      </c>
      <c r="B616" s="11" t="inlineStr">
        <is>
          <t>DON MATIAS</t>
        </is>
      </c>
      <c r="C616" s="11" t="inlineStr">
        <is>
          <t>Donmatías</t>
        </is>
      </c>
      <c r="D616" s="11" t="inlineStr">
        <is>
          <t>Antioquia</t>
        </is>
      </c>
      <c r="E616" s="11" t="inlineStr">
        <is>
          <t>ANTIOQUIA</t>
        </is>
      </c>
      <c r="F616" s="11" t="inlineStr">
        <is>
          <t>Andrés Mariano Bustamante Castro</t>
        </is>
      </c>
      <c r="G616" s="11" t="inlineStr">
        <is>
          <t>2</t>
        </is>
      </c>
      <c r="H616" s="12" t="n">
        <v>46309</v>
      </c>
      <c r="I616" s="12" t="n">
        <v>46309</v>
      </c>
      <c r="J616" s="12" t="n"/>
      <c r="K616" s="12" t="n"/>
      <c r="L616" s="11" t="inlineStr">
        <is>
          <t>Programada</t>
        </is>
      </c>
      <c r="M616" s="12" t="n"/>
      <c r="N616" s="11">
        <f>SI(O(H616="";J616="");"";SI(J616&lt;=H616;"SÍ";"NO"))</f>
        <v/>
      </c>
      <c r="O616" s="11">
        <f>SI(O(I616="";K616="");"";SI(K616&lt;=SI(M616&lt;&gt;"";M616;I616);"SÍ";"NO"))</f>
        <v/>
      </c>
      <c r="P616" s="11">
        <f>SI(O(N616="";O616="");"";SI(Y(N616="SÍ";O616="SÍ");"SÍ";"NO"))</f>
        <v/>
      </c>
      <c r="Q616" s="13">
        <f>SI(O(I616="";K616="");"";MAX(0;ENTERO(K616)-ENTERO(SI(M616&lt;&gt;"";M616;I616))))</f>
        <v/>
      </c>
      <c r="R616" s="11" t="n"/>
      <c r="S616" s="11" t="n"/>
      <c r="T616" s="12" t="n"/>
      <c r="U616" s="11" t="n">
        <v>17</v>
      </c>
      <c r="V616" s="11" t="n"/>
    </row>
    <row r="617">
      <c r="A617" s="14" t="n">
        <v>1330</v>
      </c>
      <c r="B617" s="14" t="inlineStr">
        <is>
          <t>ARGELIA</t>
        </is>
      </c>
      <c r="C617" s="14" t="inlineStr">
        <is>
          <t>Argelia</t>
        </is>
      </c>
      <c r="D617" s="14" t="inlineStr">
        <is>
          <t>Antioquia</t>
        </is>
      </c>
      <c r="E617" s="14" t="inlineStr">
        <is>
          <t>ANTIOQUIA</t>
        </is>
      </c>
      <c r="F617" s="14" t="inlineStr">
        <is>
          <t>Juan Pablo Osorio Ramirez</t>
        </is>
      </c>
      <c r="G617" s="14" t="inlineStr">
        <is>
          <t>1</t>
        </is>
      </c>
      <c r="H617" s="15" t="n">
        <v>46309</v>
      </c>
      <c r="I617" s="15" t="n">
        <v>46309</v>
      </c>
      <c r="J617" s="15" t="n"/>
      <c r="K617" s="15" t="n"/>
      <c r="L617" s="14" t="inlineStr">
        <is>
          <t>Programada</t>
        </is>
      </c>
      <c r="M617" s="15" t="n"/>
      <c r="N617" s="14">
        <f>SI(O(H617="";J617="");"";SI(J617&lt;=H617;"SÍ";"NO"))</f>
        <v/>
      </c>
      <c r="O617" s="14">
        <f>SI(O(I617="";K617="");"";SI(K617&lt;=SI(M617&lt;&gt;"";M617;I617);"SÍ";"NO"))</f>
        <v/>
      </c>
      <c r="P617" s="14">
        <f>SI(O(N617="";O617="");"";SI(Y(N617="SÍ";O617="SÍ");"SÍ";"NO"))</f>
        <v/>
      </c>
      <c r="Q617" s="16">
        <f>SI(O(I617="";K617="");"";MAX(0;ENTERO(K617)-ENTERO(SI(M617&lt;&gt;"";M617;I617))))</f>
        <v/>
      </c>
      <c r="R617" s="14" t="n"/>
      <c r="S617" s="14" t="n"/>
      <c r="T617" s="15" t="n"/>
      <c r="U617" s="14" t="n">
        <v>13</v>
      </c>
      <c r="V617" s="14" t="n"/>
    </row>
    <row r="618">
      <c r="A618" s="11" t="n">
        <v>1442</v>
      </c>
      <c r="B618" s="11" t="inlineStr">
        <is>
          <t>NARIÑO</t>
        </is>
      </c>
      <c r="C618" s="11" t="inlineStr">
        <is>
          <t>Nariño</t>
        </is>
      </c>
      <c r="D618" s="11" t="inlineStr">
        <is>
          <t>Antioquia</t>
        </is>
      </c>
      <c r="E618" s="11" t="inlineStr">
        <is>
          <t>ANTIOQUIA</t>
        </is>
      </c>
      <c r="F618" s="11" t="inlineStr">
        <is>
          <t>Juan Pablo Osorio Ramirez</t>
        </is>
      </c>
      <c r="G618" s="11" t="inlineStr">
        <is>
          <t>1</t>
        </is>
      </c>
      <c r="H618" s="12" t="n">
        <v>46309</v>
      </c>
      <c r="I618" s="12" t="n">
        <v>46309</v>
      </c>
      <c r="J618" s="12" t="n"/>
      <c r="K618" s="12" t="n"/>
      <c r="L618" s="11" t="inlineStr">
        <is>
          <t>Programada</t>
        </is>
      </c>
      <c r="M618" s="12" t="n"/>
      <c r="N618" s="11">
        <f>SI(O(H618="";J618="");"";SI(J618&lt;=H618;"SÍ";"NO"))</f>
        <v/>
      </c>
      <c r="O618" s="11">
        <f>SI(O(I618="";K618="");"";SI(K618&lt;=SI(M618&lt;&gt;"";M618;I618);"SÍ";"NO"))</f>
        <v/>
      </c>
      <c r="P618" s="11">
        <f>SI(O(N618="";O618="");"";SI(Y(N618="SÍ";O618="SÍ");"SÍ";"NO"))</f>
        <v/>
      </c>
      <c r="Q618" s="13">
        <f>SI(O(I618="";K618="");"";MAX(0;ENTERO(K618)-ENTERO(SI(M618&lt;&gt;"";M618;I618))))</f>
        <v/>
      </c>
      <c r="R618" s="11" t="n"/>
      <c r="S618" s="11" t="n"/>
      <c r="T618" s="12" t="n"/>
      <c r="U618" s="11" t="n">
        <v>13</v>
      </c>
      <c r="V618" s="11" t="n"/>
    </row>
    <row r="619">
      <c r="A619" s="14" t="n">
        <v>1861</v>
      </c>
      <c r="B619" s="14" t="inlineStr">
        <is>
          <t>NORCASIA</t>
        </is>
      </c>
      <c r="C619" s="14" t="inlineStr">
        <is>
          <t>Norcasia</t>
        </is>
      </c>
      <c r="D619" s="14" t="inlineStr">
        <is>
          <t>Caldas</t>
        </is>
      </c>
      <c r="E619" s="14" t="inlineStr">
        <is>
          <t>CAFETERA</t>
        </is>
      </c>
      <c r="F619" s="14" t="inlineStr">
        <is>
          <t>JULIO  CESAR AUDELO  - ANDRES FELIPE BOTERO</t>
        </is>
      </c>
      <c r="G619" s="14" t="inlineStr">
        <is>
          <t>1</t>
        </is>
      </c>
      <c r="H619" s="15" t="n">
        <v>46309</v>
      </c>
      <c r="I619" s="15" t="n">
        <v>46309</v>
      </c>
      <c r="J619" s="15" t="n"/>
      <c r="K619" s="15" t="n"/>
      <c r="L619" s="14" t="inlineStr">
        <is>
          <t>Programada</t>
        </is>
      </c>
      <c r="M619" s="15" t="n"/>
      <c r="N619" s="14">
        <f>SI(O(H619="";J619="");"";SI(J619&lt;=H619;"SÍ";"NO"))</f>
        <v/>
      </c>
      <c r="O619" s="14">
        <f>SI(O(I619="";K619="");"";SI(K619&lt;=SI(M619&lt;&gt;"";M619;I619);"SÍ";"NO"))</f>
        <v/>
      </c>
      <c r="P619" s="14">
        <f>SI(O(N619="";O619="");"";SI(Y(N619="SÍ";O619="SÍ");"SÍ";"NO"))</f>
        <v/>
      </c>
      <c r="Q619" s="16">
        <f>SI(O(I619="";K619="");"";MAX(0;ENTERO(K619)-ENTERO(SI(M619&lt;&gt;"";M619;I619))))</f>
        <v/>
      </c>
      <c r="R619" s="14" t="n"/>
      <c r="S619" s="14" t="n"/>
      <c r="T619" s="15" t="n"/>
      <c r="U619" s="14" t="n">
        <v>14</v>
      </c>
      <c r="V619" s="14" t="n"/>
    </row>
    <row r="620">
      <c r="A620" s="11" t="n">
        <v>2110</v>
      </c>
      <c r="B620" s="11" t="inlineStr">
        <is>
          <t>CALDONO</t>
        </is>
      </c>
      <c r="C620" s="11" t="inlineStr">
        <is>
          <t>Caldono</t>
        </is>
      </c>
      <c r="D620" s="11" t="inlineStr">
        <is>
          <t>Cauca</t>
        </is>
      </c>
      <c r="E620" s="11" t="inlineStr">
        <is>
          <t>OCCIDENTE</t>
        </is>
      </c>
      <c r="F620" s="11" t="inlineStr">
        <is>
          <t>Holmes Arley Astudillo Fajardo</t>
        </is>
      </c>
      <c r="G620" s="11" t="inlineStr">
        <is>
          <t>1</t>
        </is>
      </c>
      <c r="H620" s="12" t="n">
        <v>46309</v>
      </c>
      <c r="I620" s="12" t="n">
        <v>46309</v>
      </c>
      <c r="J620" s="12" t="n"/>
      <c r="K620" s="12" t="n"/>
      <c r="L620" s="11" t="inlineStr">
        <is>
          <t>Programada</t>
        </is>
      </c>
      <c r="M620" s="12" t="n"/>
      <c r="N620" s="11">
        <f>SI(O(H620="";J620="");"";SI(J620&lt;=H620;"SÍ";"NO"))</f>
        <v/>
      </c>
      <c r="O620" s="11">
        <f>SI(O(I620="";K620="");"";SI(K620&lt;=SI(M620&lt;&gt;"";M620;I620);"SÍ";"NO"))</f>
        <v/>
      </c>
      <c r="P620" s="11">
        <f>SI(O(N620="";O620="");"";SI(Y(N620="SÍ";O620="SÍ");"SÍ";"NO"))</f>
        <v/>
      </c>
      <c r="Q620" s="13">
        <f>SI(O(I620="";K620="");"";MAX(0;ENTERO(K620)-ENTERO(SI(M620&lt;&gt;"";M620;I620))))</f>
        <v/>
      </c>
      <c r="R620" s="11" t="n"/>
      <c r="S620" s="11" t="n"/>
      <c r="T620" s="12" t="n"/>
      <c r="U620" s="11" t="n">
        <v>19</v>
      </c>
      <c r="V620" s="11" t="n"/>
    </row>
    <row r="621">
      <c r="A621" s="14" t="n">
        <v>3973</v>
      </c>
      <c r="B621" s="14" t="inlineStr">
        <is>
          <t>SUAZA</t>
        </is>
      </c>
      <c r="C621" s="14" t="inlineStr">
        <is>
          <t>Suaza</t>
        </is>
      </c>
      <c r="D621" s="14" t="inlineStr">
        <is>
          <t>Huila</t>
        </is>
      </c>
      <c r="E621" s="14" t="inlineStr">
        <is>
          <t>SUR</t>
        </is>
      </c>
      <c r="F621" s="14" t="inlineStr">
        <is>
          <t>ERIKA VARGAS</t>
        </is>
      </c>
      <c r="G621" s="14" t="inlineStr">
        <is>
          <t>3</t>
        </is>
      </c>
      <c r="H621" s="15" t="n">
        <v>46309</v>
      </c>
      <c r="I621" s="15" t="n">
        <v>46309</v>
      </c>
      <c r="J621" s="15" t="n"/>
      <c r="K621" s="15" t="n"/>
      <c r="L621" s="14" t="inlineStr">
        <is>
          <t>Programada</t>
        </is>
      </c>
      <c r="M621" s="15" t="n"/>
      <c r="N621" s="14">
        <f>SI(O(H621="";J621="");"";SI(J621&lt;=H621;"SÍ";"NO"))</f>
        <v/>
      </c>
      <c r="O621" s="14">
        <f>SI(O(I621="";K621="");"";SI(K621&lt;=SI(M621&lt;&gt;"";M621;I621);"SÍ";"NO"))</f>
        <v/>
      </c>
      <c r="P621" s="14">
        <f>SI(O(N621="";O621="");"";SI(Y(N621="SÍ";O621="SÍ");"SÍ";"NO"))</f>
        <v/>
      </c>
      <c r="Q621" s="16">
        <f>SI(O(I621="";K621="");"";MAX(0;ENTERO(K621)-ENTERO(SI(M621&lt;&gt;"";M621;I621))))</f>
        <v/>
      </c>
      <c r="R621" s="14" t="n"/>
      <c r="S621" s="14" t="n"/>
      <c r="T621" s="15" t="n"/>
      <c r="U621" s="14" t="n">
        <v>22</v>
      </c>
      <c r="V621" s="14" t="n"/>
    </row>
    <row r="622">
      <c r="A622" s="11" t="n">
        <v>4875</v>
      </c>
      <c r="B622" s="11" t="inlineStr">
        <is>
          <t>EL TABLON DE GOMEZ</t>
        </is>
      </c>
      <c r="C622" s="11" t="inlineStr">
        <is>
          <t>El Tablón</t>
        </is>
      </c>
      <c r="D622" s="11" t="inlineStr">
        <is>
          <t>Nariño</t>
        </is>
      </c>
      <c r="E622" s="11" t="inlineStr">
        <is>
          <t>OCCIDENTE</t>
        </is>
      </c>
      <c r="F622" s="11" t="inlineStr">
        <is>
          <t>Juan Carlos Narvaez Acosta / Luis Fernando Ibarra Guio</t>
        </is>
      </c>
      <c r="G622" s="11" t="inlineStr">
        <is>
          <t>2</t>
        </is>
      </c>
      <c r="H622" s="12" t="n">
        <v>46309</v>
      </c>
      <c r="I622" s="12" t="n">
        <v>46309</v>
      </c>
      <c r="J622" s="12" t="n"/>
      <c r="K622" s="12" t="n"/>
      <c r="L622" s="11" t="inlineStr">
        <is>
          <t>Programada</t>
        </is>
      </c>
      <c r="M622" s="12" t="n"/>
      <c r="N622" s="11">
        <f>SI(O(H622="";J622="");"";SI(J622&lt;=H622;"SÍ";"NO"))</f>
        <v/>
      </c>
      <c r="O622" s="11">
        <f>SI(O(I622="";K622="");"";SI(K622&lt;=SI(M622&lt;&gt;"";M622;I622);"SÍ";"NO"))</f>
        <v/>
      </c>
      <c r="P622" s="11">
        <f>SI(O(N622="";O622="");"";SI(Y(N622="SÍ";O622="SÍ");"SÍ";"NO"))</f>
        <v/>
      </c>
      <c r="Q622" s="13">
        <f>SI(O(I622="";K622="");"";MAX(0;ENTERO(K622)-ENTERO(SI(M622&lt;&gt;"";M622;I622))))</f>
        <v/>
      </c>
      <c r="R622" s="11" t="n"/>
      <c r="S622" s="11" t="n"/>
      <c r="T622" s="12" t="n"/>
      <c r="U622" s="11" t="n">
        <v>17</v>
      </c>
      <c r="V622" s="11" t="n"/>
    </row>
    <row r="623">
      <c r="A623" s="14" t="n">
        <v>5108</v>
      </c>
      <c r="B623" s="14" t="inlineStr">
        <is>
          <t>BOCHALEMA</t>
        </is>
      </c>
      <c r="C623" s="14" t="inlineStr">
        <is>
          <t>Bochalema</t>
        </is>
      </c>
      <c r="D623" s="14" t="inlineStr">
        <is>
          <t>Norte de Santander</t>
        </is>
      </c>
      <c r="E623" s="14" t="inlineStr">
        <is>
          <t>SANTANDERES</t>
        </is>
      </c>
      <c r="F623" s="14" t="inlineStr">
        <is>
          <t>Juan Alfonso Cuberos Buendia</t>
        </is>
      </c>
      <c r="G623" s="14" t="inlineStr">
        <is>
          <t>1</t>
        </is>
      </c>
      <c r="H623" s="15" t="n">
        <v>46309</v>
      </c>
      <c r="I623" s="15" t="n">
        <v>46309</v>
      </c>
      <c r="J623" s="15" t="n"/>
      <c r="K623" s="15" t="n"/>
      <c r="L623" s="14" t="inlineStr">
        <is>
          <t>Programada</t>
        </is>
      </c>
      <c r="M623" s="15" t="n"/>
      <c r="N623" s="14">
        <f>SI(O(H623="";J623="");"";SI(J623&lt;=H623;"SÍ";"NO"))</f>
        <v/>
      </c>
      <c r="O623" s="14">
        <f>SI(O(I623="";K623="");"";SI(K623&lt;=SI(M623&lt;&gt;"";M623;I623);"SÍ";"NO"))</f>
        <v/>
      </c>
      <c r="P623" s="14">
        <f>SI(O(N623="";O623="");"";SI(Y(N623="SÍ";O623="SÍ");"SÍ";"NO"))</f>
        <v/>
      </c>
      <c r="Q623" s="16">
        <f>SI(O(I623="";K623="");"";MAX(0;ENTERO(K623)-ENTERO(SI(M623&lt;&gt;"";M623;I623))))</f>
        <v/>
      </c>
      <c r="R623" s="14" t="n"/>
      <c r="S623" s="14" t="n"/>
      <c r="T623" s="15" t="n"/>
      <c r="U623" s="14" t="n">
        <v>13</v>
      </c>
      <c r="V623" s="14" t="n"/>
    </row>
    <row r="624">
      <c r="A624" s="11" t="n">
        <v>5114</v>
      </c>
      <c r="B624" s="11" t="inlineStr">
        <is>
          <t>DURANIA</t>
        </is>
      </c>
      <c r="C624" s="11" t="inlineStr">
        <is>
          <t>Durania</t>
        </is>
      </c>
      <c r="D624" s="11" t="inlineStr">
        <is>
          <t>Norte de Santander</t>
        </is>
      </c>
      <c r="E624" s="11" t="inlineStr">
        <is>
          <t>SANTANDERES</t>
        </is>
      </c>
      <c r="F624" s="11" t="inlineStr">
        <is>
          <t>Ali Kassem Issa Sierra</t>
        </is>
      </c>
      <c r="G624" s="11" t="inlineStr">
        <is>
          <t>1</t>
        </is>
      </c>
      <c r="H624" s="12" t="n">
        <v>46309</v>
      </c>
      <c r="I624" s="12" t="n">
        <v>46309</v>
      </c>
      <c r="J624" s="12" t="n"/>
      <c r="K624" s="12" t="n"/>
      <c r="L624" s="11" t="inlineStr">
        <is>
          <t>Programada</t>
        </is>
      </c>
      <c r="M624" s="12" t="n"/>
      <c r="N624" s="11">
        <f>SI(O(H624="";J624="");"";SI(J624&lt;=H624;"SÍ";"NO"))</f>
        <v/>
      </c>
      <c r="O624" s="11">
        <f>SI(O(I624="";K624="");"";SI(K624&lt;=SI(M624&lt;&gt;"";M624;I624);"SÍ";"NO"))</f>
        <v/>
      </c>
      <c r="P624" s="11">
        <f>SI(O(N624="";O624="");"";SI(Y(N624="SÍ";O624="SÍ");"SÍ";"NO"))</f>
        <v/>
      </c>
      <c r="Q624" s="13">
        <f>SI(O(I624="";K624="");"";MAX(0;ENTERO(K624)-ENTERO(SI(M624&lt;&gt;"";M624;I624))))</f>
        <v/>
      </c>
      <c r="R624" s="11" t="n"/>
      <c r="S624" s="11" t="n"/>
      <c r="T624" s="12" t="n"/>
      <c r="U624" s="11" t="n">
        <v>13</v>
      </c>
      <c r="V624" s="11" t="n"/>
    </row>
    <row r="625">
      <c r="A625" s="14" t="n">
        <v>6046</v>
      </c>
      <c r="B625" s="14" t="inlineStr">
        <is>
          <t>VELEZ</t>
        </is>
      </c>
      <c r="C625" s="14" t="inlineStr">
        <is>
          <t>Vélez</t>
        </is>
      </c>
      <c r="D625" s="14" t="inlineStr">
        <is>
          <t>Santander</t>
        </is>
      </c>
      <c r="E625" s="14" t="inlineStr">
        <is>
          <t>ORIENTE</t>
        </is>
      </c>
      <c r="F625" s="14" t="inlineStr">
        <is>
          <t>Luz Nélida Barragán Toro</t>
        </is>
      </c>
      <c r="G625" s="14" t="inlineStr">
        <is>
          <t>3</t>
        </is>
      </c>
      <c r="H625" s="15" t="n">
        <v>46309</v>
      </c>
      <c r="I625" s="15" t="n">
        <v>46310</v>
      </c>
      <c r="J625" s="15" t="n"/>
      <c r="K625" s="15" t="n"/>
      <c r="L625" s="14" t="inlineStr">
        <is>
          <t>Programada</t>
        </is>
      </c>
      <c r="M625" s="15" t="n"/>
      <c r="N625" s="14">
        <f>SI(O(H625="";J625="");"";SI(J625&lt;=H625;"SÍ";"NO"))</f>
        <v/>
      </c>
      <c r="O625" s="14">
        <f>SI(O(I625="";K625="");"";SI(K625&lt;=SI(M625&lt;&gt;"";M625;I625);"SÍ";"NO"))</f>
        <v/>
      </c>
      <c r="P625" s="14">
        <f>SI(O(N625="";O625="");"";SI(Y(N625="SÍ";O625="SÍ");"SÍ";"NO"))</f>
        <v/>
      </c>
      <c r="Q625" s="16">
        <f>SI(O(I625="";K625="");"";MAX(0;ENTERO(K625)-ENTERO(SI(M625&lt;&gt;"";M625;I625))))</f>
        <v/>
      </c>
      <c r="R625" s="14" t="n"/>
      <c r="S625" s="14" t="n"/>
      <c r="T625" s="15" t="n"/>
      <c r="U625" s="14" t="n">
        <v>23</v>
      </c>
      <c r="V625" s="14" t="n"/>
    </row>
    <row r="626">
      <c r="A626" s="11" t="n">
        <v>6056</v>
      </c>
      <c r="B626" s="11" t="inlineStr">
        <is>
          <t>GUEPSA</t>
        </is>
      </c>
      <c r="C626" s="11" t="inlineStr">
        <is>
          <t>Güepsa</t>
        </is>
      </c>
      <c r="D626" s="11" t="inlineStr">
        <is>
          <t>Santander</t>
        </is>
      </c>
      <c r="E626" s="11" t="inlineStr">
        <is>
          <t>ORIENTE</t>
        </is>
      </c>
      <c r="F626" s="11" t="inlineStr">
        <is>
          <t>Andrés Felipe Carvajal Pire</t>
        </is>
      </c>
      <c r="G626" s="11" t="inlineStr">
        <is>
          <t>1</t>
        </is>
      </c>
      <c r="H626" s="12" t="n">
        <v>46309</v>
      </c>
      <c r="I626" s="12" t="n">
        <v>46310</v>
      </c>
      <c r="J626" s="12" t="n"/>
      <c r="K626" s="12" t="n"/>
      <c r="L626" s="11" t="inlineStr">
        <is>
          <t>Programada</t>
        </is>
      </c>
      <c r="M626" s="12" t="n"/>
      <c r="N626" s="11">
        <f>SI(O(H626="";J626="");"";SI(J626&lt;=H626;"SÍ";"NO"))</f>
        <v/>
      </c>
      <c r="O626" s="11">
        <f>SI(O(I626="";K626="");"";SI(K626&lt;=SI(M626&lt;&gt;"";M626;I626);"SÍ";"NO"))</f>
        <v/>
      </c>
      <c r="P626" s="11">
        <f>SI(O(N626="";O626="");"";SI(Y(N626="SÍ";O626="SÍ");"SÍ";"NO"))</f>
        <v/>
      </c>
      <c r="Q626" s="13">
        <f>SI(O(I626="";K626="");"";MAX(0;ENTERO(K626)-ENTERO(SI(M626&lt;&gt;"";M626;I626))))</f>
        <v/>
      </c>
      <c r="R626" s="11" t="n"/>
      <c r="S626" s="11" t="n"/>
      <c r="T626" s="12" t="n"/>
      <c r="U626" s="11" t="n">
        <v>13</v>
      </c>
      <c r="V626" s="11" t="n"/>
    </row>
    <row r="627">
      <c r="A627" s="14" t="n">
        <v>6074</v>
      </c>
      <c r="B627" s="14" t="inlineStr">
        <is>
          <t>CHIPATA</t>
        </is>
      </c>
      <c r="C627" s="14" t="inlineStr">
        <is>
          <t>Chipatá</t>
        </is>
      </c>
      <c r="D627" s="14" t="inlineStr">
        <is>
          <t>Santander</t>
        </is>
      </c>
      <c r="E627" s="14" t="inlineStr">
        <is>
          <t>ORIENTE</t>
        </is>
      </c>
      <c r="F627" s="14" t="inlineStr">
        <is>
          <t>Andrés Felipe Díaz Noy</t>
        </is>
      </c>
      <c r="G627" s="14" t="inlineStr">
        <is>
          <t>1</t>
        </is>
      </c>
      <c r="H627" s="15" t="n">
        <v>46309</v>
      </c>
      <c r="I627" s="15" t="n">
        <v>46310</v>
      </c>
      <c r="J627" s="15" t="n"/>
      <c r="K627" s="15" t="n"/>
      <c r="L627" s="14" t="inlineStr">
        <is>
          <t>Programada</t>
        </is>
      </c>
      <c r="M627" s="15" t="n"/>
      <c r="N627" s="14">
        <f>SI(O(H627="";J627="");"";SI(J627&lt;=H627;"SÍ";"NO"))</f>
        <v/>
      </c>
      <c r="O627" s="14">
        <f>SI(O(I627="";K627="");"";SI(K627&lt;=SI(M627&lt;&gt;"";M627;I627);"SÍ";"NO"))</f>
        <v/>
      </c>
      <c r="P627" s="14">
        <f>SI(O(N627="";O627="");"";SI(Y(N627="SÍ";O627="SÍ");"SÍ";"NO"))</f>
        <v/>
      </c>
      <c r="Q627" s="16">
        <f>SI(O(I627="";K627="");"";MAX(0;ENTERO(K627)-ENTERO(SI(M627&lt;&gt;"";M627;I627))))</f>
        <v/>
      </c>
      <c r="R627" s="14" t="n"/>
      <c r="S627" s="14" t="n"/>
      <c r="T627" s="15" t="n"/>
      <c r="U627" s="14" t="n">
        <v>13</v>
      </c>
      <c r="V627" s="14" t="n"/>
    </row>
    <row r="628">
      <c r="A628" s="11" t="n">
        <v>6901</v>
      </c>
      <c r="B628" s="11" t="inlineStr">
        <is>
          <t>ALCALA</t>
        </is>
      </c>
      <c r="C628" s="11" t="inlineStr">
        <is>
          <t>Alcalá</t>
        </is>
      </c>
      <c r="D628" s="11" t="inlineStr">
        <is>
          <t>Valle del Cauca</t>
        </is>
      </c>
      <c r="E628" s="11" t="inlineStr">
        <is>
          <t>CAFETERA</t>
        </is>
      </c>
      <c r="F628" s="11" t="inlineStr">
        <is>
          <t>Alvaro Augusto Villalba Villamil</t>
        </is>
      </c>
      <c r="G628" s="11" t="inlineStr">
        <is>
          <t>1</t>
        </is>
      </c>
      <c r="H628" s="12" t="n">
        <v>46309</v>
      </c>
      <c r="I628" s="12" t="n">
        <v>46309</v>
      </c>
      <c r="J628" s="12" t="n"/>
      <c r="K628" s="12" t="n"/>
      <c r="L628" s="11" t="inlineStr">
        <is>
          <t>Programada</t>
        </is>
      </c>
      <c r="M628" s="12" t="n"/>
      <c r="N628" s="11">
        <f>SI(O(H628="";J628="");"";SI(J628&lt;=H628;"SÍ";"NO"))</f>
        <v/>
      </c>
      <c r="O628" s="11">
        <f>SI(O(I628="";K628="");"";SI(K628&lt;=SI(M628&lt;&gt;"";M628;I628);"SÍ";"NO"))</f>
        <v/>
      </c>
      <c r="P628" s="11">
        <f>SI(O(N628="";O628="");"";SI(Y(N628="SÍ";O628="SÍ");"SÍ";"NO"))</f>
        <v/>
      </c>
      <c r="Q628" s="13">
        <f>SI(O(I628="";K628="");"";MAX(0;ENTERO(K628)-ENTERO(SI(M628&lt;&gt;"";M628;I628))))</f>
        <v/>
      </c>
      <c r="R628" s="11" t="n"/>
      <c r="S628" s="11" t="n"/>
      <c r="T628" s="12" t="n"/>
      <c r="U628" s="11" t="n">
        <v>15</v>
      </c>
      <c r="V628" s="11" t="n"/>
    </row>
    <row r="629">
      <c r="A629" s="14" t="n">
        <v>6913</v>
      </c>
      <c r="B629" s="14" t="inlineStr">
        <is>
          <t>GINEBRA</t>
        </is>
      </c>
      <c r="C629" s="14" t="inlineStr">
        <is>
          <t>Ginebra</t>
        </is>
      </c>
      <c r="D629" s="14" t="inlineStr">
        <is>
          <t>Valle del Cauca</t>
        </is>
      </c>
      <c r="E629" s="14" t="inlineStr">
        <is>
          <t>OCCIDENTE</t>
        </is>
      </c>
      <c r="F629" s="14" t="inlineStr">
        <is>
          <t>John Edwin Jimenez Chavez</t>
        </is>
      </c>
      <c r="G629" s="14" t="inlineStr">
        <is>
          <t>1</t>
        </is>
      </c>
      <c r="H629" s="15" t="n">
        <v>46309</v>
      </c>
      <c r="I629" s="15" t="n">
        <v>46309</v>
      </c>
      <c r="J629" s="15" t="n"/>
      <c r="K629" s="15" t="n"/>
      <c r="L629" s="14" t="inlineStr">
        <is>
          <t>Programada</t>
        </is>
      </c>
      <c r="M629" s="15" t="n"/>
      <c r="N629" s="14">
        <f>SI(O(H629="";J629="");"";SI(J629&lt;=H629;"SÍ";"NO"))</f>
        <v/>
      </c>
      <c r="O629" s="14">
        <f>SI(O(I629="";K629="");"";SI(K629&lt;=SI(M629&lt;&gt;"";M629;I629);"SÍ";"NO"))</f>
        <v/>
      </c>
      <c r="P629" s="14">
        <f>SI(O(N629="";O629="");"";SI(Y(N629="SÍ";O629="SÍ");"SÍ";"NO"))</f>
        <v/>
      </c>
      <c r="Q629" s="16">
        <f>SI(O(I629="";K629="");"";MAX(0;ENTERO(K629)-ENTERO(SI(M629&lt;&gt;"";M629;I629))))</f>
        <v/>
      </c>
      <c r="R629" s="14" t="n"/>
      <c r="S629" s="14" t="n"/>
      <c r="T629" s="15" t="n"/>
      <c r="U629" s="14" t="n">
        <v>15</v>
      </c>
      <c r="V629" s="14" t="n"/>
    </row>
    <row r="630">
      <c r="A630" s="11" t="n">
        <v>8648</v>
      </c>
      <c r="B630" s="11" t="inlineStr">
        <is>
          <t>SABANALARGA</t>
        </is>
      </c>
      <c r="C630" s="11" t="inlineStr">
        <is>
          <t>Sabanalarga</t>
        </is>
      </c>
      <c r="D630" s="11" t="inlineStr">
        <is>
          <t>Casanare</t>
        </is>
      </c>
      <c r="E630" s="11" t="inlineStr">
        <is>
          <t>ORIENTE</t>
        </is>
      </c>
      <c r="F630" s="11" t="inlineStr">
        <is>
          <t>Juan Sebastian Lopez Acevedo</t>
        </is>
      </c>
      <c r="G630" s="11" t="inlineStr">
        <is>
          <t>1</t>
        </is>
      </c>
      <c r="H630" s="12" t="n">
        <v>46309</v>
      </c>
      <c r="I630" s="12" t="n">
        <v>46310</v>
      </c>
      <c r="J630" s="12" t="n"/>
      <c r="K630" s="12" t="n"/>
      <c r="L630" s="11" t="inlineStr">
        <is>
          <t>Programada</t>
        </is>
      </c>
      <c r="M630" s="12" t="n"/>
      <c r="N630" s="11">
        <f>SI(O(H630="";J630="");"";SI(J630&lt;=H630;"SÍ";"NO"))</f>
        <v/>
      </c>
      <c r="O630" s="11">
        <f>SI(O(I630="";K630="");"";SI(K630&lt;=SI(M630&lt;&gt;"";M630;I630);"SÍ";"NO"))</f>
        <v/>
      </c>
      <c r="P630" s="11">
        <f>SI(O(N630="";O630="");"";SI(Y(N630="SÍ";O630="SÍ");"SÍ";"NO"))</f>
        <v/>
      </c>
      <c r="Q630" s="13">
        <f>SI(O(I630="";K630="");"";MAX(0;ENTERO(K630)-ENTERO(SI(M630&lt;&gt;"";M630;I630))))</f>
        <v/>
      </c>
      <c r="R630" s="11" t="n"/>
      <c r="S630" s="11" t="n"/>
      <c r="T630" s="12" t="n"/>
      <c r="U630" s="11" t="n">
        <v>13</v>
      </c>
      <c r="V630" s="11" t="n"/>
    </row>
    <row r="631">
      <c r="A631" s="14" t="n">
        <v>590</v>
      </c>
      <c r="B631" s="14" t="inlineStr">
        <is>
          <t>BOGOTA - BARRIO RESTREPO</t>
        </is>
      </c>
      <c r="C631" s="14" t="inlineStr">
        <is>
          <t>Bogotá, D.C.</t>
        </is>
      </c>
      <c r="D631" s="14" t="inlineStr">
        <is>
          <t>Bogotá D.C</t>
        </is>
      </c>
      <c r="E631" s="14" t="inlineStr">
        <is>
          <t>BOGOTA</t>
        </is>
      </c>
      <c r="F631" s="14" t="inlineStr">
        <is>
          <t>Anderson Forero Mora</t>
        </is>
      </c>
      <c r="G631" s="14" t="inlineStr">
        <is>
          <t>7</t>
        </is>
      </c>
      <c r="H631" s="15" t="n">
        <v>46310</v>
      </c>
      <c r="I631" s="15" t="n">
        <v>46311</v>
      </c>
      <c r="J631" s="15" t="n"/>
      <c r="K631" s="15" t="n"/>
      <c r="L631" s="14" t="inlineStr">
        <is>
          <t>Programada</t>
        </is>
      </c>
      <c r="M631" s="15" t="n"/>
      <c r="N631" s="14">
        <f>SI(O(H631="";J631="");"";SI(J631&lt;=H631;"SÍ";"NO"))</f>
        <v/>
      </c>
      <c r="O631" s="14">
        <f>SI(O(I631="";K631="");"";SI(K631&lt;=SI(M631&lt;&gt;"";M631;I631);"SÍ";"NO"))</f>
        <v/>
      </c>
      <c r="P631" s="14">
        <f>SI(O(N631="";O631="");"";SI(Y(N631="SÍ";O631="SÍ");"SÍ";"NO"))</f>
        <v/>
      </c>
      <c r="Q631" s="16">
        <f>SI(O(I631="";K631="");"";MAX(0;ENTERO(K631)-ENTERO(SI(M631&lt;&gt;"";M631;I631))))</f>
        <v/>
      </c>
      <c r="R631" s="14" t="n"/>
      <c r="S631" s="14" t="n"/>
      <c r="T631" s="15" t="n"/>
      <c r="U631" s="14" t="n">
        <v>36</v>
      </c>
      <c r="V631" s="14" t="n"/>
    </row>
    <row r="632">
      <c r="A632" s="11" t="n">
        <v>1302</v>
      </c>
      <c r="B632" s="11" t="inlineStr">
        <is>
          <t>ABEJORRAL</t>
        </is>
      </c>
      <c r="C632" s="11" t="inlineStr">
        <is>
          <t>Abejorral</t>
        </is>
      </c>
      <c r="D632" s="11" t="inlineStr">
        <is>
          <t>Antioquia</t>
        </is>
      </c>
      <c r="E632" s="11" t="inlineStr">
        <is>
          <t>ANTIOQUIA</t>
        </is>
      </c>
      <c r="F632" s="11" t="inlineStr">
        <is>
          <t>Juan Pablo Osorio Ramirez</t>
        </is>
      </c>
      <c r="G632" s="11" t="inlineStr">
        <is>
          <t>2</t>
        </is>
      </c>
      <c r="H632" s="12" t="n">
        <v>46310</v>
      </c>
      <c r="I632" s="12" t="n">
        <v>46310</v>
      </c>
      <c r="J632" s="12" t="n"/>
      <c r="K632" s="12" t="n"/>
      <c r="L632" s="11" t="inlineStr">
        <is>
          <t>Programada</t>
        </is>
      </c>
      <c r="M632" s="12" t="n"/>
      <c r="N632" s="11">
        <f>SI(O(H632="";J632="");"";SI(J632&lt;=H632;"SÍ";"NO"))</f>
        <v/>
      </c>
      <c r="O632" s="11">
        <f>SI(O(I632="";K632="");"";SI(K632&lt;=SI(M632&lt;&gt;"";M632;I632);"SÍ";"NO"))</f>
        <v/>
      </c>
      <c r="P632" s="11">
        <f>SI(O(N632="";O632="");"";SI(Y(N632="SÍ";O632="SÍ");"SÍ";"NO"))</f>
        <v/>
      </c>
      <c r="Q632" s="13">
        <f>SI(O(I632="";K632="");"";MAX(0;ENTERO(K632)-ENTERO(SI(M632&lt;&gt;"";M632;I632))))</f>
        <v/>
      </c>
      <c r="R632" s="11" t="n"/>
      <c r="S632" s="11" t="n"/>
      <c r="T632" s="12" t="n"/>
      <c r="U632" s="11" t="n">
        <v>16</v>
      </c>
      <c r="V632" s="11" t="n"/>
    </row>
    <row r="633">
      <c r="A633" s="14" t="n">
        <v>1346</v>
      </c>
      <c r="B633" s="14" t="inlineStr">
        <is>
          <t>SONSON</t>
        </is>
      </c>
      <c r="C633" s="14" t="inlineStr">
        <is>
          <t>Sonson</t>
        </is>
      </c>
      <c r="D633" s="14" t="inlineStr">
        <is>
          <t>Antioquia</t>
        </is>
      </c>
      <c r="E633" s="14" t="inlineStr">
        <is>
          <t>ANTIOQUIA</t>
        </is>
      </c>
      <c r="F633" s="14" t="inlineStr">
        <is>
          <t>Juan Pablo Osorio Ramirez</t>
        </is>
      </c>
      <c r="G633" s="14" t="inlineStr">
        <is>
          <t>4</t>
        </is>
      </c>
      <c r="H633" s="15" t="n">
        <v>46310</v>
      </c>
      <c r="I633" s="15" t="n">
        <v>46310</v>
      </c>
      <c r="J633" s="15" t="n"/>
      <c r="K633" s="15" t="n"/>
      <c r="L633" s="14" t="inlineStr">
        <is>
          <t>Programada</t>
        </is>
      </c>
      <c r="M633" s="15" t="n"/>
      <c r="N633" s="14">
        <f>SI(O(H633="";J633="");"";SI(J633&lt;=H633;"SÍ";"NO"))</f>
        <v/>
      </c>
      <c r="O633" s="14">
        <f>SI(O(I633="";K633="");"";SI(K633&lt;=SI(M633&lt;&gt;"";M633;I633);"SÍ";"NO"))</f>
        <v/>
      </c>
      <c r="P633" s="14">
        <f>SI(O(N633="";O633="");"";SI(Y(N633="SÍ";O633="SÍ");"SÍ";"NO"))</f>
        <v/>
      </c>
      <c r="Q633" s="16">
        <f>SI(O(I633="";K633="");"";MAX(0;ENTERO(K633)-ENTERO(SI(M633&lt;&gt;"";M633;I633))))</f>
        <v/>
      </c>
      <c r="R633" s="14" t="n"/>
      <c r="S633" s="14" t="n"/>
      <c r="T633" s="15" t="n"/>
      <c r="U633" s="14" t="n">
        <v>23</v>
      </c>
      <c r="V633" s="14" t="n"/>
    </row>
    <row r="634">
      <c r="A634" s="11" t="n">
        <v>1375</v>
      </c>
      <c r="B634" s="11" t="inlineStr">
        <is>
          <t>CALDAS</t>
        </is>
      </c>
      <c r="C634" s="11" t="inlineStr">
        <is>
          <t>Caldas</t>
        </is>
      </c>
      <c r="D634" s="11" t="inlineStr">
        <is>
          <t>Antioquia</t>
        </is>
      </c>
      <c r="E634" s="11" t="inlineStr">
        <is>
          <t>ANTIOQUIA</t>
        </is>
      </c>
      <c r="F634" s="11" t="inlineStr">
        <is>
          <t>Andrés Mariano Bustamante Castro</t>
        </is>
      </c>
      <c r="G634" s="11" t="inlineStr">
        <is>
          <t>4</t>
        </is>
      </c>
      <c r="H634" s="12" t="n">
        <v>46310</v>
      </c>
      <c r="I634" s="12" t="n">
        <v>46311</v>
      </c>
      <c r="J634" s="12" t="n"/>
      <c r="K634" s="12" t="n"/>
      <c r="L634" s="11" t="inlineStr">
        <is>
          <t>Programada</t>
        </is>
      </c>
      <c r="M634" s="12" t="n"/>
      <c r="N634" s="11">
        <f>SI(O(H634="";J634="");"";SI(J634&lt;=H634;"SÍ";"NO"))</f>
        <v/>
      </c>
      <c r="O634" s="11">
        <f>SI(O(I634="";K634="");"";SI(K634&lt;=SI(M634&lt;&gt;"";M634;I634);"SÍ";"NO"))</f>
        <v/>
      </c>
      <c r="P634" s="11">
        <f>SI(O(N634="";O634="");"";SI(Y(N634="SÍ";O634="SÍ");"SÍ";"NO"))</f>
        <v/>
      </c>
      <c r="Q634" s="13">
        <f>SI(O(I634="";K634="");"";MAX(0;ENTERO(K634)-ENTERO(SI(M634&lt;&gt;"";M634;I634))))</f>
        <v/>
      </c>
      <c r="R634" s="11" t="n"/>
      <c r="S634" s="11" t="n"/>
      <c r="T634" s="12" t="n"/>
      <c r="U634" s="11" t="n">
        <v>21</v>
      </c>
      <c r="V634" s="11" t="n"/>
    </row>
    <row r="635">
      <c r="A635" s="14" t="n">
        <v>2105</v>
      </c>
      <c r="B635" s="14" t="inlineStr">
        <is>
          <t>CAJIBIO</t>
        </is>
      </c>
      <c r="C635" s="14" t="inlineStr">
        <is>
          <t>Cajibío</t>
        </is>
      </c>
      <c r="D635" s="14" t="inlineStr">
        <is>
          <t>Cauca</t>
        </is>
      </c>
      <c r="E635" s="14" t="inlineStr">
        <is>
          <t>OCCIDENTE</t>
        </is>
      </c>
      <c r="F635" s="14" t="inlineStr">
        <is>
          <t>Holmes Arley Astudillo Fajardo</t>
        </is>
      </c>
      <c r="G635" s="14" t="inlineStr">
        <is>
          <t>2</t>
        </is>
      </c>
      <c r="H635" s="15" t="n">
        <v>46310</v>
      </c>
      <c r="I635" s="15" t="n">
        <v>46310</v>
      </c>
      <c r="J635" s="15" t="n"/>
      <c r="K635" s="15" t="n"/>
      <c r="L635" s="14" t="inlineStr">
        <is>
          <t>Programada</t>
        </is>
      </c>
      <c r="M635" s="15" t="n"/>
      <c r="N635" s="14">
        <f>SI(O(H635="";J635="");"";SI(J635&lt;=H635;"SÍ";"NO"))</f>
        <v/>
      </c>
      <c r="O635" s="14">
        <f>SI(O(I635="";K635="");"";SI(K635&lt;=SI(M635&lt;&gt;"";M635;I635);"SÍ";"NO"))</f>
        <v/>
      </c>
      <c r="P635" s="14">
        <f>SI(O(N635="";O635="");"";SI(Y(N635="SÍ";O635="SÍ");"SÍ";"NO"))</f>
        <v/>
      </c>
      <c r="Q635" s="16">
        <f>SI(O(I635="";K635="");"";MAX(0;ENTERO(K635)-ENTERO(SI(M635&lt;&gt;"";M635;I635))))</f>
        <v/>
      </c>
      <c r="R635" s="14" t="n"/>
      <c r="S635" s="14" t="n"/>
      <c r="T635" s="15" t="n"/>
      <c r="U635" s="14" t="n">
        <v>20</v>
      </c>
      <c r="V635" s="14" t="n"/>
    </row>
    <row r="636">
      <c r="A636" s="11" t="n">
        <v>2139</v>
      </c>
      <c r="B636" s="11" t="inlineStr">
        <is>
          <t>LOPEZ DE MICAY</t>
        </is>
      </c>
      <c r="C636" s="11" t="inlineStr">
        <is>
          <t>López</t>
        </is>
      </c>
      <c r="D636" s="11" t="inlineStr">
        <is>
          <t>Cauca</t>
        </is>
      </c>
      <c r="E636" s="11" t="inlineStr">
        <is>
          <t>OCCIDENTE</t>
        </is>
      </c>
      <c r="F636" s="11" t="inlineStr">
        <is>
          <t>Holmes Arley Astudillo Fajardo</t>
        </is>
      </c>
      <c r="G636" s="11" t="inlineStr">
        <is>
          <t>1</t>
        </is>
      </c>
      <c r="H636" s="12" t="n">
        <v>46310</v>
      </c>
      <c r="I636" s="12" t="n">
        <v>46310</v>
      </c>
      <c r="J636" s="12" t="n"/>
      <c r="K636" s="12" t="n"/>
      <c r="L636" s="11" t="inlineStr">
        <is>
          <t>Programada</t>
        </is>
      </c>
      <c r="M636" s="12" t="n"/>
      <c r="N636" s="11">
        <f>SI(O(H636="";J636="");"";SI(J636&lt;=H636;"SÍ";"NO"))</f>
        <v/>
      </c>
      <c r="O636" s="11">
        <f>SI(O(I636="";K636="");"";SI(K636&lt;=SI(M636&lt;&gt;"";M636;I636);"SÍ";"NO"))</f>
        <v/>
      </c>
      <c r="P636" s="11">
        <f>SI(O(N636="";O636="");"";SI(Y(N636="SÍ";O636="SÍ");"SÍ";"NO"))</f>
        <v/>
      </c>
      <c r="Q636" s="13">
        <f>SI(O(I636="";K636="");"";MAX(0;ENTERO(K636)-ENTERO(SI(M636&lt;&gt;"";M636;I636))))</f>
        <v/>
      </c>
      <c r="R636" s="11" t="n"/>
      <c r="S636" s="11" t="n"/>
      <c r="T636" s="12" t="n"/>
      <c r="U636" s="11" t="n">
        <v>13</v>
      </c>
      <c r="V636" s="11" t="n"/>
    </row>
    <row r="637">
      <c r="A637" s="14" t="n">
        <v>3315</v>
      </c>
      <c r="B637" s="14" t="inlineStr">
        <is>
          <t>CARMEN DE ATRATO</t>
        </is>
      </c>
      <c r="C637" s="14" t="inlineStr">
        <is>
          <t>El Carmen De Atrato</t>
        </is>
      </c>
      <c r="D637" s="14" t="inlineStr">
        <is>
          <t>Chocó</t>
        </is>
      </c>
      <c r="E637" s="14" t="inlineStr">
        <is>
          <t>ANTIOQUIA</t>
        </is>
      </c>
      <c r="F637" s="14" t="inlineStr">
        <is>
          <t>Alvaro Francisco Moreno Palacios</t>
        </is>
      </c>
      <c r="G637" s="14" t="inlineStr">
        <is>
          <t>1</t>
        </is>
      </c>
      <c r="H637" s="15" t="n">
        <v>46310</v>
      </c>
      <c r="I637" s="15" t="n">
        <v>46311</v>
      </c>
      <c r="J637" s="15" t="n"/>
      <c r="K637" s="15" t="n"/>
      <c r="L637" s="14" t="inlineStr">
        <is>
          <t>Programada</t>
        </is>
      </c>
      <c r="M637" s="15" t="n"/>
      <c r="N637" s="14">
        <f>SI(O(H637="";J637="");"";SI(J637&lt;=H637;"SÍ";"NO"))</f>
        <v/>
      </c>
      <c r="O637" s="14">
        <f>SI(O(I637="";K637="");"";SI(K637&lt;=SI(M637&lt;&gt;"";M637;I637);"SÍ";"NO"))</f>
        <v/>
      </c>
      <c r="P637" s="14">
        <f>SI(O(N637="";O637="");"";SI(Y(N637="SÍ";O637="SÍ");"SÍ";"NO"))</f>
        <v/>
      </c>
      <c r="Q637" s="16">
        <f>SI(O(I637="";K637="");"";MAX(0;ENTERO(K637)-ENTERO(SI(M637&lt;&gt;"";M637;I637))))</f>
        <v/>
      </c>
      <c r="R637" s="14" t="n"/>
      <c r="S637" s="14" t="n"/>
      <c r="T637" s="15" t="n"/>
      <c r="U637" s="14" t="n">
        <v>13</v>
      </c>
      <c r="V637" s="14" t="n"/>
    </row>
    <row r="638">
      <c r="A638" s="11" t="n">
        <v>3920</v>
      </c>
      <c r="B638" s="11" t="inlineStr">
        <is>
          <t>GUADALUPE</t>
        </is>
      </c>
      <c r="C638" s="11" t="inlineStr">
        <is>
          <t>Guadalupe</t>
        </is>
      </c>
      <c r="D638" s="11" t="inlineStr">
        <is>
          <t>Huila</t>
        </is>
      </c>
      <c r="E638" s="11" t="inlineStr">
        <is>
          <t>SUR</t>
        </is>
      </c>
      <c r="F638" s="11" t="inlineStr">
        <is>
          <t>ERIKA VARGAS</t>
        </is>
      </c>
      <c r="G638" s="11" t="inlineStr">
        <is>
          <t>3</t>
        </is>
      </c>
      <c r="H638" s="12" t="n">
        <v>46310</v>
      </c>
      <c r="I638" s="12" t="n">
        <v>46310</v>
      </c>
      <c r="J638" s="12" t="n"/>
      <c r="K638" s="12" t="n"/>
      <c r="L638" s="11" t="inlineStr">
        <is>
          <t>Programada</t>
        </is>
      </c>
      <c r="M638" s="12" t="n"/>
      <c r="N638" s="11">
        <f>SI(O(H638="";J638="");"";SI(J638&lt;=H638;"SÍ";"NO"))</f>
        <v/>
      </c>
      <c r="O638" s="11">
        <f>SI(O(I638="";K638="");"";SI(K638&lt;=SI(M638&lt;&gt;"";M638;I638);"SÍ";"NO"))</f>
        <v/>
      </c>
      <c r="P638" s="11">
        <f>SI(O(N638="";O638="");"";SI(Y(N638="SÍ";O638="SÍ");"SÍ";"NO"))</f>
        <v/>
      </c>
      <c r="Q638" s="13">
        <f>SI(O(I638="";K638="");"";MAX(0;ENTERO(K638)-ENTERO(SI(M638&lt;&gt;"";M638;I638))))</f>
        <v/>
      </c>
      <c r="R638" s="11" t="n"/>
      <c r="S638" s="11" t="n"/>
      <c r="T638" s="12" t="n"/>
      <c r="U638" s="11" t="n">
        <v>19</v>
      </c>
      <c r="V638" s="11" t="n"/>
    </row>
    <row r="639">
      <c r="A639" s="14" t="n">
        <v>4840</v>
      </c>
      <c r="B639" s="14" t="inlineStr">
        <is>
          <t>LA CRUZ</t>
        </is>
      </c>
      <c r="C639" s="14" t="inlineStr">
        <is>
          <t>La Cruz</t>
        </is>
      </c>
      <c r="D639" s="14" t="inlineStr">
        <is>
          <t>Nariño</t>
        </is>
      </c>
      <c r="E639" s="14" t="inlineStr">
        <is>
          <t>OCCIDENTE</t>
        </is>
      </c>
      <c r="F639" s="14" t="inlineStr">
        <is>
          <t>Juan Carlos Narvaez Acosta / Luis Fernando Ibarra Guio</t>
        </is>
      </c>
      <c r="G639" s="14" t="inlineStr">
        <is>
          <t>3</t>
        </is>
      </c>
      <c r="H639" s="15" t="n">
        <v>46310</v>
      </c>
      <c r="I639" s="15" t="n">
        <v>46310</v>
      </c>
      <c r="J639" s="15" t="n"/>
      <c r="K639" s="15" t="n"/>
      <c r="L639" s="14" t="inlineStr">
        <is>
          <t>Programada</t>
        </is>
      </c>
      <c r="M639" s="15" t="n"/>
      <c r="N639" s="14">
        <f>SI(O(H639="";J639="");"";SI(J639&lt;=H639;"SÍ";"NO"))</f>
        <v/>
      </c>
      <c r="O639" s="14">
        <f>SI(O(I639="";K639="");"";SI(K639&lt;=SI(M639&lt;&gt;"";M639;I639);"SÍ";"NO"))</f>
        <v/>
      </c>
      <c r="P639" s="14">
        <f>SI(O(N639="";O639="");"";SI(Y(N639="SÍ";O639="SÍ");"SÍ";"NO"))</f>
        <v/>
      </c>
      <c r="Q639" s="16">
        <f>SI(O(I639="";K639="");"";MAX(0;ENTERO(K639)-ENTERO(SI(M639&lt;&gt;"";M639;I639))))</f>
        <v/>
      </c>
      <c r="R639" s="14" t="n"/>
      <c r="S639" s="14" t="n"/>
      <c r="T639" s="15" t="n"/>
      <c r="U639" s="14" t="n">
        <v>20</v>
      </c>
      <c r="V639" s="14" t="n"/>
    </row>
    <row r="640">
      <c r="A640" s="11" t="n">
        <v>5136</v>
      </c>
      <c r="B640" s="11" t="inlineStr">
        <is>
          <t>MUTISCUA</t>
        </is>
      </c>
      <c r="C640" s="11" t="inlineStr">
        <is>
          <t>Mutiscua</t>
        </is>
      </c>
      <c r="D640" s="11" t="inlineStr">
        <is>
          <t>Norte de Santander</t>
        </is>
      </c>
      <c r="E640" s="11" t="inlineStr">
        <is>
          <t>SANTANDERES</t>
        </is>
      </c>
      <c r="F640" s="11" t="inlineStr">
        <is>
          <t>Ali Kassem Issa Sierra</t>
        </is>
      </c>
      <c r="G640" s="11" t="inlineStr">
        <is>
          <t>1</t>
        </is>
      </c>
      <c r="H640" s="12" t="n">
        <v>46310</v>
      </c>
      <c r="I640" s="12" t="n">
        <v>46310</v>
      </c>
      <c r="J640" s="12" t="n"/>
      <c r="K640" s="12" t="n"/>
      <c r="L640" s="11" t="inlineStr">
        <is>
          <t>Programada</t>
        </is>
      </c>
      <c r="M640" s="12" t="n"/>
      <c r="N640" s="11">
        <f>SI(O(H640="";J640="");"";SI(J640&lt;=H640;"SÍ";"NO"))</f>
        <v/>
      </c>
      <c r="O640" s="11">
        <f>SI(O(I640="";K640="");"";SI(K640&lt;=SI(M640&lt;&gt;"";M640;I640);"SÍ";"NO"))</f>
        <v/>
      </c>
      <c r="P640" s="11">
        <f>SI(O(N640="";O640="");"";SI(Y(N640="SÍ";O640="SÍ");"SÍ";"NO"))</f>
        <v/>
      </c>
      <c r="Q640" s="13">
        <f>SI(O(I640="";K640="");"";MAX(0;ENTERO(K640)-ENTERO(SI(M640&lt;&gt;"";M640;I640))))</f>
        <v/>
      </c>
      <c r="R640" s="11" t="n"/>
      <c r="S640" s="11" t="n"/>
      <c r="T640" s="12" t="n"/>
      <c r="U640" s="11" t="n">
        <v>13</v>
      </c>
      <c r="V640" s="11" t="n"/>
    </row>
    <row r="641">
      <c r="A641" s="14" t="n">
        <v>5164</v>
      </c>
      <c r="B641" s="14" t="inlineStr">
        <is>
          <t>SILOS</t>
        </is>
      </c>
      <c r="C641" s="14" t="inlineStr">
        <is>
          <t>Silos</t>
        </is>
      </c>
      <c r="D641" s="14" t="inlineStr">
        <is>
          <t>Norte de Santander</t>
        </is>
      </c>
      <c r="E641" s="14" t="inlineStr">
        <is>
          <t>SANTANDERES</t>
        </is>
      </c>
      <c r="F641" s="14" t="inlineStr">
        <is>
          <t>Juan Alfonso Cuberos Buendia</t>
        </is>
      </c>
      <c r="G641" s="14" t="inlineStr">
        <is>
          <t>2</t>
        </is>
      </c>
      <c r="H641" s="15" t="n">
        <v>46310</v>
      </c>
      <c r="I641" s="15" t="n">
        <v>46310</v>
      </c>
      <c r="J641" s="15" t="n"/>
      <c r="K641" s="15" t="n"/>
      <c r="L641" s="14" t="inlineStr">
        <is>
          <t>Programada</t>
        </is>
      </c>
      <c r="M641" s="15" t="n"/>
      <c r="N641" s="14">
        <f>SI(O(H641="";J641="");"";SI(J641&lt;=H641;"SÍ";"NO"))</f>
        <v/>
      </c>
      <c r="O641" s="14">
        <f>SI(O(I641="";K641="");"";SI(K641&lt;=SI(M641&lt;&gt;"";M641;I641);"SÍ";"NO"))</f>
        <v/>
      </c>
      <c r="P641" s="14">
        <f>SI(O(N641="";O641="");"";SI(Y(N641="SÍ";O641="SÍ");"SÍ";"NO"))</f>
        <v/>
      </c>
      <c r="Q641" s="16">
        <f>SI(O(I641="";K641="");"";MAX(0;ENTERO(K641)-ENTERO(SI(M641&lt;&gt;"";M641;I641))))</f>
        <v/>
      </c>
      <c r="R641" s="14" t="n"/>
      <c r="S641" s="14" t="n"/>
      <c r="T641" s="15" t="n"/>
      <c r="U641" s="14" t="n">
        <v>15</v>
      </c>
      <c r="V641" s="14" t="n"/>
    </row>
    <row r="642">
      <c r="A642" s="11" t="n">
        <v>5413</v>
      </c>
      <c r="B642" s="11" t="inlineStr">
        <is>
          <t>LA DORADA</t>
        </is>
      </c>
      <c r="C642" s="11" t="inlineStr">
        <is>
          <t>La Dorada</t>
        </is>
      </c>
      <c r="D642" s="11" t="inlineStr">
        <is>
          <t>Caldas</t>
        </is>
      </c>
      <c r="E642" s="11" t="inlineStr">
        <is>
          <t>CAFETERA</t>
        </is>
      </c>
      <c r="F642" s="11" t="inlineStr">
        <is>
          <t>JULIO  CESAR AUDELO  - ANDRES FELIPE BOTERO</t>
        </is>
      </c>
      <c r="G642" s="11" t="inlineStr">
        <is>
          <t>4</t>
        </is>
      </c>
      <c r="H642" s="12" t="n">
        <v>46310</v>
      </c>
      <c r="I642" s="12" t="n">
        <v>46311</v>
      </c>
      <c r="J642" s="12" t="n"/>
      <c r="K642" s="12" t="n"/>
      <c r="L642" s="11" t="inlineStr">
        <is>
          <t>Programada</t>
        </is>
      </c>
      <c r="M642" s="12" t="n"/>
      <c r="N642" s="11">
        <f>SI(O(H642="";J642="");"";SI(J642&lt;=H642;"SÍ";"NO"))</f>
        <v/>
      </c>
      <c r="O642" s="11">
        <f>SI(O(I642="";K642="");"";SI(K642&lt;=SI(M642&lt;&gt;"";M642;I642);"SÍ";"NO"))</f>
        <v/>
      </c>
      <c r="P642" s="11">
        <f>SI(O(N642="";O642="");"";SI(Y(N642="SÍ";O642="SÍ");"SÍ";"NO"))</f>
        <v/>
      </c>
      <c r="Q642" s="13">
        <f>SI(O(I642="";K642="");"";MAX(0;ENTERO(K642)-ENTERO(SI(M642&lt;&gt;"";M642;I642))))</f>
        <v/>
      </c>
      <c r="R642" s="11" t="n"/>
      <c r="S642" s="11" t="n"/>
      <c r="T642" s="12" t="n"/>
      <c r="U642" s="11" t="n">
        <v>32</v>
      </c>
      <c r="V642" s="11" t="n"/>
    </row>
    <row r="643">
      <c r="A643" s="14" t="n">
        <v>5704</v>
      </c>
      <c r="B643" s="14" t="inlineStr">
        <is>
          <t>CENTRAL DE ABASTOS PEREIRA</t>
        </is>
      </c>
      <c r="C643" s="14" t="inlineStr">
        <is>
          <t>Pereira</t>
        </is>
      </c>
      <c r="D643" s="14" t="inlineStr">
        <is>
          <t>Risaralda</t>
        </is>
      </c>
      <c r="E643" s="14" t="inlineStr">
        <is>
          <t>CAFETERA</t>
        </is>
      </c>
      <c r="F643" s="14" t="inlineStr">
        <is>
          <t>CESAR AUGUSTO HENAO</t>
        </is>
      </c>
      <c r="G643" s="14" t="inlineStr">
        <is>
          <t>2</t>
        </is>
      </c>
      <c r="H643" s="15" t="n">
        <v>46310</v>
      </c>
      <c r="I643" s="15" t="n">
        <v>46311</v>
      </c>
      <c r="J643" s="15" t="n"/>
      <c r="K643" s="15" t="n"/>
      <c r="L643" s="14" t="inlineStr">
        <is>
          <t>Programada</t>
        </is>
      </c>
      <c r="M643" s="15" t="n"/>
      <c r="N643" s="14">
        <f>SI(O(H643="";J643="");"";SI(J643&lt;=H643;"SÍ";"NO"))</f>
        <v/>
      </c>
      <c r="O643" s="14">
        <f>SI(O(I643="";K643="");"";SI(K643&lt;=SI(M643&lt;&gt;"";M643;I643);"SÍ";"NO"))</f>
        <v/>
      </c>
      <c r="P643" s="14">
        <f>SI(O(N643="";O643="");"";SI(Y(N643="SÍ";O643="SÍ");"SÍ";"NO"))</f>
        <v/>
      </c>
      <c r="Q643" s="16">
        <f>SI(O(I643="";K643="");"";MAX(0;ENTERO(K643)-ENTERO(SI(M643&lt;&gt;"";M643;I643))))</f>
        <v/>
      </c>
      <c r="R643" s="14" t="n"/>
      <c r="S643" s="14" t="n"/>
      <c r="T643" s="15" t="n"/>
      <c r="U643" s="14" t="n">
        <v>17</v>
      </c>
      <c r="V643" s="14" t="n"/>
    </row>
    <row r="644">
      <c r="A644" s="11" t="n">
        <v>6024</v>
      </c>
      <c r="B644" s="11" t="inlineStr">
        <is>
          <t>BARBOSA</t>
        </is>
      </c>
      <c r="C644" s="11" t="inlineStr">
        <is>
          <t>Barbosa</t>
        </is>
      </c>
      <c r="D644" s="11" t="inlineStr">
        <is>
          <t>Santander</t>
        </is>
      </c>
      <c r="E644" s="11" t="inlineStr">
        <is>
          <t>ORIENTE</t>
        </is>
      </c>
      <c r="F644" s="11" t="inlineStr">
        <is>
          <t>Mauricio Andrés Rivera Páez</t>
        </is>
      </c>
      <c r="G644" s="11" t="inlineStr">
        <is>
          <t>5</t>
        </is>
      </c>
      <c r="H644" s="12" t="n">
        <v>46310</v>
      </c>
      <c r="I644" s="12" t="n">
        <v>46311</v>
      </c>
      <c r="J644" s="12" t="n"/>
      <c r="K644" s="12" t="n"/>
      <c r="L644" s="11" t="inlineStr">
        <is>
          <t>Programada</t>
        </is>
      </c>
      <c r="M644" s="12" t="n"/>
      <c r="N644" s="11">
        <f>SI(O(H644="";J644="");"";SI(J644&lt;=H644;"SÍ";"NO"))</f>
        <v/>
      </c>
      <c r="O644" s="11">
        <f>SI(O(I644="";K644="");"";SI(K644&lt;=SI(M644&lt;&gt;"";M644;I644);"SÍ";"NO"))</f>
        <v/>
      </c>
      <c r="P644" s="11">
        <f>SI(O(N644="";O644="");"";SI(Y(N644="SÍ";O644="SÍ");"SÍ";"NO"))</f>
        <v/>
      </c>
      <c r="Q644" s="13">
        <f>SI(O(I644="";K644="");"";MAX(0;ENTERO(K644)-ENTERO(SI(M644&lt;&gt;"";M644;I644))))</f>
        <v/>
      </c>
      <c r="R644" s="11" t="n"/>
      <c r="S644" s="11" t="n"/>
      <c r="T644" s="12" t="n"/>
      <c r="U644" s="11" t="n">
        <v>30</v>
      </c>
      <c r="V644" s="11" t="n"/>
    </row>
    <row r="645">
      <c r="A645" s="14" t="n">
        <v>6057</v>
      </c>
      <c r="B645" s="14" t="inlineStr">
        <is>
          <t>JESUS MARIA</t>
        </is>
      </c>
      <c r="C645" s="14" t="inlineStr">
        <is>
          <t>Jesús María</t>
        </is>
      </c>
      <c r="D645" s="14" t="inlineStr">
        <is>
          <t>Santander</t>
        </is>
      </c>
      <c r="E645" s="14" t="inlineStr">
        <is>
          <t>ORIENTE</t>
        </is>
      </c>
      <c r="F645" s="14" t="inlineStr">
        <is>
          <t>Andrés Felipe Díaz Noy</t>
        </is>
      </c>
      <c r="G645" s="14" t="inlineStr">
        <is>
          <t>1</t>
        </is>
      </c>
      <c r="H645" s="15" t="n">
        <v>46310</v>
      </c>
      <c r="I645" s="15" t="n">
        <v>46311</v>
      </c>
      <c r="J645" s="15" t="n"/>
      <c r="K645" s="15" t="n"/>
      <c r="L645" s="14" t="inlineStr">
        <is>
          <t>Programada</t>
        </is>
      </c>
      <c r="M645" s="15" t="n"/>
      <c r="N645" s="14">
        <f>SI(O(H645="";J645="");"";SI(J645&lt;=H645;"SÍ";"NO"))</f>
        <v/>
      </c>
      <c r="O645" s="14">
        <f>SI(O(I645="";K645="");"";SI(K645&lt;=SI(M645&lt;&gt;"";M645;I645);"SÍ";"NO"))</f>
        <v/>
      </c>
      <c r="P645" s="14">
        <f>SI(O(N645="";O645="");"";SI(Y(N645="SÍ";O645="SÍ");"SÍ";"NO"))</f>
        <v/>
      </c>
      <c r="Q645" s="16">
        <f>SI(O(I645="";K645="");"";MAX(0;ENTERO(K645)-ENTERO(SI(M645&lt;&gt;"";M645;I645))))</f>
        <v/>
      </c>
      <c r="R645" s="14" t="n"/>
      <c r="S645" s="14" t="n"/>
      <c r="T645" s="15" t="n"/>
      <c r="U645" s="14" t="n">
        <v>13</v>
      </c>
      <c r="V645" s="14" t="n"/>
    </row>
    <row r="646">
      <c r="A646" s="11" t="n">
        <v>6058</v>
      </c>
      <c r="B646" s="11" t="inlineStr">
        <is>
          <t>LA BELLEZA</t>
        </is>
      </c>
      <c r="C646" s="11" t="inlineStr">
        <is>
          <t>La Belleza</t>
        </is>
      </c>
      <c r="D646" s="11" t="inlineStr">
        <is>
          <t>Santander</t>
        </is>
      </c>
      <c r="E646" s="11" t="inlineStr">
        <is>
          <t>ORIENTE</t>
        </is>
      </c>
      <c r="F646" s="11" t="inlineStr">
        <is>
          <t>Andrés Felipe Carvajal Pire</t>
        </is>
      </c>
      <c r="G646" s="11" t="inlineStr">
        <is>
          <t>2</t>
        </is>
      </c>
      <c r="H646" s="12" t="n">
        <v>46310</v>
      </c>
      <c r="I646" s="12" t="n">
        <v>46311</v>
      </c>
      <c r="J646" s="12" t="n"/>
      <c r="K646" s="12" t="n"/>
      <c r="L646" s="11" t="inlineStr">
        <is>
          <t>Programada</t>
        </is>
      </c>
      <c r="M646" s="12" t="n"/>
      <c r="N646" s="11">
        <f>SI(O(H646="";J646="");"";SI(J646&lt;=H646;"SÍ";"NO"))</f>
        <v/>
      </c>
      <c r="O646" s="11">
        <f>SI(O(I646="";K646="");"";SI(K646&lt;=SI(M646&lt;&gt;"";M646;I646);"SÍ";"NO"))</f>
        <v/>
      </c>
      <c r="P646" s="11">
        <f>SI(O(N646="";O646="");"";SI(Y(N646="SÍ";O646="SÍ");"SÍ";"NO"))</f>
        <v/>
      </c>
      <c r="Q646" s="13">
        <f>SI(O(I646="";K646="");"";MAX(0;ENTERO(K646)-ENTERO(SI(M646&lt;&gt;"";M646;I646))))</f>
        <v/>
      </c>
      <c r="R646" s="11" t="n"/>
      <c r="S646" s="11" t="n"/>
      <c r="T646" s="12" t="n"/>
      <c r="U646" s="11" t="n">
        <v>17</v>
      </c>
      <c r="V646" s="11" t="n"/>
    </row>
    <row r="647">
      <c r="A647" s="14" t="n">
        <v>6060</v>
      </c>
      <c r="B647" s="14" t="inlineStr">
        <is>
          <t>LA PAZ</t>
        </is>
      </c>
      <c r="C647" s="14" t="inlineStr">
        <is>
          <t>La Paz</t>
        </is>
      </c>
      <c r="D647" s="14" t="inlineStr">
        <is>
          <t>Santander</t>
        </is>
      </c>
      <c r="E647" s="14" t="inlineStr">
        <is>
          <t>ORIENTE</t>
        </is>
      </c>
      <c r="F647" s="14" t="inlineStr">
        <is>
          <t>Luz Nélida Barragán Toro</t>
        </is>
      </c>
      <c r="G647" s="14" t="inlineStr">
        <is>
          <t>1</t>
        </is>
      </c>
      <c r="H647" s="15" t="n">
        <v>46310</v>
      </c>
      <c r="I647" s="15" t="n">
        <v>46311</v>
      </c>
      <c r="J647" s="15" t="n"/>
      <c r="K647" s="15" t="n"/>
      <c r="L647" s="14" t="inlineStr">
        <is>
          <t>Programada</t>
        </is>
      </c>
      <c r="M647" s="15" t="n"/>
      <c r="N647" s="14">
        <f>SI(O(H647="";J647="");"";SI(J647&lt;=H647;"SÍ";"NO"))</f>
        <v/>
      </c>
      <c r="O647" s="14">
        <f>SI(O(I647="";K647="");"";SI(K647&lt;=SI(M647&lt;&gt;"";M647;I647);"SÍ";"NO"))</f>
        <v/>
      </c>
      <c r="P647" s="14">
        <f>SI(O(N647="";O647="");"";SI(Y(N647="SÍ";O647="SÍ");"SÍ";"NO"))</f>
        <v/>
      </c>
      <c r="Q647" s="16">
        <f>SI(O(I647="";K647="");"";MAX(0;ENTERO(K647)-ENTERO(SI(M647&lt;&gt;"";M647;I647))))</f>
        <v/>
      </c>
      <c r="R647" s="14" t="n"/>
      <c r="S647" s="14" t="n"/>
      <c r="T647" s="15" t="n"/>
      <c r="U647" s="14" t="n">
        <v>14</v>
      </c>
      <c r="V647" s="14" t="n"/>
    </row>
    <row r="648">
      <c r="A648" s="11" t="n">
        <v>6982</v>
      </c>
      <c r="B648" s="11" t="inlineStr">
        <is>
          <t>ULLOA</t>
        </is>
      </c>
      <c r="C648" s="11" t="inlineStr">
        <is>
          <t>Ulloa</t>
        </is>
      </c>
      <c r="D648" s="11" t="inlineStr">
        <is>
          <t>Valle del Cauca</t>
        </is>
      </c>
      <c r="E648" s="11" t="inlineStr">
        <is>
          <t>CAFETERA</t>
        </is>
      </c>
      <c r="F648" s="11" t="inlineStr">
        <is>
          <t>Alvaro Augusto Villalba Villamil</t>
        </is>
      </c>
      <c r="G648" s="11" t="inlineStr">
        <is>
          <t>1</t>
        </is>
      </c>
      <c r="H648" s="12" t="n">
        <v>46310</v>
      </c>
      <c r="I648" s="12" t="n">
        <v>46310</v>
      </c>
      <c r="J648" s="12" t="n"/>
      <c r="K648" s="12" t="n"/>
      <c r="L648" s="11" t="inlineStr">
        <is>
          <t>Programada</t>
        </is>
      </c>
      <c r="M648" s="12" t="n"/>
      <c r="N648" s="11">
        <f>SI(O(H648="";J648="");"";SI(J648&lt;=H648;"SÍ";"NO"))</f>
        <v/>
      </c>
      <c r="O648" s="11">
        <f>SI(O(I648="";K648="");"";SI(K648&lt;=SI(M648&lt;&gt;"";M648;I648);"SÍ";"NO"))</f>
        <v/>
      </c>
      <c r="P648" s="11">
        <f>SI(O(N648="";O648="");"";SI(Y(N648="SÍ";O648="SÍ");"SÍ";"NO"))</f>
        <v/>
      </c>
      <c r="Q648" s="13">
        <f>SI(O(I648="";K648="");"";MAX(0;ENTERO(K648)-ENTERO(SI(M648&lt;&gt;"";M648;I648))))</f>
        <v/>
      </c>
      <c r="R648" s="11" t="n"/>
      <c r="S648" s="11" t="n"/>
      <c r="T648" s="12" t="n"/>
      <c r="U648" s="11" t="n">
        <v>12</v>
      </c>
      <c r="V648" s="11" t="n"/>
    </row>
    <row r="649">
      <c r="A649" s="14" t="n">
        <v>1382</v>
      </c>
      <c r="B649" s="14" t="inlineStr">
        <is>
          <t>LA UNION</t>
        </is>
      </c>
      <c r="C649" s="14" t="inlineStr">
        <is>
          <t>La Unión</t>
        </is>
      </c>
      <c r="D649" s="14" t="inlineStr">
        <is>
          <t>Antioquia</t>
        </is>
      </c>
      <c r="E649" s="14" t="inlineStr">
        <is>
          <t>ANTIOQUIA</t>
        </is>
      </c>
      <c r="F649" s="14" t="inlineStr">
        <is>
          <t>Juan Pablo Osorio Ramirez</t>
        </is>
      </c>
      <c r="G649" s="14" t="inlineStr">
        <is>
          <t>3</t>
        </is>
      </c>
      <c r="H649" s="15" t="n">
        <v>46311</v>
      </c>
      <c r="I649" s="15" t="n">
        <v>46311</v>
      </c>
      <c r="J649" s="15" t="n"/>
      <c r="K649" s="15" t="n"/>
      <c r="L649" s="14" t="inlineStr">
        <is>
          <t>Programada</t>
        </is>
      </c>
      <c r="M649" s="15" t="n"/>
      <c r="N649" s="14">
        <f>SI(O(H649="";J649="");"";SI(J649&lt;=H649;"SÍ";"NO"))</f>
        <v/>
      </c>
      <c r="O649" s="14">
        <f>SI(O(I649="";K649="");"";SI(K649&lt;=SI(M649&lt;&gt;"";M649;I649);"SÍ";"NO"))</f>
        <v/>
      </c>
      <c r="P649" s="14">
        <f>SI(O(N649="";O649="");"";SI(Y(N649="SÍ";O649="SÍ");"SÍ";"NO"))</f>
        <v/>
      </c>
      <c r="Q649" s="16">
        <f>SI(O(I649="";K649="");"";MAX(0;ENTERO(K649)-ENTERO(SI(M649&lt;&gt;"";M649;I649))))</f>
        <v/>
      </c>
      <c r="R649" s="14" t="n"/>
      <c r="S649" s="14" t="n"/>
      <c r="T649" s="15" t="n"/>
      <c r="U649" s="14" t="n">
        <v>18</v>
      </c>
      <c r="V649" s="14" t="n"/>
    </row>
    <row r="650">
      <c r="A650" s="11" t="n">
        <v>2106</v>
      </c>
      <c r="B650" s="11" t="inlineStr">
        <is>
          <t>MORALES</t>
        </is>
      </c>
      <c r="C650" s="11" t="inlineStr">
        <is>
          <t>Morales</t>
        </is>
      </c>
      <c r="D650" s="11" t="inlineStr">
        <is>
          <t>Cauca</t>
        </is>
      </c>
      <c r="E650" s="11" t="inlineStr">
        <is>
          <t>OCCIDENTE</t>
        </is>
      </c>
      <c r="F650" s="11" t="inlineStr">
        <is>
          <t>Holmes Arley Astudillo Fajardo</t>
        </is>
      </c>
      <c r="G650" s="11" t="inlineStr">
        <is>
          <t>4</t>
        </is>
      </c>
      <c r="H650" s="12" t="n">
        <v>46311</v>
      </c>
      <c r="I650" s="12" t="n">
        <v>46311</v>
      </c>
      <c r="J650" s="12" t="n"/>
      <c r="K650" s="12" t="n"/>
      <c r="L650" s="11" t="inlineStr">
        <is>
          <t>Programada</t>
        </is>
      </c>
      <c r="M650" s="12" t="n"/>
      <c r="N650" s="11">
        <f>SI(O(H650="";J650="");"";SI(J650&lt;=H650;"SÍ";"NO"))</f>
        <v/>
      </c>
      <c r="O650" s="11">
        <f>SI(O(I650="";K650="");"";SI(K650&lt;=SI(M650&lt;&gt;"";M650;I650);"SÍ";"NO"))</f>
        <v/>
      </c>
      <c r="P650" s="11">
        <f>SI(O(N650="";O650="");"";SI(Y(N650="SÍ";O650="SÍ");"SÍ";"NO"))</f>
        <v/>
      </c>
      <c r="Q650" s="13">
        <f>SI(O(I650="";K650="");"";MAX(0;ENTERO(K650)-ENTERO(SI(M650&lt;&gt;"";M650;I650))))</f>
        <v/>
      </c>
      <c r="R650" s="11" t="n"/>
      <c r="S650" s="11" t="n"/>
      <c r="T650" s="12" t="n"/>
      <c r="U650" s="11" t="n">
        <v>24</v>
      </c>
      <c r="V650" s="11" t="n"/>
    </row>
    <row r="651">
      <c r="A651" s="14" t="n">
        <v>3901</v>
      </c>
      <c r="B651" s="14" t="inlineStr">
        <is>
          <t>ACEVEDO</t>
        </is>
      </c>
      <c r="C651" s="14" t="inlineStr">
        <is>
          <t>Acevedo</t>
        </is>
      </c>
      <c r="D651" s="14" t="inlineStr">
        <is>
          <t>Huila</t>
        </is>
      </c>
      <c r="E651" s="14" t="inlineStr">
        <is>
          <t>SUR</t>
        </is>
      </c>
      <c r="F651" s="14" t="inlineStr">
        <is>
          <t>ERIKA VARGAS</t>
        </is>
      </c>
      <c r="G651" s="14" t="inlineStr">
        <is>
          <t>3</t>
        </is>
      </c>
      <c r="H651" s="15" t="n">
        <v>46311</v>
      </c>
      <c r="I651" s="15" t="n">
        <v>46311</v>
      </c>
      <c r="J651" s="15" t="n"/>
      <c r="K651" s="15" t="n"/>
      <c r="L651" s="14" t="inlineStr">
        <is>
          <t>Programada</t>
        </is>
      </c>
      <c r="M651" s="15" t="n"/>
      <c r="N651" s="14">
        <f>SI(O(H651="";J651="");"";SI(J651&lt;=H651;"SÍ";"NO"))</f>
        <v/>
      </c>
      <c r="O651" s="14">
        <f>SI(O(I651="";K651="");"";SI(K651&lt;=SI(M651&lt;&gt;"";M651;I651);"SÍ";"NO"))</f>
        <v/>
      </c>
      <c r="P651" s="14">
        <f>SI(O(N651="";O651="");"";SI(Y(N651="SÍ";O651="SÍ");"SÍ";"NO"))</f>
        <v/>
      </c>
      <c r="Q651" s="16">
        <f>SI(O(I651="";K651="");"";MAX(0;ENTERO(K651)-ENTERO(SI(M651&lt;&gt;"";M651;I651))))</f>
        <v/>
      </c>
      <c r="R651" s="14" t="n"/>
      <c r="S651" s="14" t="n"/>
      <c r="T651" s="15" t="n"/>
      <c r="U651" s="14" t="n">
        <v>30</v>
      </c>
      <c r="V651" s="14" t="n"/>
    </row>
    <row r="652">
      <c r="A652" s="11" t="n">
        <v>6029</v>
      </c>
      <c r="B652" s="11" t="inlineStr">
        <is>
          <t>BOLIVAR</t>
        </is>
      </c>
      <c r="C652" s="11" t="inlineStr">
        <is>
          <t>Bolívar</t>
        </is>
      </c>
      <c r="D652" s="11" t="inlineStr">
        <is>
          <t>Santander</t>
        </is>
      </c>
      <c r="E652" s="11" t="inlineStr">
        <is>
          <t>ORIENTE</t>
        </is>
      </c>
      <c r="F652" s="11" t="inlineStr">
        <is>
          <t>Mauricio Andrés Rivera Páez</t>
        </is>
      </c>
      <c r="G652" s="11" t="inlineStr">
        <is>
          <t>3</t>
        </is>
      </c>
      <c r="H652" s="12" t="n">
        <v>46311</v>
      </c>
      <c r="I652" s="12" t="n">
        <v>46311</v>
      </c>
      <c r="J652" s="12" t="n"/>
      <c r="K652" s="12" t="n"/>
      <c r="L652" s="11" t="inlineStr">
        <is>
          <t>Programada</t>
        </is>
      </c>
      <c r="M652" s="12" t="n"/>
      <c r="N652" s="11">
        <f>SI(O(H652="";J652="");"";SI(J652&lt;=H652;"SÍ";"NO"))</f>
        <v/>
      </c>
      <c r="O652" s="11">
        <f>SI(O(I652="";K652="");"";SI(K652&lt;=SI(M652&lt;&gt;"";M652;I652);"SÍ";"NO"))</f>
        <v/>
      </c>
      <c r="P652" s="11">
        <f>SI(O(N652="";O652="");"";SI(Y(N652="SÍ";O652="SÍ");"SÍ";"NO"))</f>
        <v/>
      </c>
      <c r="Q652" s="13">
        <f>SI(O(I652="";K652="");"";MAX(0;ENTERO(K652)-ENTERO(SI(M652&lt;&gt;"";M652;I652))))</f>
        <v/>
      </c>
      <c r="R652" s="11" t="n"/>
      <c r="S652" s="11" t="n"/>
      <c r="T652" s="12" t="n"/>
      <c r="U652" s="11" t="n">
        <v>25</v>
      </c>
      <c r="V652" s="11" t="n"/>
    </row>
    <row r="653">
      <c r="A653" s="14" t="n">
        <v>6050</v>
      </c>
      <c r="B653" s="14" t="inlineStr">
        <is>
          <t>FLORIAN</t>
        </is>
      </c>
      <c r="C653" s="14" t="inlineStr">
        <is>
          <t>Florián</t>
        </is>
      </c>
      <c r="D653" s="14" t="inlineStr">
        <is>
          <t>Santander</t>
        </is>
      </c>
      <c r="E653" s="14" t="inlineStr">
        <is>
          <t>ORIENTE</t>
        </is>
      </c>
      <c r="F653" s="14" t="inlineStr">
        <is>
          <t>Andrés Felipe Díaz Noy</t>
        </is>
      </c>
      <c r="G653" s="14" t="inlineStr">
        <is>
          <t>1</t>
        </is>
      </c>
      <c r="H653" s="15" t="n">
        <v>46311</v>
      </c>
      <c r="I653" s="15" t="n">
        <v>46311</v>
      </c>
      <c r="J653" s="15" t="n"/>
      <c r="K653" s="15" t="n"/>
      <c r="L653" s="14" t="inlineStr">
        <is>
          <t>Programada</t>
        </is>
      </c>
      <c r="M653" s="15" t="n"/>
      <c r="N653" s="14">
        <f>SI(O(H653="";J653="");"";SI(J653&lt;=H653;"SÍ";"NO"))</f>
        <v/>
      </c>
      <c r="O653" s="14">
        <f>SI(O(I653="";K653="");"";SI(K653&lt;=SI(M653&lt;&gt;"";M653;I653);"SÍ";"NO"))</f>
        <v/>
      </c>
      <c r="P653" s="14">
        <f>SI(O(N653="";O653="");"";SI(Y(N653="SÍ";O653="SÍ");"SÍ";"NO"))</f>
        <v/>
      </c>
      <c r="Q653" s="16">
        <f>SI(O(I653="";K653="");"";MAX(0;ENTERO(K653)-ENTERO(SI(M653&lt;&gt;"";M653;I653))))</f>
        <v/>
      </c>
      <c r="R653" s="14" t="n"/>
      <c r="S653" s="14" t="n"/>
      <c r="T653" s="15" t="n"/>
      <c r="U653" s="14" t="n">
        <v>13</v>
      </c>
      <c r="V653" s="14" t="n"/>
    </row>
    <row r="654">
      <c r="A654" s="11" t="n">
        <v>6052</v>
      </c>
      <c r="B654" s="11" t="inlineStr">
        <is>
          <t>GAMBITA</t>
        </is>
      </c>
      <c r="C654" s="11" t="inlineStr">
        <is>
          <t>Gambita</t>
        </is>
      </c>
      <c r="D654" s="11" t="inlineStr">
        <is>
          <t>Santander</t>
        </is>
      </c>
      <c r="E654" s="11" t="inlineStr">
        <is>
          <t>ORIENTE</t>
        </is>
      </c>
      <c r="F654" s="11" t="inlineStr">
        <is>
          <t>Andrés Felipe Carvajal Pire</t>
        </is>
      </c>
      <c r="G654" s="11" t="inlineStr">
        <is>
          <t>1</t>
        </is>
      </c>
      <c r="H654" s="12" t="n">
        <v>46311</v>
      </c>
      <c r="I654" s="12" t="n">
        <v>46311</v>
      </c>
      <c r="J654" s="12" t="n"/>
      <c r="K654" s="12" t="n"/>
      <c r="L654" s="11" t="inlineStr">
        <is>
          <t>Programada</t>
        </is>
      </c>
      <c r="M654" s="12" t="n"/>
      <c r="N654" s="11">
        <f>SI(O(H654="";J654="");"";SI(J654&lt;=H654;"SÍ";"NO"))</f>
        <v/>
      </c>
      <c r="O654" s="11">
        <f>SI(O(I654="";K654="");"";SI(K654&lt;=SI(M654&lt;&gt;"";M654;I654);"SÍ";"NO"))</f>
        <v/>
      </c>
      <c r="P654" s="11">
        <f>SI(O(N654="";O654="");"";SI(Y(N654="SÍ";O654="SÍ");"SÍ";"NO"))</f>
        <v/>
      </c>
      <c r="Q654" s="13">
        <f>SI(O(I654="";K654="");"";MAX(0;ENTERO(K654)-ENTERO(SI(M654&lt;&gt;"";M654;I654))))</f>
        <v/>
      </c>
      <c r="R654" s="11" t="n"/>
      <c r="S654" s="11" t="n"/>
      <c r="T654" s="12" t="n"/>
      <c r="U654" s="11" t="n">
        <v>13</v>
      </c>
      <c r="V654" s="11" t="n"/>
    </row>
    <row r="655">
      <c r="A655" s="14" t="n">
        <v>6055</v>
      </c>
      <c r="B655" s="14" t="inlineStr">
        <is>
          <t>GUAVATA</t>
        </is>
      </c>
      <c r="C655" s="14" t="inlineStr">
        <is>
          <t>Guavatá</t>
        </is>
      </c>
      <c r="D655" s="14" t="inlineStr">
        <is>
          <t>Santander</t>
        </is>
      </c>
      <c r="E655" s="14" t="inlineStr">
        <is>
          <t>ORIENTE</t>
        </is>
      </c>
      <c r="F655" s="14" t="inlineStr">
        <is>
          <t>CRISTIAN CAMILO DIAZ NOY</t>
        </is>
      </c>
      <c r="G655" s="14" t="inlineStr">
        <is>
          <t>1</t>
        </is>
      </c>
      <c r="H655" s="15" t="n">
        <v>46311</v>
      </c>
      <c r="I655" s="15" t="n">
        <v>46311</v>
      </c>
      <c r="J655" s="15" t="n"/>
      <c r="K655" s="15" t="n"/>
      <c r="L655" s="14" t="inlineStr">
        <is>
          <t>Programada</t>
        </is>
      </c>
      <c r="M655" s="15" t="n"/>
      <c r="N655" s="14">
        <f>SI(O(H655="";J655="");"";SI(J655&lt;=H655;"SÍ";"NO"))</f>
        <v/>
      </c>
      <c r="O655" s="14">
        <f>SI(O(I655="";K655="");"";SI(K655&lt;=SI(M655&lt;&gt;"";M655;I655);"SÍ";"NO"))</f>
        <v/>
      </c>
      <c r="P655" s="14">
        <f>SI(O(N655="";O655="");"";SI(Y(N655="SÍ";O655="SÍ");"SÍ";"NO"))</f>
        <v/>
      </c>
      <c r="Q655" s="16">
        <f>SI(O(I655="";K655="");"";MAX(0;ENTERO(K655)-ENTERO(SI(M655&lt;&gt;"";M655;I655))))</f>
        <v/>
      </c>
      <c r="R655" s="14" t="n"/>
      <c r="S655" s="14" t="n"/>
      <c r="T655" s="15" t="n"/>
      <c r="U655" s="14" t="n">
        <v>13</v>
      </c>
      <c r="V655" s="14" t="n"/>
    </row>
    <row r="656">
      <c r="A656" s="11" t="n">
        <v>6076</v>
      </c>
      <c r="B656" s="11" t="inlineStr">
        <is>
          <t>SUCRE</t>
        </is>
      </c>
      <c r="C656" s="11" t="inlineStr">
        <is>
          <t>Sucre</t>
        </is>
      </c>
      <c r="D656" s="11" t="inlineStr">
        <is>
          <t>Santander</t>
        </is>
      </c>
      <c r="E656" s="11" t="inlineStr">
        <is>
          <t>ORIENTE</t>
        </is>
      </c>
      <c r="F656" s="11" t="inlineStr">
        <is>
          <t>Luz Nélida Barragán Toro</t>
        </is>
      </c>
      <c r="G656" s="11" t="inlineStr">
        <is>
          <t>2</t>
        </is>
      </c>
      <c r="H656" s="12" t="n">
        <v>46311</v>
      </c>
      <c r="I656" s="12" t="n">
        <v>46311</v>
      </c>
      <c r="J656" s="12" t="n"/>
      <c r="K656" s="12" t="n"/>
      <c r="L656" s="11" t="inlineStr">
        <is>
          <t>Programada</t>
        </is>
      </c>
      <c r="M656" s="12" t="n"/>
      <c r="N656" s="11">
        <f>SI(O(H656="";J656="");"";SI(J656&lt;=H656;"SÍ";"NO"))</f>
        <v/>
      </c>
      <c r="O656" s="11">
        <f>SI(O(I656="";K656="");"";SI(K656&lt;=SI(M656&lt;&gt;"";M656;I656);"SÍ";"NO"))</f>
        <v/>
      </c>
      <c r="P656" s="11">
        <f>SI(O(N656="";O656="");"";SI(Y(N656="SÍ";O656="SÍ");"SÍ";"NO"))</f>
        <v/>
      </c>
      <c r="Q656" s="13">
        <f>SI(O(I656="";K656="");"";MAX(0;ENTERO(K656)-ENTERO(SI(M656&lt;&gt;"";M656;I656))))</f>
        <v/>
      </c>
      <c r="R656" s="11" t="n"/>
      <c r="S656" s="11" t="n"/>
      <c r="T656" s="12" t="n"/>
      <c r="U656" s="11" t="n">
        <v>15</v>
      </c>
      <c r="V656" s="11" t="n"/>
    </row>
    <row r="657">
      <c r="A657" s="14" t="n">
        <v>820</v>
      </c>
      <c r="B657" s="14" t="inlineStr">
        <is>
          <t>BOGOTA - AVENIDA CHILE</t>
        </is>
      </c>
      <c r="C657" s="14" t="inlineStr">
        <is>
          <t>Bogotá, D.C.</t>
        </is>
      </c>
      <c r="D657" s="14" t="inlineStr">
        <is>
          <t>Bogotá D.C</t>
        </is>
      </c>
      <c r="E657" s="14" t="inlineStr">
        <is>
          <t>BOGOTA</t>
        </is>
      </c>
      <c r="F657" s="14" t="inlineStr">
        <is>
          <t>Anderson Forero Mora</t>
        </is>
      </c>
      <c r="G657" s="14" t="inlineStr">
        <is>
          <t>3</t>
        </is>
      </c>
      <c r="H657" s="15" t="n">
        <v>46314</v>
      </c>
      <c r="I657" s="15" t="n">
        <v>46315</v>
      </c>
      <c r="J657" s="15" t="n"/>
      <c r="K657" s="15" t="n"/>
      <c r="L657" s="14" t="inlineStr">
        <is>
          <t>Programada</t>
        </is>
      </c>
      <c r="M657" s="15" t="n"/>
      <c r="N657" s="14">
        <f>SI(O(H657="";J657="");"";SI(J657&lt;=H657;"SÍ";"NO"))</f>
        <v/>
      </c>
      <c r="O657" s="14">
        <f>SI(O(I657="";K657="");"";SI(K657&lt;=SI(M657&lt;&gt;"";M657;I657);"SÍ";"NO"))</f>
        <v/>
      </c>
      <c r="P657" s="14">
        <f>SI(O(N657="";O657="");"";SI(Y(N657="SÍ";O657="SÍ");"SÍ";"NO"))</f>
        <v/>
      </c>
      <c r="Q657" s="16">
        <f>SI(O(I657="";K657="");"";MAX(0;ENTERO(K657)-ENTERO(SI(M657&lt;&gt;"";M657;I657))))</f>
        <v/>
      </c>
      <c r="R657" s="14" t="n"/>
      <c r="S657" s="14" t="n"/>
      <c r="T657" s="15" t="n"/>
      <c r="U657" s="14" t="n">
        <v>34</v>
      </c>
      <c r="V657" s="14" t="n"/>
    </row>
    <row r="658">
      <c r="A658" s="11" t="n">
        <v>1340</v>
      </c>
      <c r="B658" s="11" t="inlineStr">
        <is>
          <t>SANTA ROSA DE OSOS</t>
        </is>
      </c>
      <c r="C658" s="11" t="inlineStr">
        <is>
          <t>Santa Rosa De Osos</t>
        </is>
      </c>
      <c r="D658" s="11" t="inlineStr">
        <is>
          <t>Antioquia</t>
        </is>
      </c>
      <c r="E658" s="11" t="inlineStr">
        <is>
          <t>ANTIOQUIA</t>
        </is>
      </c>
      <c r="F658" s="11" t="inlineStr">
        <is>
          <t>Juan Pablo Osorio Ramirez</t>
        </is>
      </c>
      <c r="G658" s="11" t="inlineStr">
        <is>
          <t>7</t>
        </is>
      </c>
      <c r="H658" s="12" t="n">
        <v>46314</v>
      </c>
      <c r="I658" s="12" t="n">
        <v>46314</v>
      </c>
      <c r="J658" s="12" t="n"/>
      <c r="K658" s="12" t="n"/>
      <c r="L658" s="11" t="inlineStr">
        <is>
          <t>Programada</t>
        </is>
      </c>
      <c r="M658" s="12" t="n"/>
      <c r="N658" s="11">
        <f>SI(O(H658="";J658="");"";SI(J658&lt;=H658;"SÍ";"NO"))</f>
        <v/>
      </c>
      <c r="O658" s="11">
        <f>SI(O(I658="";K658="");"";SI(K658&lt;=SI(M658&lt;&gt;"";M658;I658);"SÍ";"NO"))</f>
        <v/>
      </c>
      <c r="P658" s="11">
        <f>SI(O(N658="";O658="");"";SI(Y(N658="SÍ";O658="SÍ");"SÍ";"NO"))</f>
        <v/>
      </c>
      <c r="Q658" s="13">
        <f>SI(O(I658="";K658="");"";MAX(0;ENTERO(K658)-ENTERO(SI(M658&lt;&gt;"";M658;I658))))</f>
        <v/>
      </c>
      <c r="R658" s="11" t="n"/>
      <c r="S658" s="11" t="n"/>
      <c r="T658" s="12" t="n"/>
      <c r="U658" s="11" t="n">
        <v>31</v>
      </c>
      <c r="V658" s="11" t="n"/>
    </row>
    <row r="659">
      <c r="A659" s="14" t="n">
        <v>1365</v>
      </c>
      <c r="B659" s="14" t="inlineStr">
        <is>
          <t>PUERTO BERRIO</t>
        </is>
      </c>
      <c r="C659" s="14" t="inlineStr">
        <is>
          <t>Puerto Berrío</t>
        </is>
      </c>
      <c r="D659" s="14" t="inlineStr">
        <is>
          <t>Antioquia</t>
        </is>
      </c>
      <c r="E659" s="14" t="inlineStr">
        <is>
          <t>ANTIOQUIA</t>
        </is>
      </c>
      <c r="F659" s="14" t="inlineStr">
        <is>
          <t>Andrés Mariano Bustamante Castro</t>
        </is>
      </c>
      <c r="G659" s="14" t="inlineStr">
        <is>
          <t>5</t>
        </is>
      </c>
      <c r="H659" s="15" t="n">
        <v>46314</v>
      </c>
      <c r="I659" s="15" t="n">
        <v>46314</v>
      </c>
      <c r="J659" s="15" t="n"/>
      <c r="K659" s="15" t="n"/>
      <c r="L659" s="14" t="inlineStr">
        <is>
          <t>Programada</t>
        </is>
      </c>
      <c r="M659" s="15" t="n"/>
      <c r="N659" s="14">
        <f>SI(O(H659="";J659="");"";SI(J659&lt;=H659;"SÍ";"NO"))</f>
        <v/>
      </c>
      <c r="O659" s="14">
        <f>SI(O(I659="";K659="");"";SI(K659&lt;=SI(M659&lt;&gt;"";M659;I659);"SÍ";"NO"))</f>
        <v/>
      </c>
      <c r="P659" s="14">
        <f>SI(O(N659="";O659="");"";SI(Y(N659="SÍ";O659="SÍ");"SÍ";"NO"))</f>
        <v/>
      </c>
      <c r="Q659" s="16">
        <f>SI(O(I659="";K659="");"";MAX(0;ENTERO(K659)-ENTERO(SI(M659&lt;&gt;"";M659;I659))))</f>
        <v/>
      </c>
      <c r="R659" s="14" t="n"/>
      <c r="S659" s="14" t="n"/>
      <c r="T659" s="15" t="n"/>
      <c r="U659" s="14" t="n">
        <v>31</v>
      </c>
      <c r="V659" s="14" t="n"/>
    </row>
    <row r="660">
      <c r="A660" s="11" t="n">
        <v>1560</v>
      </c>
      <c r="B660" s="11" t="inlineStr">
        <is>
          <t>PUERTO BOYACA</t>
        </is>
      </c>
      <c r="C660" s="11" t="inlineStr">
        <is>
          <t>Puerto Boyacá</t>
        </is>
      </c>
      <c r="D660" s="11" t="inlineStr">
        <is>
          <t>Boyacá</t>
        </is>
      </c>
      <c r="E660" s="11" t="inlineStr">
        <is>
          <t>ORIENTE</t>
        </is>
      </c>
      <c r="F660" s="11" t="inlineStr">
        <is>
          <t>Luz Nélida Barragán Toro  Y ANDRES FELIPE DIAZ</t>
        </is>
      </c>
      <c r="G660" s="11" t="inlineStr">
        <is>
          <t>5</t>
        </is>
      </c>
      <c r="H660" s="12" t="n">
        <v>46314</v>
      </c>
      <c r="I660" s="12" t="n">
        <v>46318</v>
      </c>
      <c r="J660" s="12" t="n"/>
      <c r="K660" s="12" t="n"/>
      <c r="L660" s="11" t="inlineStr">
        <is>
          <t>Programada</t>
        </is>
      </c>
      <c r="M660" s="12" t="n"/>
      <c r="N660" s="11">
        <f>SI(O(H660="";J660="");"";SI(J660&lt;=H660;"SÍ";"NO"))</f>
        <v/>
      </c>
      <c r="O660" s="11">
        <f>SI(O(I660="";K660="");"";SI(K660&lt;=SI(M660&lt;&gt;"";M660;I660);"SÍ";"NO"))</f>
        <v/>
      </c>
      <c r="P660" s="11">
        <f>SI(O(N660="";O660="");"";SI(Y(N660="SÍ";O660="SÍ");"SÍ";"NO"))</f>
        <v/>
      </c>
      <c r="Q660" s="13">
        <f>SI(O(I660="";K660="");"";MAX(0;ENTERO(K660)-ENTERO(SI(M660&lt;&gt;"";M660;I660))))</f>
        <v/>
      </c>
      <c r="R660" s="11" t="n"/>
      <c r="S660" s="11" t="n"/>
      <c r="T660" s="12" t="n"/>
      <c r="U660" s="11" t="n">
        <v>30</v>
      </c>
      <c r="V660" s="11" t="n"/>
    </row>
    <row r="661">
      <c r="A661" s="14" t="n">
        <v>3309</v>
      </c>
      <c r="B661" s="14" t="inlineStr">
        <is>
          <t>BAHIA SOLANO</t>
        </is>
      </c>
      <c r="C661" s="14" t="inlineStr">
        <is>
          <t>Bahía Solano</t>
        </is>
      </c>
      <c r="D661" s="14" t="inlineStr">
        <is>
          <t>Chocó</t>
        </is>
      </c>
      <c r="E661" s="14" t="inlineStr">
        <is>
          <t>ANTIOQUIA</t>
        </is>
      </c>
      <c r="F661" s="14" t="inlineStr">
        <is>
          <t>Alvaro Francisco Moreno Palacios</t>
        </is>
      </c>
      <c r="G661" s="14" t="inlineStr">
        <is>
          <t>1</t>
        </is>
      </c>
      <c r="H661" s="15" t="n">
        <v>46314</v>
      </c>
      <c r="I661" s="15" t="n">
        <v>46315</v>
      </c>
      <c r="J661" s="15" t="n"/>
      <c r="K661" s="15" t="n"/>
      <c r="L661" s="14" t="inlineStr">
        <is>
          <t>Programada</t>
        </is>
      </c>
      <c r="M661" s="15" t="n"/>
      <c r="N661" s="14">
        <f>SI(O(H661="";J661="");"";SI(J661&lt;=H661;"SÍ";"NO"))</f>
        <v/>
      </c>
      <c r="O661" s="14">
        <f>SI(O(I661="";K661="");"";SI(K661&lt;=SI(M661&lt;&gt;"";M661;I661);"SÍ";"NO"))</f>
        <v/>
      </c>
      <c r="P661" s="14">
        <f>SI(O(N661="";O661="");"";SI(Y(N661="SÍ";O661="SÍ");"SÍ";"NO"))</f>
        <v/>
      </c>
      <c r="Q661" s="16">
        <f>SI(O(I661="";K661="");"";MAX(0;ENTERO(K661)-ENTERO(SI(M661&lt;&gt;"";M661;I661))))</f>
        <v/>
      </c>
      <c r="R661" s="14" t="n"/>
      <c r="S661" s="14" t="n"/>
      <c r="T661" s="15" t="n"/>
      <c r="U661" s="14" t="n">
        <v>14</v>
      </c>
      <c r="V661" s="14" t="n"/>
    </row>
    <row r="662">
      <c r="A662" s="11" t="n">
        <v>6026</v>
      </c>
      <c r="B662" s="11" t="inlineStr">
        <is>
          <t>CIMITARRA</t>
        </is>
      </c>
      <c r="C662" s="11" t="inlineStr">
        <is>
          <t>Cimitarra</t>
        </is>
      </c>
      <c r="D662" s="11" t="inlineStr">
        <is>
          <t>Santander</t>
        </is>
      </c>
      <c r="E662" s="11" t="inlineStr">
        <is>
          <t>SANTANDERES</t>
        </is>
      </c>
      <c r="F662" s="11" t="inlineStr">
        <is>
          <t>Andrés Felipe Díaz Noy</t>
        </is>
      </c>
      <c r="G662" s="11" t="inlineStr">
        <is>
          <t>4</t>
        </is>
      </c>
      <c r="H662" s="12" t="n">
        <v>46314</v>
      </c>
      <c r="I662" s="12" t="n">
        <v>46318</v>
      </c>
      <c r="J662" s="12" t="n"/>
      <c r="K662" s="12" t="n"/>
      <c r="L662" s="11" t="inlineStr">
        <is>
          <t>Programada</t>
        </is>
      </c>
      <c r="M662" s="12" t="n"/>
      <c r="N662" s="11">
        <f>SI(O(H662="";J662="");"";SI(J662&lt;=H662;"SÍ";"NO"))</f>
        <v/>
      </c>
      <c r="O662" s="11">
        <f>SI(O(I662="";K662="");"";SI(K662&lt;=SI(M662&lt;&gt;"";M662;I662);"SÍ";"NO"))</f>
        <v/>
      </c>
      <c r="P662" s="11">
        <f>SI(O(N662="";O662="");"";SI(Y(N662="SÍ";O662="SÍ");"SÍ";"NO"))</f>
        <v/>
      </c>
      <c r="Q662" s="13">
        <f>SI(O(I662="";K662="");"";MAX(0;ENTERO(K662)-ENTERO(SI(M662&lt;&gt;"";M662;I662))))</f>
        <v/>
      </c>
      <c r="R662" s="11" t="n"/>
      <c r="S662" s="11" t="n"/>
      <c r="T662" s="12" t="n"/>
      <c r="U662" s="11" t="n">
        <v>26</v>
      </c>
      <c r="V662" s="11" t="n"/>
    </row>
    <row r="663">
      <c r="A663" s="14" t="n">
        <v>6040</v>
      </c>
      <c r="B663" s="14" t="inlineStr">
        <is>
          <t>SABANA DE TORRES</t>
        </is>
      </c>
      <c r="C663" s="14" t="inlineStr">
        <is>
          <t>Sabana De Torres</t>
        </is>
      </c>
      <c r="D663" s="14" t="inlineStr">
        <is>
          <t>Santander</t>
        </is>
      </c>
      <c r="E663" s="14" t="inlineStr">
        <is>
          <t>SANTANDERES</t>
        </is>
      </c>
      <c r="F663" s="14" t="inlineStr">
        <is>
          <t>Mauricio Andrés Rivera Páez</t>
        </is>
      </c>
      <c r="G663" s="14" t="inlineStr">
        <is>
          <t>4</t>
        </is>
      </c>
      <c r="H663" s="15" t="n">
        <v>46314</v>
      </c>
      <c r="I663" s="15" t="n">
        <v>46318</v>
      </c>
      <c r="J663" s="15" t="n"/>
      <c r="K663" s="15" t="n"/>
      <c r="L663" s="14" t="inlineStr">
        <is>
          <t>Programada</t>
        </is>
      </c>
      <c r="M663" s="15" t="n"/>
      <c r="N663" s="14">
        <f>SI(O(H663="";J663="");"";SI(J663&lt;=H663;"SÍ";"NO"))</f>
        <v/>
      </c>
      <c r="O663" s="14">
        <f>SI(O(I663="";K663="");"";SI(K663&lt;=SI(M663&lt;&gt;"";M663;I663);"SÍ";"NO"))</f>
        <v/>
      </c>
      <c r="P663" s="14">
        <f>SI(O(N663="";O663="");"";SI(Y(N663="SÍ";O663="SÍ");"SÍ";"NO"))</f>
        <v/>
      </c>
      <c r="Q663" s="16">
        <f>SI(O(I663="";K663="");"";MAX(0;ENTERO(K663)-ENTERO(SI(M663&lt;&gt;"";M663;I663))))</f>
        <v/>
      </c>
      <c r="R663" s="14" t="n"/>
      <c r="S663" s="14" t="n"/>
      <c r="T663" s="15" t="n"/>
      <c r="U663" s="14" t="n">
        <v>22</v>
      </c>
      <c r="V663" s="14" t="n"/>
    </row>
    <row r="664">
      <c r="A664" s="11" t="n">
        <v>6062</v>
      </c>
      <c r="B664" s="11" t="inlineStr">
        <is>
          <t>LANDAZURI</t>
        </is>
      </c>
      <c r="C664" s="11" t="inlineStr">
        <is>
          <t>Landázuri</t>
        </is>
      </c>
      <c r="D664" s="11" t="inlineStr">
        <is>
          <t>Santander</t>
        </is>
      </c>
      <c r="E664" s="11" t="inlineStr">
        <is>
          <t>SANTANDERES</t>
        </is>
      </c>
      <c r="F664" s="11" t="inlineStr">
        <is>
          <t>Andrés Felipe Carvajal Pire</t>
        </is>
      </c>
      <c r="G664" s="11" t="inlineStr">
        <is>
          <t>1</t>
        </is>
      </c>
      <c r="H664" s="12" t="n">
        <v>46314</v>
      </c>
      <c r="I664" s="12" t="n">
        <v>46318</v>
      </c>
      <c r="J664" s="12" t="n"/>
      <c r="K664" s="12" t="n"/>
      <c r="L664" s="11" t="inlineStr">
        <is>
          <t>Programada</t>
        </is>
      </c>
      <c r="M664" s="12" t="n"/>
      <c r="N664" s="11">
        <f>SI(O(H664="";J664="");"";SI(J664&lt;=H664;"SÍ";"NO"))</f>
        <v/>
      </c>
      <c r="O664" s="11">
        <f>SI(O(I664="";K664="");"";SI(K664&lt;=SI(M664&lt;&gt;"";M664;I664);"SÍ";"NO"))</f>
        <v/>
      </c>
      <c r="P664" s="11">
        <f>SI(O(N664="";O664="");"";SI(Y(N664="SÍ";O664="SÍ");"SÍ";"NO"))</f>
        <v/>
      </c>
      <c r="Q664" s="13">
        <f>SI(O(I664="";K664="");"";MAX(0;ENTERO(K664)-ENTERO(SI(M664&lt;&gt;"";M664;I664))))</f>
        <v/>
      </c>
      <c r="R664" s="11" t="n"/>
      <c r="S664" s="11" t="n"/>
      <c r="T664" s="12" t="n"/>
      <c r="U664" s="11" t="n">
        <v>16</v>
      </c>
      <c r="V664" s="11" t="n"/>
    </row>
    <row r="665">
      <c r="A665" s="14" t="n">
        <v>6955</v>
      </c>
      <c r="B665" s="14" t="inlineStr">
        <is>
          <t>TULUA</t>
        </is>
      </c>
      <c r="C665" s="14" t="inlineStr">
        <is>
          <t>Tuluá</t>
        </is>
      </c>
      <c r="D665" s="14" t="inlineStr">
        <is>
          <t>Valle del Cauca</t>
        </is>
      </c>
      <c r="E665" s="14" t="inlineStr">
        <is>
          <t>OCCIDENTE</t>
        </is>
      </c>
      <c r="F665" s="14" t="inlineStr">
        <is>
          <t>John Edwin Jimenez Chavez</t>
        </is>
      </c>
      <c r="G665" s="14" t="inlineStr">
        <is>
          <t>5</t>
        </is>
      </c>
      <c r="H665" s="15" t="n">
        <v>46314</v>
      </c>
      <c r="I665" s="15" t="n">
        <v>46314</v>
      </c>
      <c r="J665" s="15" t="n"/>
      <c r="K665" s="15" t="n"/>
      <c r="L665" s="14" t="inlineStr">
        <is>
          <t>Programada</t>
        </is>
      </c>
      <c r="M665" s="15" t="n"/>
      <c r="N665" s="14">
        <f>SI(O(H665="";J665="");"";SI(J665&lt;=H665;"SÍ";"NO"))</f>
        <v/>
      </c>
      <c r="O665" s="14">
        <f>SI(O(I665="";K665="");"";SI(K665&lt;=SI(M665&lt;&gt;"";M665;I665);"SÍ";"NO"))</f>
        <v/>
      </c>
      <c r="P665" s="14">
        <f>SI(O(N665="";O665="");"";SI(Y(N665="SÍ";O665="SÍ");"SÍ";"NO"))</f>
        <v/>
      </c>
      <c r="Q665" s="16">
        <f>SI(O(I665="";K665="");"";MAX(0;ENTERO(K665)-ENTERO(SI(M665&lt;&gt;"";M665;I665))))</f>
        <v/>
      </c>
      <c r="R665" s="14" t="n"/>
      <c r="S665" s="14" t="n"/>
      <c r="T665" s="15" t="n"/>
      <c r="U665" s="14" t="n">
        <v>36</v>
      </c>
      <c r="V665" s="14" t="n"/>
    </row>
    <row r="666">
      <c r="A666" s="11" t="n">
        <v>7567</v>
      </c>
      <c r="B666" s="11" t="inlineStr">
        <is>
          <t>SOLANO</t>
        </is>
      </c>
      <c r="C666" s="11" t="inlineStr">
        <is>
          <t>Solano</t>
        </is>
      </c>
      <c r="D666" s="11" t="inlineStr">
        <is>
          <t>Caquetá</t>
        </is>
      </c>
      <c r="E666" s="11" t="inlineStr">
        <is>
          <t>SUR</t>
        </is>
      </c>
      <c r="F666" s="11" t="inlineStr">
        <is>
          <t>ERIKA VARGAS</t>
        </is>
      </c>
      <c r="G666" s="11" t="inlineStr">
        <is>
          <t>2</t>
        </is>
      </c>
      <c r="H666" s="12" t="n">
        <v>46314</v>
      </c>
      <c r="I666" s="12" t="n">
        <v>46314</v>
      </c>
      <c r="J666" s="12" t="n"/>
      <c r="K666" s="12" t="n"/>
      <c r="L666" s="11" t="inlineStr">
        <is>
          <t>Programada</t>
        </is>
      </c>
      <c r="M666" s="12" t="n"/>
      <c r="N666" s="11">
        <f>SI(O(H666="";J666="");"";SI(J666&lt;=H666;"SÍ";"NO"))</f>
        <v/>
      </c>
      <c r="O666" s="11">
        <f>SI(O(I666="";K666="");"";SI(K666&lt;=SI(M666&lt;&gt;"";M666;I666);"SÍ";"NO"))</f>
        <v/>
      </c>
      <c r="P666" s="11">
        <f>SI(O(N666="";O666="");"";SI(Y(N666="SÍ";O666="SÍ");"SÍ";"NO"))</f>
        <v/>
      </c>
      <c r="Q666" s="13">
        <f>SI(O(I666="";K666="");"";MAX(0;ENTERO(K666)-ENTERO(SI(M666&lt;&gt;"";M666;I666))))</f>
        <v/>
      </c>
      <c r="R666" s="11" t="n"/>
      <c r="S666" s="11" t="n"/>
      <c r="T666" s="12" t="n"/>
      <c r="U666" s="11" t="n">
        <v>14</v>
      </c>
      <c r="V666" s="11" t="n"/>
    </row>
    <row r="667">
      <c r="A667" s="14" t="n">
        <v>1216</v>
      </c>
      <c r="B667" s="14" t="inlineStr">
        <is>
          <t>CALAMAR</t>
        </is>
      </c>
      <c r="C667" s="14" t="inlineStr">
        <is>
          <t>Calamar</t>
        </is>
      </c>
      <c r="D667" s="14" t="inlineStr">
        <is>
          <t>Bolívar</t>
        </is>
      </c>
      <c r="E667" s="14" t="inlineStr">
        <is>
          <t>COSTA</t>
        </is>
      </c>
      <c r="F667" s="14" t="inlineStr">
        <is>
          <t>Vladimir Faneyte Taborda</t>
        </is>
      </c>
      <c r="G667" s="14" t="inlineStr">
        <is>
          <t>1</t>
        </is>
      </c>
      <c r="H667" s="15" t="n">
        <v>46315</v>
      </c>
      <c r="I667" s="15" t="n">
        <v>46315</v>
      </c>
      <c r="J667" s="15" t="n"/>
      <c r="K667" s="15" t="n"/>
      <c r="L667" s="14" t="inlineStr">
        <is>
          <t>Programada</t>
        </is>
      </c>
      <c r="M667" s="15" t="n"/>
      <c r="N667" s="14">
        <f>SI(O(H667="";J667="");"";SI(J667&lt;=H667;"SÍ";"NO"))</f>
        <v/>
      </c>
      <c r="O667" s="14">
        <f>SI(O(I667="";K667="");"";SI(K667&lt;=SI(M667&lt;&gt;"";M667;I667);"SÍ";"NO"))</f>
        <v/>
      </c>
      <c r="P667" s="14">
        <f>SI(O(N667="";O667="");"";SI(Y(N667="SÍ";O667="SÍ");"SÍ";"NO"))</f>
        <v/>
      </c>
      <c r="Q667" s="16">
        <f>SI(O(I667="";K667="");"";MAX(0;ENTERO(K667)-ENTERO(SI(M667&lt;&gt;"";M667;I667))))</f>
        <v/>
      </c>
      <c r="R667" s="14" t="n"/>
      <c r="S667" s="14" t="n"/>
      <c r="T667" s="15" t="n"/>
      <c r="U667" s="14" t="n">
        <v>13</v>
      </c>
      <c r="V667" s="14" t="n"/>
    </row>
    <row r="668">
      <c r="A668" s="11" t="n">
        <v>1394</v>
      </c>
      <c r="B668" s="11" t="inlineStr">
        <is>
          <t>YONDO</t>
        </is>
      </c>
      <c r="C668" s="11" t="inlineStr">
        <is>
          <t>Yondó</t>
        </is>
      </c>
      <c r="D668" s="11" t="inlineStr">
        <is>
          <t>Antioquia</t>
        </is>
      </c>
      <c r="E668" s="11" t="inlineStr">
        <is>
          <t>SANTANDERES</t>
        </is>
      </c>
      <c r="F668" s="11" t="inlineStr">
        <is>
          <t>Andrés Mariano Bustamante Castro</t>
        </is>
      </c>
      <c r="G668" s="11" t="inlineStr">
        <is>
          <t>2</t>
        </is>
      </c>
      <c r="H668" s="12" t="n">
        <v>46315</v>
      </c>
      <c r="I668" s="12" t="n">
        <v>46316</v>
      </c>
      <c r="J668" s="12" t="n"/>
      <c r="K668" s="12" t="n"/>
      <c r="L668" s="11" t="inlineStr">
        <is>
          <t>Programada</t>
        </is>
      </c>
      <c r="M668" s="12" t="n"/>
      <c r="N668" s="11">
        <f>SI(O(H668="";J668="");"";SI(J668&lt;=H668;"SÍ";"NO"))</f>
        <v/>
      </c>
      <c r="O668" s="11">
        <f>SI(O(I668="";K668="");"";SI(K668&lt;=SI(M668&lt;&gt;"";M668;I668);"SÍ";"NO"))</f>
        <v/>
      </c>
      <c r="P668" s="11">
        <f>SI(O(N668="";O668="");"";SI(Y(N668="SÍ";O668="SÍ");"SÍ";"NO"))</f>
        <v/>
      </c>
      <c r="Q668" s="13">
        <f>SI(O(I668="";K668="");"";MAX(0;ENTERO(K668)-ENTERO(SI(M668&lt;&gt;"";M668;I668))))</f>
        <v/>
      </c>
      <c r="R668" s="11" t="n"/>
      <c r="S668" s="11" t="n"/>
      <c r="T668" s="12" t="n"/>
      <c r="U668" s="11" t="n">
        <v>15</v>
      </c>
      <c r="V668" s="11" t="n"/>
    </row>
    <row r="669">
      <c r="A669" s="14" t="n">
        <v>1452</v>
      </c>
      <c r="B669" s="14" t="inlineStr">
        <is>
          <t>PUEBLORRICO</t>
        </is>
      </c>
      <c r="C669" s="14" t="inlineStr">
        <is>
          <t>Pueblorrico</t>
        </is>
      </c>
      <c r="D669" s="14" t="inlineStr">
        <is>
          <t>Antioquia</t>
        </is>
      </c>
      <c r="E669" s="14" t="inlineStr">
        <is>
          <t>ANTIOQUIA</t>
        </is>
      </c>
      <c r="F669" s="14" t="inlineStr">
        <is>
          <t>Juan Pablo Osorio Ramirez</t>
        </is>
      </c>
      <c r="G669" s="14" t="inlineStr">
        <is>
          <t>1</t>
        </is>
      </c>
      <c r="H669" s="15" t="n">
        <v>46315</v>
      </c>
      <c r="I669" s="15" t="n">
        <v>46315</v>
      </c>
      <c r="J669" s="15" t="n"/>
      <c r="K669" s="15" t="n"/>
      <c r="L669" s="14" t="inlineStr">
        <is>
          <t>Programada</t>
        </is>
      </c>
      <c r="M669" s="15" t="n"/>
      <c r="N669" s="14">
        <f>SI(O(H669="";J669="");"";SI(J669&lt;=H669;"SÍ";"NO"))</f>
        <v/>
      </c>
      <c r="O669" s="14">
        <f>SI(O(I669="";K669="");"";SI(K669&lt;=SI(M669&lt;&gt;"";M669;I669);"SÍ";"NO"))</f>
        <v/>
      </c>
      <c r="P669" s="14">
        <f>SI(O(N669="";O669="");"";SI(Y(N669="SÍ";O669="SÍ");"SÍ";"NO"))</f>
        <v/>
      </c>
      <c r="Q669" s="16">
        <f>SI(O(I669="";K669="");"";MAX(0;ENTERO(K669)-ENTERO(SI(M669&lt;&gt;"";M669;I669))))</f>
        <v/>
      </c>
      <c r="R669" s="14" t="n"/>
      <c r="S669" s="14" t="n"/>
      <c r="T669" s="15" t="n"/>
      <c r="U669" s="14" t="n">
        <v>13</v>
      </c>
      <c r="V669" s="14" t="n"/>
    </row>
    <row r="670">
      <c r="A670" s="11" t="n">
        <v>1480</v>
      </c>
      <c r="B670" s="11" t="inlineStr">
        <is>
          <t>TARSO</t>
        </is>
      </c>
      <c r="C670" s="11" t="inlineStr">
        <is>
          <t>Tarso</t>
        </is>
      </c>
      <c r="D670" s="11" t="inlineStr">
        <is>
          <t>Antioquia</t>
        </is>
      </c>
      <c r="E670" s="11" t="inlineStr">
        <is>
          <t>ANTIOQUIA</t>
        </is>
      </c>
      <c r="F670" s="11" t="inlineStr">
        <is>
          <t>Juan Pablo Osorio Ramirez</t>
        </is>
      </c>
      <c r="G670" s="11" t="inlineStr">
        <is>
          <t>2</t>
        </is>
      </c>
      <c r="H670" s="12" t="n">
        <v>46315</v>
      </c>
      <c r="I670" s="12" t="n">
        <v>46315</v>
      </c>
      <c r="J670" s="12" t="n"/>
      <c r="K670" s="12" t="n"/>
      <c r="L670" s="11" t="inlineStr">
        <is>
          <t>Programada</t>
        </is>
      </c>
      <c r="M670" s="12" t="n"/>
      <c r="N670" s="11">
        <f>SI(O(H670="";J670="");"";SI(J670&lt;=H670;"SÍ";"NO"))</f>
        <v/>
      </c>
      <c r="O670" s="11">
        <f>SI(O(I670="";K670="");"";SI(K670&lt;=SI(M670&lt;&gt;"";M670;I670);"SÍ";"NO"))</f>
        <v/>
      </c>
      <c r="P670" s="11">
        <f>SI(O(N670="";O670="");"";SI(Y(N670="SÍ";O670="SÍ");"SÍ";"NO"))</f>
        <v/>
      </c>
      <c r="Q670" s="13">
        <f>SI(O(I670="";K670="");"";MAX(0;ENTERO(K670)-ENTERO(SI(M670&lt;&gt;"";M670;I670))))</f>
        <v/>
      </c>
      <c r="R670" s="11" t="n"/>
      <c r="S670" s="11" t="n"/>
      <c r="T670" s="12" t="n"/>
      <c r="U670" s="11" t="n">
        <v>18</v>
      </c>
      <c r="V670" s="11" t="n"/>
    </row>
    <row r="671">
      <c r="A671" s="14" t="n">
        <v>1865</v>
      </c>
      <c r="B671" s="14" t="inlineStr">
        <is>
          <t>VICTORIA</t>
        </is>
      </c>
      <c r="C671" s="14" t="inlineStr">
        <is>
          <t>Victoria</t>
        </is>
      </c>
      <c r="D671" s="14" t="inlineStr">
        <is>
          <t>Caldas</t>
        </is>
      </c>
      <c r="E671" s="14" t="inlineStr">
        <is>
          <t>CAFETERA</t>
        </is>
      </c>
      <c r="F671" s="14" t="inlineStr">
        <is>
          <t>JULIO  CESAR AUDELO  - ANDRES FELIPE BOTERO</t>
        </is>
      </c>
      <c r="G671" s="14" t="inlineStr">
        <is>
          <t>1</t>
        </is>
      </c>
      <c r="H671" s="15" t="n">
        <v>46315</v>
      </c>
      <c r="I671" s="15" t="n">
        <v>46316</v>
      </c>
      <c r="J671" s="15" t="n"/>
      <c r="K671" s="15" t="n"/>
      <c r="L671" s="14" t="inlineStr">
        <is>
          <t>Programada</t>
        </is>
      </c>
      <c r="M671" s="15" t="n"/>
      <c r="N671" s="14">
        <f>SI(O(H671="";J671="");"";SI(J671&lt;=H671;"SÍ";"NO"))</f>
        <v/>
      </c>
      <c r="O671" s="14">
        <f>SI(O(I671="";K671="");"";SI(K671&lt;=SI(M671&lt;&gt;"";M671;I671);"SÍ";"NO"))</f>
        <v/>
      </c>
      <c r="P671" s="14">
        <f>SI(O(N671="";O671="");"";SI(Y(N671="SÍ";O671="SÍ");"SÍ";"NO"))</f>
        <v/>
      </c>
      <c r="Q671" s="16">
        <f>SI(O(I671="";K671="");"";MAX(0;ENTERO(K671)-ENTERO(SI(M671&lt;&gt;"";M671;I671))))</f>
        <v/>
      </c>
      <c r="R671" s="14" t="n"/>
      <c r="S671" s="14" t="n"/>
      <c r="T671" s="15" t="n"/>
      <c r="U671" s="14" t="n">
        <v>13</v>
      </c>
      <c r="V671" s="14" t="n"/>
    </row>
    <row r="672">
      <c r="A672" s="11" t="n">
        <v>2125</v>
      </c>
      <c r="B672" s="11" t="inlineStr">
        <is>
          <t>GUAPI</t>
        </is>
      </c>
      <c r="C672" s="11" t="inlineStr">
        <is>
          <t>Guapi</t>
        </is>
      </c>
      <c r="D672" s="11" t="inlineStr">
        <is>
          <t>Cauca</t>
        </is>
      </c>
      <c r="E672" s="11" t="inlineStr">
        <is>
          <t>OCCIDENTE</t>
        </is>
      </c>
      <c r="F672" s="11" t="inlineStr">
        <is>
          <t>Holmes Arley Astudillo Fajardo</t>
        </is>
      </c>
      <c r="G672" s="11" t="inlineStr">
        <is>
          <t>3</t>
        </is>
      </c>
      <c r="H672" s="12" t="n">
        <v>46315</v>
      </c>
      <c r="I672" s="12" t="n">
        <v>46315</v>
      </c>
      <c r="J672" s="12" t="n"/>
      <c r="K672" s="12" t="n"/>
      <c r="L672" s="11" t="inlineStr">
        <is>
          <t>Programada</t>
        </is>
      </c>
      <c r="M672" s="12" t="n"/>
      <c r="N672" s="11">
        <f>SI(O(H672="";J672="");"";SI(J672&lt;=H672;"SÍ";"NO"))</f>
        <v/>
      </c>
      <c r="O672" s="11">
        <f>SI(O(I672="";K672="");"";SI(K672&lt;=SI(M672&lt;&gt;"";M672;I672);"SÍ";"NO"))</f>
        <v/>
      </c>
      <c r="P672" s="11">
        <f>SI(O(N672="";O672="");"";SI(Y(N672="SÍ";O672="SÍ");"SÍ";"NO"))</f>
        <v/>
      </c>
      <c r="Q672" s="13">
        <f>SI(O(I672="";K672="");"";MAX(0;ENTERO(K672)-ENTERO(SI(M672&lt;&gt;"";M672;I672))))</f>
        <v/>
      </c>
      <c r="R672" s="11" t="n"/>
      <c r="S672" s="11" t="n"/>
      <c r="T672" s="12" t="n"/>
      <c r="U672" s="11" t="n">
        <v>27</v>
      </c>
      <c r="V672" s="11" t="n"/>
    </row>
    <row r="673">
      <c r="A673" s="14" t="n">
        <v>3916</v>
      </c>
      <c r="B673" s="14" t="inlineStr">
        <is>
          <t>CENTRAL DE ABASTOS NEIVA(Operando Provisionalmente desde Oficina Neiva)</t>
        </is>
      </c>
      <c r="C673" s="14" t="inlineStr">
        <is>
          <t>Neiva</t>
        </is>
      </c>
      <c r="D673" s="14" t="inlineStr">
        <is>
          <t>Huila</t>
        </is>
      </c>
      <c r="E673" s="14" t="inlineStr">
        <is>
          <t>SUR</t>
        </is>
      </c>
      <c r="F673" s="14" t="inlineStr">
        <is>
          <t>VICTOR ALFONSO ULLOA ACOSTA</t>
        </is>
      </c>
      <c r="G673" s="14" t="inlineStr">
        <is>
          <t>4</t>
        </is>
      </c>
      <c r="H673" s="15" t="n">
        <v>46315</v>
      </c>
      <c r="I673" s="15" t="n">
        <v>46318</v>
      </c>
      <c r="J673" s="15" t="n"/>
      <c r="K673" s="15" t="n"/>
      <c r="L673" s="14" t="inlineStr">
        <is>
          <t>Programada</t>
        </is>
      </c>
      <c r="M673" s="15" t="n"/>
      <c r="N673" s="14">
        <f>SI(O(H673="";J673="");"";SI(J673&lt;=H673;"SÍ";"NO"))</f>
        <v/>
      </c>
      <c r="O673" s="14">
        <f>SI(O(I673="";K673="");"";SI(K673&lt;=SI(M673&lt;&gt;"";M673;I673);"SÍ";"NO"))</f>
        <v/>
      </c>
      <c r="P673" s="14">
        <f>SI(O(N673="";O673="");"";SI(Y(N673="SÍ";O673="SÍ");"SÍ";"NO"))</f>
        <v/>
      </c>
      <c r="Q673" s="16">
        <f>SI(O(I673="";K673="");"";MAX(0;ENTERO(K673)-ENTERO(SI(M673&lt;&gt;"";M673;I673))))</f>
        <v/>
      </c>
      <c r="R673" s="14" t="n"/>
      <c r="S673" s="14" t="n"/>
      <c r="T673" s="15" t="n"/>
      <c r="U673" s="14" t="n">
        <v>30</v>
      </c>
      <c r="V673" s="14" t="n"/>
    </row>
    <row r="674">
      <c r="A674" s="11" t="n">
        <v>4876</v>
      </c>
      <c r="B674" s="11" t="inlineStr">
        <is>
          <t>SAN PABLO</t>
        </is>
      </c>
      <c r="C674" s="11" t="inlineStr">
        <is>
          <t>San Pablo</t>
        </is>
      </c>
      <c r="D674" s="11" t="inlineStr">
        <is>
          <t>Nariño</t>
        </is>
      </c>
      <c r="E674" s="11" t="inlineStr">
        <is>
          <t>OCCIDENTE</t>
        </is>
      </c>
      <c r="F674" s="11" t="inlineStr">
        <is>
          <t>Juan Carlos Narvaez Acosta / Luis Fernando Ibarra Guio</t>
        </is>
      </c>
      <c r="G674" s="11" t="inlineStr">
        <is>
          <t>3</t>
        </is>
      </c>
      <c r="H674" s="12" t="n">
        <v>46315</v>
      </c>
      <c r="I674" s="12" t="n">
        <v>46315</v>
      </c>
      <c r="J674" s="12" t="n"/>
      <c r="K674" s="12" t="n"/>
      <c r="L674" s="11" t="inlineStr">
        <is>
          <t>Programada</t>
        </is>
      </c>
      <c r="M674" s="12" t="n"/>
      <c r="N674" s="11">
        <f>SI(O(H674="";J674="");"";SI(J674&lt;=H674;"SÍ";"NO"))</f>
        <v/>
      </c>
      <c r="O674" s="11">
        <f>SI(O(I674="";K674="");"";SI(K674&lt;=SI(M674&lt;&gt;"";M674;I674);"SÍ";"NO"))</f>
        <v/>
      </c>
      <c r="P674" s="11">
        <f>SI(O(N674="";O674="");"";SI(Y(N674="SÍ";O674="SÍ");"SÍ";"NO"))</f>
        <v/>
      </c>
      <c r="Q674" s="13">
        <f>SI(O(I674="";K674="");"";MAX(0;ENTERO(K674)-ENTERO(SI(M674&lt;&gt;"";M674;I674))))</f>
        <v/>
      </c>
      <c r="R674" s="11" t="n"/>
      <c r="S674" s="11" t="n"/>
      <c r="T674" s="12" t="n"/>
      <c r="U674" s="11" t="n">
        <v>22</v>
      </c>
      <c r="V674" s="11" t="n"/>
    </row>
    <row r="675">
      <c r="A675" s="14" t="n">
        <v>5113</v>
      </c>
      <c r="B675" s="14" t="inlineStr">
        <is>
          <t>CENTRAL DE ABASTOS CUCUTA</t>
        </is>
      </c>
      <c r="C675" s="14" t="inlineStr">
        <is>
          <t>Cúcuta</t>
        </is>
      </c>
      <c r="D675" s="14" t="inlineStr">
        <is>
          <t>Norte de Santander</t>
        </is>
      </c>
      <c r="E675" s="14" t="inlineStr">
        <is>
          <t>SANTANDERES</t>
        </is>
      </c>
      <c r="F675" s="14" t="inlineStr">
        <is>
          <t>CRISTIAN VARGAS RODRIGUEZ</t>
        </is>
      </c>
      <c r="G675" s="14" t="inlineStr">
        <is>
          <t>3</t>
        </is>
      </c>
      <c r="H675" s="15" t="n">
        <v>46315</v>
      </c>
      <c r="I675" s="15" t="n">
        <v>46318</v>
      </c>
      <c r="J675" s="15" t="n"/>
      <c r="K675" s="15" t="n"/>
      <c r="L675" s="14" t="inlineStr">
        <is>
          <t>Programada</t>
        </is>
      </c>
      <c r="M675" s="15" t="n"/>
      <c r="N675" s="14">
        <f>SI(O(H675="";J675="");"";SI(J675&lt;=H675;"SÍ";"NO"))</f>
        <v/>
      </c>
      <c r="O675" s="14">
        <f>SI(O(I675="";K675="");"";SI(K675&lt;=SI(M675&lt;&gt;"";M675;I675);"SÍ";"NO"))</f>
        <v/>
      </c>
      <c r="P675" s="14">
        <f>SI(O(N675="";O675="");"";SI(Y(N675="SÍ";O675="SÍ");"SÍ";"NO"))</f>
        <v/>
      </c>
      <c r="Q675" s="16">
        <f>SI(O(I675="";K675="");"";MAX(0;ENTERO(K675)-ENTERO(SI(M675&lt;&gt;"";M675;I675))))</f>
        <v/>
      </c>
      <c r="R675" s="14" t="n"/>
      <c r="S675" s="14" t="n"/>
      <c r="T675" s="15" t="n"/>
      <c r="U675" s="14" t="n">
        <v>25</v>
      </c>
      <c r="V675" s="14" t="n"/>
    </row>
    <row r="676">
      <c r="A676" s="11" t="n">
        <v>5119</v>
      </c>
      <c r="B676" s="11" t="inlineStr">
        <is>
          <t>CACOTA</t>
        </is>
      </c>
      <c r="C676" s="11" t="inlineStr">
        <is>
          <t>Cácota</t>
        </is>
      </c>
      <c r="D676" s="11" t="inlineStr">
        <is>
          <t>Norte de Santander</t>
        </is>
      </c>
      <c r="E676" s="11" t="inlineStr">
        <is>
          <t>SANTANDERES</t>
        </is>
      </c>
      <c r="F676" s="11" t="inlineStr">
        <is>
          <t>Juan Alfonso Cuberos Buendia</t>
        </is>
      </c>
      <c r="G676" s="11" t="inlineStr">
        <is>
          <t>1</t>
        </is>
      </c>
      <c r="H676" s="12" t="n">
        <v>46315</v>
      </c>
      <c r="I676" s="12" t="n">
        <v>46315</v>
      </c>
      <c r="J676" s="12" t="n"/>
      <c r="K676" s="12" t="n"/>
      <c r="L676" s="11" t="inlineStr">
        <is>
          <t>Programada</t>
        </is>
      </c>
      <c r="M676" s="12" t="n"/>
      <c r="N676" s="11">
        <f>SI(O(H676="";J676="");"";SI(J676&lt;=H676;"SÍ";"NO"))</f>
        <v/>
      </c>
      <c r="O676" s="11">
        <f>SI(O(I676="";K676="");"";SI(K676&lt;=SI(M676&lt;&gt;"";M676;I676);"SÍ";"NO"))</f>
        <v/>
      </c>
      <c r="P676" s="11">
        <f>SI(O(N676="";O676="");"";SI(Y(N676="SÍ";O676="SÍ");"SÍ";"NO"))</f>
        <v/>
      </c>
      <c r="Q676" s="13">
        <f>SI(O(I676="";K676="");"";MAX(0;ENTERO(K676)-ENTERO(SI(M676&lt;&gt;"";M676;I676))))</f>
        <v/>
      </c>
      <c r="R676" s="11" t="n"/>
      <c r="S676" s="11" t="n"/>
      <c r="T676" s="12" t="n"/>
      <c r="U676" s="11" t="n">
        <v>13</v>
      </c>
      <c r="V676" s="11" t="n"/>
    </row>
    <row r="677">
      <c r="A677" s="14" t="n">
        <v>5122</v>
      </c>
      <c r="B677" s="14" t="inlineStr">
        <is>
          <t>CHITAGA</t>
        </is>
      </c>
      <c r="C677" s="14" t="inlineStr">
        <is>
          <t>Chitagá</t>
        </is>
      </c>
      <c r="D677" s="14" t="inlineStr">
        <is>
          <t>Norte de Santander</t>
        </is>
      </c>
      <c r="E677" s="14" t="inlineStr">
        <is>
          <t>SANTANDERES</t>
        </is>
      </c>
      <c r="F677" s="14" t="inlineStr">
        <is>
          <t>Ali Kassem Issa Sierra</t>
        </is>
      </c>
      <c r="G677" s="14" t="inlineStr">
        <is>
          <t>2</t>
        </is>
      </c>
      <c r="H677" s="15" t="n">
        <v>46315</v>
      </c>
      <c r="I677" s="15" t="n">
        <v>46316</v>
      </c>
      <c r="J677" s="15" t="n"/>
      <c r="K677" s="15" t="n"/>
      <c r="L677" s="14" t="inlineStr">
        <is>
          <t>Programada</t>
        </is>
      </c>
      <c r="M677" s="15" t="n"/>
      <c r="N677" s="14">
        <f>SI(O(H677="";J677="");"";SI(J677&lt;=H677;"SÍ";"NO"))</f>
        <v/>
      </c>
      <c r="O677" s="14">
        <f>SI(O(I677="";K677="");"";SI(K677&lt;=SI(M677&lt;&gt;"";M677;I677);"SÍ";"NO"))</f>
        <v/>
      </c>
      <c r="P677" s="14">
        <f>SI(O(N677="";O677="");"";SI(Y(N677="SÍ";O677="SÍ");"SÍ";"NO"))</f>
        <v/>
      </c>
      <c r="Q677" s="16">
        <f>SI(O(I677="";K677="");"";MAX(0;ENTERO(K677)-ENTERO(SI(M677&lt;&gt;"";M677;I677))))</f>
        <v/>
      </c>
      <c r="R677" s="14" t="n"/>
      <c r="S677" s="14" t="n"/>
      <c r="T677" s="15" t="n"/>
      <c r="U677" s="14" t="n">
        <v>18</v>
      </c>
      <c r="V677" s="14" t="n"/>
    </row>
    <row r="678">
      <c r="A678" s="11" t="n">
        <v>6012</v>
      </c>
      <c r="B678" s="11" t="inlineStr">
        <is>
          <t>CENTRAL DE ABASTOS BUCARAMANGA</t>
        </is>
      </c>
      <c r="C678" s="11" t="inlineStr">
        <is>
          <t>Bucaramanga</t>
        </is>
      </c>
      <c r="D678" s="11" t="inlineStr">
        <is>
          <t>Santander</t>
        </is>
      </c>
      <c r="E678" s="11" t="inlineStr">
        <is>
          <t>SANTANDERES</t>
        </is>
      </c>
      <c r="F678" s="11" t="inlineStr">
        <is>
          <t>CARLOS MIGUEL JIMENEZ</t>
        </is>
      </c>
      <c r="G678" s="11" t="inlineStr">
        <is>
          <t>3</t>
        </is>
      </c>
      <c r="H678" s="12" t="n">
        <v>46315</v>
      </c>
      <c r="I678" s="12" t="n">
        <v>46318</v>
      </c>
      <c r="J678" s="12" t="n"/>
      <c r="K678" s="12" t="n"/>
      <c r="L678" s="11" t="inlineStr">
        <is>
          <t>Programada</t>
        </is>
      </c>
      <c r="M678" s="12" t="n"/>
      <c r="N678" s="11">
        <f>SI(O(H678="";J678="");"";SI(J678&lt;=H678;"SÍ";"NO"))</f>
        <v/>
      </c>
      <c r="O678" s="11">
        <f>SI(O(I678="";K678="");"";SI(K678&lt;=SI(M678&lt;&gt;"";M678;I678);"SÍ";"NO"))</f>
        <v/>
      </c>
      <c r="P678" s="11">
        <f>SI(O(N678="";O678="");"";SI(Y(N678="SÍ";O678="SÍ");"SÍ";"NO"))</f>
        <v/>
      </c>
      <c r="Q678" s="13">
        <f>SI(O(I678="";K678="");"";MAX(0;ENTERO(K678)-ENTERO(SI(M678&lt;&gt;"";M678;I678))))</f>
        <v/>
      </c>
      <c r="R678" s="11" t="n"/>
      <c r="S678" s="11" t="n"/>
      <c r="T678" s="12" t="n"/>
      <c r="U678" s="11" t="n">
        <v>20</v>
      </c>
      <c r="V678" s="11" t="n"/>
    </row>
    <row r="679">
      <c r="A679" s="14" t="n">
        <v>6614</v>
      </c>
      <c r="B679" s="14" t="inlineStr">
        <is>
          <t>HERVEO</t>
        </is>
      </c>
      <c r="C679" s="14" t="inlineStr">
        <is>
          <t>Herveo</t>
        </is>
      </c>
      <c r="D679" s="14" t="inlineStr">
        <is>
          <t>Tolima</t>
        </is>
      </c>
      <c r="E679" s="14" t="inlineStr">
        <is>
          <t>CAFETERA</t>
        </is>
      </c>
      <c r="F679" s="14" t="inlineStr">
        <is>
          <t>Fernando Valencia</t>
        </is>
      </c>
      <c r="G679" s="14" t="inlineStr">
        <is>
          <t>1</t>
        </is>
      </c>
      <c r="H679" s="15" t="n">
        <v>46315</v>
      </c>
      <c r="I679" s="15" t="n">
        <v>46317</v>
      </c>
      <c r="J679" s="15" t="n"/>
      <c r="K679" s="15" t="n"/>
      <c r="L679" s="14" t="inlineStr">
        <is>
          <t>Programada</t>
        </is>
      </c>
      <c r="M679" s="15" t="n"/>
      <c r="N679" s="14">
        <f>SI(O(H679="";J679="");"";SI(J679&lt;=H679;"SÍ";"NO"))</f>
        <v/>
      </c>
      <c r="O679" s="14">
        <f>SI(O(I679="";K679="");"";SI(K679&lt;=SI(M679&lt;&gt;"";M679;I679);"SÍ";"NO"))</f>
        <v/>
      </c>
      <c r="P679" s="14">
        <f>SI(O(N679="";O679="");"";SI(Y(N679="SÍ";O679="SÍ");"SÍ";"NO"))</f>
        <v/>
      </c>
      <c r="Q679" s="16">
        <f>SI(O(I679="";K679="");"";MAX(0;ENTERO(K679)-ENTERO(SI(M679&lt;&gt;"";M679;I679))))</f>
        <v/>
      </c>
      <c r="R679" s="14" t="n"/>
      <c r="S679" s="14" t="n"/>
      <c r="T679" s="15" t="n"/>
      <c r="U679" s="14" t="n">
        <v>13</v>
      </c>
      <c r="V679" s="14" t="n"/>
    </row>
    <row r="680">
      <c r="A680" s="11" t="n">
        <v>6635</v>
      </c>
      <c r="B680" s="11" t="inlineStr">
        <is>
          <t>ESPINAL</t>
        </is>
      </c>
      <c r="C680" s="11" t="inlineStr">
        <is>
          <t>Espinal</t>
        </is>
      </c>
      <c r="D680" s="11" t="inlineStr">
        <is>
          <t>Tolima</t>
        </is>
      </c>
      <c r="E680" s="11" t="inlineStr">
        <is>
          <t>SUR</t>
        </is>
      </c>
      <c r="F680" s="11" t="inlineStr">
        <is>
          <t>Bernardo Arango-Johan Molano</t>
        </is>
      </c>
      <c r="G680" s="11" t="inlineStr">
        <is>
          <t>8</t>
        </is>
      </c>
      <c r="H680" s="12" t="n">
        <v>46315</v>
      </c>
      <c r="I680" s="12" t="n">
        <v>46317</v>
      </c>
      <c r="J680" s="12" t="n"/>
      <c r="K680" s="12" t="n"/>
      <c r="L680" s="11" t="inlineStr">
        <is>
          <t>Programada</t>
        </is>
      </c>
      <c r="M680" s="12" t="n"/>
      <c r="N680" s="11">
        <f>SI(O(H680="";J680="");"";SI(J680&lt;=H680;"SÍ";"NO"))</f>
        <v/>
      </c>
      <c r="O680" s="11">
        <f>SI(O(I680="";K680="");"";SI(K680&lt;=SI(M680&lt;&gt;"";M680;I680);"SÍ";"NO"))</f>
        <v/>
      </c>
      <c r="P680" s="11">
        <f>SI(O(N680="";O680="");"";SI(Y(N680="SÍ";O680="SÍ");"SÍ";"NO"))</f>
        <v/>
      </c>
      <c r="Q680" s="13">
        <f>SI(O(I680="";K680="");"";MAX(0;ENTERO(K680)-ENTERO(SI(M680&lt;&gt;"";M680;I680))))</f>
        <v/>
      </c>
      <c r="R680" s="11" t="n"/>
      <c r="S680" s="11" t="n"/>
      <c r="T680" s="12" t="n"/>
      <c r="U680" s="11" t="n">
        <v>43</v>
      </c>
      <c r="V680" s="11" t="n"/>
    </row>
    <row r="681">
      <c r="A681" s="14" t="n">
        <v>6954</v>
      </c>
      <c r="B681" s="14" t="inlineStr">
        <is>
          <t>RIOFRIO</t>
        </is>
      </c>
      <c r="C681" s="14" t="inlineStr">
        <is>
          <t>Riofrío</t>
        </is>
      </c>
      <c r="D681" s="14" t="inlineStr">
        <is>
          <t>Valle del Cauca</t>
        </is>
      </c>
      <c r="E681" s="14" t="inlineStr">
        <is>
          <t>OCCIDENTE</t>
        </is>
      </c>
      <c r="F681" s="14" t="inlineStr">
        <is>
          <t>John Edwin Jimenez Chavez</t>
        </is>
      </c>
      <c r="G681" s="14" t="inlineStr">
        <is>
          <t>1</t>
        </is>
      </c>
      <c r="H681" s="15" t="n">
        <v>46315</v>
      </c>
      <c r="I681" s="15" t="n">
        <v>46315</v>
      </c>
      <c r="J681" s="15" t="n"/>
      <c r="K681" s="15" t="n"/>
      <c r="L681" s="14" t="inlineStr">
        <is>
          <t>Programada</t>
        </is>
      </c>
      <c r="M681" s="15" t="n"/>
      <c r="N681" s="14">
        <f>SI(O(H681="";J681="");"";SI(J681&lt;=H681;"SÍ";"NO"))</f>
        <v/>
      </c>
      <c r="O681" s="14">
        <f>SI(O(I681="";K681="");"";SI(K681&lt;=SI(M681&lt;&gt;"";M681;I681);"SÍ";"NO"))</f>
        <v/>
      </c>
      <c r="P681" s="14">
        <f>SI(O(N681="";O681="");"";SI(Y(N681="SÍ";O681="SÍ");"SÍ";"NO"))</f>
        <v/>
      </c>
      <c r="Q681" s="16">
        <f>SI(O(I681="";K681="");"";MAX(0;ENTERO(K681)-ENTERO(SI(M681&lt;&gt;"";M681;I681))))</f>
        <v/>
      </c>
      <c r="R681" s="14" t="n"/>
      <c r="S681" s="14" t="n"/>
      <c r="T681" s="15" t="n"/>
      <c r="U681" s="14" t="n">
        <v>19</v>
      </c>
      <c r="V681" s="14" t="n"/>
    </row>
    <row r="682">
      <c r="A682" s="11" t="n">
        <v>7545</v>
      </c>
      <c r="B682" s="11" t="inlineStr">
        <is>
          <t>MILAN</t>
        </is>
      </c>
      <c r="C682" s="11" t="inlineStr">
        <is>
          <t>Milán</t>
        </is>
      </c>
      <c r="D682" s="11" t="inlineStr">
        <is>
          <t>Caquetá</t>
        </is>
      </c>
      <c r="E682" s="11" t="inlineStr">
        <is>
          <t>SUR</t>
        </is>
      </c>
      <c r="F682" s="11" t="inlineStr">
        <is>
          <t>ERIKA VARGAS</t>
        </is>
      </c>
      <c r="G682" s="11" t="inlineStr">
        <is>
          <t>1</t>
        </is>
      </c>
      <c r="H682" s="12" t="n">
        <v>46315</v>
      </c>
      <c r="I682" s="12" t="n">
        <v>46315</v>
      </c>
      <c r="J682" s="12" t="n"/>
      <c r="K682" s="12" t="n"/>
      <c r="L682" s="11" t="inlineStr">
        <is>
          <t>Programada</t>
        </is>
      </c>
      <c r="M682" s="12" t="n"/>
      <c r="N682" s="11">
        <f>SI(O(H682="";J682="");"";SI(J682&lt;=H682;"SÍ";"NO"))</f>
        <v/>
      </c>
      <c r="O682" s="11">
        <f>SI(O(I682="";K682="");"";SI(K682&lt;=SI(M682&lt;&gt;"";M682;I682);"SÍ";"NO"))</f>
        <v/>
      </c>
      <c r="P682" s="11">
        <f>SI(O(N682="";O682="");"";SI(Y(N682="SÍ";O682="SÍ");"SÍ";"NO"))</f>
        <v/>
      </c>
      <c r="Q682" s="13">
        <f>SI(O(I682="";K682="");"";MAX(0;ENTERO(K682)-ENTERO(SI(M682&lt;&gt;"";M682;I682))))</f>
        <v/>
      </c>
      <c r="R682" s="11" t="n"/>
      <c r="S682" s="11" t="n"/>
      <c r="T682" s="12" t="n"/>
      <c r="U682" s="11" t="n">
        <v>13</v>
      </c>
      <c r="V682" s="11" t="n"/>
    </row>
    <row r="683">
      <c r="A683" s="14" t="n">
        <v>250</v>
      </c>
      <c r="B683" s="14" t="inlineStr">
        <is>
          <t>BOGOTA - PALOQUEMAO</t>
        </is>
      </c>
      <c r="C683" s="14" t="inlineStr">
        <is>
          <t>Bogotá, D.C.</t>
        </is>
      </c>
      <c r="D683" s="14" t="inlineStr">
        <is>
          <t>Bogotá D.C</t>
        </is>
      </c>
      <c r="E683" s="14" t="inlineStr">
        <is>
          <t>BOGOTA</t>
        </is>
      </c>
      <c r="F683" s="14" t="inlineStr">
        <is>
          <t>Anderson Forero Mora</t>
        </is>
      </c>
      <c r="G683" s="14" t="inlineStr">
        <is>
          <t>2</t>
        </is>
      </c>
      <c r="H683" s="15" t="n">
        <v>46316</v>
      </c>
      <c r="I683" s="15" t="n">
        <v>46316</v>
      </c>
      <c r="J683" s="15" t="n"/>
      <c r="K683" s="15" t="n"/>
      <c r="L683" s="14" t="inlineStr">
        <is>
          <t>Programada</t>
        </is>
      </c>
      <c r="M683" s="15" t="n"/>
      <c r="N683" s="14">
        <f>SI(O(H683="";J683="");"";SI(J683&lt;=H683;"SÍ";"NO"))</f>
        <v/>
      </c>
      <c r="O683" s="14">
        <f>SI(O(I683="";K683="");"";SI(K683&lt;=SI(M683&lt;&gt;"";M683;I683);"SÍ";"NO"))</f>
        <v/>
      </c>
      <c r="P683" s="14">
        <f>SI(O(N683="";O683="");"";SI(Y(N683="SÍ";O683="SÍ");"SÍ";"NO"))</f>
        <v/>
      </c>
      <c r="Q683" s="16">
        <f>SI(O(I683="";K683="");"";MAX(0;ENTERO(K683)-ENTERO(SI(M683&lt;&gt;"";M683;I683))))</f>
        <v/>
      </c>
      <c r="R683" s="14" t="n"/>
      <c r="S683" s="14" t="n"/>
      <c r="T683" s="15" t="n"/>
      <c r="U683" s="14" t="n">
        <v>23</v>
      </c>
      <c r="V683" s="14" t="n"/>
    </row>
    <row r="684">
      <c r="A684" s="11" t="n">
        <v>1350</v>
      </c>
      <c r="B684" s="11" t="inlineStr">
        <is>
          <t>AMAGA</t>
        </is>
      </c>
      <c r="C684" s="11" t="inlineStr">
        <is>
          <t>Amagá</t>
        </is>
      </c>
      <c r="D684" s="11" t="inlineStr">
        <is>
          <t>Antioquia</t>
        </is>
      </c>
      <c r="E684" s="11" t="inlineStr">
        <is>
          <t>ANTIOQUIA</t>
        </is>
      </c>
      <c r="F684" s="11" t="inlineStr">
        <is>
          <t>Juan Pablo Osorio Ramirez</t>
        </is>
      </c>
      <c r="G684" s="11" t="inlineStr">
        <is>
          <t>2</t>
        </is>
      </c>
      <c r="H684" s="12" t="n">
        <v>46316</v>
      </c>
      <c r="I684" s="12" t="n">
        <v>46316</v>
      </c>
      <c r="J684" s="12" t="n"/>
      <c r="K684" s="12" t="n"/>
      <c r="L684" s="11" t="inlineStr">
        <is>
          <t>Programada</t>
        </is>
      </c>
      <c r="M684" s="12" t="n"/>
      <c r="N684" s="11">
        <f>SI(O(H684="";J684="");"";SI(J684&lt;=H684;"SÍ";"NO"))</f>
        <v/>
      </c>
      <c r="O684" s="11">
        <f>SI(O(I684="";K684="");"";SI(K684&lt;=SI(M684&lt;&gt;"";M684;I684);"SÍ";"NO"))</f>
        <v/>
      </c>
      <c r="P684" s="11">
        <f>SI(O(N684="";O684="");"";SI(Y(N684="SÍ";O684="SÍ");"SÍ";"NO"))</f>
        <v/>
      </c>
      <c r="Q684" s="13">
        <f>SI(O(I684="";K684="");"";MAX(0;ENTERO(K684)-ENTERO(SI(M684&lt;&gt;"";M684;I684))))</f>
        <v/>
      </c>
      <c r="R684" s="11" t="n"/>
      <c r="S684" s="11" t="n"/>
      <c r="T684" s="12" t="n"/>
      <c r="U684" s="11" t="n">
        <v>18</v>
      </c>
      <c r="V684" s="11" t="n"/>
    </row>
    <row r="685">
      <c r="A685" s="14" t="n">
        <v>1392</v>
      </c>
      <c r="B685" s="14" t="inlineStr">
        <is>
          <t>TITIRIBI</t>
        </is>
      </c>
      <c r="C685" s="14" t="inlineStr">
        <is>
          <t>Titiribí</t>
        </is>
      </c>
      <c r="D685" s="14" t="inlineStr">
        <is>
          <t>Antioquia</t>
        </is>
      </c>
      <c r="E685" s="14" t="inlineStr">
        <is>
          <t>ANTIOQUIA</t>
        </is>
      </c>
      <c r="F685" s="14" t="inlineStr">
        <is>
          <t>Juan Pablo Osorio Ramirez</t>
        </is>
      </c>
      <c r="G685" s="14" t="inlineStr">
        <is>
          <t>1</t>
        </is>
      </c>
      <c r="H685" s="15" t="n">
        <v>46316</v>
      </c>
      <c r="I685" s="15" t="n">
        <v>46316</v>
      </c>
      <c r="J685" s="15" t="n"/>
      <c r="K685" s="15" t="n"/>
      <c r="L685" s="14" t="inlineStr">
        <is>
          <t>Programada</t>
        </is>
      </c>
      <c r="M685" s="15" t="n"/>
      <c r="N685" s="14">
        <f>SI(O(H685="";J685="");"";SI(J685&lt;=H685;"SÍ";"NO"))</f>
        <v/>
      </c>
      <c r="O685" s="14">
        <f>SI(O(I685="";K685="");"";SI(K685&lt;=SI(M685&lt;&gt;"";M685;I685);"SÍ";"NO"))</f>
        <v/>
      </c>
      <c r="P685" s="14">
        <f>SI(O(N685="";O685="");"";SI(Y(N685="SÍ";O685="SÍ");"SÍ";"NO"))</f>
        <v/>
      </c>
      <c r="Q685" s="16">
        <f>SI(O(I685="";K685="");"";MAX(0;ENTERO(K685)-ENTERO(SI(M685&lt;&gt;"";M685;I685))))</f>
        <v/>
      </c>
      <c r="R685" s="14" t="n"/>
      <c r="S685" s="14" t="n"/>
      <c r="T685" s="15" t="n"/>
      <c r="U685" s="14" t="n">
        <v>14</v>
      </c>
      <c r="V685" s="14" t="n"/>
    </row>
    <row r="686">
      <c r="A686" s="11" t="n">
        <v>3350</v>
      </c>
      <c r="B686" s="11" t="inlineStr">
        <is>
          <t>PIZARRO</t>
        </is>
      </c>
      <c r="C686" s="11" t="inlineStr">
        <is>
          <t>Bajo Baudó</t>
        </is>
      </c>
      <c r="D686" s="11" t="inlineStr">
        <is>
          <t>Chocó</t>
        </is>
      </c>
      <c r="E686" s="11" t="inlineStr">
        <is>
          <t>ANTIOQUIA</t>
        </is>
      </c>
      <c r="F686" s="11" t="inlineStr">
        <is>
          <t>Alvaro Francisco Moreno Palacios</t>
        </is>
      </c>
      <c r="G686" s="11" t="inlineStr">
        <is>
          <t>1</t>
        </is>
      </c>
      <c r="H686" s="12" t="n">
        <v>46316</v>
      </c>
      <c r="I686" s="12" t="n">
        <v>46317</v>
      </c>
      <c r="J686" s="12" t="n"/>
      <c r="K686" s="12" t="n"/>
      <c r="L686" s="11" t="inlineStr">
        <is>
          <t>Programada</t>
        </is>
      </c>
      <c r="M686" s="12" t="n"/>
      <c r="N686" s="11">
        <f>SI(O(H686="";J686="");"";SI(J686&lt;=H686;"SÍ";"NO"))</f>
        <v/>
      </c>
      <c r="O686" s="11">
        <f>SI(O(I686="";K686="");"";SI(K686&lt;=SI(M686&lt;&gt;"";M686;I686);"SÍ";"NO"))</f>
        <v/>
      </c>
      <c r="P686" s="11">
        <f>SI(O(N686="";O686="");"";SI(Y(N686="SÍ";O686="SÍ");"SÍ";"NO"))</f>
        <v/>
      </c>
      <c r="Q686" s="13">
        <f>SI(O(I686="";K686="");"";MAX(0;ENTERO(K686)-ENTERO(SI(M686&lt;&gt;"";M686;I686))))</f>
        <v/>
      </c>
      <c r="R686" s="11" t="n"/>
      <c r="S686" s="11" t="n"/>
      <c r="T686" s="12" t="n"/>
      <c r="U686" s="11" t="n">
        <v>12</v>
      </c>
      <c r="V686" s="11" t="n"/>
    </row>
    <row r="687">
      <c r="A687" s="14" t="n">
        <v>4842</v>
      </c>
      <c r="B687" s="14" t="inlineStr">
        <is>
          <t>LA UNION</t>
        </is>
      </c>
      <c r="C687" s="14" t="inlineStr">
        <is>
          <t>La Unión</t>
        </is>
      </c>
      <c r="D687" s="14" t="inlineStr">
        <is>
          <t>Nariño</t>
        </is>
      </c>
      <c r="E687" s="14" t="inlineStr">
        <is>
          <t>OCCIDENTE</t>
        </is>
      </c>
      <c r="F687" s="14" t="inlineStr">
        <is>
          <t>Juan Carlos Narvaez Acosta / Luis Fernando Ibarra Guio</t>
        </is>
      </c>
      <c r="G687" s="14" t="inlineStr">
        <is>
          <t>8</t>
        </is>
      </c>
      <c r="H687" s="15" t="n">
        <v>46316</v>
      </c>
      <c r="I687" s="15" t="n">
        <v>46316</v>
      </c>
      <c r="J687" s="15" t="n"/>
      <c r="K687" s="15" t="n"/>
      <c r="L687" s="14" t="inlineStr">
        <is>
          <t>Programada</t>
        </is>
      </c>
      <c r="M687" s="15" t="n"/>
      <c r="N687" s="14">
        <f>SI(O(H687="";J687="");"";SI(J687&lt;=H687;"SÍ";"NO"))</f>
        <v/>
      </c>
      <c r="O687" s="14">
        <f>SI(O(I687="";K687="");"";SI(K687&lt;=SI(M687&lt;&gt;"";M687;I687);"SÍ";"NO"))</f>
        <v/>
      </c>
      <c r="P687" s="14">
        <f>SI(O(N687="";O687="");"";SI(Y(N687="SÍ";O687="SÍ");"SÍ";"NO"))</f>
        <v/>
      </c>
      <c r="Q687" s="16">
        <f>SI(O(I687="";K687="");"";MAX(0;ENTERO(K687)-ENTERO(SI(M687&lt;&gt;"";M687;I687))))</f>
        <v/>
      </c>
      <c r="R687" s="14" t="n"/>
      <c r="S687" s="14" t="n"/>
      <c r="T687" s="15" t="n"/>
      <c r="U687" s="14" t="n">
        <v>45</v>
      </c>
      <c r="V687" s="14" t="n"/>
    </row>
    <row r="688">
      <c r="A688" s="11" t="n">
        <v>6020</v>
      </c>
      <c r="B688" s="11" t="inlineStr">
        <is>
          <t>BARRANCABERMEJA</t>
        </is>
      </c>
      <c r="C688" s="11" t="inlineStr">
        <is>
          <t>Barrancabermeja</t>
        </is>
      </c>
      <c r="D688" s="11" t="inlineStr">
        <is>
          <t>Santander</t>
        </is>
      </c>
      <c r="E688" s="11" t="inlineStr">
        <is>
          <t>SANTANDERES</t>
        </is>
      </c>
      <c r="F688" s="11" t="inlineStr">
        <is>
          <t>Luz Nélida Barragán Toro</t>
        </is>
      </c>
      <c r="G688" s="11" t="inlineStr">
        <is>
          <t>8</t>
        </is>
      </c>
      <c r="H688" s="12" t="n">
        <v>46316</v>
      </c>
      <c r="I688" s="12" t="n">
        <v>46316</v>
      </c>
      <c r="J688" s="12" t="n"/>
      <c r="K688" s="12" t="n"/>
      <c r="L688" s="11" t="inlineStr">
        <is>
          <t>Programada</t>
        </is>
      </c>
      <c r="M688" s="12" t="n"/>
      <c r="N688" s="11">
        <f>SI(O(H688="";J688="");"";SI(J688&lt;=H688;"SÍ";"NO"))</f>
        <v/>
      </c>
      <c r="O688" s="11">
        <f>SI(O(I688="";K688="");"";SI(K688&lt;=SI(M688&lt;&gt;"";M688;I688);"SÍ";"NO"))</f>
        <v/>
      </c>
      <c r="P688" s="11">
        <f>SI(O(N688="";O688="");"";SI(Y(N688="SÍ";O688="SÍ");"SÍ";"NO"))</f>
        <v/>
      </c>
      <c r="Q688" s="13">
        <f>SI(O(I688="";K688="");"";MAX(0;ENTERO(K688)-ENTERO(SI(M688&lt;&gt;"";M688;I688))))</f>
        <v/>
      </c>
      <c r="R688" s="11" t="n"/>
      <c r="S688" s="11" t="n"/>
      <c r="T688" s="12" t="n"/>
      <c r="U688" s="11" t="n">
        <v>50</v>
      </c>
      <c r="V688" s="11" t="n"/>
    </row>
    <row r="689">
      <c r="A689" s="14" t="n">
        <v>6022</v>
      </c>
      <c r="B689" s="14" t="inlineStr">
        <is>
          <t>SAN VICENTE DE CHUCURI</t>
        </is>
      </c>
      <c r="C689" s="14" t="inlineStr">
        <is>
          <t>San Vicente De Chucurí</t>
        </is>
      </c>
      <c r="D689" s="14" t="inlineStr">
        <is>
          <t>Santander</t>
        </is>
      </c>
      <c r="E689" s="14" t="inlineStr">
        <is>
          <t>SANTANDERES</t>
        </is>
      </c>
      <c r="F689" s="14" t="inlineStr">
        <is>
          <t>Mauricio Andrés Rivera Páez</t>
        </is>
      </c>
      <c r="G689" s="14" t="inlineStr">
        <is>
          <t>4</t>
        </is>
      </c>
      <c r="H689" s="15" t="n">
        <v>46316</v>
      </c>
      <c r="I689" s="15" t="n">
        <v>46316</v>
      </c>
      <c r="J689" s="15" t="n"/>
      <c r="K689" s="15" t="n"/>
      <c r="L689" s="14" t="inlineStr">
        <is>
          <t>Programada</t>
        </is>
      </c>
      <c r="M689" s="15" t="n"/>
      <c r="N689" s="14">
        <f>SI(O(H689="";J689="");"";SI(J689&lt;=H689;"SÍ";"NO"))</f>
        <v/>
      </c>
      <c r="O689" s="14">
        <f>SI(O(I689="";K689="");"";SI(K689&lt;=SI(M689&lt;&gt;"";M689;I689);"SÍ";"NO"))</f>
        <v/>
      </c>
      <c r="P689" s="14">
        <f>SI(O(N689="";O689="");"";SI(Y(N689="SÍ";O689="SÍ");"SÍ";"NO"))</f>
        <v/>
      </c>
      <c r="Q689" s="16">
        <f>SI(O(I689="";K689="");"";MAX(0;ENTERO(K689)-ENTERO(SI(M689&lt;&gt;"";M689;I689))))</f>
        <v/>
      </c>
      <c r="R689" s="14" t="n"/>
      <c r="S689" s="14" t="n"/>
      <c r="T689" s="15" t="n"/>
      <c r="U689" s="14" t="n">
        <v>32</v>
      </c>
      <c r="V689" s="14" t="n"/>
    </row>
    <row r="690">
      <c r="A690" s="11" t="n">
        <v>6038</v>
      </c>
      <c r="B690" s="11" t="inlineStr">
        <is>
          <t>PUERTO WILCHES</t>
        </is>
      </c>
      <c r="C690" s="11" t="inlineStr">
        <is>
          <t>Puerto Wilches</t>
        </is>
      </c>
      <c r="D690" s="11" t="inlineStr">
        <is>
          <t>Santander</t>
        </is>
      </c>
      <c r="E690" s="11" t="inlineStr">
        <is>
          <t>SANTANDERES</t>
        </is>
      </c>
      <c r="F690" s="11" t="inlineStr">
        <is>
          <t>Andrés Felipe Carvajal Pire</t>
        </is>
      </c>
      <c r="G690" s="11" t="inlineStr">
        <is>
          <t>2</t>
        </is>
      </c>
      <c r="H690" s="12" t="n">
        <v>46316</v>
      </c>
      <c r="I690" s="12" t="n">
        <v>46316</v>
      </c>
      <c r="J690" s="12" t="n"/>
      <c r="K690" s="12" t="n"/>
      <c r="L690" s="11" t="inlineStr">
        <is>
          <t>Programada</t>
        </is>
      </c>
      <c r="M690" s="12" t="n"/>
      <c r="N690" s="11">
        <f>SI(O(H690="";J690="");"";SI(J690&lt;=H690;"SÍ";"NO"))</f>
        <v/>
      </c>
      <c r="O690" s="11">
        <f>SI(O(I690="";K690="");"";SI(K690&lt;=SI(M690&lt;&gt;"";M690;I690);"SÍ";"NO"))</f>
        <v/>
      </c>
      <c r="P690" s="11">
        <f>SI(O(N690="";O690="");"";SI(Y(N690="SÍ";O690="SÍ");"SÍ";"NO"))</f>
        <v/>
      </c>
      <c r="Q690" s="13">
        <f>SI(O(I690="";K690="");"";MAX(0;ENTERO(K690)-ENTERO(SI(M690&lt;&gt;"";M690;I690))))</f>
        <v/>
      </c>
      <c r="R690" s="11" t="n"/>
      <c r="S690" s="11" t="n"/>
      <c r="T690" s="12" t="n"/>
      <c r="U690" s="11" t="n">
        <v>27</v>
      </c>
      <c r="V690" s="11" t="n"/>
    </row>
    <row r="691">
      <c r="A691" s="14" t="n">
        <v>6080</v>
      </c>
      <c r="B691" s="14" t="inlineStr">
        <is>
          <t>EL CARMEN DE CHUCURI</t>
        </is>
      </c>
      <c r="C691" s="14" t="inlineStr">
        <is>
          <t>El Carmen De Chucurí</t>
        </is>
      </c>
      <c r="D691" s="14" t="inlineStr">
        <is>
          <t>Santander</t>
        </is>
      </c>
      <c r="E691" s="14" t="inlineStr">
        <is>
          <t>SANTANDERES</t>
        </is>
      </c>
      <c r="F691" s="14" t="inlineStr">
        <is>
          <t>Andrés Felipe Díaz Noy</t>
        </is>
      </c>
      <c r="G691" s="14" t="inlineStr">
        <is>
          <t>2</t>
        </is>
      </c>
      <c r="H691" s="15" t="n">
        <v>46316</v>
      </c>
      <c r="I691" s="15" t="n">
        <v>46316</v>
      </c>
      <c r="J691" s="15" t="n"/>
      <c r="K691" s="15" t="n"/>
      <c r="L691" s="14" t="inlineStr">
        <is>
          <t>Programada</t>
        </is>
      </c>
      <c r="M691" s="15" t="n"/>
      <c r="N691" s="14">
        <f>SI(O(H691="";J691="");"";SI(J691&lt;=H691;"SÍ";"NO"))</f>
        <v/>
      </c>
      <c r="O691" s="14">
        <f>SI(O(I691="";K691="");"";SI(K691&lt;=SI(M691&lt;&gt;"";M691;I691);"SÍ";"NO"))</f>
        <v/>
      </c>
      <c r="P691" s="14">
        <f>SI(O(N691="";O691="");"";SI(Y(N691="SÍ";O691="SÍ");"SÍ";"NO"))</f>
        <v/>
      </c>
      <c r="Q691" s="16">
        <f>SI(O(I691="";K691="");"";MAX(0;ENTERO(K691)-ENTERO(SI(M691&lt;&gt;"";M691;I691))))</f>
        <v/>
      </c>
      <c r="R691" s="14" t="n"/>
      <c r="S691" s="14" t="n"/>
      <c r="T691" s="15" t="n"/>
      <c r="U691" s="14" t="n">
        <v>27</v>
      </c>
      <c r="V691" s="14" t="n"/>
    </row>
    <row r="692">
      <c r="A692" s="11" t="n">
        <v>6952</v>
      </c>
      <c r="B692" s="11" t="inlineStr">
        <is>
          <t>TRUJILLO</t>
        </is>
      </c>
      <c r="C692" s="11" t="inlineStr">
        <is>
          <t>Trujillo</t>
        </is>
      </c>
      <c r="D692" s="11" t="inlineStr">
        <is>
          <t>Valle del Cauca</t>
        </is>
      </c>
      <c r="E692" s="11" t="inlineStr">
        <is>
          <t>OCCIDENTE</t>
        </is>
      </c>
      <c r="F692" s="11" t="inlineStr">
        <is>
          <t>John Edwin Jimenez Chavez</t>
        </is>
      </c>
      <c r="G692" s="11" t="inlineStr">
        <is>
          <t>3</t>
        </is>
      </c>
      <c r="H692" s="12" t="n">
        <v>46316</v>
      </c>
      <c r="I692" s="12" t="n">
        <v>46316</v>
      </c>
      <c r="J692" s="12" t="n"/>
      <c r="K692" s="12" t="n"/>
      <c r="L692" s="11" t="inlineStr">
        <is>
          <t>Programada</t>
        </is>
      </c>
      <c r="M692" s="12" t="n"/>
      <c r="N692" s="11">
        <f>SI(O(H692="";J692="");"";SI(J692&lt;=H692;"SÍ";"NO"))</f>
        <v/>
      </c>
      <c r="O692" s="11">
        <f>SI(O(I692="";K692="");"";SI(K692&lt;=SI(M692&lt;&gt;"";M692;I692);"SÍ";"NO"))</f>
        <v/>
      </c>
      <c r="P692" s="11">
        <f>SI(O(N692="";O692="");"";SI(Y(N692="SÍ";O692="SÍ");"SÍ";"NO"))</f>
        <v/>
      </c>
      <c r="Q692" s="13">
        <f>SI(O(I692="";K692="");"";MAX(0;ENTERO(K692)-ENTERO(SI(M692&lt;&gt;"";M692;I692))))</f>
        <v/>
      </c>
      <c r="R692" s="11" t="n"/>
      <c r="S692" s="11" t="n"/>
      <c r="T692" s="12" t="n"/>
      <c r="U692" s="11" t="n">
        <v>21</v>
      </c>
      <c r="V692" s="11" t="n"/>
    </row>
    <row r="693">
      <c r="A693" s="14" t="n">
        <v>7540</v>
      </c>
      <c r="B693" s="14" t="inlineStr">
        <is>
          <t>LA MONTAÑITA</t>
        </is>
      </c>
      <c r="C693" s="14" t="inlineStr">
        <is>
          <t>La Montañita</t>
        </is>
      </c>
      <c r="D693" s="14" t="inlineStr">
        <is>
          <t>Caquetá</t>
        </is>
      </c>
      <c r="E693" s="14" t="inlineStr">
        <is>
          <t>SUR</t>
        </is>
      </c>
      <c r="F693" s="14" t="inlineStr">
        <is>
          <t>ERIKA VARGAS</t>
        </is>
      </c>
      <c r="G693" s="14" t="inlineStr">
        <is>
          <t>1</t>
        </is>
      </c>
      <c r="H693" s="15" t="n">
        <v>46316</v>
      </c>
      <c r="I693" s="15" t="n">
        <v>46316</v>
      </c>
      <c r="J693" s="15" t="n"/>
      <c r="K693" s="15" t="n"/>
      <c r="L693" s="14" t="inlineStr">
        <is>
          <t>Programada</t>
        </is>
      </c>
      <c r="M693" s="15" t="n"/>
      <c r="N693" s="14">
        <f>SI(O(H693="";J693="");"";SI(J693&lt;=H693;"SÍ";"NO"))</f>
        <v/>
      </c>
      <c r="O693" s="14">
        <f>SI(O(I693="";K693="");"";SI(K693&lt;=SI(M693&lt;&gt;"";M693;I693);"SÍ";"NO"))</f>
        <v/>
      </c>
      <c r="P693" s="14">
        <f>SI(O(N693="";O693="");"";SI(Y(N693="SÍ";O693="SÍ");"SÍ";"NO"))</f>
        <v/>
      </c>
      <c r="Q693" s="16">
        <f>SI(O(I693="";K693="");"";MAX(0;ENTERO(K693)-ENTERO(SI(M693&lt;&gt;"";M693;I693))))</f>
        <v/>
      </c>
      <c r="R693" s="14" t="n"/>
      <c r="S693" s="14" t="n"/>
      <c r="T693" s="15" t="n"/>
      <c r="U693" s="14" t="n">
        <v>15</v>
      </c>
      <c r="V693" s="14" t="n"/>
    </row>
    <row r="694">
      <c r="A694" s="11" t="n">
        <v>850</v>
      </c>
      <c r="B694" s="11" t="inlineStr">
        <is>
          <t>BOGOTA - PUENTE ARANDA</t>
        </is>
      </c>
      <c r="C694" s="11" t="inlineStr">
        <is>
          <t>Bogotá, D.C.</t>
        </is>
      </c>
      <c r="D694" s="11" t="inlineStr">
        <is>
          <t>Bogotá D.C</t>
        </is>
      </c>
      <c r="E694" s="11" t="inlineStr">
        <is>
          <t>BOGOTA</t>
        </is>
      </c>
      <c r="F694" s="11" t="inlineStr">
        <is>
          <t>Anderson Forero Mora</t>
        </is>
      </c>
      <c r="G694" s="11" t="inlineStr">
        <is>
          <t>3</t>
        </is>
      </c>
      <c r="H694" s="12" t="n">
        <v>46317</v>
      </c>
      <c r="I694" s="12" t="n">
        <v>46317</v>
      </c>
      <c r="J694" s="12" t="n"/>
      <c r="K694" s="12" t="n"/>
      <c r="L694" s="11" t="inlineStr">
        <is>
          <t>Programada</t>
        </is>
      </c>
      <c r="M694" s="12" t="n"/>
      <c r="N694" s="11">
        <f>SI(O(H694="";J694="");"";SI(J694&lt;=H694;"SÍ";"NO"))</f>
        <v/>
      </c>
      <c r="O694" s="11">
        <f>SI(O(I694="";K694="");"";SI(K694&lt;=SI(M694&lt;&gt;"";M694;I694);"SÍ";"NO"))</f>
        <v/>
      </c>
      <c r="P694" s="11">
        <f>SI(O(N694="";O694="");"";SI(Y(N694="SÍ";O694="SÍ");"SÍ";"NO"))</f>
        <v/>
      </c>
      <c r="Q694" s="13">
        <f>SI(O(I694="";K694="");"";MAX(0;ENTERO(K694)-ENTERO(SI(M694&lt;&gt;"";M694;I694))))</f>
        <v/>
      </c>
      <c r="R694" s="11" t="n"/>
      <c r="S694" s="11" t="n"/>
      <c r="T694" s="12" t="n"/>
      <c r="U694" s="11" t="n">
        <v>27</v>
      </c>
      <c r="V694" s="11" t="n"/>
    </row>
    <row r="695">
      <c r="A695" s="14" t="n">
        <v>1309</v>
      </c>
      <c r="B695" s="14" t="inlineStr">
        <is>
          <t>ANGELOPOLIS</t>
        </is>
      </c>
      <c r="C695" s="14" t="inlineStr">
        <is>
          <t>Angelópolis</t>
        </is>
      </c>
      <c r="D695" s="14" t="inlineStr">
        <is>
          <t>Antioquia</t>
        </is>
      </c>
      <c r="E695" s="14" t="inlineStr">
        <is>
          <t>ANTIOQUIA</t>
        </is>
      </c>
      <c r="F695" s="14" t="inlineStr">
        <is>
          <t>Juan Pablo Osorio Ramirez</t>
        </is>
      </c>
      <c r="G695" s="14" t="inlineStr">
        <is>
          <t>1</t>
        </is>
      </c>
      <c r="H695" s="15" t="n">
        <v>46317</v>
      </c>
      <c r="I695" s="15" t="n">
        <v>46317</v>
      </c>
      <c r="J695" s="15" t="n"/>
      <c r="K695" s="15" t="n"/>
      <c r="L695" s="14" t="inlineStr">
        <is>
          <t>Programada</t>
        </is>
      </c>
      <c r="M695" s="15" t="n"/>
      <c r="N695" s="14">
        <f>SI(O(H695="";J695="");"";SI(J695&lt;=H695;"SÍ";"NO"))</f>
        <v/>
      </c>
      <c r="O695" s="14">
        <f>SI(O(I695="";K695="");"";SI(K695&lt;=SI(M695&lt;&gt;"";M695;I695);"SÍ";"NO"))</f>
        <v/>
      </c>
      <c r="P695" s="14">
        <f>SI(O(N695="";O695="");"";SI(Y(N695="SÍ";O695="SÍ");"SÍ";"NO"))</f>
        <v/>
      </c>
      <c r="Q695" s="16">
        <f>SI(O(I695="";K695="");"";MAX(0;ENTERO(K695)-ENTERO(SI(M695&lt;&gt;"";M695;I695))))</f>
        <v/>
      </c>
      <c r="R695" s="14" t="n"/>
      <c r="S695" s="14" t="n"/>
      <c r="T695" s="15" t="n"/>
      <c r="U695" s="14" t="n">
        <v>13</v>
      </c>
      <c r="V695" s="14" t="n"/>
    </row>
    <row r="696">
      <c r="A696" s="11" t="n">
        <v>1360</v>
      </c>
      <c r="B696" s="11" t="inlineStr">
        <is>
          <t>HELICONIA</t>
        </is>
      </c>
      <c r="C696" s="11" t="inlineStr">
        <is>
          <t>Heliconia</t>
        </is>
      </c>
      <c r="D696" s="11" t="inlineStr">
        <is>
          <t>Antioquia</t>
        </is>
      </c>
      <c r="E696" s="11" t="inlineStr">
        <is>
          <t>ANTIOQUIA</t>
        </is>
      </c>
      <c r="F696" s="11" t="inlineStr">
        <is>
          <t>Juan Pablo Osorio Ramirez</t>
        </is>
      </c>
      <c r="G696" s="11" t="inlineStr">
        <is>
          <t>2</t>
        </is>
      </c>
      <c r="H696" s="12" t="n">
        <v>46317</v>
      </c>
      <c r="I696" s="12" t="n">
        <v>46317</v>
      </c>
      <c r="J696" s="12" t="n"/>
      <c r="K696" s="12" t="n"/>
      <c r="L696" s="11" t="inlineStr">
        <is>
          <t>Programada</t>
        </is>
      </c>
      <c r="M696" s="12" t="n"/>
      <c r="N696" s="11">
        <f>SI(O(H696="";J696="");"";SI(J696&lt;=H696;"SÍ";"NO"))</f>
        <v/>
      </c>
      <c r="O696" s="11">
        <f>SI(O(I696="";K696="");"";SI(K696&lt;=SI(M696&lt;&gt;"";M696;I696);"SÍ";"NO"))</f>
        <v/>
      </c>
      <c r="P696" s="11">
        <f>SI(O(N696="";O696="");"";SI(Y(N696="SÍ";O696="SÍ");"SÍ";"NO"))</f>
        <v/>
      </c>
      <c r="Q696" s="13">
        <f>SI(O(I696="";K696="");"";MAX(0;ENTERO(K696)-ENTERO(SI(M696&lt;&gt;"";M696;I696))))</f>
        <v/>
      </c>
      <c r="R696" s="11" t="n"/>
      <c r="S696" s="11" t="n"/>
      <c r="T696" s="12" t="n"/>
      <c r="U696" s="11" t="n">
        <v>14</v>
      </c>
      <c r="V696" s="11" t="n"/>
    </row>
    <row r="697">
      <c r="A697" s="14" t="n">
        <v>1430</v>
      </c>
      <c r="B697" s="14" t="inlineStr">
        <is>
          <t>PUERTO NARE</t>
        </is>
      </c>
      <c r="C697" s="14" t="inlineStr">
        <is>
          <t>Puerto Nare</t>
        </is>
      </c>
      <c r="D697" s="14" t="inlineStr">
        <is>
          <t>Antioquia</t>
        </is>
      </c>
      <c r="E697" s="14" t="inlineStr">
        <is>
          <t>ANTIOQUIA</t>
        </is>
      </c>
      <c r="F697" s="14" t="inlineStr">
        <is>
          <t>Andrés Mariano Bustamante Castro</t>
        </is>
      </c>
      <c r="G697" s="14" t="inlineStr">
        <is>
          <t>1</t>
        </is>
      </c>
      <c r="H697" s="15" t="n">
        <v>46317</v>
      </c>
      <c r="I697" s="15" t="n">
        <v>46317</v>
      </c>
      <c r="J697" s="15" t="n"/>
      <c r="K697" s="15" t="n"/>
      <c r="L697" s="14" t="inlineStr">
        <is>
          <t>Programada</t>
        </is>
      </c>
      <c r="M697" s="15" t="n"/>
      <c r="N697" s="14">
        <f>SI(O(H697="";J697="");"";SI(J697&lt;=H697;"SÍ";"NO"))</f>
        <v/>
      </c>
      <c r="O697" s="14">
        <f>SI(O(I697="";K697="");"";SI(K697&lt;=SI(M697&lt;&gt;"";M697;I697);"SÍ";"NO"))</f>
        <v/>
      </c>
      <c r="P697" s="14">
        <f>SI(O(N697="";O697="");"";SI(Y(N697="SÍ";O697="SÍ");"SÍ";"NO"))</f>
        <v/>
      </c>
      <c r="Q697" s="16">
        <f>SI(O(I697="";K697="");"";MAX(0;ENTERO(K697)-ENTERO(SI(M697&lt;&gt;"";M697;I697))))</f>
        <v/>
      </c>
      <c r="R697" s="14" t="n"/>
      <c r="S697" s="14" t="n"/>
      <c r="T697" s="15" t="n"/>
      <c r="U697" s="14" t="n">
        <v>13</v>
      </c>
      <c r="V697" s="14" t="n"/>
    </row>
    <row r="698">
      <c r="A698" s="11" t="n">
        <v>1853</v>
      </c>
      <c r="B698" s="11" t="inlineStr">
        <is>
          <t>SAMANA</t>
        </is>
      </c>
      <c r="C698" s="11" t="inlineStr">
        <is>
          <t>Samaná</t>
        </is>
      </c>
      <c r="D698" s="11" t="inlineStr">
        <is>
          <t>Caldas</t>
        </is>
      </c>
      <c r="E698" s="11" t="inlineStr">
        <is>
          <t>CAFETERA</t>
        </is>
      </c>
      <c r="F698" s="11" t="inlineStr">
        <is>
          <t>JULIO  CESAR AUDELO  - ANDRES FELIPE BOTERO</t>
        </is>
      </c>
      <c r="G698" s="11" t="inlineStr">
        <is>
          <t>4</t>
        </is>
      </c>
      <c r="H698" s="12" t="n">
        <v>46317</v>
      </c>
      <c r="I698" s="12" t="n">
        <v>46318</v>
      </c>
      <c r="J698" s="12" t="n"/>
      <c r="K698" s="12" t="n"/>
      <c r="L698" s="11" t="inlineStr">
        <is>
          <t>Programada</t>
        </is>
      </c>
      <c r="M698" s="12" t="n"/>
      <c r="N698" s="11">
        <f>SI(O(H698="";J698="");"";SI(J698&lt;=H698;"SÍ";"NO"))</f>
        <v/>
      </c>
      <c r="O698" s="11">
        <f>SI(O(I698="";K698="");"";SI(K698&lt;=SI(M698&lt;&gt;"";M698;I698);"SÍ";"NO"))</f>
        <v/>
      </c>
      <c r="P698" s="11">
        <f>SI(O(N698="";O698="");"";SI(Y(N698="SÍ";O698="SÍ");"SÍ";"NO"))</f>
        <v/>
      </c>
      <c r="Q698" s="13">
        <f>SI(O(I698="";K698="");"";MAX(0;ENTERO(K698)-ENTERO(SI(M698&lt;&gt;"";M698;I698))))</f>
        <v/>
      </c>
      <c r="R698" s="11" t="n"/>
      <c r="S698" s="11" t="n"/>
      <c r="T698" s="12" t="n"/>
      <c r="U698" s="11" t="n">
        <v>26</v>
      </c>
      <c r="V698" s="11" t="n"/>
    </row>
    <row r="699">
      <c r="A699" s="14" t="n">
        <v>4828</v>
      </c>
      <c r="B699" s="14" t="inlineStr">
        <is>
          <t>EL ROSARIO</t>
        </is>
      </c>
      <c r="C699" s="14" t="inlineStr">
        <is>
          <t>El Rosario</t>
        </is>
      </c>
      <c r="D699" s="14" t="inlineStr">
        <is>
          <t>Nariño</t>
        </is>
      </c>
      <c r="E699" s="14" t="inlineStr">
        <is>
          <t>OCCIDENTE</t>
        </is>
      </c>
      <c r="F699" s="14" t="inlineStr">
        <is>
          <t>Juan Carlos Narvaez Acosta / Luis Fernando Ibarra Guio</t>
        </is>
      </c>
      <c r="G699" s="14" t="inlineStr">
        <is>
          <t>1</t>
        </is>
      </c>
      <c r="H699" s="15" t="n">
        <v>46317</v>
      </c>
      <c r="I699" s="15" t="n">
        <v>46317</v>
      </c>
      <c r="J699" s="15" t="n"/>
      <c r="K699" s="15" t="n"/>
      <c r="L699" s="14" t="inlineStr">
        <is>
          <t>Programada</t>
        </is>
      </c>
      <c r="M699" s="15" t="n"/>
      <c r="N699" s="14">
        <f>SI(O(H699="";J699="");"";SI(J699&lt;=H699;"SÍ";"NO"))</f>
        <v/>
      </c>
      <c r="O699" s="14">
        <f>SI(O(I699="";K699="");"";SI(K699&lt;=SI(M699&lt;&gt;"";M699;I699);"SÍ";"NO"))</f>
        <v/>
      </c>
      <c r="P699" s="14">
        <f>SI(O(N699="";O699="");"";SI(Y(N699="SÍ";O699="SÍ");"SÍ";"NO"))</f>
        <v/>
      </c>
      <c r="Q699" s="16">
        <f>SI(O(I699="";K699="");"";MAX(0;ENTERO(K699)-ENTERO(SI(M699&lt;&gt;"";M699;I699))))</f>
        <v/>
      </c>
      <c r="R699" s="14" t="n"/>
      <c r="S699" s="14" t="n"/>
      <c r="T699" s="15" t="n"/>
      <c r="U699" s="14" t="n">
        <v>13</v>
      </c>
      <c r="V699" s="14" t="n"/>
    </row>
    <row r="700">
      <c r="A700" s="11" t="n">
        <v>6971</v>
      </c>
      <c r="B700" s="11" t="inlineStr">
        <is>
          <t>CANDELARIA</t>
        </is>
      </c>
      <c r="C700" s="11" t="inlineStr">
        <is>
          <t>Candelaria</t>
        </is>
      </c>
      <c r="D700" s="11" t="inlineStr">
        <is>
          <t>Valle del Cauca</t>
        </is>
      </c>
      <c r="E700" s="11" t="inlineStr">
        <is>
          <t>OCCIDENTE</t>
        </is>
      </c>
      <c r="F700" s="11" t="inlineStr">
        <is>
          <t>John Edwin Jimenez Chavez</t>
        </is>
      </c>
      <c r="G700" s="11" t="inlineStr">
        <is>
          <t>3</t>
        </is>
      </c>
      <c r="H700" s="12" t="n">
        <v>46317</v>
      </c>
      <c r="I700" s="12" t="n">
        <v>46317</v>
      </c>
      <c r="J700" s="12" t="n"/>
      <c r="K700" s="12" t="n"/>
      <c r="L700" s="11" t="inlineStr">
        <is>
          <t>Programada</t>
        </is>
      </c>
      <c r="M700" s="12" t="n"/>
      <c r="N700" s="11">
        <f>SI(O(H700="";J700="");"";SI(J700&lt;=H700;"SÍ";"NO"))</f>
        <v/>
      </c>
      <c r="O700" s="11">
        <f>SI(O(I700="";K700="");"";SI(K700&lt;=SI(M700&lt;&gt;"";M700;I700);"SÍ";"NO"))</f>
        <v/>
      </c>
      <c r="P700" s="11">
        <f>SI(O(N700="";O700="");"";SI(Y(N700="SÍ";O700="SÍ");"SÍ";"NO"))</f>
        <v/>
      </c>
      <c r="Q700" s="13">
        <f>SI(O(I700="";K700="");"";MAX(0;ENTERO(K700)-ENTERO(SI(M700&lt;&gt;"";M700;I700))))</f>
        <v/>
      </c>
      <c r="R700" s="11" t="n"/>
      <c r="S700" s="11" t="n"/>
      <c r="T700" s="12" t="n"/>
      <c r="U700" s="11" t="n">
        <v>26</v>
      </c>
      <c r="V700" s="11" t="n"/>
    </row>
    <row r="701">
      <c r="A701" s="14" t="n">
        <v>7510</v>
      </c>
      <c r="B701" s="14" t="inlineStr">
        <is>
          <t>BELEN DE LOS ANDAQUIES</t>
        </is>
      </c>
      <c r="C701" s="14" t="inlineStr">
        <is>
          <t>Belén De Los Andaquíes</t>
        </is>
      </c>
      <c r="D701" s="14" t="inlineStr">
        <is>
          <t>Caquetá</t>
        </is>
      </c>
      <c r="E701" s="14" t="inlineStr">
        <is>
          <t>SUR</t>
        </is>
      </c>
      <c r="F701" s="14" t="inlineStr">
        <is>
          <t>ERIKA VARGAS</t>
        </is>
      </c>
      <c r="G701" s="14" t="inlineStr">
        <is>
          <t>2</t>
        </is>
      </c>
      <c r="H701" s="15" t="n">
        <v>46317</v>
      </c>
      <c r="I701" s="15" t="n">
        <v>46317</v>
      </c>
      <c r="J701" s="15" t="n"/>
      <c r="K701" s="15" t="n"/>
      <c r="L701" s="14" t="inlineStr">
        <is>
          <t>Programada</t>
        </is>
      </c>
      <c r="M701" s="15" t="n"/>
      <c r="N701" s="14">
        <f>SI(O(H701="";J701="");"";SI(J701&lt;=H701;"SÍ";"NO"))</f>
        <v/>
      </c>
      <c r="O701" s="14">
        <f>SI(O(I701="";K701="");"";SI(K701&lt;=SI(M701&lt;&gt;"";M701;I701);"SÍ";"NO"))</f>
        <v/>
      </c>
      <c r="P701" s="14">
        <f>SI(O(N701="";O701="");"";SI(Y(N701="SÍ";O701="SÍ");"SÍ";"NO"))</f>
        <v/>
      </c>
      <c r="Q701" s="16">
        <f>SI(O(I701="";K701="");"";MAX(0;ENTERO(K701)-ENTERO(SI(M701&lt;&gt;"";M701;I701))))</f>
        <v/>
      </c>
      <c r="R701" s="14" t="n"/>
      <c r="S701" s="14" t="n"/>
      <c r="T701" s="15" t="n"/>
      <c r="U701" s="14" t="n">
        <v>14</v>
      </c>
      <c r="V701" s="14" t="n"/>
    </row>
    <row r="702">
      <c r="A702" s="11" t="n">
        <v>360</v>
      </c>
      <c r="B702" s="11" t="inlineStr">
        <is>
          <t>BOGOTÀ - CALLE CIEN</t>
        </is>
      </c>
      <c r="C702" s="11" t="inlineStr">
        <is>
          <t>Bogotá, D.C.</t>
        </is>
      </c>
      <c r="D702" s="11" t="inlineStr">
        <is>
          <t>Bogotá D.C</t>
        </is>
      </c>
      <c r="E702" s="11" t="inlineStr">
        <is>
          <t>BOGOTA</t>
        </is>
      </c>
      <c r="F702" s="11" t="inlineStr">
        <is>
          <t>Anderson Forero Mora</t>
        </is>
      </c>
      <c r="G702" s="11" t="inlineStr">
        <is>
          <t>3</t>
        </is>
      </c>
      <c r="H702" s="12" t="n">
        <v>46318</v>
      </c>
      <c r="I702" s="12" t="n">
        <v>46318</v>
      </c>
      <c r="J702" s="12" t="n"/>
      <c r="K702" s="12" t="n"/>
      <c r="L702" s="11" t="inlineStr">
        <is>
          <t>Programada</t>
        </is>
      </c>
      <c r="M702" s="12" t="n"/>
      <c r="N702" s="11">
        <f>SI(O(H702="";J702="");"";SI(J702&lt;=H702;"SÍ";"NO"))</f>
        <v/>
      </c>
      <c r="O702" s="11">
        <f>SI(O(I702="";K702="");"";SI(K702&lt;=SI(M702&lt;&gt;"";M702;I702);"SÍ";"NO"))</f>
        <v/>
      </c>
      <c r="P702" s="11">
        <f>SI(O(N702="";O702="");"";SI(Y(N702="SÍ";O702="SÍ");"SÍ";"NO"))</f>
        <v/>
      </c>
      <c r="Q702" s="13">
        <f>SI(O(I702="";K702="");"";MAX(0;ENTERO(K702)-ENTERO(SI(M702&lt;&gt;"";M702;I702))))</f>
        <v/>
      </c>
      <c r="R702" s="11" t="n"/>
      <c r="S702" s="11" t="n"/>
      <c r="T702" s="12" t="n"/>
      <c r="U702" s="11" t="n">
        <v>27</v>
      </c>
      <c r="V702" s="11" t="n"/>
    </row>
    <row r="703">
      <c r="A703" s="14" t="n">
        <v>1349</v>
      </c>
      <c r="B703" s="14" t="inlineStr">
        <is>
          <t>ARMENIA</t>
        </is>
      </c>
      <c r="C703" s="14" t="inlineStr">
        <is>
          <t>Armenia</t>
        </is>
      </c>
      <c r="D703" s="14" t="inlineStr">
        <is>
          <t>Antioquia</t>
        </is>
      </c>
      <c r="E703" s="14" t="inlineStr">
        <is>
          <t>ANTIOQUIA</t>
        </is>
      </c>
      <c r="F703" s="14" t="inlineStr">
        <is>
          <t>Juan Pablo Osorio Ramirez</t>
        </is>
      </c>
      <c r="G703" s="14" t="inlineStr">
        <is>
          <t>1</t>
        </is>
      </c>
      <c r="H703" s="15" t="n">
        <v>46318</v>
      </c>
      <c r="I703" s="15" t="n">
        <v>46318</v>
      </c>
      <c r="J703" s="15" t="n"/>
      <c r="K703" s="15" t="n"/>
      <c r="L703" s="14" t="inlineStr">
        <is>
          <t>Programada</t>
        </is>
      </c>
      <c r="M703" s="15" t="n"/>
      <c r="N703" s="14">
        <f>SI(O(H703="";J703="");"";SI(J703&lt;=H703;"SÍ";"NO"))</f>
        <v/>
      </c>
      <c r="O703" s="14">
        <f>SI(O(I703="";K703="");"";SI(K703&lt;=SI(M703&lt;&gt;"";M703;I703);"SÍ";"NO"))</f>
        <v/>
      </c>
      <c r="P703" s="14">
        <f>SI(O(N703="";O703="");"";SI(Y(N703="SÍ";O703="SÍ");"SÍ";"NO"))</f>
        <v/>
      </c>
      <c r="Q703" s="16">
        <f>SI(O(I703="";K703="");"";MAX(0;ENTERO(K703)-ENTERO(SI(M703&lt;&gt;"";M703;I703))))</f>
        <v/>
      </c>
      <c r="R703" s="14" t="n"/>
      <c r="S703" s="14" t="n"/>
      <c r="T703" s="15" t="n"/>
      <c r="U703" s="14" t="n">
        <v>13</v>
      </c>
      <c r="V703" s="14" t="n"/>
    </row>
    <row r="704">
      <c r="A704" s="11" t="n">
        <v>1366</v>
      </c>
      <c r="B704" s="11" t="inlineStr">
        <is>
          <t>PUERTO TRIUNFO</t>
        </is>
      </c>
      <c r="C704" s="11" t="inlineStr">
        <is>
          <t>Puerto Triunfo</t>
        </is>
      </c>
      <c r="D704" s="11" t="inlineStr">
        <is>
          <t>Antioquia</t>
        </is>
      </c>
      <c r="E704" s="11" t="inlineStr">
        <is>
          <t>ANTIOQUIA</t>
        </is>
      </c>
      <c r="F704" s="11" t="inlineStr">
        <is>
          <t>Andrés Mariano Bustamante Castro</t>
        </is>
      </c>
      <c r="G704" s="11" t="inlineStr">
        <is>
          <t>2</t>
        </is>
      </c>
      <c r="H704" s="12" t="n">
        <v>46318</v>
      </c>
      <c r="I704" s="12" t="n">
        <v>46318</v>
      </c>
      <c r="J704" s="12" t="n"/>
      <c r="K704" s="12" t="n"/>
      <c r="L704" s="11" t="inlineStr">
        <is>
          <t>Programada</t>
        </is>
      </c>
      <c r="M704" s="12" t="n"/>
      <c r="N704" s="11">
        <f>SI(O(H704="";J704="");"";SI(J704&lt;=H704;"SÍ";"NO"))</f>
        <v/>
      </c>
      <c r="O704" s="11">
        <f>SI(O(I704="";K704="");"";SI(K704&lt;=SI(M704&lt;&gt;"";M704;I704);"SÍ";"NO"))</f>
        <v/>
      </c>
      <c r="P704" s="11">
        <f>SI(O(N704="";O704="");"";SI(Y(N704="SÍ";O704="SÍ");"SÍ";"NO"))</f>
        <v/>
      </c>
      <c r="Q704" s="13">
        <f>SI(O(I704="";K704="");"";MAX(0;ENTERO(K704)-ENTERO(SI(M704&lt;&gt;"";M704;I704))))</f>
        <v/>
      </c>
      <c r="R704" s="11" t="n"/>
      <c r="S704" s="11" t="n"/>
      <c r="T704" s="12" t="n"/>
      <c r="U704" s="11" t="n">
        <v>15</v>
      </c>
      <c r="V704" s="11" t="n"/>
    </row>
    <row r="705">
      <c r="A705" s="14" t="n">
        <v>4862</v>
      </c>
      <c r="B705" s="14" t="inlineStr">
        <is>
          <t>SOTOMAYOR</t>
        </is>
      </c>
      <c r="C705" s="14" t="inlineStr">
        <is>
          <t>Los Andes</t>
        </is>
      </c>
      <c r="D705" s="14" t="inlineStr">
        <is>
          <t>Nariño</t>
        </is>
      </c>
      <c r="E705" s="14" t="inlineStr">
        <is>
          <t>OCCIDENTE</t>
        </is>
      </c>
      <c r="F705" s="14" t="inlineStr">
        <is>
          <t>Juan Carlos Narvaez Acosta / Luis Fernando Ibarra Guio</t>
        </is>
      </c>
      <c r="G705" s="14" t="inlineStr">
        <is>
          <t>2</t>
        </is>
      </c>
      <c r="H705" s="15" t="n">
        <v>46318</v>
      </c>
      <c r="I705" s="15" t="n">
        <v>46318</v>
      </c>
      <c r="J705" s="15" t="n"/>
      <c r="K705" s="15" t="n"/>
      <c r="L705" s="14" t="inlineStr">
        <is>
          <t>Programada</t>
        </is>
      </c>
      <c r="M705" s="15" t="n"/>
      <c r="N705" s="14">
        <f>SI(O(H705="";J705="");"";SI(J705&lt;=H705;"SÍ";"NO"))</f>
        <v/>
      </c>
      <c r="O705" s="14">
        <f>SI(O(I705="";K705="");"";SI(K705&lt;=SI(M705&lt;&gt;"";M705;I705);"SÍ";"NO"))</f>
        <v/>
      </c>
      <c r="P705" s="14">
        <f>SI(O(N705="";O705="");"";SI(Y(N705="SÍ";O705="SÍ");"SÍ";"NO"))</f>
        <v/>
      </c>
      <c r="Q705" s="16">
        <f>SI(O(I705="";K705="");"";MAX(0;ENTERO(K705)-ENTERO(SI(M705&lt;&gt;"";M705;I705))))</f>
        <v/>
      </c>
      <c r="R705" s="14" t="n"/>
      <c r="S705" s="14" t="n"/>
      <c r="T705" s="15" t="n"/>
      <c r="U705" s="14" t="n">
        <v>14</v>
      </c>
      <c r="V705" s="14" t="n"/>
    </row>
    <row r="706">
      <c r="A706" s="11" t="n">
        <v>230</v>
      </c>
      <c r="B706" s="11" t="inlineStr">
        <is>
          <t>BOGOTA - CAN</t>
        </is>
      </c>
      <c r="C706" s="11" t="inlineStr">
        <is>
          <t>Bogotá, D.C.</t>
        </is>
      </c>
      <c r="D706" s="11" t="inlineStr">
        <is>
          <t>Bogotá D.C</t>
        </is>
      </c>
      <c r="E706" s="11" t="inlineStr">
        <is>
          <t>BOGOTA</t>
        </is>
      </c>
      <c r="F706" s="11" t="inlineStr">
        <is>
          <t>Anderson Forero Mora</t>
        </is>
      </c>
      <c r="G706" s="11" t="inlineStr">
        <is>
          <t>4</t>
        </is>
      </c>
      <c r="H706" s="12" t="n">
        <v>46321</v>
      </c>
      <c r="I706" s="12" t="n">
        <v>46321</v>
      </c>
      <c r="J706" s="12" t="n"/>
      <c r="K706" s="12" t="n"/>
      <c r="L706" s="11" t="inlineStr">
        <is>
          <t>Programada</t>
        </is>
      </c>
      <c r="M706" s="12" t="n"/>
      <c r="N706" s="11">
        <f>SI(O(H706="";J706="");"";SI(J706&lt;=H706;"SÍ";"NO"))</f>
        <v/>
      </c>
      <c r="O706" s="11">
        <f>SI(O(I706="";K706="");"";SI(K706&lt;=SI(M706&lt;&gt;"";M706;I706);"SÍ";"NO"))</f>
        <v/>
      </c>
      <c r="P706" s="11">
        <f>SI(O(N706="";O706="");"";SI(Y(N706="SÍ";O706="SÍ");"SÍ";"NO"))</f>
        <v/>
      </c>
      <c r="Q706" s="13">
        <f>SI(O(I706="";K706="");"";MAX(0;ENTERO(K706)-ENTERO(SI(M706&lt;&gt;"";M706;I706))))</f>
        <v/>
      </c>
      <c r="R706" s="11" t="n"/>
      <c r="S706" s="11" t="n"/>
      <c r="T706" s="12" t="n"/>
      <c r="U706" s="11" t="n">
        <v>28</v>
      </c>
      <c r="V706" s="11" t="n"/>
    </row>
    <row r="707">
      <c r="A707" s="14" t="n">
        <v>4220</v>
      </c>
      <c r="B707" s="14" t="inlineStr">
        <is>
          <t>EL BANCO</t>
        </is>
      </c>
      <c r="C707" s="14" t="inlineStr">
        <is>
          <t>El Banco</t>
        </is>
      </c>
      <c r="D707" s="14" t="inlineStr">
        <is>
          <t>Magdalena</t>
        </is>
      </c>
      <c r="E707" s="14" t="inlineStr">
        <is>
          <t>COSTA</t>
        </is>
      </c>
      <c r="F707" s="14" t="inlineStr">
        <is>
          <t>Mauricio Andrés Rivera Páez</t>
        </is>
      </c>
      <c r="G707" s="14" t="inlineStr">
        <is>
          <t>6</t>
        </is>
      </c>
      <c r="H707" s="15" t="n">
        <v>46321</v>
      </c>
      <c r="I707" s="15" t="n">
        <v>46322</v>
      </c>
      <c r="J707" s="15" t="n"/>
      <c r="K707" s="15" t="n"/>
      <c r="L707" s="14" t="inlineStr">
        <is>
          <t>Programada</t>
        </is>
      </c>
      <c r="M707" s="15" t="n"/>
      <c r="N707" s="14">
        <f>SI(O(H707="";J707="");"";SI(J707&lt;=H707;"SÍ";"NO"))</f>
        <v/>
      </c>
      <c r="O707" s="14">
        <f>SI(O(I707="";K707="");"";SI(K707&lt;=SI(M707&lt;&gt;"";M707;I707);"SÍ";"NO"))</f>
        <v/>
      </c>
      <c r="P707" s="14">
        <f>SI(O(N707="";O707="");"";SI(Y(N707="SÍ";O707="SÍ");"SÍ";"NO"))</f>
        <v/>
      </c>
      <c r="Q707" s="16">
        <f>SI(O(I707="";K707="");"";MAX(0;ENTERO(K707)-ENTERO(SI(M707&lt;&gt;"";M707;I707))))</f>
        <v/>
      </c>
      <c r="R707" s="14" t="n"/>
      <c r="S707" s="14" t="n"/>
      <c r="T707" s="15" t="n"/>
      <c r="U707" s="14" t="n">
        <v>31</v>
      </c>
      <c r="V707" s="14" t="n"/>
    </row>
    <row r="708">
      <c r="A708" s="11" t="n">
        <v>4223</v>
      </c>
      <c r="B708" s="11" t="inlineStr">
        <is>
          <t>EL DIFICIL</t>
        </is>
      </c>
      <c r="C708" s="11" t="inlineStr">
        <is>
          <t>Ariguaní</t>
        </is>
      </c>
      <c r="D708" s="11" t="inlineStr">
        <is>
          <t>Magdalena</t>
        </is>
      </c>
      <c r="E708" s="11" t="inlineStr">
        <is>
          <t>COSTA</t>
        </is>
      </c>
      <c r="F708" s="11" t="inlineStr">
        <is>
          <t>Andrés Felipe Díaz Noy</t>
        </is>
      </c>
      <c r="G708" s="11" t="inlineStr">
        <is>
          <t>2</t>
        </is>
      </c>
      <c r="H708" s="12" t="n">
        <v>46321</v>
      </c>
      <c r="I708" s="12" t="n">
        <v>46322</v>
      </c>
      <c r="J708" s="12" t="n"/>
      <c r="K708" s="12" t="n"/>
      <c r="L708" s="11" t="inlineStr">
        <is>
          <t>Programada</t>
        </is>
      </c>
      <c r="M708" s="12" t="n"/>
      <c r="N708" s="11">
        <f>SI(O(H708="";J708="");"";SI(J708&lt;=H708;"SÍ";"NO"))</f>
        <v/>
      </c>
      <c r="O708" s="11">
        <f>SI(O(I708="";K708="");"";SI(K708&lt;=SI(M708&lt;&gt;"";M708;I708);"SÍ";"NO"))</f>
        <v/>
      </c>
      <c r="P708" s="11">
        <f>SI(O(N708="";O708="");"";SI(Y(N708="SÍ";O708="SÍ");"SÍ";"NO"))</f>
        <v/>
      </c>
      <c r="Q708" s="13">
        <f>SI(O(I708="";K708="");"";MAX(0;ENTERO(K708)-ENTERO(SI(M708&lt;&gt;"";M708;I708))))</f>
        <v/>
      </c>
      <c r="R708" s="11" t="n"/>
      <c r="S708" s="11" t="n"/>
      <c r="T708" s="12" t="n"/>
      <c r="U708" s="11" t="n">
        <v>15</v>
      </c>
      <c r="V708" s="11" t="n"/>
    </row>
    <row r="709">
      <c r="A709" s="14" t="n">
        <v>4230</v>
      </c>
      <c r="B709" s="14" t="inlineStr">
        <is>
          <t>GUAMAL</t>
        </is>
      </c>
      <c r="C709" s="14" t="inlineStr">
        <is>
          <t>Guamal</t>
        </is>
      </c>
      <c r="D709" s="14" t="inlineStr">
        <is>
          <t>Magdalena</t>
        </is>
      </c>
      <c r="E709" s="14" t="inlineStr">
        <is>
          <t>COSTA</t>
        </is>
      </c>
      <c r="F709" s="14" t="inlineStr">
        <is>
          <t>Andrés Felipe Carvajal Pire</t>
        </is>
      </c>
      <c r="G709" s="14" t="inlineStr">
        <is>
          <t>3</t>
        </is>
      </c>
      <c r="H709" s="15" t="n">
        <v>46321</v>
      </c>
      <c r="I709" s="15" t="n">
        <v>46322</v>
      </c>
      <c r="J709" s="15" t="n"/>
      <c r="K709" s="15" t="n"/>
      <c r="L709" s="14" t="inlineStr">
        <is>
          <t>Programada</t>
        </is>
      </c>
      <c r="M709" s="15" t="n"/>
      <c r="N709" s="14">
        <f>SI(O(H709="";J709="");"";SI(J709&lt;=H709;"SÍ";"NO"))</f>
        <v/>
      </c>
      <c r="O709" s="14">
        <f>SI(O(I709="";K709="");"";SI(K709&lt;=SI(M709&lt;&gt;"";M709;I709);"SÍ";"NO"))</f>
        <v/>
      </c>
      <c r="P709" s="14">
        <f>SI(O(N709="";O709="");"";SI(Y(N709="SÍ";O709="SÍ");"SÍ";"NO"))</f>
        <v/>
      </c>
      <c r="Q709" s="16">
        <f>SI(O(I709="";K709="");"";MAX(0;ENTERO(K709)-ENTERO(SI(M709&lt;&gt;"";M709;I709))))</f>
        <v/>
      </c>
      <c r="R709" s="14" t="n"/>
      <c r="S709" s="14" t="n"/>
      <c r="T709" s="15" t="n"/>
      <c r="U709" s="14" t="n">
        <v>25</v>
      </c>
      <c r="V709" s="14" t="n"/>
    </row>
    <row r="710">
      <c r="A710" s="11" t="n">
        <v>4260</v>
      </c>
      <c r="B710" s="11" t="inlineStr">
        <is>
          <t>SAN SEBASTIAN</t>
        </is>
      </c>
      <c r="C710" s="11" t="inlineStr">
        <is>
          <t>San Sebastián De Buenavista</t>
        </is>
      </c>
      <c r="D710" s="11" t="inlineStr">
        <is>
          <t>Magdalena</t>
        </is>
      </c>
      <c r="E710" s="11" t="inlineStr">
        <is>
          <t>COSTA</t>
        </is>
      </c>
      <c r="F710" s="11" t="inlineStr">
        <is>
          <t>Luz Nélida Barragán Toro</t>
        </is>
      </c>
      <c r="G710" s="11" t="inlineStr">
        <is>
          <t>1</t>
        </is>
      </c>
      <c r="H710" s="12" t="n">
        <v>46321</v>
      </c>
      <c r="I710" s="12" t="n">
        <v>46322</v>
      </c>
      <c r="J710" s="12" t="n"/>
      <c r="K710" s="12" t="n"/>
      <c r="L710" s="11" t="inlineStr">
        <is>
          <t>Programada</t>
        </is>
      </c>
      <c r="M710" s="12" t="n"/>
      <c r="N710" s="11">
        <f>SI(O(H710="";J710="");"";SI(J710&lt;=H710;"SÍ";"NO"))</f>
        <v/>
      </c>
      <c r="O710" s="11">
        <f>SI(O(I710="";K710="");"";SI(K710&lt;=SI(M710&lt;&gt;"";M710;I710);"SÍ";"NO"))</f>
        <v/>
      </c>
      <c r="P710" s="11">
        <f>SI(O(N710="";O710="");"";SI(Y(N710="SÍ";O710="SÍ");"SÍ";"NO"))</f>
        <v/>
      </c>
      <c r="Q710" s="13">
        <f>SI(O(I710="";K710="");"";MAX(0;ENTERO(K710)-ENTERO(SI(M710&lt;&gt;"";M710;I710))))</f>
        <v/>
      </c>
      <c r="R710" s="11" t="n"/>
      <c r="S710" s="11" t="n"/>
      <c r="T710" s="12" t="n"/>
      <c r="U710" s="11" t="n">
        <v>13</v>
      </c>
      <c r="V710" s="11" t="n"/>
    </row>
    <row r="711">
      <c r="A711" s="14" t="n">
        <v>4263</v>
      </c>
      <c r="B711" s="14" t="inlineStr">
        <is>
          <t>SANTA ANA</t>
        </is>
      </c>
      <c r="C711" s="14" t="inlineStr">
        <is>
          <t>Santa Ana</t>
        </is>
      </c>
      <c r="D711" s="14" t="inlineStr">
        <is>
          <t>Magdalena</t>
        </is>
      </c>
      <c r="E711" s="14" t="inlineStr">
        <is>
          <t>COSTA</t>
        </is>
      </c>
      <c r="F711" s="14" t="inlineStr">
        <is>
          <t>Luz Nélida Barragán Toro</t>
        </is>
      </c>
      <c r="G711" s="14" t="inlineStr">
        <is>
          <t>3</t>
        </is>
      </c>
      <c r="H711" s="15" t="n">
        <v>46321</v>
      </c>
      <c r="I711" s="15" t="n">
        <v>46322</v>
      </c>
      <c r="J711" s="15" t="n"/>
      <c r="K711" s="15" t="n"/>
      <c r="L711" s="14" t="inlineStr">
        <is>
          <t>Programada</t>
        </is>
      </c>
      <c r="M711" s="15" t="n"/>
      <c r="N711" s="14">
        <f>SI(O(H711="";J711="");"";SI(J711&lt;=H711;"SÍ";"NO"))</f>
        <v/>
      </c>
      <c r="O711" s="14">
        <f>SI(O(I711="";K711="");"";SI(K711&lt;=SI(M711&lt;&gt;"";M711;I711);"SÍ";"NO"))</f>
        <v/>
      </c>
      <c r="P711" s="14">
        <f>SI(O(N711="";O711="");"";SI(Y(N711="SÍ";O711="SÍ");"SÍ";"NO"))</f>
        <v/>
      </c>
      <c r="Q711" s="16">
        <f>SI(O(I711="";K711="");"";MAX(0;ENTERO(K711)-ENTERO(SI(M711&lt;&gt;"";M711;I711))))</f>
        <v/>
      </c>
      <c r="R711" s="14" t="n"/>
      <c r="S711" s="14" t="n"/>
      <c r="T711" s="15" t="n"/>
      <c r="U711" s="14" t="n">
        <v>20</v>
      </c>
      <c r="V711" s="14" t="n"/>
    </row>
    <row r="712">
      <c r="A712" s="11" t="n">
        <v>6972</v>
      </c>
      <c r="B712" s="11" t="inlineStr">
        <is>
          <t>ZARZAL</t>
        </is>
      </c>
      <c r="C712" s="11" t="inlineStr">
        <is>
          <t>Zarzal</t>
        </is>
      </c>
      <c r="D712" s="11" t="inlineStr">
        <is>
          <t>Valle del Cauca</t>
        </is>
      </c>
      <c r="E712" s="11" t="inlineStr">
        <is>
          <t>CAFETERA</t>
        </is>
      </c>
      <c r="F712" s="11" t="inlineStr">
        <is>
          <t>Alvaro Augusto Villalba Villamil</t>
        </is>
      </c>
      <c r="G712" s="11" t="inlineStr">
        <is>
          <t>2</t>
        </is>
      </c>
      <c r="H712" s="12" t="n">
        <v>46321</v>
      </c>
      <c r="I712" s="12" t="n">
        <v>46321</v>
      </c>
      <c r="J712" s="12" t="n"/>
      <c r="K712" s="12" t="n"/>
      <c r="L712" s="11" t="inlineStr">
        <is>
          <t>Programada</t>
        </is>
      </c>
      <c r="M712" s="12" t="n"/>
      <c r="N712" s="11">
        <f>SI(O(H712="";J712="");"";SI(J712&lt;=H712;"SÍ";"NO"))</f>
        <v/>
      </c>
      <c r="O712" s="11">
        <f>SI(O(I712="";K712="");"";SI(K712&lt;=SI(M712&lt;&gt;"";M712;I712);"SÍ";"NO"))</f>
        <v/>
      </c>
      <c r="P712" s="11">
        <f>SI(O(N712="";O712="");"";SI(Y(N712="SÍ";O712="SÍ");"SÍ";"NO"))</f>
        <v/>
      </c>
      <c r="Q712" s="13">
        <f>SI(O(I712="";K712="");"";MAX(0;ENTERO(K712)-ENTERO(SI(M712&lt;&gt;"";M712;I712))))</f>
        <v/>
      </c>
      <c r="R712" s="11" t="n"/>
      <c r="S712" s="11" t="n"/>
      <c r="T712" s="12" t="n"/>
      <c r="U712" s="11" t="n">
        <v>27</v>
      </c>
      <c r="V712" s="11" t="n"/>
    </row>
    <row r="713">
      <c r="A713" s="14" t="n">
        <v>7565</v>
      </c>
      <c r="B713" s="14" t="inlineStr">
        <is>
          <t>SAN VICENTE DEL CAGUAN</t>
        </is>
      </c>
      <c r="C713" s="14" t="inlineStr">
        <is>
          <t>San Vicente Del Caguán</t>
        </is>
      </c>
      <c r="D713" s="14" t="inlineStr">
        <is>
          <t>Caquetá</t>
        </is>
      </c>
      <c r="E713" s="14" t="inlineStr">
        <is>
          <t>SUR</t>
        </is>
      </c>
      <c r="F713" s="14" t="inlineStr">
        <is>
          <t>ERIKA VARGAS</t>
        </is>
      </c>
      <c r="G713" s="14" t="inlineStr">
        <is>
          <t>9</t>
        </is>
      </c>
      <c r="H713" s="15" t="n">
        <v>46321</v>
      </c>
      <c r="I713" s="15" t="n">
        <v>46322</v>
      </c>
      <c r="J713" s="15" t="n"/>
      <c r="K713" s="15" t="n"/>
      <c r="L713" s="14" t="inlineStr">
        <is>
          <t>Programada</t>
        </is>
      </c>
      <c r="M713" s="15" t="n"/>
      <c r="N713" s="14">
        <f>SI(O(H713="";J713="");"";SI(J713&lt;=H713;"SÍ";"NO"))</f>
        <v/>
      </c>
      <c r="O713" s="14">
        <f>SI(O(I713="";K713="");"";SI(K713&lt;=SI(M713&lt;&gt;"";M713;I713);"SÍ";"NO"))</f>
        <v/>
      </c>
      <c r="P713" s="14">
        <f>SI(O(N713="";O713="");"";SI(Y(N713="SÍ";O713="SÍ");"SÍ";"NO"))</f>
        <v/>
      </c>
      <c r="Q713" s="16">
        <f>SI(O(I713="";K713="");"";MAX(0;ENTERO(K713)-ENTERO(SI(M713&lt;&gt;"";M713;I713))))</f>
        <v/>
      </c>
      <c r="R713" s="14" t="n"/>
      <c r="S713" s="14" t="n"/>
      <c r="T713" s="15" t="n"/>
      <c r="U713" s="14" t="n">
        <v>48</v>
      </c>
      <c r="V713" s="14" t="n"/>
    </row>
    <row r="714">
      <c r="A714" s="11" t="n">
        <v>890</v>
      </c>
      <c r="B714" s="11" t="inlineStr">
        <is>
          <t>BOGOTA - USME</t>
        </is>
      </c>
      <c r="C714" s="11" t="inlineStr">
        <is>
          <t>Bogotá, D.C.</t>
        </is>
      </c>
      <c r="D714" s="11" t="inlineStr">
        <is>
          <t>Bogotá D.C</t>
        </is>
      </c>
      <c r="E714" s="11" t="inlineStr">
        <is>
          <t>BOGOTA</t>
        </is>
      </c>
      <c r="F714" s="11" t="inlineStr">
        <is>
          <t>Anderson Forero Mora</t>
        </is>
      </c>
      <c r="G714" s="11" t="inlineStr">
        <is>
          <t>3</t>
        </is>
      </c>
      <c r="H714" s="12" t="n">
        <v>46322</v>
      </c>
      <c r="I714" s="12" t="n">
        <v>46322</v>
      </c>
      <c r="J714" s="12" t="n"/>
      <c r="K714" s="12" t="n"/>
      <c r="L714" s="11" t="inlineStr">
        <is>
          <t>Programada</t>
        </is>
      </c>
      <c r="M714" s="12" t="n"/>
      <c r="N714" s="11">
        <f>SI(O(H714="";J714="");"";SI(J714&lt;=H714;"SÍ";"NO"))</f>
        <v/>
      </c>
      <c r="O714" s="11">
        <f>SI(O(I714="";K714="");"";SI(K714&lt;=SI(M714&lt;&gt;"";M714;I714);"SÍ";"NO"))</f>
        <v/>
      </c>
      <c r="P714" s="11">
        <f>SI(O(N714="";O714="");"";SI(Y(N714="SÍ";O714="SÍ");"SÍ";"NO"))</f>
        <v/>
      </c>
      <c r="Q714" s="13">
        <f>SI(O(I714="";K714="");"";MAX(0;ENTERO(K714)-ENTERO(SI(M714&lt;&gt;"";M714;I714))))</f>
        <v/>
      </c>
      <c r="R714" s="11" t="n"/>
      <c r="S714" s="11" t="n"/>
      <c r="T714" s="12" t="n"/>
      <c r="U714" s="11" t="n">
        <v>20</v>
      </c>
      <c r="V714" s="11" t="n"/>
    </row>
    <row r="715">
      <c r="A715" s="14" t="n">
        <v>1448</v>
      </c>
      <c r="B715" s="14" t="inlineStr">
        <is>
          <t>EL PEÑOL</t>
        </is>
      </c>
      <c r="C715" s="14" t="inlineStr">
        <is>
          <t>Peñol</t>
        </is>
      </c>
      <c r="D715" s="14" t="inlineStr">
        <is>
          <t>Antioquia</t>
        </is>
      </c>
      <c r="E715" s="14" t="inlineStr">
        <is>
          <t>ANTIOQUIA</t>
        </is>
      </c>
      <c r="F715" s="14" t="inlineStr">
        <is>
          <t>Juan Pablo Osorio Ramirez</t>
        </is>
      </c>
      <c r="G715" s="14" t="inlineStr">
        <is>
          <t>1</t>
        </is>
      </c>
      <c r="H715" s="15" t="n">
        <v>46322</v>
      </c>
      <c r="I715" s="15" t="n">
        <v>46322</v>
      </c>
      <c r="J715" s="15" t="n"/>
      <c r="K715" s="15" t="n"/>
      <c r="L715" s="14" t="inlineStr">
        <is>
          <t>Programada</t>
        </is>
      </c>
      <c r="M715" s="15" t="n"/>
      <c r="N715" s="14">
        <f>SI(O(H715="";J715="");"";SI(J715&lt;=H715;"SÍ";"NO"))</f>
        <v/>
      </c>
      <c r="O715" s="14">
        <f>SI(O(I715="";K715="");"";SI(K715&lt;=SI(M715&lt;&gt;"";M715;I715);"SÍ";"NO"))</f>
        <v/>
      </c>
      <c r="P715" s="14">
        <f>SI(O(N715="";O715="");"";SI(Y(N715="SÍ";O715="SÍ");"SÍ";"NO"))</f>
        <v/>
      </c>
      <c r="Q715" s="16">
        <f>SI(O(I715="";K715="");"";MAX(0;ENTERO(K715)-ENTERO(SI(M715&lt;&gt;"";M715;I715))))</f>
        <v/>
      </c>
      <c r="R715" s="14" t="n"/>
      <c r="S715" s="14" t="n"/>
      <c r="T715" s="15" t="n"/>
      <c r="U715" s="14" t="n">
        <v>15</v>
      </c>
      <c r="V715" s="14" t="n"/>
    </row>
    <row r="716">
      <c r="A716" s="11" t="n">
        <v>1833</v>
      </c>
      <c r="B716" s="11" t="inlineStr">
        <is>
          <t>MARQUETALIA</t>
        </is>
      </c>
      <c r="C716" s="11" t="inlineStr">
        <is>
          <t>Marquetalia</t>
        </is>
      </c>
      <c r="D716" s="11" t="inlineStr">
        <is>
          <t>Caldas</t>
        </is>
      </c>
      <c r="E716" s="11" t="inlineStr">
        <is>
          <t>CAFETERA</t>
        </is>
      </c>
      <c r="F716" s="11" t="inlineStr">
        <is>
          <t>JULIO  CESAR AUDELO  - ANDRES FELIPE BOTERO</t>
        </is>
      </c>
      <c r="G716" s="11" t="inlineStr">
        <is>
          <t>1</t>
        </is>
      </c>
      <c r="H716" s="12" t="n">
        <v>46322</v>
      </c>
      <c r="I716" s="12" t="n">
        <v>46323</v>
      </c>
      <c r="J716" s="12" t="n"/>
      <c r="K716" s="12" t="n"/>
      <c r="L716" s="11" t="inlineStr">
        <is>
          <t>Programada</t>
        </is>
      </c>
      <c r="M716" s="12" t="n"/>
      <c r="N716" s="11">
        <f>SI(O(H716="";J716="");"";SI(J716&lt;=H716;"SÍ";"NO"))</f>
        <v/>
      </c>
      <c r="O716" s="11">
        <f>SI(O(I716="";K716="");"";SI(K716&lt;=SI(M716&lt;&gt;"";M716;I716);"SÍ";"NO"))</f>
        <v/>
      </c>
      <c r="P716" s="11">
        <f>SI(O(N716="";O716="");"";SI(Y(N716="SÍ";O716="SÍ");"SÍ";"NO"))</f>
        <v/>
      </c>
      <c r="Q716" s="13">
        <f>SI(O(I716="";K716="");"";MAX(0;ENTERO(K716)-ENTERO(SI(M716&lt;&gt;"";M716;I716))))</f>
        <v/>
      </c>
      <c r="R716" s="11" t="n"/>
      <c r="S716" s="11" t="n"/>
      <c r="T716" s="12" t="n"/>
      <c r="U716" s="11" t="n">
        <v>18</v>
      </c>
      <c r="V716" s="11" t="n"/>
    </row>
    <row r="717">
      <c r="A717" s="14" t="n">
        <v>2180</v>
      </c>
      <c r="B717" s="14" t="inlineStr">
        <is>
          <t>TIMBIQUI</t>
        </is>
      </c>
      <c r="C717" s="14" t="inlineStr">
        <is>
          <t>Timbiquí</t>
        </is>
      </c>
      <c r="D717" s="14" t="inlineStr">
        <is>
          <t>Cauca</t>
        </is>
      </c>
      <c r="E717" s="14" t="inlineStr">
        <is>
          <t>OCCIDENTE</t>
        </is>
      </c>
      <c r="F717" s="14" t="inlineStr">
        <is>
          <t>Holmes Arley Astudillo Fajardo</t>
        </is>
      </c>
      <c r="G717" s="14" t="inlineStr">
        <is>
          <t>1</t>
        </is>
      </c>
      <c r="H717" s="15" t="n">
        <v>46322</v>
      </c>
      <c r="I717" s="15" t="n">
        <v>46322</v>
      </c>
      <c r="J717" s="15" t="n"/>
      <c r="K717" s="15" t="n"/>
      <c r="L717" s="14" t="inlineStr">
        <is>
          <t>Programada</t>
        </is>
      </c>
      <c r="M717" s="15" t="n"/>
      <c r="N717" s="14">
        <f>SI(O(H717="";J717="");"";SI(J717&lt;=H717;"SÍ";"NO"))</f>
        <v/>
      </c>
      <c r="O717" s="14">
        <f>SI(O(I717="";K717="");"";SI(K717&lt;=SI(M717&lt;&gt;"";M717;I717);"SÍ";"NO"))</f>
        <v/>
      </c>
      <c r="P717" s="14">
        <f>SI(O(N717="";O717="");"";SI(Y(N717="SÍ";O717="SÍ");"SÍ";"NO"))</f>
        <v/>
      </c>
      <c r="Q717" s="16">
        <f>SI(O(I717="";K717="");"";MAX(0;ENTERO(K717)-ENTERO(SI(M717&lt;&gt;"";M717;I717))))</f>
        <v/>
      </c>
      <c r="R717" s="14" t="n"/>
      <c r="S717" s="14" t="n"/>
      <c r="T717" s="15" t="n"/>
      <c r="U717" s="14" t="n">
        <v>13</v>
      </c>
      <c r="V717" s="14" t="n"/>
    </row>
    <row r="718">
      <c r="A718" s="11" t="n">
        <v>4205</v>
      </c>
      <c r="B718" s="11" t="inlineStr">
        <is>
          <t>CHIVOLO</t>
        </is>
      </c>
      <c r="C718" s="11" t="inlineStr">
        <is>
          <t>Chivolo</t>
        </is>
      </c>
      <c r="D718" s="11" t="inlineStr">
        <is>
          <t>Magdalena</t>
        </is>
      </c>
      <c r="E718" s="11" t="inlineStr">
        <is>
          <t>COSTA</t>
        </is>
      </c>
      <c r="F718" s="11" t="inlineStr">
        <is>
          <t>Andrés Felipe Díaz Noy</t>
        </is>
      </c>
      <c r="G718" s="11" t="inlineStr">
        <is>
          <t>2</t>
        </is>
      </c>
      <c r="H718" s="12" t="n">
        <v>46322</v>
      </c>
      <c r="I718" s="12" t="n">
        <v>46323</v>
      </c>
      <c r="J718" s="12" t="n"/>
      <c r="K718" s="12" t="n"/>
      <c r="L718" s="11" t="inlineStr">
        <is>
          <t>Programada</t>
        </is>
      </c>
      <c r="M718" s="12" t="n"/>
      <c r="N718" s="11">
        <f>SI(O(H718="";J718="");"";SI(J718&lt;=H718;"SÍ";"NO"))</f>
        <v/>
      </c>
      <c r="O718" s="11">
        <f>SI(O(I718="";K718="");"";SI(K718&lt;=SI(M718&lt;&gt;"";M718;I718);"SÍ";"NO"))</f>
        <v/>
      </c>
      <c r="P718" s="11">
        <f>SI(O(N718="";O718="");"";SI(Y(N718="SÍ";O718="SÍ");"SÍ";"NO"))</f>
        <v/>
      </c>
      <c r="Q718" s="13">
        <f>SI(O(I718="";K718="");"";MAX(0;ENTERO(K718)-ENTERO(SI(M718&lt;&gt;"";M718;I718))))</f>
        <v/>
      </c>
      <c r="R718" s="11" t="n"/>
      <c r="S718" s="11" t="n"/>
      <c r="T718" s="12" t="n"/>
      <c r="U718" s="11" t="n">
        <v>14</v>
      </c>
      <c r="V718" s="11" t="n"/>
    </row>
    <row r="719">
      <c r="A719" s="14" t="n">
        <v>4240</v>
      </c>
      <c r="B719" s="14" t="inlineStr">
        <is>
          <t>PIVIJAY</t>
        </is>
      </c>
      <c r="C719" s="14" t="inlineStr">
        <is>
          <t>Pivijay</t>
        </is>
      </c>
      <c r="D719" s="14" t="inlineStr">
        <is>
          <t>Magdalena</t>
        </is>
      </c>
      <c r="E719" s="14" t="inlineStr">
        <is>
          <t>COSTA</t>
        </is>
      </c>
      <c r="F719" s="14" t="inlineStr">
        <is>
          <t>Mauricio Andrés Rivera Páez</t>
        </is>
      </c>
      <c r="G719" s="14" t="inlineStr">
        <is>
          <t>4</t>
        </is>
      </c>
      <c r="H719" s="15" t="n">
        <v>46322</v>
      </c>
      <c r="I719" s="15" t="n">
        <v>46323</v>
      </c>
      <c r="J719" s="15" t="n"/>
      <c r="K719" s="15" t="n"/>
      <c r="L719" s="14" t="inlineStr">
        <is>
          <t>Programada</t>
        </is>
      </c>
      <c r="M719" s="15" t="n"/>
      <c r="N719" s="14">
        <f>SI(O(H719="";J719="");"";SI(J719&lt;=H719;"SÍ";"NO"))</f>
        <v/>
      </c>
      <c r="O719" s="14">
        <f>SI(O(I719="";K719="");"";SI(K719&lt;=SI(M719&lt;&gt;"";M719;I719);"SÍ";"NO"))</f>
        <v/>
      </c>
      <c r="P719" s="14">
        <f>SI(O(N719="";O719="");"";SI(Y(N719="SÍ";O719="SÍ");"SÍ";"NO"))</f>
        <v/>
      </c>
      <c r="Q719" s="16">
        <f>SI(O(I719="";K719="");"";MAX(0;ENTERO(K719)-ENTERO(SI(M719&lt;&gt;"";M719;I719))))</f>
        <v/>
      </c>
      <c r="R719" s="14" t="n"/>
      <c r="S719" s="14" t="n"/>
      <c r="T719" s="15" t="n"/>
      <c r="U719" s="14" t="n">
        <v>24</v>
      </c>
      <c r="V719" s="14" t="n"/>
    </row>
    <row r="720">
      <c r="A720" s="11" t="n">
        <v>4244</v>
      </c>
      <c r="B720" s="11" t="inlineStr">
        <is>
          <t>PLATO</t>
        </is>
      </c>
      <c r="C720" s="11" t="inlineStr">
        <is>
          <t>Plato</t>
        </is>
      </c>
      <c r="D720" s="11" t="inlineStr">
        <is>
          <t>Magdalena</t>
        </is>
      </c>
      <c r="E720" s="11" t="inlineStr">
        <is>
          <t>COSTA</t>
        </is>
      </c>
      <c r="F720" s="11" t="inlineStr">
        <is>
          <t>Andrés Felipe Carvajal Pire</t>
        </is>
      </c>
      <c r="G720" s="11" t="inlineStr">
        <is>
          <t>4</t>
        </is>
      </c>
      <c r="H720" s="12" t="n">
        <v>46322</v>
      </c>
      <c r="I720" s="12" t="n">
        <v>46323</v>
      </c>
      <c r="J720" s="12" t="n"/>
      <c r="K720" s="12" t="n"/>
      <c r="L720" s="11" t="inlineStr">
        <is>
          <t>Programada</t>
        </is>
      </c>
      <c r="M720" s="12" t="n"/>
      <c r="N720" s="11">
        <f>SI(O(H720="";J720="");"";SI(J720&lt;=H720;"SÍ";"NO"))</f>
        <v/>
      </c>
      <c r="O720" s="11">
        <f>SI(O(I720="";K720="");"";SI(K720&lt;=SI(M720&lt;&gt;"";M720;I720);"SÍ";"NO"))</f>
        <v/>
      </c>
      <c r="P720" s="11">
        <f>SI(O(N720="";O720="");"";SI(Y(N720="SÍ";O720="SÍ");"SÍ";"NO"))</f>
        <v/>
      </c>
      <c r="Q720" s="13">
        <f>SI(O(I720="";K720="");"";MAX(0;ENTERO(K720)-ENTERO(SI(M720&lt;&gt;"";M720;I720))))</f>
        <v/>
      </c>
      <c r="R720" s="11" t="n"/>
      <c r="S720" s="11" t="n"/>
      <c r="T720" s="12" t="n"/>
      <c r="U720" s="11" t="n">
        <v>22</v>
      </c>
      <c r="V720" s="11" t="n"/>
    </row>
    <row r="721">
      <c r="A721" s="14" t="n">
        <v>4891</v>
      </c>
      <c r="B721" s="14" t="inlineStr">
        <is>
          <t>POLICARPA</t>
        </is>
      </c>
      <c r="C721" s="14" t="inlineStr">
        <is>
          <t>Policarpa</t>
        </is>
      </c>
      <c r="D721" s="14" t="inlineStr">
        <is>
          <t>Nariño</t>
        </is>
      </c>
      <c r="E721" s="14" t="inlineStr">
        <is>
          <t>OCCIDENTE</t>
        </is>
      </c>
      <c r="F721" s="14" t="inlineStr">
        <is>
          <t>Juan Carlos Narvaez Acosta / Luis Fernando Ibarra Guio</t>
        </is>
      </c>
      <c r="G721" s="14" t="inlineStr">
        <is>
          <t>2</t>
        </is>
      </c>
      <c r="H721" s="15" t="n">
        <v>46322</v>
      </c>
      <c r="I721" s="15" t="n">
        <v>46322</v>
      </c>
      <c r="J721" s="15" t="n"/>
      <c r="K721" s="15" t="n"/>
      <c r="L721" s="14" t="inlineStr">
        <is>
          <t>Programada</t>
        </is>
      </c>
      <c r="M721" s="15" t="n"/>
      <c r="N721" s="14">
        <f>SI(O(H721="";J721="");"";SI(J721&lt;=H721;"SÍ";"NO"))</f>
        <v/>
      </c>
      <c r="O721" s="14">
        <f>SI(O(I721="";K721="");"";SI(K721&lt;=SI(M721&lt;&gt;"";M721;I721);"SÍ";"NO"))</f>
        <v/>
      </c>
      <c r="P721" s="14">
        <f>SI(O(N721="";O721="");"";SI(Y(N721="SÍ";O721="SÍ");"SÍ";"NO"))</f>
        <v/>
      </c>
      <c r="Q721" s="16">
        <f>SI(O(I721="";K721="");"";MAX(0;ENTERO(K721)-ENTERO(SI(M721&lt;&gt;"";M721;I721))))</f>
        <v/>
      </c>
      <c r="R721" s="14" t="n"/>
      <c r="S721" s="14" t="n"/>
      <c r="T721" s="15" t="n"/>
      <c r="U721" s="14" t="n">
        <v>17</v>
      </c>
      <c r="V721" s="14" t="n"/>
    </row>
    <row r="722">
      <c r="A722" s="11" t="n">
        <v>5125</v>
      </c>
      <c r="B722" s="11" t="inlineStr">
        <is>
          <t>GRAMALOTE</t>
        </is>
      </c>
      <c r="C722" s="11" t="inlineStr">
        <is>
          <t>Gramalote</t>
        </is>
      </c>
      <c r="D722" s="11" t="inlineStr">
        <is>
          <t>Norte de Santander</t>
        </is>
      </c>
      <c r="E722" s="11" t="inlineStr">
        <is>
          <t>SANTANDERES</t>
        </is>
      </c>
      <c r="F722" s="11" t="inlineStr">
        <is>
          <t>Ali Kassem Issa Sierra</t>
        </is>
      </c>
      <c r="G722" s="11" t="inlineStr">
        <is>
          <t>1</t>
        </is>
      </c>
      <c r="H722" s="12" t="n">
        <v>46322</v>
      </c>
      <c r="I722" s="12" t="n">
        <v>46322</v>
      </c>
      <c r="J722" s="12" t="n"/>
      <c r="K722" s="12" t="n"/>
      <c r="L722" s="11" t="inlineStr">
        <is>
          <t>Programada</t>
        </is>
      </c>
      <c r="M722" s="12" t="n"/>
      <c r="N722" s="11">
        <f>SI(O(H722="";J722="");"";SI(J722&lt;=H722;"SÍ";"NO"))</f>
        <v/>
      </c>
      <c r="O722" s="11">
        <f>SI(O(I722="";K722="");"";SI(K722&lt;=SI(M722&lt;&gt;"";M722;I722);"SÍ";"NO"))</f>
        <v/>
      </c>
      <c r="P722" s="11">
        <f>SI(O(N722="";O722="");"";SI(Y(N722="SÍ";O722="SÍ");"SÍ";"NO"))</f>
        <v/>
      </c>
      <c r="Q722" s="13">
        <f>SI(O(I722="";K722="");"";MAX(0;ENTERO(K722)-ENTERO(SI(M722&lt;&gt;"";M722;I722))))</f>
        <v/>
      </c>
      <c r="R722" s="11" t="n"/>
      <c r="S722" s="11" t="n"/>
      <c r="T722" s="12" t="n"/>
      <c r="U722" s="11" t="n">
        <v>13</v>
      </c>
      <c r="V722" s="11" t="n"/>
    </row>
    <row r="723">
      <c r="A723" s="14" t="n">
        <v>5134</v>
      </c>
      <c r="B723" s="14" t="inlineStr">
        <is>
          <t>LOURDES</t>
        </is>
      </c>
      <c r="C723" s="14" t="inlineStr">
        <is>
          <t>Lourdes</t>
        </is>
      </c>
      <c r="D723" s="14" t="inlineStr">
        <is>
          <t>Norte de Santander</t>
        </is>
      </c>
      <c r="E723" s="14" t="inlineStr">
        <is>
          <t>SANTANDERES</t>
        </is>
      </c>
      <c r="F723" s="14" t="inlineStr">
        <is>
          <t>Juan Alfonso Cuberos Buendia</t>
        </is>
      </c>
      <c r="G723" s="14" t="inlineStr">
        <is>
          <t>1</t>
        </is>
      </c>
      <c r="H723" s="15" t="n">
        <v>46322</v>
      </c>
      <c r="I723" s="15" t="n">
        <v>46322</v>
      </c>
      <c r="J723" s="15" t="n"/>
      <c r="K723" s="15" t="n"/>
      <c r="L723" s="14" t="inlineStr">
        <is>
          <t>Programada</t>
        </is>
      </c>
      <c r="M723" s="15" t="n"/>
      <c r="N723" s="14">
        <f>SI(O(H723="";J723="");"";SI(J723&lt;=H723;"SÍ";"NO"))</f>
        <v/>
      </c>
      <c r="O723" s="14">
        <f>SI(O(I723="";K723="");"";SI(K723&lt;=SI(M723&lt;&gt;"";M723;I723);"SÍ";"NO"))</f>
        <v/>
      </c>
      <c r="P723" s="14">
        <f>SI(O(N723="";O723="");"";SI(Y(N723="SÍ";O723="SÍ");"SÍ";"NO"))</f>
        <v/>
      </c>
      <c r="Q723" s="16">
        <f>SI(O(I723="";K723="");"";MAX(0;ENTERO(K723)-ENTERO(SI(M723&lt;&gt;"";M723;I723))))</f>
        <v/>
      </c>
      <c r="R723" s="14" t="n"/>
      <c r="S723" s="14" t="n"/>
      <c r="T723" s="15" t="n"/>
      <c r="U723" s="14" t="n">
        <v>14</v>
      </c>
      <c r="V723" s="14" t="n"/>
    </row>
    <row r="724">
      <c r="A724" s="11" t="n">
        <v>6964</v>
      </c>
      <c r="B724" s="11" t="inlineStr">
        <is>
          <t>DARIEN</t>
        </is>
      </c>
      <c r="C724" s="11" t="inlineStr">
        <is>
          <t>Calima</t>
        </is>
      </c>
      <c r="D724" s="11" t="inlineStr">
        <is>
          <t>Valle del Cauca</t>
        </is>
      </c>
      <c r="E724" s="11" t="inlineStr">
        <is>
          <t>OCCIDENTE</t>
        </is>
      </c>
      <c r="F724" s="11" t="inlineStr">
        <is>
          <t>John Edwin Jimenez Chavez</t>
        </is>
      </c>
      <c r="G724" s="11" t="inlineStr">
        <is>
          <t>3</t>
        </is>
      </c>
      <c r="H724" s="12" t="n">
        <v>46322</v>
      </c>
      <c r="I724" s="12" t="n">
        <v>46322</v>
      </c>
      <c r="J724" s="12" t="n"/>
      <c r="K724" s="12" t="n"/>
      <c r="L724" s="11" t="inlineStr">
        <is>
          <t>Programada</t>
        </is>
      </c>
      <c r="M724" s="12" t="n"/>
      <c r="N724" s="11">
        <f>SI(O(H724="";J724="");"";SI(J724&lt;=H724;"SÍ";"NO"))</f>
        <v/>
      </c>
      <c r="O724" s="11">
        <f>SI(O(I724="";K724="");"";SI(K724&lt;=SI(M724&lt;&gt;"";M724;I724);"SÍ";"NO"))</f>
        <v/>
      </c>
      <c r="P724" s="11">
        <f>SI(O(N724="";O724="");"";SI(Y(N724="SÍ";O724="SÍ");"SÍ";"NO"))</f>
        <v/>
      </c>
      <c r="Q724" s="13">
        <f>SI(O(I724="";K724="");"";MAX(0;ENTERO(K724)-ENTERO(SI(M724&lt;&gt;"";M724;I724))))</f>
        <v/>
      </c>
      <c r="R724" s="11" t="n"/>
      <c r="S724" s="11" t="n"/>
      <c r="T724" s="12" t="n"/>
      <c r="U724" s="11" t="n">
        <v>28</v>
      </c>
      <c r="V724" s="11" t="n"/>
    </row>
    <row r="725">
      <c r="A725" s="14" t="n">
        <v>1205</v>
      </c>
      <c r="B725" s="14" t="inlineStr">
        <is>
          <t>ZONA BANANERA</t>
        </is>
      </c>
      <c r="C725" s="14" t="inlineStr">
        <is>
          <t>Zona Bananera</t>
        </is>
      </c>
      <c r="D725" s="14" t="inlineStr">
        <is>
          <t>Magdalena</t>
        </is>
      </c>
      <c r="E725" s="14" t="inlineStr">
        <is>
          <t>COSTA</t>
        </is>
      </c>
      <c r="F725" s="14" t="inlineStr">
        <is>
          <t>Andrés Felipe Carvajal Pire</t>
        </is>
      </c>
      <c r="G725" s="14" t="inlineStr">
        <is>
          <t>2</t>
        </is>
      </c>
      <c r="H725" s="15" t="n">
        <v>46323</v>
      </c>
      <c r="I725" s="15" t="n">
        <v>46324</v>
      </c>
      <c r="J725" s="15" t="n"/>
      <c r="K725" s="15" t="n"/>
      <c r="L725" s="14" t="inlineStr">
        <is>
          <t>Programada</t>
        </is>
      </c>
      <c r="M725" s="15" t="n"/>
      <c r="N725" s="14">
        <f>SI(O(H725="";J725="");"";SI(J725&lt;=H725;"SÍ";"NO"))</f>
        <v/>
      </c>
      <c r="O725" s="14">
        <f>SI(O(I725="";K725="");"";SI(K725&lt;=SI(M725&lt;&gt;"";M725;I725);"SÍ";"NO"))</f>
        <v/>
      </c>
      <c r="P725" s="14">
        <f>SI(O(N725="";O725="");"";SI(Y(N725="SÍ";O725="SÍ");"SÍ";"NO"))</f>
        <v/>
      </c>
      <c r="Q725" s="16">
        <f>SI(O(I725="";K725="");"";MAX(0;ENTERO(K725)-ENTERO(SI(M725&lt;&gt;"";M725;I725))))</f>
        <v/>
      </c>
      <c r="R725" s="14" t="n"/>
      <c r="S725" s="14" t="n"/>
      <c r="T725" s="15" t="n"/>
      <c r="U725" s="14" t="n">
        <v>17</v>
      </c>
      <c r="V725" s="14" t="n"/>
    </row>
    <row r="726">
      <c r="A726" s="11" t="n">
        <v>1470</v>
      </c>
      <c r="B726" s="11" t="inlineStr">
        <is>
          <t>SAN RAFAEL</t>
        </is>
      </c>
      <c r="C726" s="11" t="inlineStr">
        <is>
          <t>San Rafael</t>
        </is>
      </c>
      <c r="D726" s="11" t="inlineStr">
        <is>
          <t>Antioquia</t>
        </is>
      </c>
      <c r="E726" s="11" t="inlineStr">
        <is>
          <t>ANTIOQUIA</t>
        </is>
      </c>
      <c r="F726" s="11" t="inlineStr">
        <is>
          <t>Juan Pablo Osorio Ramirez</t>
        </is>
      </c>
      <c r="G726" s="11" t="inlineStr">
        <is>
          <t>2</t>
        </is>
      </c>
      <c r="H726" s="12" t="n">
        <v>46323</v>
      </c>
      <c r="I726" s="12" t="n">
        <v>46323</v>
      </c>
      <c r="J726" s="12" t="n"/>
      <c r="K726" s="12" t="n"/>
      <c r="L726" s="11" t="inlineStr">
        <is>
          <t>Programada</t>
        </is>
      </c>
      <c r="M726" s="12" t="n"/>
      <c r="N726" s="11">
        <f>SI(O(H726="";J726="");"";SI(J726&lt;=H726;"SÍ";"NO"))</f>
        <v/>
      </c>
      <c r="O726" s="11">
        <f>SI(O(I726="";K726="");"";SI(K726&lt;=SI(M726&lt;&gt;"";M726;I726);"SÍ";"NO"))</f>
        <v/>
      </c>
      <c r="P726" s="11">
        <f>SI(O(N726="";O726="");"";SI(Y(N726="SÍ";O726="SÍ");"SÍ";"NO"))</f>
        <v/>
      </c>
      <c r="Q726" s="13">
        <f>SI(O(I726="";K726="");"";MAX(0;ENTERO(K726)-ENTERO(SI(M726&lt;&gt;"";M726;I726))))</f>
        <v/>
      </c>
      <c r="R726" s="11" t="n"/>
      <c r="S726" s="11" t="n"/>
      <c r="T726" s="12" t="n"/>
      <c r="U726" s="11" t="n">
        <v>18</v>
      </c>
      <c r="V726" s="11" t="n"/>
    </row>
    <row r="727">
      <c r="A727" s="14" t="n">
        <v>3192</v>
      </c>
      <c r="B727" s="14" t="inlineStr">
        <is>
          <t>BOGOTA - GOBERNACION DE CUND.</t>
        </is>
      </c>
      <c r="C727" s="14" t="inlineStr">
        <is>
          <t>Bogotá, D.C.</t>
        </is>
      </c>
      <c r="D727" s="14" t="inlineStr">
        <is>
          <t>Bogotá D.C</t>
        </is>
      </c>
      <c r="E727" s="14" t="inlineStr">
        <is>
          <t>BOGOTA</t>
        </is>
      </c>
      <c r="F727" s="14" t="inlineStr">
        <is>
          <t>Anderson Forero Mora</t>
        </is>
      </c>
      <c r="G727" s="14" t="inlineStr">
        <is>
          <t>1</t>
        </is>
      </c>
      <c r="H727" s="15" t="n">
        <v>46323</v>
      </c>
      <c r="I727" s="15" t="n">
        <v>46323</v>
      </c>
      <c r="J727" s="15" t="n"/>
      <c r="K727" s="15" t="n"/>
      <c r="L727" s="14" t="inlineStr">
        <is>
          <t>Programada</t>
        </is>
      </c>
      <c r="M727" s="15" t="n"/>
      <c r="N727" s="14">
        <f>SI(O(H727="";J727="");"";SI(J727&lt;=H727;"SÍ";"NO"))</f>
        <v/>
      </c>
      <c r="O727" s="14">
        <f>SI(O(I727="";K727="");"";SI(K727&lt;=SI(M727&lt;&gt;"";M727;I727);"SÍ";"NO"))</f>
        <v/>
      </c>
      <c r="P727" s="14">
        <f>SI(O(N727="";O727="");"";SI(Y(N727="SÍ";O727="SÍ");"SÍ";"NO"))</f>
        <v/>
      </c>
      <c r="Q727" s="16">
        <f>SI(O(I727="";K727="");"";MAX(0;ENTERO(K727)-ENTERO(SI(M727&lt;&gt;"";M727;I727))))</f>
        <v/>
      </c>
      <c r="R727" s="14" t="n"/>
      <c r="S727" s="14" t="n"/>
      <c r="T727" s="15" t="n"/>
      <c r="U727" s="14" t="n">
        <v>14</v>
      </c>
      <c r="V727" s="14" t="n"/>
    </row>
    <row r="728">
      <c r="A728" s="11" t="n">
        <v>4203</v>
      </c>
      <c r="B728" s="11" t="inlineStr">
        <is>
          <t>CERRO DE SAN ANTONIO</t>
        </is>
      </c>
      <c r="C728" s="11" t="inlineStr">
        <is>
          <t>Cerro San Antonio</t>
        </is>
      </c>
      <c r="D728" s="11" t="inlineStr">
        <is>
          <t>Magdalena</t>
        </is>
      </c>
      <c r="E728" s="11" t="inlineStr">
        <is>
          <t>COSTA</t>
        </is>
      </c>
      <c r="F728" s="11" t="inlineStr">
        <is>
          <t>Mauricio Andrés Rivera Páez</t>
        </is>
      </c>
      <c r="G728" s="11" t="inlineStr">
        <is>
          <t>1</t>
        </is>
      </c>
      <c r="H728" s="12" t="n">
        <v>46323</v>
      </c>
      <c r="I728" s="12" t="n">
        <v>46324</v>
      </c>
      <c r="J728" s="12" t="n"/>
      <c r="K728" s="12" t="n"/>
      <c r="L728" s="11" t="inlineStr">
        <is>
          <t>Programada</t>
        </is>
      </c>
      <c r="M728" s="12" t="n"/>
      <c r="N728" s="11">
        <f>SI(O(H728="";J728="");"";SI(J728&lt;=H728;"SÍ";"NO"))</f>
        <v/>
      </c>
      <c r="O728" s="11">
        <f>SI(O(I728="";K728="");"";SI(K728&lt;=SI(M728&lt;&gt;"";M728;I728);"SÍ";"NO"))</f>
        <v/>
      </c>
      <c r="P728" s="11">
        <f>SI(O(N728="";O728="");"";SI(Y(N728="SÍ";O728="SÍ");"SÍ";"NO"))</f>
        <v/>
      </c>
      <c r="Q728" s="13">
        <f>SI(O(I728="";K728="");"";MAX(0;ENTERO(K728)-ENTERO(SI(M728&lt;&gt;"";M728;I728))))</f>
        <v/>
      </c>
      <c r="R728" s="11" t="n"/>
      <c r="S728" s="11" t="n"/>
      <c r="T728" s="12" t="n"/>
      <c r="U728" s="11" t="n">
        <v>13</v>
      </c>
      <c r="V728" s="11" t="n"/>
    </row>
    <row r="729">
      <c r="A729" s="14" t="n">
        <v>4212</v>
      </c>
      <c r="B729" s="14" t="inlineStr">
        <is>
          <t>ARACATACA</t>
        </is>
      </c>
      <c r="C729" s="14" t="inlineStr">
        <is>
          <t>Aracataca</t>
        </is>
      </c>
      <c r="D729" s="14" t="inlineStr">
        <is>
          <t>Magdalena</t>
        </is>
      </c>
      <c r="E729" s="14" t="inlineStr">
        <is>
          <t>COSTA</t>
        </is>
      </c>
      <c r="F729" s="14" t="inlineStr">
        <is>
          <t>Luz Nélida Barragán Toro</t>
        </is>
      </c>
      <c r="G729" s="14" t="inlineStr">
        <is>
          <t>3</t>
        </is>
      </c>
      <c r="H729" s="15" t="n">
        <v>46323</v>
      </c>
      <c r="I729" s="15" t="n">
        <v>46324</v>
      </c>
      <c r="J729" s="15" t="n"/>
      <c r="K729" s="15" t="n"/>
      <c r="L729" s="14" t="inlineStr">
        <is>
          <t>Programada</t>
        </is>
      </c>
      <c r="M729" s="15" t="n"/>
      <c r="N729" s="14">
        <f>SI(O(H729="";J729="");"";SI(J729&lt;=H729;"SÍ";"NO"))</f>
        <v/>
      </c>
      <c r="O729" s="14">
        <f>SI(O(I729="";K729="");"";SI(K729&lt;=SI(M729&lt;&gt;"";M729;I729);"SÍ";"NO"))</f>
        <v/>
      </c>
      <c r="P729" s="14">
        <f>SI(O(N729="";O729="");"";SI(Y(N729="SÍ";O729="SÍ");"SÍ";"NO"))</f>
        <v/>
      </c>
      <c r="Q729" s="16">
        <f>SI(O(I729="";K729="");"";MAX(0;ENTERO(K729)-ENTERO(SI(M729&lt;&gt;"";M729;I729))))</f>
        <v/>
      </c>
      <c r="R729" s="14" t="n"/>
      <c r="S729" s="14" t="n"/>
      <c r="T729" s="15" t="n"/>
      <c r="U729" s="14" t="n">
        <v>28</v>
      </c>
      <c r="V729" s="14" t="n"/>
    </row>
    <row r="730">
      <c r="A730" s="11" t="n">
        <v>4215</v>
      </c>
      <c r="B730" s="11" t="inlineStr">
        <is>
          <t>SABANAS DE SAN ANGEL</t>
        </is>
      </c>
      <c r="C730" s="11" t="inlineStr">
        <is>
          <t>Sabanas De San Angel</t>
        </is>
      </c>
      <c r="D730" s="11" t="inlineStr">
        <is>
          <t>Magdalena</t>
        </is>
      </c>
      <c r="E730" s="11" t="inlineStr">
        <is>
          <t>COSTA</t>
        </is>
      </c>
      <c r="F730" s="11" t="inlineStr">
        <is>
          <t>Andrés Felipe Díaz Noy</t>
        </is>
      </c>
      <c r="G730" s="11" t="inlineStr">
        <is>
          <t>1</t>
        </is>
      </c>
      <c r="H730" s="12" t="n">
        <v>46323</v>
      </c>
      <c r="I730" s="12" t="n">
        <v>46324</v>
      </c>
      <c r="J730" s="12" t="n"/>
      <c r="K730" s="12" t="n"/>
      <c r="L730" s="11" t="inlineStr">
        <is>
          <t>Programada</t>
        </is>
      </c>
      <c r="M730" s="12" t="n"/>
      <c r="N730" s="11">
        <f>SI(O(H730="";J730="");"";SI(J730&lt;=H730;"SÍ";"NO"))</f>
        <v/>
      </c>
      <c r="O730" s="11">
        <f>SI(O(I730="";K730="");"";SI(K730&lt;=SI(M730&lt;&gt;"";M730;I730);"SÍ";"NO"))</f>
        <v/>
      </c>
      <c r="P730" s="11">
        <f>SI(O(N730="";O730="");"";SI(Y(N730="SÍ";O730="SÍ");"SÍ";"NO"))</f>
        <v/>
      </c>
      <c r="Q730" s="13">
        <f>SI(O(I730="";K730="");"";MAX(0;ENTERO(K730)-ENTERO(SI(M730&lt;&gt;"";M730;I730))))</f>
        <v/>
      </c>
      <c r="R730" s="11" t="n"/>
      <c r="S730" s="11" t="n"/>
      <c r="T730" s="12" t="n"/>
      <c r="U730" s="11" t="n">
        <v>14</v>
      </c>
      <c r="V730" s="11" t="n"/>
    </row>
    <row r="731">
      <c r="A731" s="14" t="n">
        <v>4824</v>
      </c>
      <c r="B731" s="14" t="inlineStr">
        <is>
          <t>CUMBITARA</t>
        </is>
      </c>
      <c r="C731" s="14" t="inlineStr">
        <is>
          <t>Cumbitara</t>
        </is>
      </c>
      <c r="D731" s="14" t="inlineStr">
        <is>
          <t>Nariño</t>
        </is>
      </c>
      <c r="E731" s="14" t="inlineStr">
        <is>
          <t>OCCIDENTE</t>
        </is>
      </c>
      <c r="F731" s="14" t="inlineStr">
        <is>
          <t>Juan Carlos Narvaez Acosta / Luis Fernando Ibarra Guio</t>
        </is>
      </c>
      <c r="G731" s="14" t="inlineStr">
        <is>
          <t>1</t>
        </is>
      </c>
      <c r="H731" s="15" t="n">
        <v>46323</v>
      </c>
      <c r="I731" s="15" t="n">
        <v>46323</v>
      </c>
      <c r="J731" s="15" t="n"/>
      <c r="K731" s="15" t="n"/>
      <c r="L731" s="14" t="inlineStr">
        <is>
          <t>Programada</t>
        </is>
      </c>
      <c r="M731" s="15" t="n"/>
      <c r="N731" s="14">
        <f>SI(O(H731="";J731="");"";SI(J731&lt;=H731;"SÍ";"NO"))</f>
        <v/>
      </c>
      <c r="O731" s="14">
        <f>SI(O(I731="";K731="");"";SI(K731&lt;=SI(M731&lt;&gt;"";M731;I731);"SÍ";"NO"))</f>
        <v/>
      </c>
      <c r="P731" s="14">
        <f>SI(O(N731="";O731="");"";SI(Y(N731="SÍ";O731="SÍ");"SÍ";"NO"))</f>
        <v/>
      </c>
      <c r="Q731" s="16">
        <f>SI(O(I731="";K731="");"";MAX(0;ENTERO(K731)-ENTERO(SI(M731&lt;&gt;"";M731;I731))))</f>
        <v/>
      </c>
      <c r="R731" s="14" t="n"/>
      <c r="S731" s="14" t="n"/>
      <c r="T731" s="15" t="n"/>
      <c r="U731" s="14" t="n">
        <v>13</v>
      </c>
      <c r="V731" s="14" t="n"/>
    </row>
    <row r="732">
      <c r="A732" s="11" t="n">
        <v>5415</v>
      </c>
      <c r="B732" s="11" t="inlineStr">
        <is>
          <t>CIRCASIA</t>
        </is>
      </c>
      <c r="C732" s="11" t="inlineStr">
        <is>
          <t>Circasia</t>
        </is>
      </c>
      <c r="D732" s="11" t="inlineStr">
        <is>
          <t>Quindio</t>
        </is>
      </c>
      <c r="E732" s="11" t="inlineStr">
        <is>
          <t>CAFETERA</t>
        </is>
      </c>
      <c r="F732" s="11" t="inlineStr">
        <is>
          <t>Alvaro Augusto Villalba Villamil</t>
        </is>
      </c>
      <c r="G732" s="11" t="inlineStr">
        <is>
          <t>2</t>
        </is>
      </c>
      <c r="H732" s="12" t="n">
        <v>46323</v>
      </c>
      <c r="I732" s="12" t="n">
        <v>46323</v>
      </c>
      <c r="J732" s="12" t="n"/>
      <c r="K732" s="12" t="n"/>
      <c r="L732" s="11" t="inlineStr">
        <is>
          <t>Programada</t>
        </is>
      </c>
      <c r="M732" s="12" t="n"/>
      <c r="N732" s="11">
        <f>SI(O(H732="";J732="");"";SI(J732&lt;=H732;"SÍ";"NO"))</f>
        <v/>
      </c>
      <c r="O732" s="11">
        <f>SI(O(I732="";K732="");"";SI(K732&lt;=SI(M732&lt;&gt;"";M732;I732);"SÍ";"NO"))</f>
        <v/>
      </c>
      <c r="P732" s="11">
        <f>SI(O(N732="";O732="");"";SI(Y(N732="SÍ";O732="SÍ");"SÍ";"NO"))</f>
        <v/>
      </c>
      <c r="Q732" s="13">
        <f>SI(O(I732="";K732="");"";MAX(0;ENTERO(K732)-ENTERO(SI(M732&lt;&gt;"";M732;I732))))</f>
        <v/>
      </c>
      <c r="R732" s="11" t="n"/>
      <c r="S732" s="11" t="n"/>
      <c r="T732" s="12" t="n"/>
      <c r="U732" s="11" t="n">
        <v>23</v>
      </c>
      <c r="V732" s="11" t="n"/>
    </row>
    <row r="733">
      <c r="A733" s="14" t="n">
        <v>6977</v>
      </c>
      <c r="B733" s="14" t="inlineStr">
        <is>
          <t>GUADALAJARA DE BUGA</t>
        </is>
      </c>
      <c r="C733" s="14" t="inlineStr">
        <is>
          <t>Guadalajara de Buga</t>
        </is>
      </c>
      <c r="D733" s="14" t="inlineStr">
        <is>
          <t>Valle del Cauca</t>
        </is>
      </c>
      <c r="E733" s="14" t="inlineStr">
        <is>
          <t>OCCIDENTE</t>
        </is>
      </c>
      <c r="F733" s="14" t="inlineStr">
        <is>
          <t>John Edwin Jimenez Chavez</t>
        </is>
      </c>
      <c r="G733" s="14" t="inlineStr">
        <is>
          <t>3</t>
        </is>
      </c>
      <c r="H733" s="15" t="n">
        <v>46323</v>
      </c>
      <c r="I733" s="15" t="n">
        <v>46323</v>
      </c>
      <c r="J733" s="15" t="n"/>
      <c r="K733" s="15" t="n"/>
      <c r="L733" s="14" t="inlineStr">
        <is>
          <t>Programada</t>
        </is>
      </c>
      <c r="M733" s="15" t="n"/>
      <c r="N733" s="14">
        <f>SI(O(H733="";J733="");"";SI(J733&lt;=H733;"SÍ";"NO"))</f>
        <v/>
      </c>
      <c r="O733" s="14">
        <f>SI(O(I733="";K733="");"";SI(K733&lt;=SI(M733&lt;&gt;"";M733;I733);"SÍ";"NO"))</f>
        <v/>
      </c>
      <c r="P733" s="14">
        <f>SI(O(N733="";O733="");"";SI(Y(N733="SÍ";O733="SÍ");"SÍ";"NO"))</f>
        <v/>
      </c>
      <c r="Q733" s="16">
        <f>SI(O(I733="";K733="");"";MAX(0;ENTERO(K733)-ENTERO(SI(M733&lt;&gt;"";M733;I733))))</f>
        <v/>
      </c>
      <c r="R733" s="14" t="n"/>
      <c r="S733" s="14" t="n"/>
      <c r="T733" s="15" t="n"/>
      <c r="U733" s="14" t="n">
        <v>21</v>
      </c>
      <c r="V733" s="14" t="n"/>
    </row>
    <row r="734">
      <c r="A734" s="11" t="n">
        <v>7560</v>
      </c>
      <c r="B734" s="11" t="inlineStr">
        <is>
          <t>PUERTO RICO</t>
        </is>
      </c>
      <c r="C734" s="11" t="inlineStr">
        <is>
          <t>Puerto Rico</t>
        </is>
      </c>
      <c r="D734" s="11" t="inlineStr">
        <is>
          <t>Caquetá</t>
        </is>
      </c>
      <c r="E734" s="11" t="inlineStr">
        <is>
          <t>SUR</t>
        </is>
      </c>
      <c r="F734" s="11" t="inlineStr">
        <is>
          <t>ERIKA VARGAS</t>
        </is>
      </c>
      <c r="G734" s="11" t="inlineStr">
        <is>
          <t>4</t>
        </is>
      </c>
      <c r="H734" s="12" t="n">
        <v>46323</v>
      </c>
      <c r="I734" s="12" t="n">
        <v>46323</v>
      </c>
      <c r="J734" s="12" t="n"/>
      <c r="K734" s="12" t="n"/>
      <c r="L734" s="11" t="inlineStr">
        <is>
          <t>Programada</t>
        </is>
      </c>
      <c r="M734" s="12" t="n"/>
      <c r="N734" s="11">
        <f>SI(O(H734="";J734="");"";SI(J734&lt;=H734;"SÍ";"NO"))</f>
        <v/>
      </c>
      <c r="O734" s="11">
        <f>SI(O(I734="";K734="");"";SI(K734&lt;=SI(M734&lt;&gt;"";M734;I734);"SÍ";"NO"))</f>
        <v/>
      </c>
      <c r="P734" s="11">
        <f>SI(O(N734="";O734="");"";SI(Y(N734="SÍ";O734="SÍ");"SÍ";"NO"))</f>
        <v/>
      </c>
      <c r="Q734" s="13">
        <f>SI(O(I734="";K734="");"";MAX(0;ENTERO(K734)-ENTERO(SI(M734&lt;&gt;"";M734;I734))))</f>
        <v/>
      </c>
      <c r="R734" s="11" t="n"/>
      <c r="S734" s="11" t="n"/>
      <c r="T734" s="12" t="n"/>
      <c r="U734" s="11" t="n">
        <v>24</v>
      </c>
      <c r="V734" s="11" t="n"/>
    </row>
    <row r="735">
      <c r="A735" s="14" t="n">
        <v>1380</v>
      </c>
      <c r="B735" s="14" t="inlineStr">
        <is>
          <t>GRANADA</t>
        </is>
      </c>
      <c r="C735" s="14" t="inlineStr">
        <is>
          <t>Granada</t>
        </is>
      </c>
      <c r="D735" s="14" t="inlineStr">
        <is>
          <t>Antioquia</t>
        </is>
      </c>
      <c r="E735" s="14" t="inlineStr">
        <is>
          <t>ANTIOQUIA</t>
        </is>
      </c>
      <c r="F735" s="14" t="inlineStr">
        <is>
          <t>Juan Pablo Osorio Ramirez</t>
        </is>
      </c>
      <c r="G735" s="14" t="inlineStr">
        <is>
          <t>1</t>
        </is>
      </c>
      <c r="H735" s="15" t="n">
        <v>46324</v>
      </c>
      <c r="I735" s="15" t="n">
        <v>46324</v>
      </c>
      <c r="J735" s="15" t="n"/>
      <c r="K735" s="15" t="n"/>
      <c r="L735" s="14" t="inlineStr">
        <is>
          <t>Programada</t>
        </is>
      </c>
      <c r="M735" s="15" t="n"/>
      <c r="N735" s="14">
        <f>SI(O(H735="";J735="");"";SI(J735&lt;=H735;"SÍ";"NO"))</f>
        <v/>
      </c>
      <c r="O735" s="14">
        <f>SI(O(I735="";K735="");"";SI(K735&lt;=SI(M735&lt;&gt;"";M735;I735);"SÍ";"NO"))</f>
        <v/>
      </c>
      <c r="P735" s="14">
        <f>SI(O(N735="";O735="");"";SI(Y(N735="SÍ";O735="SÍ");"SÍ";"NO"))</f>
        <v/>
      </c>
      <c r="Q735" s="16">
        <f>SI(O(I735="";K735="");"";MAX(0;ENTERO(K735)-ENTERO(SI(M735&lt;&gt;"";M735;I735))))</f>
        <v/>
      </c>
      <c r="R735" s="14" t="n"/>
      <c r="S735" s="14" t="n"/>
      <c r="T735" s="15" t="n"/>
      <c r="U735" s="14" t="n">
        <v>13</v>
      </c>
      <c r="V735" s="14" t="n"/>
    </row>
    <row r="736">
      <c r="A736" s="11" t="n">
        <v>1396</v>
      </c>
      <c r="B736" s="11" t="inlineStr">
        <is>
          <t>SAN CARLOS</t>
        </is>
      </c>
      <c r="C736" s="11" t="inlineStr">
        <is>
          <t>San Carlos</t>
        </is>
      </c>
      <c r="D736" s="11" t="inlineStr">
        <is>
          <t>Antioquia</t>
        </is>
      </c>
      <c r="E736" s="11" t="inlineStr">
        <is>
          <t>ANTIOQUIA</t>
        </is>
      </c>
      <c r="F736" s="11" t="inlineStr">
        <is>
          <t>Juan Pablo Osorio Ramirez</t>
        </is>
      </c>
      <c r="G736" s="11" t="inlineStr">
        <is>
          <t>3</t>
        </is>
      </c>
      <c r="H736" s="12" t="n">
        <v>46324</v>
      </c>
      <c r="I736" s="12" t="n">
        <v>46324</v>
      </c>
      <c r="J736" s="12" t="n"/>
      <c r="K736" s="12" t="n"/>
      <c r="L736" s="11" t="inlineStr">
        <is>
          <t>Programada</t>
        </is>
      </c>
      <c r="M736" s="12" t="n"/>
      <c r="N736" s="11">
        <f>SI(O(H736="";J736="");"";SI(J736&lt;=H736;"SÍ";"NO"))</f>
        <v/>
      </c>
      <c r="O736" s="11">
        <f>SI(O(I736="";K736="");"";SI(K736&lt;=SI(M736&lt;&gt;"";M736;I736);"SÍ";"NO"))</f>
        <v/>
      </c>
      <c r="P736" s="11">
        <f>SI(O(N736="";O736="");"";SI(Y(N736="SÍ";O736="SÍ");"SÍ";"NO"))</f>
        <v/>
      </c>
      <c r="Q736" s="13">
        <f>SI(O(I736="";K736="");"";MAX(0;ENTERO(K736)-ENTERO(SI(M736&lt;&gt;"";M736;I736))))</f>
        <v/>
      </c>
      <c r="R736" s="11" t="n"/>
      <c r="S736" s="11" t="n"/>
      <c r="T736" s="12" t="n"/>
      <c r="U736" s="11" t="n">
        <v>17</v>
      </c>
      <c r="V736" s="11" t="n"/>
    </row>
    <row r="737">
      <c r="A737" s="14" t="n">
        <v>1822</v>
      </c>
      <c r="B737" s="14" t="inlineStr">
        <is>
          <t>BOLIVIA (Corregimiento de l municipio de Pensilvania - Caldas)</t>
        </is>
      </c>
      <c r="C737" s="14" t="inlineStr">
        <is>
          <t>Pensilvania</t>
        </is>
      </c>
      <c r="D737" s="14" t="inlineStr">
        <is>
          <t>Caldas</t>
        </is>
      </c>
      <c r="E737" s="14" t="inlineStr">
        <is>
          <t>CAFETERA</t>
        </is>
      </c>
      <c r="F737" s="14" t="inlineStr">
        <is>
          <t>JULIO  CESAR AUDELO  - ANDRES FELIPE BOTERO</t>
        </is>
      </c>
      <c r="G737" s="14" t="inlineStr">
        <is>
          <t>2</t>
        </is>
      </c>
      <c r="H737" s="15" t="n">
        <v>46324</v>
      </c>
      <c r="I737" s="15" t="n">
        <v>46325</v>
      </c>
      <c r="J737" s="15" t="n"/>
      <c r="K737" s="15" t="n"/>
      <c r="L737" s="14" t="inlineStr">
        <is>
          <t>Programada</t>
        </is>
      </c>
      <c r="M737" s="15" t="n"/>
      <c r="N737" s="14">
        <f>SI(O(H737="";J737="");"";SI(J737&lt;=H737;"SÍ";"NO"))</f>
        <v/>
      </c>
      <c r="O737" s="14">
        <f>SI(O(I737="";K737="");"";SI(K737&lt;=SI(M737&lt;&gt;"";M737;I737);"SÍ";"NO"))</f>
        <v/>
      </c>
      <c r="P737" s="14">
        <f>SI(O(N737="";O737="");"";SI(Y(N737="SÍ";O737="SÍ");"SÍ";"NO"))</f>
        <v/>
      </c>
      <c r="Q737" s="16">
        <f>SI(O(I737="";K737="");"";MAX(0;ENTERO(K737)-ENTERO(SI(M737&lt;&gt;"";M737;I737))))</f>
        <v/>
      </c>
      <c r="R737" s="14" t="n"/>
      <c r="S737" s="14" t="n"/>
      <c r="T737" s="15" t="n"/>
      <c r="U737" s="14" t="n">
        <v>23</v>
      </c>
      <c r="V737" s="14" t="n"/>
    </row>
    <row r="738">
      <c r="A738" s="11" t="n">
        <v>4209</v>
      </c>
      <c r="B738" s="11" t="inlineStr">
        <is>
          <t>CIENAGA</t>
        </is>
      </c>
      <c r="C738" s="11" t="inlineStr">
        <is>
          <t>Ciénaga</t>
        </is>
      </c>
      <c r="D738" s="11" t="inlineStr">
        <is>
          <t>Magdalena</t>
        </is>
      </c>
      <c r="E738" s="11" t="inlineStr">
        <is>
          <t>COSTA</t>
        </is>
      </c>
      <c r="F738" s="11" t="inlineStr">
        <is>
          <t>Mauricio Andrés Rivera Páez</t>
        </is>
      </c>
      <c r="G738" s="11" t="inlineStr">
        <is>
          <t>4</t>
        </is>
      </c>
      <c r="H738" s="12" t="n">
        <v>46324</v>
      </c>
      <c r="I738" s="12" t="n">
        <v>46325</v>
      </c>
      <c r="J738" s="12" t="n"/>
      <c r="K738" s="12" t="n"/>
      <c r="L738" s="11" t="inlineStr">
        <is>
          <t>Programada</t>
        </is>
      </c>
      <c r="M738" s="12" t="n"/>
      <c r="N738" s="11">
        <f>SI(O(H738="";J738="");"";SI(J738&lt;=H738;"SÍ";"NO"))</f>
        <v/>
      </c>
      <c r="O738" s="11">
        <f>SI(O(I738="";K738="");"";SI(K738&lt;=SI(M738&lt;&gt;"";M738;I738);"SÍ";"NO"))</f>
        <v/>
      </c>
      <c r="P738" s="11">
        <f>SI(O(N738="";O738="");"";SI(Y(N738="SÍ";O738="SÍ");"SÍ";"NO"))</f>
        <v/>
      </c>
      <c r="Q738" s="13">
        <f>SI(O(I738="";K738="");"";MAX(0;ENTERO(K738)-ENTERO(SI(M738&lt;&gt;"";M738;I738))))</f>
        <v/>
      </c>
      <c r="R738" s="11" t="n"/>
      <c r="S738" s="11" t="n"/>
      <c r="T738" s="12" t="n"/>
      <c r="U738" s="11" t="n">
        <v>34</v>
      </c>
      <c r="V738" s="11" t="n"/>
    </row>
    <row r="739">
      <c r="A739" s="14" t="n">
        <v>4210</v>
      </c>
      <c r="B739" s="14" t="inlineStr">
        <is>
          <t>SANTA MARTA</t>
        </is>
      </c>
      <c r="C739" s="14" t="inlineStr">
        <is>
          <t>Santa Marta</t>
        </is>
      </c>
      <c r="D739" s="14" t="inlineStr">
        <is>
          <t>Magdalena</t>
        </is>
      </c>
      <c r="E739" s="14" t="inlineStr">
        <is>
          <t>COSTA</t>
        </is>
      </c>
      <c r="F739" s="14" t="inlineStr">
        <is>
          <t>Luz Nélida Barragán Toro</t>
        </is>
      </c>
      <c r="G739" s="14" t="inlineStr">
        <is>
          <t>9</t>
        </is>
      </c>
      <c r="H739" s="15" t="n">
        <v>46324</v>
      </c>
      <c r="I739" s="15" t="n">
        <v>46325</v>
      </c>
      <c r="J739" s="15" t="n"/>
      <c r="K739" s="15" t="n"/>
      <c r="L739" s="14" t="inlineStr">
        <is>
          <t>Programada</t>
        </is>
      </c>
      <c r="M739" s="15" t="n"/>
      <c r="N739" s="14">
        <f>SI(O(H739="";J739="");"";SI(J739&lt;=H739;"SÍ";"NO"))</f>
        <v/>
      </c>
      <c r="O739" s="14">
        <f>SI(O(I739="";K739="");"";SI(K739&lt;=SI(M739&lt;&gt;"";M739;I739);"SÍ";"NO"))</f>
        <v/>
      </c>
      <c r="P739" s="14">
        <f>SI(O(N739="";O739="");"";SI(Y(N739="SÍ";O739="SÍ");"SÍ";"NO"))</f>
        <v/>
      </c>
      <c r="Q739" s="16">
        <f>SI(O(I739="";K739="");"";MAX(0;ENTERO(K739)-ENTERO(SI(M739&lt;&gt;"";M739;I739))))</f>
        <v/>
      </c>
      <c r="R739" s="14" t="n"/>
      <c r="S739" s="14" t="n"/>
      <c r="T739" s="15" t="n"/>
      <c r="U739" s="14" t="n">
        <v>58</v>
      </c>
      <c r="V739" s="14" t="n"/>
    </row>
    <row r="740">
      <c r="A740" s="11" t="n">
        <v>4808</v>
      </c>
      <c r="B740" s="11" t="inlineStr">
        <is>
          <t>TUQUERRES</t>
        </is>
      </c>
      <c r="C740" s="11" t="inlineStr">
        <is>
          <t>Túquerres</t>
        </is>
      </c>
      <c r="D740" s="11" t="inlineStr">
        <is>
          <t>Nariño</t>
        </is>
      </c>
      <c r="E740" s="11" t="inlineStr">
        <is>
          <t>OCCIDENTE</t>
        </is>
      </c>
      <c r="F740" s="11" t="inlineStr">
        <is>
          <t>Juan Carlos Narvaez Acosta / Luis Fernando Ibarra Guio</t>
        </is>
      </c>
      <c r="G740" s="11" t="inlineStr">
        <is>
          <t>6</t>
        </is>
      </c>
      <c r="H740" s="12" t="n">
        <v>46324</v>
      </c>
      <c r="I740" s="12" t="n">
        <v>46324</v>
      </c>
      <c r="J740" s="12" t="n"/>
      <c r="K740" s="12" t="n"/>
      <c r="L740" s="11" t="inlineStr">
        <is>
          <t>Programada</t>
        </is>
      </c>
      <c r="M740" s="12" t="n"/>
      <c r="N740" s="11">
        <f>SI(O(H740="";J740="");"";SI(J740&lt;=H740;"SÍ";"NO"))</f>
        <v/>
      </c>
      <c r="O740" s="11">
        <f>SI(O(I740="";K740="");"";SI(K740&lt;=SI(M740&lt;&gt;"";M740;I740);"SÍ";"NO"))</f>
        <v/>
      </c>
      <c r="P740" s="11">
        <f>SI(O(N740="";O740="");"";SI(Y(N740="SÍ";O740="SÍ");"SÍ";"NO"))</f>
        <v/>
      </c>
      <c r="Q740" s="13">
        <f>SI(O(I740="";K740="");"";MAX(0;ENTERO(K740)-ENTERO(SI(M740&lt;&gt;"";M740;I740))))</f>
        <v/>
      </c>
      <c r="R740" s="11" t="n"/>
      <c r="S740" s="11" t="n"/>
      <c r="T740" s="12" t="n"/>
      <c r="U740" s="11" t="n">
        <v>37</v>
      </c>
      <c r="V740" s="11" t="n"/>
    </row>
    <row r="741">
      <c r="A741" s="14" t="n">
        <v>6967</v>
      </c>
      <c r="B741" s="14" t="inlineStr">
        <is>
          <t>GUACARI</t>
        </is>
      </c>
      <c r="C741" s="14" t="inlineStr">
        <is>
          <t>Guacarí</t>
        </is>
      </c>
      <c r="D741" s="14" t="inlineStr">
        <is>
          <t>Valle del Cauca</t>
        </is>
      </c>
      <c r="E741" s="14" t="inlineStr">
        <is>
          <t>OCCIDENTE</t>
        </is>
      </c>
      <c r="F741" s="14" t="inlineStr">
        <is>
          <t>John Edwin Jimenez Chavez</t>
        </is>
      </c>
      <c r="G741" s="14" t="inlineStr">
        <is>
          <t>3</t>
        </is>
      </c>
      <c r="H741" s="15" t="n">
        <v>46324</v>
      </c>
      <c r="I741" s="15" t="n">
        <v>46324</v>
      </c>
      <c r="J741" s="15" t="n"/>
      <c r="K741" s="15" t="n"/>
      <c r="L741" s="14" t="inlineStr">
        <is>
          <t>Programada</t>
        </is>
      </c>
      <c r="M741" s="15" t="n"/>
      <c r="N741" s="14">
        <f>SI(O(H741="";J741="");"";SI(J741&lt;=H741;"SÍ";"NO"))</f>
        <v/>
      </c>
      <c r="O741" s="14">
        <f>SI(O(I741="";K741="");"";SI(K741&lt;=SI(M741&lt;&gt;"";M741;I741);"SÍ";"NO"))</f>
        <v/>
      </c>
      <c r="P741" s="14">
        <f>SI(O(N741="";O741="");"";SI(Y(N741="SÍ";O741="SÍ");"SÍ";"NO"))</f>
        <v/>
      </c>
      <c r="Q741" s="16">
        <f>SI(O(I741="";K741="");"";MAX(0;ENTERO(K741)-ENTERO(SI(M741&lt;&gt;"";M741;I741))))</f>
        <v/>
      </c>
      <c r="R741" s="14" t="n"/>
      <c r="S741" s="14" t="n"/>
      <c r="T741" s="15" t="n"/>
      <c r="U741" s="14" t="n">
        <v>27</v>
      </c>
      <c r="V741" s="14" t="n"/>
    </row>
    <row r="742">
      <c r="A742" s="11" t="n">
        <v>7520</v>
      </c>
      <c r="B742" s="11" t="inlineStr">
        <is>
          <t>EL DONCELLO</t>
        </is>
      </c>
      <c r="C742" s="11" t="inlineStr">
        <is>
          <t>El Doncello</t>
        </is>
      </c>
      <c r="D742" s="11" t="inlineStr">
        <is>
          <t>Caquetá</t>
        </is>
      </c>
      <c r="E742" s="11" t="inlineStr">
        <is>
          <t>SUR</t>
        </is>
      </c>
      <c r="F742" s="11" t="inlineStr">
        <is>
          <t>ERIKA VARGAS</t>
        </is>
      </c>
      <c r="G742" s="11" t="inlineStr">
        <is>
          <t>3</t>
        </is>
      </c>
      <c r="H742" s="12" t="n">
        <v>46324</v>
      </c>
      <c r="I742" s="12" t="n">
        <v>46324</v>
      </c>
      <c r="J742" s="12" t="n"/>
      <c r="K742" s="12" t="n"/>
      <c r="L742" s="11" t="inlineStr">
        <is>
          <t>Programada</t>
        </is>
      </c>
      <c r="M742" s="12" t="n"/>
      <c r="N742" s="11">
        <f>SI(O(H742="";J742="");"";SI(J742&lt;=H742;"SÍ";"NO"))</f>
        <v/>
      </c>
      <c r="O742" s="11">
        <f>SI(O(I742="";K742="");"";SI(K742&lt;=SI(M742&lt;&gt;"";M742;I742);"SÍ";"NO"))</f>
        <v/>
      </c>
      <c r="P742" s="11">
        <f>SI(O(N742="";O742="");"";SI(Y(N742="SÍ";O742="SÍ");"SÍ";"NO"))</f>
        <v/>
      </c>
      <c r="Q742" s="13">
        <f>SI(O(I742="";K742="");"";MAX(0;ENTERO(K742)-ENTERO(SI(M742&lt;&gt;"";M742;I742))))</f>
        <v/>
      </c>
      <c r="R742" s="11" t="n"/>
      <c r="S742" s="11" t="n"/>
      <c r="T742" s="12" t="n"/>
      <c r="U742" s="11" t="n">
        <v>27</v>
      </c>
      <c r="V742" s="11" t="n"/>
    </row>
    <row r="743">
      <c r="A743" s="14" t="n">
        <v>1383</v>
      </c>
      <c r="B743" s="14" t="inlineStr">
        <is>
          <t>MARINILLA</t>
        </is>
      </c>
      <c r="C743" s="14" t="inlineStr">
        <is>
          <t>Marinilla</t>
        </is>
      </c>
      <c r="D743" s="14" t="inlineStr">
        <is>
          <t>Antioquia</t>
        </is>
      </c>
      <c r="E743" s="14" t="inlineStr">
        <is>
          <t>ANTIOQUIA</t>
        </is>
      </c>
      <c r="F743" s="14" t="inlineStr">
        <is>
          <t>Juan Pablo Osorio Ramirez</t>
        </is>
      </c>
      <c r="G743" s="14" t="inlineStr">
        <is>
          <t>5</t>
        </is>
      </c>
      <c r="H743" s="15" t="n">
        <v>46325</v>
      </c>
      <c r="I743" s="15" t="n">
        <v>46325</v>
      </c>
      <c r="J743" s="15" t="n"/>
      <c r="K743" s="15" t="n"/>
      <c r="L743" s="14" t="inlineStr">
        <is>
          <t>Programada</t>
        </is>
      </c>
      <c r="M743" s="15" t="n"/>
      <c r="N743" s="14">
        <f>SI(O(H743="";J743="");"";SI(J743&lt;=H743;"SÍ";"NO"))</f>
        <v/>
      </c>
      <c r="O743" s="14">
        <f>SI(O(I743="";K743="");"";SI(K743&lt;=SI(M743&lt;&gt;"";M743;I743);"SÍ";"NO"))</f>
        <v/>
      </c>
      <c r="P743" s="14">
        <f>SI(O(N743="";O743="");"";SI(Y(N743="SÍ";O743="SÍ");"SÍ";"NO"))</f>
        <v/>
      </c>
      <c r="Q743" s="16">
        <f>SI(O(I743="";K743="");"";MAX(0;ENTERO(K743)-ENTERO(SI(M743&lt;&gt;"";M743;I743))))</f>
        <v/>
      </c>
      <c r="R743" s="14" t="n"/>
      <c r="S743" s="14" t="n"/>
      <c r="T743" s="15" t="n"/>
      <c r="U743" s="14" t="n">
        <v>29</v>
      </c>
      <c r="V743" s="14" t="n"/>
    </row>
    <row r="744">
      <c r="A744" s="11" t="n">
        <v>4868</v>
      </c>
      <c r="B744" s="11" t="inlineStr">
        <is>
          <t>RICAURTE</t>
        </is>
      </c>
      <c r="C744" s="11" t="inlineStr">
        <is>
          <t>Ricaurte</t>
        </is>
      </c>
      <c r="D744" s="11" t="inlineStr">
        <is>
          <t>Nariño</t>
        </is>
      </c>
      <c r="E744" s="11" t="inlineStr">
        <is>
          <t>OCCIDENTE</t>
        </is>
      </c>
      <c r="F744" s="11" t="inlineStr">
        <is>
          <t>Juan Carlos Narvaez Acosta / Luis Fernando Ibarra Guio</t>
        </is>
      </c>
      <c r="G744" s="11" t="inlineStr">
        <is>
          <t>2</t>
        </is>
      </c>
      <c r="H744" s="12" t="n">
        <v>46325</v>
      </c>
      <c r="I744" s="12" t="n">
        <v>46325</v>
      </c>
      <c r="J744" s="12" t="n"/>
      <c r="K744" s="12" t="n"/>
      <c r="L744" s="11" t="inlineStr">
        <is>
          <t>Programada</t>
        </is>
      </c>
      <c r="M744" s="12" t="n"/>
      <c r="N744" s="11">
        <f>SI(O(H744="";J744="");"";SI(J744&lt;=H744;"SÍ";"NO"))</f>
        <v/>
      </c>
      <c r="O744" s="11">
        <f>SI(O(I744="";K744="");"";SI(K744&lt;=SI(M744&lt;&gt;"";M744;I744);"SÍ";"NO"))</f>
        <v/>
      </c>
      <c r="P744" s="11">
        <f>SI(O(N744="";O744="");"";SI(Y(N744="SÍ";O744="SÍ");"SÍ";"NO"))</f>
        <v/>
      </c>
      <c r="Q744" s="13">
        <f>SI(O(I744="";K744="");"";MAX(0;ENTERO(K744)-ENTERO(SI(M744&lt;&gt;"";M744;I744))))</f>
        <v/>
      </c>
      <c r="R744" s="11" t="n"/>
      <c r="S744" s="11" t="n"/>
      <c r="T744" s="12" t="n"/>
      <c r="U744" s="11" t="n">
        <v>18</v>
      </c>
      <c r="V744" s="11" t="n"/>
    </row>
    <row r="745">
      <c r="A745" s="14" t="n">
        <v>5450</v>
      </c>
      <c r="B745" s="14" t="inlineStr">
        <is>
          <t>SALENTO</t>
        </is>
      </c>
      <c r="C745" s="14" t="inlineStr">
        <is>
          <t>Salento</t>
        </is>
      </c>
      <c r="D745" s="14" t="inlineStr">
        <is>
          <t>Quindio</t>
        </is>
      </c>
      <c r="E745" s="14" t="inlineStr">
        <is>
          <t>CAFETERA</t>
        </is>
      </c>
      <c r="F745" s="14" t="inlineStr">
        <is>
          <t>Alvaro Augusto Villalba Villamil</t>
        </is>
      </c>
      <c r="G745" s="14" t="inlineStr">
        <is>
          <t>2</t>
        </is>
      </c>
      <c r="H745" s="15" t="n">
        <v>46325</v>
      </c>
      <c r="I745" s="15" t="n">
        <v>46325</v>
      </c>
      <c r="J745" s="15" t="n"/>
      <c r="K745" s="15" t="n"/>
      <c r="L745" s="14" t="inlineStr">
        <is>
          <t>Programada</t>
        </is>
      </c>
      <c r="M745" s="15" t="n"/>
      <c r="N745" s="14">
        <f>SI(O(H745="";J745="");"";SI(J745&lt;=H745;"SÍ";"NO"))</f>
        <v/>
      </c>
      <c r="O745" s="14">
        <f>SI(O(I745="";K745="");"";SI(K745&lt;=SI(M745&lt;&gt;"";M745;I745);"SÍ";"NO"))</f>
        <v/>
      </c>
      <c r="P745" s="14">
        <f>SI(O(N745="";O745="");"";SI(Y(N745="SÍ";O745="SÍ");"SÍ";"NO"))</f>
        <v/>
      </c>
      <c r="Q745" s="16">
        <f>SI(O(I745="";K745="");"";MAX(0;ENTERO(K745)-ENTERO(SI(M745&lt;&gt;"";M745;I745))))</f>
        <v/>
      </c>
      <c r="R745" s="14" t="n"/>
      <c r="S745" s="14" t="n"/>
      <c r="T745" s="15" t="n"/>
      <c r="U745" s="14" t="n">
        <v>15</v>
      </c>
      <c r="V745" s="14" t="n"/>
    </row>
    <row r="746">
      <c r="A746" s="11" t="n">
        <v>4860</v>
      </c>
      <c r="B746" s="11" t="inlineStr">
        <is>
          <t>BARBACOAS</t>
        </is>
      </c>
      <c r="C746" s="11" t="inlineStr">
        <is>
          <t>Barbacoas</t>
        </is>
      </c>
      <c r="D746" s="11" t="inlineStr">
        <is>
          <t>Nariño</t>
        </is>
      </c>
      <c r="E746" s="11" t="inlineStr">
        <is>
          <t>OCCIDENTE</t>
        </is>
      </c>
      <c r="F746" s="11" t="inlineStr">
        <is>
          <t>Wilber Bernardo Angulo Quijano</t>
        </is>
      </c>
      <c r="G746" s="11" t="inlineStr">
        <is>
          <t>1</t>
        </is>
      </c>
      <c r="H746" s="12" t="n">
        <v>46329</v>
      </c>
      <c r="I746" s="12" t="n">
        <v>46329</v>
      </c>
      <c r="J746" s="12" t="n"/>
      <c r="K746" s="12" t="n"/>
      <c r="L746" s="11" t="inlineStr">
        <is>
          <t>Programada</t>
        </is>
      </c>
      <c r="M746" s="12" t="n"/>
      <c r="N746" s="11">
        <f>SI(O(H746="";J746="");"";SI(J746&lt;=H746;"SÍ";"NO"))</f>
        <v/>
      </c>
      <c r="O746" s="11">
        <f>SI(O(I746="";K746="");"";SI(K746&lt;=SI(M746&lt;&gt;"";M746;I746);"SÍ";"NO"))</f>
        <v/>
      </c>
      <c r="P746" s="11">
        <f>SI(O(N746="";O746="");"";SI(Y(N746="SÍ";O746="SÍ");"SÍ";"NO"))</f>
        <v/>
      </c>
      <c r="Q746" s="13">
        <f>SI(O(I746="";K746="");"";MAX(0;ENTERO(K746)-ENTERO(SI(M746&lt;&gt;"";M746;I746))))</f>
        <v/>
      </c>
      <c r="R746" s="11" t="n"/>
      <c r="S746" s="11" t="n"/>
      <c r="T746" s="12" t="n"/>
      <c r="U746" s="11" t="n">
        <v>16</v>
      </c>
      <c r="V746" s="11" t="n"/>
    </row>
    <row r="747">
      <c r="A747" s="14" t="n">
        <v>4882</v>
      </c>
      <c r="B747" s="14" t="inlineStr">
        <is>
          <t>TUMACO</t>
        </is>
      </c>
      <c r="C747" s="14" t="inlineStr">
        <is>
          <t>Tumaco</t>
        </is>
      </c>
      <c r="D747" s="14" t="inlineStr">
        <is>
          <t>Nariño</t>
        </is>
      </c>
      <c r="E747" s="14" t="inlineStr">
        <is>
          <t>OCCIDENTE</t>
        </is>
      </c>
      <c r="F747" s="14" t="inlineStr">
        <is>
          <t>Juan Carlos Narvaez Acosta / Luis Fernando Ibarra Guio</t>
        </is>
      </c>
      <c r="G747" s="14" t="inlineStr">
        <is>
          <t>9</t>
        </is>
      </c>
      <c r="H747" s="15" t="n">
        <v>46329</v>
      </c>
      <c r="I747" s="15" t="n">
        <v>46329</v>
      </c>
      <c r="J747" s="15" t="n"/>
      <c r="K747" s="15" t="n"/>
      <c r="L747" s="14" t="inlineStr">
        <is>
          <t>Programada</t>
        </is>
      </c>
      <c r="M747" s="15" t="n"/>
      <c r="N747" s="14">
        <f>SI(O(H747="";J747="");"";SI(J747&lt;=H747;"SÍ";"NO"))</f>
        <v/>
      </c>
      <c r="O747" s="14">
        <f>SI(O(I747="";K747="");"";SI(K747&lt;=SI(M747&lt;&gt;"";M747;I747);"SÍ";"NO"))</f>
        <v/>
      </c>
      <c r="P747" s="14">
        <f>SI(O(N747="";O747="");"";SI(Y(N747="SÍ";O747="SÍ");"SÍ";"NO"))</f>
        <v/>
      </c>
      <c r="Q747" s="16">
        <f>SI(O(I747="";K747="");"";MAX(0;ENTERO(K747)-ENTERO(SI(M747&lt;&gt;"";M747;I747))))</f>
        <v/>
      </c>
      <c r="R747" s="14" t="n"/>
      <c r="S747" s="14" t="n"/>
      <c r="T747" s="15" t="n"/>
      <c r="U747" s="14" t="n">
        <v>49</v>
      </c>
      <c r="V747" s="14" t="n"/>
    </row>
    <row r="748">
      <c r="A748" s="11" t="n">
        <v>5130</v>
      </c>
      <c r="B748" s="11" t="inlineStr">
        <is>
          <t>PAMPLONA</t>
        </is>
      </c>
      <c r="C748" s="11" t="inlineStr">
        <is>
          <t>Pamplona</t>
        </is>
      </c>
      <c r="D748" s="11" t="inlineStr">
        <is>
          <t>Norte de Santander</t>
        </is>
      </c>
      <c r="E748" s="11" t="inlineStr">
        <is>
          <t>SANTANDERES</t>
        </is>
      </c>
      <c r="F748" s="11" t="inlineStr">
        <is>
          <t>Juan Alfonso Cuberos Buendia-Ali Kassem Issa Sierra</t>
        </is>
      </c>
      <c r="G748" s="11" t="inlineStr">
        <is>
          <t>7</t>
        </is>
      </c>
      <c r="H748" s="12" t="n">
        <v>46329</v>
      </c>
      <c r="I748" s="12" t="n">
        <v>46332</v>
      </c>
      <c r="J748" s="12" t="n"/>
      <c r="K748" s="12" t="n"/>
      <c r="L748" s="11" t="inlineStr">
        <is>
          <t>Programada</t>
        </is>
      </c>
      <c r="M748" s="12" t="n"/>
      <c r="N748" s="11">
        <f>SI(O(H748="";J748="");"";SI(J748&lt;=H748;"SÍ";"NO"))</f>
        <v/>
      </c>
      <c r="O748" s="11">
        <f>SI(O(I748="";K748="");"";SI(K748&lt;=SI(M748&lt;&gt;"";M748;I748);"SÍ";"NO"))</f>
        <v/>
      </c>
      <c r="P748" s="11">
        <f>SI(O(N748="";O748="");"";SI(Y(N748="SÍ";O748="SÍ");"SÍ";"NO"))</f>
        <v/>
      </c>
      <c r="Q748" s="13">
        <f>SI(O(I748="";K748="");"";MAX(0;ENTERO(K748)-ENTERO(SI(M748&lt;&gt;"";M748;I748))))</f>
        <v/>
      </c>
      <c r="R748" s="11" t="n"/>
      <c r="S748" s="11" t="n"/>
      <c r="T748" s="12" t="n"/>
      <c r="U748" s="11" t="n">
        <v>35</v>
      </c>
      <c r="V748" s="11" t="n"/>
    </row>
    <row r="749">
      <c r="A749" s="14" t="n">
        <v>7514</v>
      </c>
      <c r="B749" s="14" t="inlineStr">
        <is>
          <t>CARTAGENA DEL CHAIRA</t>
        </is>
      </c>
      <c r="C749" s="14" t="inlineStr">
        <is>
          <t>Cartagena Del Chairá</t>
        </is>
      </c>
      <c r="D749" s="14" t="inlineStr">
        <is>
          <t>Caquetá</t>
        </is>
      </c>
      <c r="E749" s="14" t="inlineStr">
        <is>
          <t>SUR</t>
        </is>
      </c>
      <c r="F749" s="14" t="inlineStr">
        <is>
          <t>ERIKA VARGAS</t>
        </is>
      </c>
      <c r="G749" s="14" t="inlineStr">
        <is>
          <t>3</t>
        </is>
      </c>
      <c r="H749" s="15" t="n">
        <v>46329</v>
      </c>
      <c r="I749" s="15" t="n">
        <v>46329</v>
      </c>
      <c r="J749" s="15" t="n"/>
      <c r="K749" s="15" t="n"/>
      <c r="L749" s="14" t="inlineStr">
        <is>
          <t>Programada</t>
        </is>
      </c>
      <c r="M749" s="15" t="n"/>
      <c r="N749" s="14">
        <f>SI(O(H749="";J749="");"";SI(J749&lt;=H749;"SÍ";"NO"))</f>
        <v/>
      </c>
      <c r="O749" s="14">
        <f>SI(O(I749="";K749="");"";SI(K749&lt;=SI(M749&lt;&gt;"";M749;I749);"SÍ";"NO"))</f>
        <v/>
      </c>
      <c r="P749" s="14">
        <f>SI(O(N749="";O749="");"";SI(Y(N749="SÍ";O749="SÍ");"SÍ";"NO"))</f>
        <v/>
      </c>
      <c r="Q749" s="16">
        <f>SI(O(I749="";K749="");"";MAX(0;ENTERO(K749)-ENTERO(SI(M749&lt;&gt;"";M749;I749))))</f>
        <v/>
      </c>
      <c r="R749" s="14" t="n"/>
      <c r="S749" s="14" t="n"/>
      <c r="T749" s="15" t="n"/>
      <c r="U749" s="14" t="n">
        <v>26</v>
      </c>
      <c r="V749" s="14" t="n"/>
    </row>
    <row r="750">
      <c r="A750" s="11" t="n">
        <v>1374</v>
      </c>
      <c r="B750" s="11" t="inlineStr">
        <is>
          <t>CARMEN DE VIBORAL</t>
        </is>
      </c>
      <c r="C750" s="11" t="inlineStr">
        <is>
          <t>El Carmen De Viboral</t>
        </is>
      </c>
      <c r="D750" s="11" t="inlineStr">
        <is>
          <t>Antioquia</t>
        </is>
      </c>
      <c r="E750" s="11" t="inlineStr">
        <is>
          <t>ANTIOQUIA</t>
        </is>
      </c>
      <c r="F750" s="11" t="inlineStr">
        <is>
          <t>Juan Pablo Osorio Ramirez</t>
        </is>
      </c>
      <c r="G750" s="11" t="inlineStr">
        <is>
          <t>5</t>
        </is>
      </c>
      <c r="H750" s="12" t="n">
        <v>46330</v>
      </c>
      <c r="I750" s="12" t="n">
        <v>46330</v>
      </c>
      <c r="J750" s="12" t="n"/>
      <c r="K750" s="12" t="n"/>
      <c r="L750" s="11" t="inlineStr">
        <is>
          <t>Programada</t>
        </is>
      </c>
      <c r="M750" s="12" t="n"/>
      <c r="N750" s="11">
        <f>SI(O(H750="";J750="");"";SI(J750&lt;=H750;"SÍ";"NO"))</f>
        <v/>
      </c>
      <c r="O750" s="11">
        <f>SI(O(I750="";K750="");"";SI(K750&lt;=SI(M750&lt;&gt;"";M750;I750);"SÍ";"NO"))</f>
        <v/>
      </c>
      <c r="P750" s="11">
        <f>SI(O(N750="";O750="");"";SI(Y(N750="SÍ";O750="SÍ");"SÍ";"NO"))</f>
        <v/>
      </c>
      <c r="Q750" s="13">
        <f>SI(O(I750="";K750="");"";MAX(0;ENTERO(K750)-ENTERO(SI(M750&lt;&gt;"";M750;I750))))</f>
        <v/>
      </c>
      <c r="R750" s="11" t="n"/>
      <c r="S750" s="11" t="n"/>
      <c r="T750" s="12" t="n"/>
      <c r="U750" s="11" t="n">
        <v>24</v>
      </c>
      <c r="V750" s="11" t="n"/>
    </row>
    <row r="751">
      <c r="A751" s="14" t="n">
        <v>6610</v>
      </c>
      <c r="B751" s="14" t="inlineStr">
        <is>
          <t>HONDA</t>
        </is>
      </c>
      <c r="C751" s="14" t="inlineStr">
        <is>
          <t>Honda</t>
        </is>
      </c>
      <c r="D751" s="14" t="inlineStr">
        <is>
          <t>Tolima</t>
        </is>
      </c>
      <c r="E751" s="14" t="inlineStr">
        <is>
          <t>SUR</t>
        </is>
      </c>
      <c r="F751" s="14" t="inlineStr">
        <is>
          <t>Fernando Valencia- Bernardo Arango</t>
        </is>
      </c>
      <c r="G751" s="14" t="inlineStr">
        <is>
          <t>2</t>
        </is>
      </c>
      <c r="H751" s="15" t="n">
        <v>46330</v>
      </c>
      <c r="I751" s="15" t="n">
        <v>46330</v>
      </c>
      <c r="J751" s="15" t="n"/>
      <c r="K751" s="15" t="n"/>
      <c r="L751" s="14" t="inlineStr">
        <is>
          <t>Programada</t>
        </is>
      </c>
      <c r="M751" s="15" t="n"/>
      <c r="N751" s="14">
        <f>SI(O(H751="";J751="");"";SI(J751&lt;=H751;"SÍ";"NO"))</f>
        <v/>
      </c>
      <c r="O751" s="14">
        <f>SI(O(I751="";K751="");"";SI(K751&lt;=SI(M751&lt;&gt;"";M751;I751);"SÍ";"NO"))</f>
        <v/>
      </c>
      <c r="P751" s="14">
        <f>SI(O(N751="";O751="");"";SI(Y(N751="SÍ";O751="SÍ");"SÍ";"NO"))</f>
        <v/>
      </c>
      <c r="Q751" s="16">
        <f>SI(O(I751="";K751="");"";MAX(0;ENTERO(K751)-ENTERO(SI(M751&lt;&gt;"";M751;I751))))</f>
        <v/>
      </c>
      <c r="R751" s="14" t="n"/>
      <c r="S751" s="14" t="n"/>
      <c r="T751" s="15" t="n"/>
      <c r="U751" s="14" t="n">
        <v>18</v>
      </c>
      <c r="V751" s="14" t="n"/>
    </row>
    <row r="752">
      <c r="A752" s="11" t="n">
        <v>6943</v>
      </c>
      <c r="B752" s="11" t="inlineStr">
        <is>
          <t>FLORIDA</t>
        </is>
      </c>
      <c r="C752" s="11" t="inlineStr">
        <is>
          <t>Florida</t>
        </is>
      </c>
      <c r="D752" s="11" t="inlineStr">
        <is>
          <t>Valle del Cauca</t>
        </is>
      </c>
      <c r="E752" s="11" t="inlineStr">
        <is>
          <t>OCCIDENTE</t>
        </is>
      </c>
      <c r="F752" s="11" t="inlineStr">
        <is>
          <t>John Edwin Jimenez Chavez</t>
        </is>
      </c>
      <c r="G752" s="11" t="inlineStr">
        <is>
          <t>2</t>
        </is>
      </c>
      <c r="H752" s="12" t="n">
        <v>46330</v>
      </c>
      <c r="I752" s="12" t="n">
        <v>46330</v>
      </c>
      <c r="J752" s="12" t="n"/>
      <c r="K752" s="12" t="n"/>
      <c r="L752" s="11" t="inlineStr">
        <is>
          <t>Programada</t>
        </is>
      </c>
      <c r="M752" s="12" t="n"/>
      <c r="N752" s="11">
        <f>SI(O(H752="";J752="");"";SI(J752&lt;=H752;"SÍ";"NO"))</f>
        <v/>
      </c>
      <c r="O752" s="11">
        <f>SI(O(I752="";K752="");"";SI(K752&lt;=SI(M752&lt;&gt;"";M752;I752);"SÍ";"NO"))</f>
        <v/>
      </c>
      <c r="P752" s="11">
        <f>SI(O(N752="";O752="");"";SI(Y(N752="SÍ";O752="SÍ");"SÍ";"NO"))</f>
        <v/>
      </c>
      <c r="Q752" s="13">
        <f>SI(O(I752="";K752="");"";MAX(0;ENTERO(K752)-ENTERO(SI(M752&lt;&gt;"";M752;I752))))</f>
        <v/>
      </c>
      <c r="R752" s="11" t="n"/>
      <c r="S752" s="11" t="n"/>
      <c r="T752" s="12" t="n"/>
      <c r="U752" s="11" t="n">
        <v>21</v>
      </c>
      <c r="V752" s="11" t="n"/>
    </row>
    <row r="753">
      <c r="A753" s="14" t="n">
        <v>7525</v>
      </c>
      <c r="B753" s="14" t="inlineStr">
        <is>
          <t>EL PAUJIL</t>
        </is>
      </c>
      <c r="C753" s="14" t="inlineStr">
        <is>
          <t>El Paujil</t>
        </is>
      </c>
      <c r="D753" s="14" t="inlineStr">
        <is>
          <t>Caquetá</t>
        </is>
      </c>
      <c r="E753" s="14" t="inlineStr">
        <is>
          <t>SUR</t>
        </is>
      </c>
      <c r="F753" s="14" t="inlineStr">
        <is>
          <t>ERIKA VARGAS</t>
        </is>
      </c>
      <c r="G753" s="14" t="inlineStr">
        <is>
          <t>2</t>
        </is>
      </c>
      <c r="H753" s="15" t="n">
        <v>46330</v>
      </c>
      <c r="I753" s="15" t="n">
        <v>46330</v>
      </c>
      <c r="J753" s="15" t="n"/>
      <c r="K753" s="15" t="n"/>
      <c r="L753" s="14" t="inlineStr">
        <is>
          <t>Programada</t>
        </is>
      </c>
      <c r="M753" s="15" t="n"/>
      <c r="N753" s="14">
        <f>SI(O(H753="";J753="");"";SI(J753&lt;=H753;"SÍ";"NO"))</f>
        <v/>
      </c>
      <c r="O753" s="14">
        <f>SI(O(I753="";K753="");"";SI(K753&lt;=SI(M753&lt;&gt;"";M753;I753);"SÍ";"NO"))</f>
        <v/>
      </c>
      <c r="P753" s="14">
        <f>SI(O(N753="";O753="");"";SI(Y(N753="SÍ";O753="SÍ");"SÍ";"NO"))</f>
        <v/>
      </c>
      <c r="Q753" s="16">
        <f>SI(O(I753="";K753="");"";MAX(0;ENTERO(K753)-ENTERO(SI(M753&lt;&gt;"";M753;I753))))</f>
        <v/>
      </c>
      <c r="R753" s="14" t="n"/>
      <c r="S753" s="14" t="n"/>
      <c r="T753" s="15" t="n"/>
      <c r="U753" s="14" t="n">
        <v>21</v>
      </c>
      <c r="V753" s="14" t="n"/>
    </row>
    <row r="754">
      <c r="A754" s="11" t="n">
        <v>6651</v>
      </c>
      <c r="B754" s="11" t="inlineStr">
        <is>
          <t>FRESNO</t>
        </is>
      </c>
      <c r="C754" s="11" t="inlineStr">
        <is>
          <t>Fresno</t>
        </is>
      </c>
      <c r="D754" s="11" t="inlineStr">
        <is>
          <t>Tolima</t>
        </is>
      </c>
      <c r="E754" s="11" t="inlineStr">
        <is>
          <t>SUR</t>
        </is>
      </c>
      <c r="F754" s="11" t="inlineStr">
        <is>
          <t>Fernando Valencia- Bernardo Arango</t>
        </is>
      </c>
      <c r="G754" s="11" t="inlineStr">
        <is>
          <t>3</t>
        </is>
      </c>
      <c r="H754" s="12" t="n">
        <v>46331</v>
      </c>
      <c r="I754" s="12" t="n">
        <v>46331</v>
      </c>
      <c r="J754" s="12" t="n"/>
      <c r="K754" s="12" t="n"/>
      <c r="L754" s="11" t="inlineStr">
        <is>
          <t>Programada</t>
        </is>
      </c>
      <c r="M754" s="12" t="n"/>
      <c r="N754" s="11">
        <f>SI(O(H754="";J754="");"";SI(J754&lt;=H754;"SÍ";"NO"))</f>
        <v/>
      </c>
      <c r="O754" s="11">
        <f>SI(O(I754="";K754="");"";SI(K754&lt;=SI(M754&lt;&gt;"";M754;I754);"SÍ";"NO"))</f>
        <v/>
      </c>
      <c r="P754" s="11">
        <f>SI(O(N754="";O754="");"";SI(Y(N754="SÍ";O754="SÍ");"SÍ";"NO"))</f>
        <v/>
      </c>
      <c r="Q754" s="13">
        <f>SI(O(I754="";K754="");"";MAX(0;ENTERO(K754)-ENTERO(SI(M754&lt;&gt;"";M754;I754))))</f>
        <v/>
      </c>
      <c r="R754" s="11" t="n"/>
      <c r="S754" s="11" t="n"/>
      <c r="T754" s="12" t="n"/>
      <c r="U754" s="11" t="n">
        <v>24</v>
      </c>
      <c r="V754" s="11" t="n"/>
    </row>
    <row r="755">
      <c r="A755" s="14" t="n">
        <v>6940</v>
      </c>
      <c r="B755" s="14" t="inlineStr">
        <is>
          <t>PALMIRA</t>
        </is>
      </c>
      <c r="C755" s="14" t="inlineStr">
        <is>
          <t>Palmira</t>
        </is>
      </c>
      <c r="D755" s="14" t="inlineStr">
        <is>
          <t>Valle del Cauca</t>
        </is>
      </c>
      <c r="E755" s="14" t="inlineStr">
        <is>
          <t>OCCIDENTE</t>
        </is>
      </c>
      <c r="F755" s="14" t="inlineStr">
        <is>
          <t>John Edwin Jimenez Chavez</t>
        </is>
      </c>
      <c r="G755" s="14" t="inlineStr">
        <is>
          <t>6</t>
        </is>
      </c>
      <c r="H755" s="15" t="n">
        <v>46331</v>
      </c>
      <c r="I755" s="15" t="n">
        <v>46331</v>
      </c>
      <c r="J755" s="15" t="n"/>
      <c r="K755" s="15" t="n"/>
      <c r="L755" s="14" t="inlineStr">
        <is>
          <t>Programada</t>
        </is>
      </c>
      <c r="M755" s="15" t="n"/>
      <c r="N755" s="14">
        <f>SI(O(H755="";J755="");"";SI(J755&lt;=H755;"SÍ";"NO"))</f>
        <v/>
      </c>
      <c r="O755" s="14">
        <f>SI(O(I755="";K755="");"";SI(K755&lt;=SI(M755&lt;&gt;"";M755;I755);"SÍ";"NO"))</f>
        <v/>
      </c>
      <c r="P755" s="14">
        <f>SI(O(N755="";O755="");"";SI(Y(N755="SÍ";O755="SÍ");"SÍ";"NO"))</f>
        <v/>
      </c>
      <c r="Q755" s="16">
        <f>SI(O(I755="";K755="");"";MAX(0;ENTERO(K755)-ENTERO(SI(M755&lt;&gt;"";M755;I755))))</f>
        <v/>
      </c>
      <c r="R755" s="14" t="n"/>
      <c r="S755" s="14" t="n"/>
      <c r="T755" s="15" t="n"/>
      <c r="U755" s="14" t="n">
        <v>43</v>
      </c>
      <c r="V755" s="14" t="n"/>
    </row>
    <row r="756">
      <c r="A756" s="11" t="n">
        <v>7503</v>
      </c>
      <c r="B756" s="11" t="inlineStr">
        <is>
          <t>FLORENCIA</t>
        </is>
      </c>
      <c r="C756" s="11" t="inlineStr">
        <is>
          <t>Florencia</t>
        </is>
      </c>
      <c r="D756" s="11" t="inlineStr">
        <is>
          <t>Caquetá</t>
        </is>
      </c>
      <c r="E756" s="11" t="inlineStr">
        <is>
          <t>SUR</t>
        </is>
      </c>
      <c r="F756" s="11" t="inlineStr">
        <is>
          <t>ERIKA VARGAS</t>
        </is>
      </c>
      <c r="G756" s="11" t="inlineStr">
        <is>
          <t>8</t>
        </is>
      </c>
      <c r="H756" s="12" t="n">
        <v>46331</v>
      </c>
      <c r="I756" s="12" t="n">
        <v>46331</v>
      </c>
      <c r="J756" s="12" t="n"/>
      <c r="K756" s="12" t="n"/>
      <c r="L756" s="11" t="inlineStr">
        <is>
          <t>Programada</t>
        </is>
      </c>
      <c r="M756" s="12" t="n"/>
      <c r="N756" s="11">
        <f>SI(O(H756="";J756="");"";SI(J756&lt;=H756;"SÍ";"NO"))</f>
        <v/>
      </c>
      <c r="O756" s="11">
        <f>SI(O(I756="";K756="");"";SI(K756&lt;=SI(M756&lt;&gt;"";M756;I756);"SÍ";"NO"))</f>
        <v/>
      </c>
      <c r="P756" s="11">
        <f>SI(O(N756="";O756="");"";SI(Y(N756="SÍ";O756="SÍ");"SÍ";"NO"))</f>
        <v/>
      </c>
      <c r="Q756" s="13">
        <f>SI(O(I756="";K756="");"";MAX(0;ENTERO(K756)-ENTERO(SI(M756&lt;&gt;"";M756;I756))))</f>
        <v/>
      </c>
      <c r="R756" s="11" t="n"/>
      <c r="S756" s="11" t="n"/>
      <c r="T756" s="12" t="n"/>
      <c r="U756" s="11" t="n">
        <v>59</v>
      </c>
      <c r="V756" s="11" t="n"/>
    </row>
    <row r="757">
      <c r="A757" s="14" t="n">
        <v>6608</v>
      </c>
      <c r="B757" s="14" t="inlineStr">
        <is>
          <t>MARIQUITA</t>
        </is>
      </c>
      <c r="C757" s="14" t="inlineStr">
        <is>
          <t>Mariquita</t>
        </is>
      </c>
      <c r="D757" s="14" t="inlineStr">
        <is>
          <t>Tolima</t>
        </is>
      </c>
      <c r="E757" s="14" t="inlineStr">
        <is>
          <t>SUR</t>
        </is>
      </c>
      <c r="F757" s="14" t="inlineStr">
        <is>
          <t>Fernando Valencia- Bernardo Arango</t>
        </is>
      </c>
      <c r="G757" s="14" t="inlineStr">
        <is>
          <t>5</t>
        </is>
      </c>
      <c r="H757" s="15" t="n">
        <v>46332</v>
      </c>
      <c r="I757" s="15" t="n">
        <v>46332</v>
      </c>
      <c r="J757" s="15" t="n"/>
      <c r="K757" s="15" t="n"/>
      <c r="L757" s="14" t="inlineStr">
        <is>
          <t>Programada</t>
        </is>
      </c>
      <c r="M757" s="15" t="n"/>
      <c r="N757" s="14">
        <f>SI(O(H757="";J757="");"";SI(J757&lt;=H757;"SÍ";"NO"))</f>
        <v/>
      </c>
      <c r="O757" s="14">
        <f>SI(O(I757="";K757="");"";SI(K757&lt;=SI(M757&lt;&gt;"";M757;I757);"SÍ";"NO"))</f>
        <v/>
      </c>
      <c r="P757" s="14">
        <f>SI(O(N757="";O757="");"";SI(Y(N757="SÍ";O757="SÍ");"SÍ";"NO"))</f>
        <v/>
      </c>
      <c r="Q757" s="16">
        <f>SI(O(I757="";K757="");"";MAX(0;ENTERO(K757)-ENTERO(SI(M757&lt;&gt;"";M757;I757))))</f>
        <v/>
      </c>
      <c r="R757" s="14" t="n"/>
      <c r="S757" s="14" t="n"/>
      <c r="T757" s="15" t="n"/>
      <c r="U757" s="14" t="n">
        <v>23</v>
      </c>
      <c r="V757" s="14" t="n"/>
    </row>
    <row r="758">
      <c r="A758" s="11" t="n">
        <v>6941</v>
      </c>
      <c r="B758" s="11" t="inlineStr">
        <is>
          <t>PRADERA</t>
        </is>
      </c>
      <c r="C758" s="11" t="inlineStr">
        <is>
          <t>Pradera</t>
        </is>
      </c>
      <c r="D758" s="11" t="inlineStr">
        <is>
          <t>Valle del Cauca</t>
        </is>
      </c>
      <c r="E758" s="11" t="inlineStr">
        <is>
          <t>OCCIDENTE</t>
        </is>
      </c>
      <c r="F758" s="11" t="inlineStr">
        <is>
          <t>John Edwin Jimenez Chavez</t>
        </is>
      </c>
      <c r="G758" s="11" t="inlineStr">
        <is>
          <t>4</t>
        </is>
      </c>
      <c r="H758" s="12" t="n">
        <v>46332</v>
      </c>
      <c r="I758" s="12" t="n">
        <v>46332</v>
      </c>
      <c r="J758" s="12" t="n"/>
      <c r="K758" s="12" t="n"/>
      <c r="L758" s="11" t="inlineStr">
        <is>
          <t>Programada</t>
        </is>
      </c>
      <c r="M758" s="12" t="n"/>
      <c r="N758" s="11">
        <f>SI(O(H758="";J758="");"";SI(J758&lt;=H758;"SÍ";"NO"))</f>
        <v/>
      </c>
      <c r="O758" s="11">
        <f>SI(O(I758="";K758="");"";SI(K758&lt;=SI(M758&lt;&gt;"";M758;I758);"SÍ";"NO"))</f>
        <v/>
      </c>
      <c r="P758" s="11">
        <f>SI(O(N758="";O758="");"";SI(Y(N758="SÍ";O758="SÍ");"SÍ";"NO"))</f>
        <v/>
      </c>
      <c r="Q758" s="13">
        <f>SI(O(I758="";K758="");"";MAX(0;ENTERO(K758)-ENTERO(SI(M758&lt;&gt;"";M758;I758))))</f>
        <v/>
      </c>
      <c r="R758" s="11" t="n"/>
      <c r="S758" s="11" t="n"/>
      <c r="T758" s="12" t="n"/>
      <c r="U758" s="11" t="n">
        <v>27</v>
      </c>
      <c r="V758" s="11" t="n"/>
    </row>
    <row r="759">
      <c r="A759" s="14" t="n">
        <v>3915</v>
      </c>
      <c r="B759" s="14" t="inlineStr">
        <is>
          <t>CURILLO</t>
        </is>
      </c>
      <c r="C759" s="14" t="inlineStr">
        <is>
          <t>Curillo</t>
        </is>
      </c>
      <c r="D759" s="14" t="inlineStr">
        <is>
          <t>Caquetá</t>
        </is>
      </c>
      <c r="E759" s="14" t="inlineStr">
        <is>
          <t>SUR</t>
        </is>
      </c>
      <c r="F759" s="14" t="inlineStr">
        <is>
          <t>ERIKA VARGAS</t>
        </is>
      </c>
      <c r="G759" s="14" t="inlineStr">
        <is>
          <t>1</t>
        </is>
      </c>
      <c r="H759" s="15" t="n">
        <v>46335</v>
      </c>
      <c r="I759" s="15" t="n">
        <v>46335</v>
      </c>
      <c r="J759" s="15" t="n"/>
      <c r="K759" s="15" t="n"/>
      <c r="L759" s="14" t="inlineStr">
        <is>
          <t>Programada</t>
        </is>
      </c>
      <c r="M759" s="15" t="n"/>
      <c r="N759" s="14">
        <f>SI(O(H759="";J759="");"";SI(J759&lt;=H759;"SÍ";"NO"))</f>
        <v/>
      </c>
      <c r="O759" s="14">
        <f>SI(O(I759="";K759="");"";SI(K759&lt;=SI(M759&lt;&gt;"";M759;I759);"SÍ";"NO"))</f>
        <v/>
      </c>
      <c r="P759" s="14">
        <f>SI(O(N759="";O759="");"";SI(Y(N759="SÍ";O759="SÍ");"SÍ";"NO"))</f>
        <v/>
      </c>
      <c r="Q759" s="16">
        <f>SI(O(I759="";K759="");"";MAX(0;ENTERO(K759)-ENTERO(SI(M759&lt;&gt;"";M759;I759))))</f>
        <v/>
      </c>
      <c r="R759" s="14" t="n"/>
      <c r="S759" s="14" t="n"/>
      <c r="T759" s="15" t="n"/>
      <c r="U759" s="14" t="n">
        <v>14</v>
      </c>
      <c r="V759" s="14" t="n"/>
    </row>
    <row r="760">
      <c r="A760" s="11" t="n">
        <v>4864</v>
      </c>
      <c r="B760" s="11" t="inlineStr">
        <is>
          <t>BOCAS DE SATINGA</t>
        </is>
      </c>
      <c r="C760" s="11" t="inlineStr">
        <is>
          <t>Olaya Herrera</t>
        </is>
      </c>
      <c r="D760" s="11" t="inlineStr">
        <is>
          <t>Nariño</t>
        </is>
      </c>
      <c r="E760" s="11" t="inlineStr">
        <is>
          <t>OCCIDENTE</t>
        </is>
      </c>
      <c r="F760" s="11" t="inlineStr">
        <is>
          <t>Por asignar</t>
        </is>
      </c>
      <c r="G760" s="11" t="inlineStr">
        <is>
          <t>2</t>
        </is>
      </c>
      <c r="H760" s="12" t="n">
        <v>46335</v>
      </c>
      <c r="I760" s="12" t="n">
        <v>46339</v>
      </c>
      <c r="J760" s="12" t="n"/>
      <c r="K760" s="12" t="n"/>
      <c r="L760" s="11" t="inlineStr">
        <is>
          <t>Programada</t>
        </is>
      </c>
      <c r="M760" s="12" t="n"/>
      <c r="N760" s="11">
        <f>SI(O(H760="";J760="");"";SI(J760&lt;=H760;"SÍ";"NO"))</f>
        <v/>
      </c>
      <c r="O760" s="11">
        <f>SI(O(I760="";K760="");"";SI(K760&lt;=SI(M760&lt;&gt;"";M760;I760);"SÍ";"NO"))</f>
        <v/>
      </c>
      <c r="P760" s="11">
        <f>SI(O(N760="";O760="");"";SI(Y(N760="SÍ";O760="SÍ");"SÍ";"NO"))</f>
        <v/>
      </c>
      <c r="Q760" s="13">
        <f>SI(O(I760="";K760="");"";MAX(0;ENTERO(K760)-ENTERO(SI(M760&lt;&gt;"";M760;I760))))</f>
        <v/>
      </c>
      <c r="R760" s="11" t="n"/>
      <c r="S760" s="11" t="n"/>
      <c r="T760" s="12" t="n"/>
      <c r="U760" s="11" t="n">
        <v>15</v>
      </c>
      <c r="V760" s="11" t="n"/>
    </row>
    <row r="761">
      <c r="A761" s="14" t="n">
        <v>5115</v>
      </c>
      <c r="B761" s="14" t="inlineStr">
        <is>
          <t>CHINACOTA</t>
        </is>
      </c>
      <c r="C761" s="14" t="inlineStr">
        <is>
          <t>Chinácota</t>
        </is>
      </c>
      <c r="D761" s="14" t="inlineStr">
        <is>
          <t>Norte de Santander</t>
        </is>
      </c>
      <c r="E761" s="14" t="inlineStr">
        <is>
          <t>SANTANDERES</t>
        </is>
      </c>
      <c r="F761" s="14" t="inlineStr">
        <is>
          <t>Ali Kassem Issa Sierra</t>
        </is>
      </c>
      <c r="G761" s="14" t="inlineStr">
        <is>
          <t>2</t>
        </is>
      </c>
      <c r="H761" s="15" t="n">
        <v>46336</v>
      </c>
      <c r="I761" s="15" t="n">
        <v>46337</v>
      </c>
      <c r="J761" s="15" t="n"/>
      <c r="K761" s="15" t="n"/>
      <c r="L761" s="14" t="inlineStr">
        <is>
          <t>Programada</t>
        </is>
      </c>
      <c r="M761" s="15" t="n"/>
      <c r="N761" s="14">
        <f>SI(O(H761="";J761="");"";SI(J761&lt;=H761;"SÍ";"NO"))</f>
        <v/>
      </c>
      <c r="O761" s="14">
        <f>SI(O(I761="";K761="");"";SI(K761&lt;=SI(M761&lt;&gt;"";M761;I761);"SÍ";"NO"))</f>
        <v/>
      </c>
      <c r="P761" s="14">
        <f>SI(O(N761="";O761="");"";SI(Y(N761="SÍ";O761="SÍ");"SÍ";"NO"))</f>
        <v/>
      </c>
      <c r="Q761" s="16">
        <f>SI(O(I761="";K761="");"";MAX(0;ENTERO(K761)-ENTERO(SI(M761&lt;&gt;"";M761;I761))))</f>
        <v/>
      </c>
      <c r="R761" s="14" t="n"/>
      <c r="S761" s="14" t="n"/>
      <c r="T761" s="15" t="n"/>
      <c r="U761" s="14" t="n">
        <v>22</v>
      </c>
      <c r="V761" s="14" t="n"/>
    </row>
    <row r="762">
      <c r="A762" s="11" t="n">
        <v>5121</v>
      </c>
      <c r="B762" s="11" t="inlineStr">
        <is>
          <t>CACHIRA</t>
        </is>
      </c>
      <c r="C762" s="11" t="inlineStr">
        <is>
          <t>Cachirá</t>
        </is>
      </c>
      <c r="D762" s="11" t="inlineStr">
        <is>
          <t>Norte de Santander</t>
        </is>
      </c>
      <c r="E762" s="11" t="inlineStr">
        <is>
          <t>SANTANDERES</t>
        </is>
      </c>
      <c r="F762" s="11" t="inlineStr">
        <is>
          <t>Juan Alfonso Cuberos Buendia</t>
        </is>
      </c>
      <c r="G762" s="11" t="inlineStr">
        <is>
          <t>1</t>
        </is>
      </c>
      <c r="H762" s="12" t="n">
        <v>46336</v>
      </c>
      <c r="I762" s="12" t="n">
        <v>46336</v>
      </c>
      <c r="J762" s="12" t="n"/>
      <c r="K762" s="12" t="n"/>
      <c r="L762" s="11" t="inlineStr">
        <is>
          <t>Programada</t>
        </is>
      </c>
      <c r="M762" s="12" t="n"/>
      <c r="N762" s="11">
        <f>SI(O(H762="";J762="");"";SI(J762&lt;=H762;"SÍ";"NO"))</f>
        <v/>
      </c>
      <c r="O762" s="11">
        <f>SI(O(I762="";K762="");"";SI(K762&lt;=SI(M762&lt;&gt;"";M762;I762);"SÍ";"NO"))</f>
        <v/>
      </c>
      <c r="P762" s="11">
        <f>SI(O(N762="";O762="");"";SI(Y(N762="SÍ";O762="SÍ");"SÍ";"NO"))</f>
        <v/>
      </c>
      <c r="Q762" s="13">
        <f>SI(O(I762="";K762="");"";MAX(0;ENTERO(K762)-ENTERO(SI(M762&lt;&gt;"";M762;I762))))</f>
        <v/>
      </c>
      <c r="R762" s="11" t="n"/>
      <c r="S762" s="11" t="n"/>
      <c r="T762" s="12" t="n"/>
      <c r="U762" s="11" t="n">
        <v>16</v>
      </c>
      <c r="V762" s="11" t="n"/>
    </row>
    <row r="763">
      <c r="A763" s="14" t="n">
        <v>6638</v>
      </c>
      <c r="B763" s="14" t="inlineStr">
        <is>
          <t>LIBANO</t>
        </is>
      </c>
      <c r="C763" s="14" t="inlineStr">
        <is>
          <t>Líbano</t>
        </is>
      </c>
      <c r="D763" s="14" t="inlineStr">
        <is>
          <t>Tolima</t>
        </is>
      </c>
      <c r="E763" s="14" t="inlineStr">
        <is>
          <t>SUR</t>
        </is>
      </c>
      <c r="F763" s="14" t="inlineStr">
        <is>
          <t>Fernando Valencia- Bernardo Arango</t>
        </is>
      </c>
      <c r="G763" s="14" t="inlineStr">
        <is>
          <t>4</t>
        </is>
      </c>
      <c r="H763" s="15" t="n">
        <v>46336</v>
      </c>
      <c r="I763" s="15" t="n">
        <v>46336</v>
      </c>
      <c r="J763" s="15" t="n"/>
      <c r="K763" s="15" t="n"/>
      <c r="L763" s="14" t="inlineStr">
        <is>
          <t>Programada</t>
        </is>
      </c>
      <c r="M763" s="15" t="n"/>
      <c r="N763" s="14">
        <f>SI(O(H763="";J763="");"";SI(J763&lt;=H763;"SÍ";"NO"))</f>
        <v/>
      </c>
      <c r="O763" s="14">
        <f>SI(O(I763="";K763="");"";SI(K763&lt;=SI(M763&lt;&gt;"";M763;I763);"SÍ";"NO"))</f>
        <v/>
      </c>
      <c r="P763" s="14">
        <f>SI(O(N763="";O763="");"";SI(Y(N763="SÍ";O763="SÍ");"SÍ";"NO"))</f>
        <v/>
      </c>
      <c r="Q763" s="16">
        <f>SI(O(I763="";K763="");"";MAX(0;ENTERO(K763)-ENTERO(SI(M763&lt;&gt;"";M763;I763))))</f>
        <v/>
      </c>
      <c r="R763" s="14" t="n"/>
      <c r="S763" s="14" t="n"/>
      <c r="T763" s="15" t="n"/>
      <c r="U763" s="14" t="n">
        <v>25</v>
      </c>
      <c r="V763" s="14" t="n"/>
    </row>
    <row r="764">
      <c r="A764" s="11" t="n">
        <v>6903</v>
      </c>
      <c r="B764" s="11" t="inlineStr">
        <is>
          <t>CALI SUCURSAL</t>
        </is>
      </c>
      <c r="C764" s="11" t="inlineStr">
        <is>
          <t>Cali</t>
        </is>
      </c>
      <c r="D764" s="11" t="inlineStr">
        <is>
          <t>Valle del Cauca</t>
        </is>
      </c>
      <c r="E764" s="11" t="inlineStr">
        <is>
          <t>OCCIDENTE</t>
        </is>
      </c>
      <c r="F764" s="11" t="inlineStr">
        <is>
          <t>John Edwin Jimenez Chavez</t>
        </is>
      </c>
      <c r="G764" s="11" t="inlineStr">
        <is>
          <t>7</t>
        </is>
      </c>
      <c r="H764" s="12" t="n">
        <v>46336</v>
      </c>
      <c r="I764" s="12" t="n">
        <v>46337</v>
      </c>
      <c r="J764" s="12" t="n"/>
      <c r="K764" s="12" t="n"/>
      <c r="L764" s="11" t="inlineStr">
        <is>
          <t>Programada</t>
        </is>
      </c>
      <c r="M764" s="12" t="n"/>
      <c r="N764" s="11">
        <f>SI(O(H764="";J764="");"";SI(J764&lt;=H764;"SÍ";"NO"))</f>
        <v/>
      </c>
      <c r="O764" s="11">
        <f>SI(O(I764="";K764="");"";SI(K764&lt;=SI(M764&lt;&gt;"";M764;I764);"SÍ";"NO"))</f>
        <v/>
      </c>
      <c r="P764" s="11">
        <f>SI(O(N764="";O764="");"";SI(Y(N764="SÍ";O764="SÍ");"SÍ";"NO"))</f>
        <v/>
      </c>
      <c r="Q764" s="13">
        <f>SI(O(I764="";K764="");"";MAX(0;ENTERO(K764)-ENTERO(SI(M764&lt;&gt;"";M764;I764))))</f>
        <v/>
      </c>
      <c r="R764" s="11" t="n"/>
      <c r="S764" s="11" t="n"/>
      <c r="T764" s="12" t="n"/>
      <c r="U764" s="11" t="n">
        <v>65</v>
      </c>
      <c r="V764" s="11" t="n"/>
    </row>
    <row r="765">
      <c r="A765" s="14" t="n">
        <v>7501</v>
      </c>
      <c r="B765" s="14" t="inlineStr">
        <is>
          <t>ALBANIA</t>
        </is>
      </c>
      <c r="C765" s="14" t="inlineStr">
        <is>
          <t>Albania</t>
        </is>
      </c>
      <c r="D765" s="14" t="inlineStr">
        <is>
          <t>Caquetá</t>
        </is>
      </c>
      <c r="E765" s="14" t="inlineStr">
        <is>
          <t>SUR</t>
        </is>
      </c>
      <c r="F765" s="14" t="inlineStr">
        <is>
          <t>ERIKA VARGAS</t>
        </is>
      </c>
      <c r="G765" s="14" t="inlineStr">
        <is>
          <t>3</t>
        </is>
      </c>
      <c r="H765" s="15" t="n">
        <v>46336</v>
      </c>
      <c r="I765" s="15" t="n">
        <v>46336</v>
      </c>
      <c r="J765" s="15" t="n"/>
      <c r="K765" s="15" t="n"/>
      <c r="L765" s="14" t="inlineStr">
        <is>
          <t>Programada</t>
        </is>
      </c>
      <c r="M765" s="15" t="n"/>
      <c r="N765" s="14">
        <f>SI(O(H765="";J765="");"";SI(J765&lt;=H765;"SÍ";"NO"))</f>
        <v/>
      </c>
      <c r="O765" s="14">
        <f>SI(O(I765="";K765="");"";SI(K765&lt;=SI(M765&lt;&gt;"";M765;I765);"SÍ";"NO"))</f>
        <v/>
      </c>
      <c r="P765" s="14">
        <f>SI(O(N765="";O765="");"";SI(Y(N765="SÍ";O765="SÍ");"SÍ";"NO"))</f>
        <v/>
      </c>
      <c r="Q765" s="16">
        <f>SI(O(I765="";K765="");"";MAX(0;ENTERO(K765)-ENTERO(SI(M765&lt;&gt;"";M765;I765))))</f>
        <v/>
      </c>
      <c r="R765" s="14" t="n"/>
      <c r="S765" s="14" t="n"/>
      <c r="T765" s="15" t="n"/>
      <c r="U765" s="14" t="n">
        <v>22</v>
      </c>
      <c r="V765" s="14" t="n"/>
    </row>
    <row r="766">
      <c r="A766" s="11" t="n">
        <v>6618</v>
      </c>
      <c r="B766" s="11" t="inlineStr">
        <is>
          <t>MURILLO</t>
        </is>
      </c>
      <c r="C766" s="11" t="inlineStr">
        <is>
          <t>Murillo</t>
        </is>
      </c>
      <c r="D766" s="11" t="inlineStr">
        <is>
          <t>Tolima</t>
        </is>
      </c>
      <c r="E766" s="11" t="inlineStr">
        <is>
          <t>SUR</t>
        </is>
      </c>
      <c r="F766" s="11" t="inlineStr">
        <is>
          <t>Fernando Valencia</t>
        </is>
      </c>
      <c r="G766" s="11" t="inlineStr">
        <is>
          <t>1</t>
        </is>
      </c>
      <c r="H766" s="12" t="n">
        <v>46337</v>
      </c>
      <c r="I766" s="12" t="n">
        <v>46337</v>
      </c>
      <c r="J766" s="12" t="n"/>
      <c r="K766" s="12" t="n"/>
      <c r="L766" s="11" t="inlineStr">
        <is>
          <t>Programada</t>
        </is>
      </c>
      <c r="M766" s="12" t="n"/>
      <c r="N766" s="11">
        <f>SI(O(H766="";J766="");"";SI(J766&lt;=H766;"SÍ";"NO"))</f>
        <v/>
      </c>
      <c r="O766" s="11">
        <f>SI(O(I766="";K766="");"";SI(K766&lt;=SI(M766&lt;&gt;"";M766;I766);"SÍ";"NO"))</f>
        <v/>
      </c>
      <c r="P766" s="11">
        <f>SI(O(N766="";O766="");"";SI(Y(N766="SÍ";O766="SÍ");"SÍ";"NO"))</f>
        <v/>
      </c>
      <c r="Q766" s="13">
        <f>SI(O(I766="";K766="");"";MAX(0;ENTERO(K766)-ENTERO(SI(M766&lt;&gt;"";M766;I766))))</f>
        <v/>
      </c>
      <c r="R766" s="11" t="n"/>
      <c r="S766" s="11" t="n"/>
      <c r="T766" s="12" t="n"/>
      <c r="U766" s="11" t="n">
        <v>13</v>
      </c>
      <c r="V766" s="11" t="n"/>
    </row>
    <row r="767">
      <c r="A767" s="14" t="n">
        <v>5455</v>
      </c>
      <c r="B767" s="14" t="inlineStr">
        <is>
          <t>BUENAVISTA</t>
        </is>
      </c>
      <c r="C767" s="14" t="inlineStr">
        <is>
          <t>Buenavista</t>
        </is>
      </c>
      <c r="D767" s="14" t="inlineStr">
        <is>
          <t>Quindio</t>
        </is>
      </c>
      <c r="E767" s="14" t="inlineStr">
        <is>
          <t>CAFETERA</t>
        </is>
      </c>
      <c r="F767" s="14" t="inlineStr">
        <is>
          <t>Alvaro Augusto Villalba Villamil</t>
        </is>
      </c>
      <c r="G767" s="14" t="inlineStr">
        <is>
          <t>1</t>
        </is>
      </c>
      <c r="H767" s="15" t="n">
        <v>46338</v>
      </c>
      <c r="I767" s="15" t="n">
        <v>46338</v>
      </c>
      <c r="J767" s="15" t="n"/>
      <c r="K767" s="15" t="n"/>
      <c r="L767" s="14" t="inlineStr">
        <is>
          <t>Programada</t>
        </is>
      </c>
      <c r="M767" s="15" t="n"/>
      <c r="N767" s="14">
        <f>SI(O(H767="";J767="");"";SI(J767&lt;=H767;"SÍ";"NO"))</f>
        <v/>
      </c>
      <c r="O767" s="14">
        <f>SI(O(I767="";K767="");"";SI(K767&lt;=SI(M767&lt;&gt;"";M767;I767);"SÍ";"NO"))</f>
        <v/>
      </c>
      <c r="P767" s="14">
        <f>SI(O(N767="";O767="");"";SI(Y(N767="SÍ";O767="SÍ");"SÍ";"NO"))</f>
        <v/>
      </c>
      <c r="Q767" s="16">
        <f>SI(O(I767="";K767="");"";MAX(0;ENTERO(K767)-ENTERO(SI(M767&lt;&gt;"";M767;I767))))</f>
        <v/>
      </c>
      <c r="R767" s="14" t="n"/>
      <c r="S767" s="14" t="n"/>
      <c r="T767" s="15" t="n"/>
      <c r="U767" s="14" t="n">
        <v>13</v>
      </c>
      <c r="V767" s="14" t="n"/>
    </row>
    <row r="768">
      <c r="A768" s="11" t="n">
        <v>6628</v>
      </c>
      <c r="B768" s="11" t="inlineStr">
        <is>
          <t>VILLAHERMOSA</t>
        </is>
      </c>
      <c r="C768" s="11" t="inlineStr">
        <is>
          <t>Villahermosa</t>
        </is>
      </c>
      <c r="D768" s="11" t="inlineStr">
        <is>
          <t>Tolima</t>
        </is>
      </c>
      <c r="E768" s="11" t="inlineStr">
        <is>
          <t>SUR</t>
        </is>
      </c>
      <c r="F768" s="11" t="inlineStr">
        <is>
          <t>Bernardo Arango</t>
        </is>
      </c>
      <c r="G768" s="11" t="inlineStr">
        <is>
          <t>1</t>
        </is>
      </c>
      <c r="H768" s="12" t="n">
        <v>46338</v>
      </c>
      <c r="I768" s="12" t="n">
        <v>46338</v>
      </c>
      <c r="J768" s="12" t="n"/>
      <c r="K768" s="12" t="n"/>
      <c r="L768" s="11" t="inlineStr">
        <is>
          <t>Programada</t>
        </is>
      </c>
      <c r="M768" s="12" t="n"/>
      <c r="N768" s="11">
        <f>SI(O(H768="";J768="");"";SI(J768&lt;=H768;"SÍ";"NO"))</f>
        <v/>
      </c>
      <c r="O768" s="11">
        <f>SI(O(I768="";K768="");"";SI(K768&lt;=SI(M768&lt;&gt;"";M768;I768);"SÍ";"NO"))</f>
        <v/>
      </c>
      <c r="P768" s="11">
        <f>SI(O(N768="";O768="");"";SI(Y(N768="SÍ";O768="SÍ");"SÍ";"NO"))</f>
        <v/>
      </c>
      <c r="Q768" s="13">
        <f>SI(O(I768="";K768="");"";MAX(0;ENTERO(K768)-ENTERO(SI(M768&lt;&gt;"";M768;I768))))</f>
        <v/>
      </c>
      <c r="R768" s="11" t="n"/>
      <c r="S768" s="11" t="n"/>
      <c r="T768" s="12" t="n"/>
      <c r="U768" s="11" t="n">
        <v>16</v>
      </c>
      <c r="V768" s="11" t="n"/>
    </row>
    <row r="769">
      <c r="A769" s="14" t="n">
        <v>6925</v>
      </c>
      <c r="B769" s="14" t="inlineStr">
        <is>
          <t>CALI  PASOANCHO</t>
        </is>
      </c>
      <c r="C769" s="14" t="inlineStr">
        <is>
          <t>Cali</t>
        </is>
      </c>
      <c r="D769" s="14" t="inlineStr">
        <is>
          <t>Valle del Cauca</t>
        </is>
      </c>
      <c r="E769" s="14" t="inlineStr">
        <is>
          <t>OCCIDENTE</t>
        </is>
      </c>
      <c r="F769" s="14" t="inlineStr">
        <is>
          <t>John Edwin Jimenez Chavez</t>
        </is>
      </c>
      <c r="G769" s="14" t="inlineStr">
        <is>
          <t>4</t>
        </is>
      </c>
      <c r="H769" s="15" t="n">
        <v>46338</v>
      </c>
      <c r="I769" s="15" t="n">
        <v>46338</v>
      </c>
      <c r="J769" s="15" t="n"/>
      <c r="K769" s="15" t="n"/>
      <c r="L769" s="14" t="inlineStr">
        <is>
          <t>Programada</t>
        </is>
      </c>
      <c r="M769" s="15" t="n"/>
      <c r="N769" s="14">
        <f>SI(O(H769="";J769="");"";SI(J769&lt;=H769;"SÍ";"NO"))</f>
        <v/>
      </c>
      <c r="O769" s="14">
        <f>SI(O(I769="";K769="");"";SI(K769&lt;=SI(M769&lt;&gt;"";M769;I769);"SÍ";"NO"))</f>
        <v/>
      </c>
      <c r="P769" s="14">
        <f>SI(O(N769="";O769="");"";SI(Y(N769="SÍ";O769="SÍ");"SÍ";"NO"))</f>
        <v/>
      </c>
      <c r="Q769" s="16">
        <f>SI(O(I769="";K769="");"";MAX(0;ENTERO(K769)-ENTERO(SI(M769&lt;&gt;"";M769;I769))))</f>
        <v/>
      </c>
      <c r="R769" s="14" t="n"/>
      <c r="S769" s="14" t="n"/>
      <c r="T769" s="15" t="n"/>
      <c r="U769" s="14" t="n">
        <v>33</v>
      </c>
      <c r="V769" s="14" t="n"/>
    </row>
    <row r="770">
      <c r="A770" s="11" t="n">
        <v>5430</v>
      </c>
      <c r="B770" s="11" t="inlineStr">
        <is>
          <t>BARCELONA (Corregimiento del municipio de Calarcá - Quindio )</t>
        </is>
      </c>
      <c r="C770" s="11" t="inlineStr">
        <is>
          <t>Calarca</t>
        </is>
      </c>
      <c r="D770" s="11" t="inlineStr">
        <is>
          <t>Quindio</t>
        </is>
      </c>
      <c r="E770" s="11" t="inlineStr">
        <is>
          <t>CAFETERA</t>
        </is>
      </c>
      <c r="F770" s="11" t="inlineStr">
        <is>
          <t>Alvaro Augusto Villalba Villamil</t>
        </is>
      </c>
      <c r="G770" s="11" t="inlineStr">
        <is>
          <t>1</t>
        </is>
      </c>
      <c r="H770" s="12" t="n">
        <v>46339</v>
      </c>
      <c r="I770" s="12" t="n">
        <v>46339</v>
      </c>
      <c r="J770" s="12" t="n"/>
      <c r="K770" s="12" t="n"/>
      <c r="L770" s="11" t="inlineStr">
        <is>
          <t>Programada</t>
        </is>
      </c>
      <c r="M770" s="12" t="n"/>
      <c r="N770" s="11">
        <f>SI(O(H770="";J770="");"";SI(J770&lt;=H770;"SÍ";"NO"))</f>
        <v/>
      </c>
      <c r="O770" s="11">
        <f>SI(O(I770="";K770="");"";SI(K770&lt;=SI(M770&lt;&gt;"";M770;I770);"SÍ";"NO"))</f>
        <v/>
      </c>
      <c r="P770" s="11">
        <f>SI(O(N770="";O770="");"";SI(Y(N770="SÍ";O770="SÍ");"SÍ";"NO"))</f>
        <v/>
      </c>
      <c r="Q770" s="13">
        <f>SI(O(I770="";K770="");"";MAX(0;ENTERO(K770)-ENTERO(SI(M770&lt;&gt;"";M770;I770))))</f>
        <v/>
      </c>
      <c r="R770" s="11" t="n"/>
      <c r="S770" s="11" t="n"/>
      <c r="T770" s="12" t="n"/>
      <c r="U770" s="11" t="n">
        <v>17</v>
      </c>
      <c r="V770" s="11" t="n"/>
    </row>
    <row r="771">
      <c r="A771" s="14" t="n">
        <v>6624</v>
      </c>
      <c r="B771" s="14" t="inlineStr">
        <is>
          <t>PALOCABILDO</t>
        </is>
      </c>
      <c r="C771" s="14" t="inlineStr">
        <is>
          <t>Palocabildo</t>
        </is>
      </c>
      <c r="D771" s="14" t="inlineStr">
        <is>
          <t>Tolima</t>
        </is>
      </c>
      <c r="E771" s="14" t="inlineStr">
        <is>
          <t>SUR</t>
        </is>
      </c>
      <c r="F771" s="14" t="inlineStr">
        <is>
          <t>Fernando Valencia- Bernardo Arango</t>
        </is>
      </c>
      <c r="G771" s="14" t="inlineStr">
        <is>
          <t>2</t>
        </is>
      </c>
      <c r="H771" s="15" t="n">
        <v>46339</v>
      </c>
      <c r="I771" s="15" t="n">
        <v>46339</v>
      </c>
      <c r="J771" s="15" t="n"/>
      <c r="K771" s="15" t="n"/>
      <c r="L771" s="14" t="inlineStr">
        <is>
          <t>Programada</t>
        </is>
      </c>
      <c r="M771" s="15" t="n"/>
      <c r="N771" s="14">
        <f>SI(O(H771="";J771="");"";SI(J771&lt;=H771;"SÍ";"NO"))</f>
        <v/>
      </c>
      <c r="O771" s="14">
        <f>SI(O(I771="";K771="");"";SI(K771&lt;=SI(M771&lt;&gt;"";M771;I771);"SÍ";"NO"))</f>
        <v/>
      </c>
      <c r="P771" s="14">
        <f>SI(O(N771="";O771="");"";SI(Y(N771="SÍ";O771="SÍ");"SÍ";"NO"))</f>
        <v/>
      </c>
      <c r="Q771" s="16">
        <f>SI(O(I771="";K771="");"";MAX(0;ENTERO(K771)-ENTERO(SI(M771&lt;&gt;"";M771;I771))))</f>
        <v/>
      </c>
      <c r="R771" s="14" t="n"/>
      <c r="S771" s="14" t="n"/>
      <c r="T771" s="15" t="n"/>
      <c r="U771" s="14" t="n">
        <v>20</v>
      </c>
      <c r="V771" s="14" t="n"/>
    </row>
    <row r="772">
      <c r="A772" s="11" t="n">
        <v>6915</v>
      </c>
      <c r="B772" s="11" t="inlineStr">
        <is>
          <t>CALI  AVENIDA TERCERA NORTE</t>
        </is>
      </c>
      <c r="C772" s="11" t="inlineStr">
        <is>
          <t>Cali</t>
        </is>
      </c>
      <c r="D772" s="11" t="inlineStr">
        <is>
          <t>Valle del Cauca</t>
        </is>
      </c>
      <c r="E772" s="11" t="inlineStr">
        <is>
          <t>OCCIDENTE</t>
        </is>
      </c>
      <c r="F772" s="11" t="inlineStr">
        <is>
          <t>John Edwin Jimenez Chavez</t>
        </is>
      </c>
      <c r="G772" s="11" t="inlineStr">
        <is>
          <t>5</t>
        </is>
      </c>
      <c r="H772" s="12" t="n">
        <v>46339</v>
      </c>
      <c r="I772" s="12" t="n">
        <v>46339</v>
      </c>
      <c r="J772" s="12" t="n"/>
      <c r="K772" s="12" t="n"/>
      <c r="L772" s="11" t="inlineStr">
        <is>
          <t>Programada</t>
        </is>
      </c>
      <c r="M772" s="12" t="n"/>
      <c r="N772" s="11">
        <f>SI(O(H772="";J772="");"";SI(J772&lt;=H772;"SÍ";"NO"))</f>
        <v/>
      </c>
      <c r="O772" s="11">
        <f>SI(O(I772="";K772="");"";SI(K772&lt;=SI(M772&lt;&gt;"";M772;I772);"SÍ";"NO"))</f>
        <v/>
      </c>
      <c r="P772" s="11">
        <f>SI(O(N772="";O772="");"";SI(Y(N772="SÍ";O772="SÍ");"SÍ";"NO"))</f>
        <v/>
      </c>
      <c r="Q772" s="13">
        <f>SI(O(I772="";K772="");"";MAX(0;ENTERO(K772)-ENTERO(SI(M772&lt;&gt;"";M772;I772))))</f>
        <v/>
      </c>
      <c r="R772" s="11" t="n"/>
      <c r="S772" s="11" t="n"/>
      <c r="T772" s="12" t="n"/>
      <c r="U772" s="11" t="n">
        <v>32</v>
      </c>
      <c r="V772" s="11" t="n"/>
    </row>
    <row r="773">
      <c r="A773" s="14" t="n">
        <v>3904</v>
      </c>
      <c r="B773" s="14" t="inlineStr">
        <is>
          <t>SOLITA</t>
        </is>
      </c>
      <c r="C773" s="14" t="inlineStr">
        <is>
          <t>Solita</t>
        </is>
      </c>
      <c r="D773" s="14" t="inlineStr">
        <is>
          <t>Caquetá</t>
        </is>
      </c>
      <c r="E773" s="14" t="inlineStr">
        <is>
          <t>SUR</t>
        </is>
      </c>
      <c r="F773" s="14" t="inlineStr">
        <is>
          <t>ERIKA VARGAS</t>
        </is>
      </c>
      <c r="G773" s="14" t="inlineStr">
        <is>
          <t>2</t>
        </is>
      </c>
      <c r="H773" s="15" t="n">
        <v>46343</v>
      </c>
      <c r="I773" s="15" t="n">
        <v>46343</v>
      </c>
      <c r="J773" s="15" t="n"/>
      <c r="K773" s="15" t="n"/>
      <c r="L773" s="14" t="inlineStr">
        <is>
          <t>Programada</t>
        </is>
      </c>
      <c r="M773" s="15" t="n"/>
      <c r="N773" s="14">
        <f>SI(O(H773="";J773="");"";SI(J773&lt;=H773;"SÍ";"NO"))</f>
        <v/>
      </c>
      <c r="O773" s="14">
        <f>SI(O(I773="";K773="");"";SI(K773&lt;=SI(M773&lt;&gt;"";M773;I773);"SÍ";"NO"))</f>
        <v/>
      </c>
      <c r="P773" s="14">
        <f>SI(O(N773="";O773="");"";SI(Y(N773="SÍ";O773="SÍ");"SÍ";"NO"))</f>
        <v/>
      </c>
      <c r="Q773" s="16">
        <f>SI(O(I773="";K773="");"";MAX(0;ENTERO(K773)-ENTERO(SI(M773&lt;&gt;"";M773;I773))))</f>
        <v/>
      </c>
      <c r="R773" s="14" t="n"/>
      <c r="S773" s="14" t="n"/>
      <c r="T773" s="15" t="n"/>
      <c r="U773" s="14" t="n">
        <v>17</v>
      </c>
      <c r="V773" s="14" t="n"/>
    </row>
    <row r="774">
      <c r="A774" s="11" t="n">
        <v>4826</v>
      </c>
      <c r="B774" s="11" t="inlineStr">
        <is>
          <t>EL CHARCO</t>
        </is>
      </c>
      <c r="C774" s="11" t="inlineStr">
        <is>
          <t>El Charco</t>
        </is>
      </c>
      <c r="D774" s="11" t="inlineStr">
        <is>
          <t>Nariño</t>
        </is>
      </c>
      <c r="E774" s="11" t="inlineStr">
        <is>
          <t>OCCIDENTE</t>
        </is>
      </c>
      <c r="F774" s="11" t="inlineStr">
        <is>
          <t>Por asignar</t>
        </is>
      </c>
      <c r="G774" s="11" t="inlineStr">
        <is>
          <t>3</t>
        </is>
      </c>
      <c r="H774" s="12" t="n">
        <v>46343</v>
      </c>
      <c r="I774" s="12" t="n">
        <v>46346</v>
      </c>
      <c r="J774" s="12" t="n"/>
      <c r="K774" s="12" t="n"/>
      <c r="L774" s="11" t="inlineStr">
        <is>
          <t>Programada</t>
        </is>
      </c>
      <c r="M774" s="12" t="n"/>
      <c r="N774" s="11">
        <f>SI(O(H774="";J774="");"";SI(J774&lt;=H774;"SÍ";"NO"))</f>
        <v/>
      </c>
      <c r="O774" s="11">
        <f>SI(O(I774="";K774="");"";SI(K774&lt;=SI(M774&lt;&gt;"";M774;I774);"SÍ";"NO"))</f>
        <v/>
      </c>
      <c r="P774" s="11">
        <f>SI(O(N774="";O774="");"";SI(Y(N774="SÍ";O774="SÍ");"SÍ";"NO"))</f>
        <v/>
      </c>
      <c r="Q774" s="13">
        <f>SI(O(I774="";K774="");"";MAX(0;ENTERO(K774)-ENTERO(SI(M774&lt;&gt;"";M774;I774))))</f>
        <v/>
      </c>
      <c r="R774" s="11" t="n"/>
      <c r="S774" s="11" t="n"/>
      <c r="T774" s="12" t="n"/>
      <c r="U774" s="11" t="n">
        <v>25</v>
      </c>
      <c r="V774" s="11" t="n"/>
    </row>
    <row r="775">
      <c r="A775" s="14" t="n">
        <v>5462</v>
      </c>
      <c r="B775" s="14" t="inlineStr">
        <is>
          <t>PIJAO</t>
        </is>
      </c>
      <c r="C775" s="14" t="inlineStr">
        <is>
          <t>Pijao</t>
        </is>
      </c>
      <c r="D775" s="14" t="inlineStr">
        <is>
          <t>Quindio</t>
        </is>
      </c>
      <c r="E775" s="14" t="inlineStr">
        <is>
          <t>CAFETERA</t>
        </is>
      </c>
      <c r="F775" s="14" t="inlineStr">
        <is>
          <t>Alvaro Augusto Villalba Villamil</t>
        </is>
      </c>
      <c r="G775" s="14" t="inlineStr">
        <is>
          <t>1</t>
        </is>
      </c>
      <c r="H775" s="15" t="n">
        <v>46344</v>
      </c>
      <c r="I775" s="15" t="n">
        <v>46344</v>
      </c>
      <c r="J775" s="15" t="n"/>
      <c r="K775" s="15" t="n"/>
      <c r="L775" s="14" t="inlineStr">
        <is>
          <t>Programada</t>
        </is>
      </c>
      <c r="M775" s="15" t="n"/>
      <c r="N775" s="14">
        <f>SI(O(H775="";J775="");"";SI(J775&lt;=H775;"SÍ";"NO"))</f>
        <v/>
      </c>
      <c r="O775" s="14">
        <f>SI(O(I775="";K775="");"";SI(K775&lt;=SI(M775&lt;&gt;"";M775;I775);"SÍ";"NO"))</f>
        <v/>
      </c>
      <c r="P775" s="14">
        <f>SI(O(N775="";O775="");"";SI(Y(N775="SÍ";O775="SÍ");"SÍ";"NO"))</f>
        <v/>
      </c>
      <c r="Q775" s="16">
        <f>SI(O(I775="";K775="");"";MAX(0;ENTERO(K775)-ENTERO(SI(M775&lt;&gt;"";M775;I775))))</f>
        <v/>
      </c>
      <c r="R775" s="14" t="n"/>
      <c r="S775" s="14" t="n"/>
      <c r="T775" s="15" t="n"/>
      <c r="U775" s="14" t="n">
        <v>13</v>
      </c>
      <c r="V775" s="14" t="n"/>
    </row>
    <row r="776">
      <c r="A776" s="11" t="n">
        <v>6630</v>
      </c>
      <c r="B776" s="11" t="inlineStr">
        <is>
          <t>GUAYABAL</t>
        </is>
      </c>
      <c r="C776" s="11" t="inlineStr">
        <is>
          <t>Guayabal</t>
        </is>
      </c>
      <c r="D776" s="11" t="inlineStr">
        <is>
          <t>Tolima</t>
        </is>
      </c>
      <c r="E776" s="11" t="inlineStr">
        <is>
          <t>SUR</t>
        </is>
      </c>
      <c r="F776" s="11" t="inlineStr">
        <is>
          <t>Fernando Valencia- Bernardo Arango</t>
        </is>
      </c>
      <c r="G776" s="11" t="inlineStr">
        <is>
          <t>1</t>
        </is>
      </c>
      <c r="H776" s="12" t="n">
        <v>46344</v>
      </c>
      <c r="I776" s="12" t="n">
        <v>46344</v>
      </c>
      <c r="J776" s="12" t="n"/>
      <c r="K776" s="12" t="n"/>
      <c r="L776" s="11" t="inlineStr">
        <is>
          <t>Programada</t>
        </is>
      </c>
      <c r="M776" s="12" t="n"/>
      <c r="N776" s="11">
        <f>SI(O(H776="";J776="");"";SI(J776&lt;=H776;"SÍ";"NO"))</f>
        <v/>
      </c>
      <c r="O776" s="11">
        <f>SI(O(I776="";K776="");"";SI(K776&lt;=SI(M776&lt;&gt;"";M776;I776);"SÍ";"NO"))</f>
        <v/>
      </c>
      <c r="P776" s="11">
        <f>SI(O(N776="";O776="");"";SI(Y(N776="SÍ";O776="SÍ");"SÍ";"NO"))</f>
        <v/>
      </c>
      <c r="Q776" s="13">
        <f>SI(O(I776="";K776="");"";MAX(0;ENTERO(K776)-ENTERO(SI(M776&lt;&gt;"";M776;I776))))</f>
        <v/>
      </c>
      <c r="R776" s="11" t="n"/>
      <c r="S776" s="11" t="n"/>
      <c r="T776" s="12" t="n"/>
      <c r="U776" s="11" t="n">
        <v>20</v>
      </c>
      <c r="V776" s="11" t="n"/>
    </row>
    <row r="777">
      <c r="A777" s="14" t="n">
        <v>7580</v>
      </c>
      <c r="B777" s="14" t="inlineStr">
        <is>
          <t>VALPARAISO</t>
        </is>
      </c>
      <c r="C777" s="14" t="inlineStr">
        <is>
          <t>Valparaíso</t>
        </is>
      </c>
      <c r="D777" s="14" t="inlineStr">
        <is>
          <t>Caquetá</t>
        </is>
      </c>
      <c r="E777" s="14" t="inlineStr">
        <is>
          <t>SUR</t>
        </is>
      </c>
      <c r="F777" s="14" t="inlineStr">
        <is>
          <t>ERIKA VARGAS</t>
        </is>
      </c>
      <c r="G777" s="14" t="inlineStr">
        <is>
          <t>2</t>
        </is>
      </c>
      <c r="H777" s="15" t="n">
        <v>46344</v>
      </c>
      <c r="I777" s="15" t="n">
        <v>46344</v>
      </c>
      <c r="J777" s="15" t="n"/>
      <c r="K777" s="15" t="n"/>
      <c r="L777" s="14" t="inlineStr">
        <is>
          <t>Programada</t>
        </is>
      </c>
      <c r="M777" s="15" t="n"/>
      <c r="N777" s="14">
        <f>SI(O(H777="";J777="");"";SI(J777&lt;=H777;"SÍ";"NO"))</f>
        <v/>
      </c>
      <c r="O777" s="14">
        <f>SI(O(I777="";K777="");"";SI(K777&lt;=SI(M777&lt;&gt;"";M777;I777);"SÍ";"NO"))</f>
        <v/>
      </c>
      <c r="P777" s="14">
        <f>SI(O(N777="";O777="");"";SI(Y(N777="SÍ";O777="SÍ");"SÍ";"NO"))</f>
        <v/>
      </c>
      <c r="Q777" s="16">
        <f>SI(O(I777="";K777="");"";MAX(0;ENTERO(K777)-ENTERO(SI(M777&lt;&gt;"";M777;I777))))</f>
        <v/>
      </c>
      <c r="R777" s="14" t="n"/>
      <c r="S777" s="14" t="n"/>
      <c r="T777" s="15" t="n"/>
      <c r="U777" s="14" t="n">
        <v>16</v>
      </c>
      <c r="V777" s="14" t="n"/>
    </row>
    <row r="778">
      <c r="A778" s="11" t="n">
        <v>6622</v>
      </c>
      <c r="B778" s="11" t="inlineStr">
        <is>
          <t>FALAN</t>
        </is>
      </c>
      <c r="C778" s="11" t="inlineStr">
        <is>
          <t>Falan</t>
        </is>
      </c>
      <c r="D778" s="11" t="inlineStr">
        <is>
          <t>Tolima</t>
        </is>
      </c>
      <c r="E778" s="11" t="inlineStr">
        <is>
          <t>SUR</t>
        </is>
      </c>
      <c r="F778" s="11" t="inlineStr">
        <is>
          <t>Fernando Valencia- Bernardo Arango</t>
        </is>
      </c>
      <c r="G778" s="11" t="inlineStr">
        <is>
          <t>2</t>
        </is>
      </c>
      <c r="H778" s="12" t="n">
        <v>46345</v>
      </c>
      <c r="I778" s="12" t="n">
        <v>46345</v>
      </c>
      <c r="J778" s="12" t="n"/>
      <c r="K778" s="12" t="n"/>
      <c r="L778" s="11" t="inlineStr">
        <is>
          <t>Programada</t>
        </is>
      </c>
      <c r="M778" s="12" t="n"/>
      <c r="N778" s="11">
        <f>SI(O(H778="";J778="");"";SI(J778&lt;=H778;"SÍ";"NO"))</f>
        <v/>
      </c>
      <c r="O778" s="11">
        <f>SI(O(I778="";K778="");"";SI(K778&lt;=SI(M778&lt;&gt;"";M778;I778);"SÍ";"NO"))</f>
        <v/>
      </c>
      <c r="P778" s="11">
        <f>SI(O(N778="";O778="");"";SI(Y(N778="SÍ";O778="SÍ");"SÍ";"NO"))</f>
        <v/>
      </c>
      <c r="Q778" s="13">
        <f>SI(O(I778="";K778="");"";MAX(0;ENTERO(K778)-ENTERO(SI(M778&lt;&gt;"";M778;I778))))</f>
        <v/>
      </c>
      <c r="R778" s="11" t="n"/>
      <c r="S778" s="11" t="n"/>
      <c r="T778" s="12" t="n"/>
      <c r="U778" s="11" t="n">
        <v>16</v>
      </c>
      <c r="V778" s="11" t="n"/>
    </row>
    <row r="779">
      <c r="A779" s="14" t="n">
        <v>6626</v>
      </c>
      <c r="B779" s="14" t="inlineStr">
        <is>
          <t>CASABIANCA</t>
        </is>
      </c>
      <c r="C779" s="14" t="inlineStr">
        <is>
          <t>Casabianca</t>
        </is>
      </c>
      <c r="D779" s="14" t="inlineStr">
        <is>
          <t>Tolima</t>
        </is>
      </c>
      <c r="E779" s="14" t="inlineStr">
        <is>
          <t>SUR</t>
        </is>
      </c>
      <c r="F779" s="14" t="inlineStr">
        <is>
          <t>Bernardo Arango</t>
        </is>
      </c>
      <c r="G779" s="14" t="inlineStr">
        <is>
          <t>2</t>
        </is>
      </c>
      <c r="H779" s="15" t="n">
        <v>46346</v>
      </c>
      <c r="I779" s="15" t="n">
        <v>46346</v>
      </c>
      <c r="J779" s="15" t="n"/>
      <c r="K779" s="15" t="n"/>
      <c r="L779" s="14" t="inlineStr">
        <is>
          <t>Programada</t>
        </is>
      </c>
      <c r="M779" s="15" t="n"/>
      <c r="N779" s="14">
        <f>SI(O(H779="";J779="");"";SI(J779&lt;=H779;"SÍ";"NO"))</f>
        <v/>
      </c>
      <c r="O779" s="14">
        <f>SI(O(I779="";K779="");"";SI(K779&lt;=SI(M779&lt;&gt;"";M779;I779);"SÍ";"NO"))</f>
        <v/>
      </c>
      <c r="P779" s="14">
        <f>SI(O(N779="";O779="");"";SI(Y(N779="SÍ";O779="SÍ");"SÍ";"NO"))</f>
        <v/>
      </c>
      <c r="Q779" s="16">
        <f>SI(O(I779="";K779="");"";MAX(0;ENTERO(K779)-ENTERO(SI(M779&lt;&gt;"";M779;I779))))</f>
        <v/>
      </c>
      <c r="R779" s="14" t="n"/>
      <c r="S779" s="14" t="n"/>
      <c r="T779" s="15" t="n"/>
      <c r="U779" s="14" t="n">
        <v>17</v>
      </c>
      <c r="V779" s="14" t="n"/>
    </row>
    <row r="780">
      <c r="A780" s="11" t="n">
        <v>6974</v>
      </c>
      <c r="B780" s="11" t="inlineStr">
        <is>
          <t>TORO</t>
        </is>
      </c>
      <c r="C780" s="11" t="inlineStr">
        <is>
          <t>Toro</t>
        </is>
      </c>
      <c r="D780" s="11" t="inlineStr">
        <is>
          <t>Valle del Cauca</t>
        </is>
      </c>
      <c r="E780" s="11" t="inlineStr">
        <is>
          <t>CAFETERA</t>
        </is>
      </c>
      <c r="F780" s="11" t="inlineStr">
        <is>
          <t>Alvaro Augusto Villalba Villamil</t>
        </is>
      </c>
      <c r="G780" s="11" t="inlineStr">
        <is>
          <t>3</t>
        </is>
      </c>
      <c r="H780" s="12" t="n">
        <v>46346</v>
      </c>
      <c r="I780" s="12" t="n">
        <v>46346</v>
      </c>
      <c r="J780" s="12" t="n"/>
      <c r="K780" s="12" t="n"/>
      <c r="L780" s="11" t="inlineStr">
        <is>
          <t>Programada</t>
        </is>
      </c>
      <c r="M780" s="12" t="n"/>
      <c r="N780" s="11">
        <f>SI(O(H780="";J780="");"";SI(J780&lt;=H780;"SÍ";"NO"))</f>
        <v/>
      </c>
      <c r="O780" s="11">
        <f>SI(O(I780="";K780="");"";SI(K780&lt;=SI(M780&lt;&gt;"";M780;I780);"SÍ";"NO"))</f>
        <v/>
      </c>
      <c r="P780" s="11">
        <f>SI(O(N780="";O780="");"";SI(Y(N780="SÍ";O780="SÍ");"SÍ";"NO"))</f>
        <v/>
      </c>
      <c r="Q780" s="13">
        <f>SI(O(I780="";K780="");"";MAX(0;ENTERO(K780)-ENTERO(SI(M780&lt;&gt;"";M780;I780))))</f>
        <v/>
      </c>
      <c r="R780" s="11" t="n"/>
      <c r="S780" s="11" t="n"/>
      <c r="T780" s="12" t="n"/>
      <c r="U780" s="11" t="n">
        <v>23</v>
      </c>
      <c r="V780" s="11" t="n"/>
    </row>
    <row r="781">
      <c r="A781" s="14" t="n">
        <v>4878</v>
      </c>
      <c r="B781" s="14" t="inlineStr">
        <is>
          <t>SANTA BARBARA DE ISCUANDE</t>
        </is>
      </c>
      <c r="C781" s="14" t="inlineStr">
        <is>
          <t>Santa Bárbara</t>
        </is>
      </c>
      <c r="D781" s="14" t="inlineStr">
        <is>
          <t>Nariño</t>
        </is>
      </c>
      <c r="E781" s="14" t="inlineStr">
        <is>
          <t>OCCIDENTE</t>
        </is>
      </c>
      <c r="F781" s="14" t="inlineStr">
        <is>
          <t>Por asignar</t>
        </is>
      </c>
      <c r="G781" s="14" t="inlineStr">
        <is>
          <t>1</t>
        </is>
      </c>
      <c r="H781" s="15" t="n">
        <v>46349</v>
      </c>
      <c r="I781" s="15" t="n">
        <v>46353</v>
      </c>
      <c r="J781" s="15" t="n"/>
      <c r="K781" s="15" t="n"/>
      <c r="L781" s="14" t="inlineStr">
        <is>
          <t>Programada</t>
        </is>
      </c>
      <c r="M781" s="15" t="n"/>
      <c r="N781" s="14">
        <f>SI(O(H781="";J781="");"";SI(J781&lt;=H781;"SÍ";"NO"))</f>
        <v/>
      </c>
      <c r="O781" s="14">
        <f>SI(O(I781="";K781="");"";SI(K781&lt;=SI(M781&lt;&gt;"";M781;I781);"SÍ";"NO"))</f>
        <v/>
      </c>
      <c r="P781" s="14">
        <f>SI(O(N781="";O781="");"";SI(Y(N781="SÍ";O781="SÍ");"SÍ";"NO"))</f>
        <v/>
      </c>
      <c r="Q781" s="16">
        <f>SI(O(I781="";K781="");"";MAX(0;ENTERO(K781)-ENTERO(SI(M781&lt;&gt;"";M781;I781))))</f>
        <v/>
      </c>
      <c r="R781" s="14" t="n"/>
      <c r="S781" s="14" t="n"/>
      <c r="T781" s="15" t="n"/>
      <c r="U781" s="14" t="n">
        <v>13</v>
      </c>
      <c r="V781" s="14" t="n"/>
    </row>
    <row r="782">
      <c r="A782" s="11" t="n">
        <v>6632</v>
      </c>
      <c r="B782" s="11" t="inlineStr">
        <is>
          <t>VILLARRICA</t>
        </is>
      </c>
      <c r="C782" s="11" t="inlineStr">
        <is>
          <t>Villarrica</t>
        </is>
      </c>
      <c r="D782" s="11" t="inlineStr">
        <is>
          <t>Tolima</t>
        </is>
      </c>
      <c r="E782" s="11" t="inlineStr">
        <is>
          <t>SUR</t>
        </is>
      </c>
      <c r="F782" s="11" t="inlineStr">
        <is>
          <t>Bernardo Arango</t>
        </is>
      </c>
      <c r="G782" s="11" t="inlineStr">
        <is>
          <t>1</t>
        </is>
      </c>
      <c r="H782" s="12" t="n">
        <v>46350</v>
      </c>
      <c r="I782" s="12" t="n">
        <v>46350</v>
      </c>
      <c r="J782" s="12" t="n"/>
      <c r="K782" s="12" t="n"/>
      <c r="L782" s="11" t="inlineStr">
        <is>
          <t>Programada</t>
        </is>
      </c>
      <c r="M782" s="12" t="n"/>
      <c r="N782" s="11">
        <f>SI(O(H782="";J782="");"";SI(J782&lt;=H782;"SÍ";"NO"))</f>
        <v/>
      </c>
      <c r="O782" s="11">
        <f>SI(O(I782="";K782="");"";SI(K782&lt;=SI(M782&lt;&gt;"";M782;I782);"SÍ";"NO"))</f>
        <v/>
      </c>
      <c r="P782" s="11">
        <f>SI(O(N782="";O782="");"";SI(Y(N782="SÍ";O782="SÍ");"SÍ";"NO"))</f>
        <v/>
      </c>
      <c r="Q782" s="13">
        <f>SI(O(I782="";K782="");"";MAX(0;ENTERO(K782)-ENTERO(SI(M782&lt;&gt;"";M782;I782))))</f>
        <v/>
      </c>
      <c r="R782" s="11" t="n"/>
      <c r="S782" s="11" t="n"/>
      <c r="T782" s="12" t="n"/>
      <c r="U782" s="11" t="n">
        <v>15</v>
      </c>
      <c r="V782" s="11" t="n"/>
    </row>
    <row r="783">
      <c r="A783" s="14" t="n">
        <v>6634</v>
      </c>
      <c r="B783" s="14" t="inlineStr">
        <is>
          <t>CUNDAY</t>
        </is>
      </c>
      <c r="C783" s="14" t="inlineStr">
        <is>
          <t>Cunday</t>
        </is>
      </c>
      <c r="D783" s="14" t="inlineStr">
        <is>
          <t>Tolima</t>
        </is>
      </c>
      <c r="E783" s="14" t="inlineStr">
        <is>
          <t>SUR</t>
        </is>
      </c>
      <c r="F783" s="14" t="inlineStr">
        <is>
          <t>Fernando Valencia- Bernardo Arango</t>
        </is>
      </c>
      <c r="G783" s="14" t="inlineStr">
        <is>
          <t>1</t>
        </is>
      </c>
      <c r="H783" s="15" t="n">
        <v>46350</v>
      </c>
      <c r="I783" s="15" t="n">
        <v>46350</v>
      </c>
      <c r="J783" s="15" t="n"/>
      <c r="K783" s="15" t="n"/>
      <c r="L783" s="14" t="inlineStr">
        <is>
          <t>Programada</t>
        </is>
      </c>
      <c r="M783" s="15" t="n"/>
      <c r="N783" s="14">
        <f>SI(O(H783="";J783="");"";SI(J783&lt;=H783;"SÍ";"NO"))</f>
        <v/>
      </c>
      <c r="O783" s="14">
        <f>SI(O(I783="";K783="");"";SI(K783&lt;=SI(M783&lt;&gt;"";M783;I783);"SÍ";"NO"))</f>
        <v/>
      </c>
      <c r="P783" s="14">
        <f>SI(O(N783="";O783="");"";SI(Y(N783="SÍ";O783="SÍ");"SÍ";"NO"))</f>
        <v/>
      </c>
      <c r="Q783" s="16">
        <f>SI(O(I783="";K783="");"";MAX(0;ENTERO(K783)-ENTERO(SI(M783&lt;&gt;"";M783;I783))))</f>
        <v/>
      </c>
      <c r="R783" s="14" t="n"/>
      <c r="S783" s="14" t="n"/>
      <c r="T783" s="15" t="n"/>
      <c r="U783" s="14" t="n">
        <v>13</v>
      </c>
      <c r="V783" s="14" t="n"/>
    </row>
    <row r="784">
      <c r="A784" s="11" t="n">
        <v>6647</v>
      </c>
      <c r="B784" s="11" t="inlineStr">
        <is>
          <t>RONCESVALLES</t>
        </is>
      </c>
      <c r="C784" s="11" t="inlineStr">
        <is>
          <t>Roncesvalles</t>
        </is>
      </c>
      <c r="D784" s="11" t="inlineStr">
        <is>
          <t>Tolima</t>
        </is>
      </c>
      <c r="E784" s="11" t="inlineStr">
        <is>
          <t>SUR</t>
        </is>
      </c>
      <c r="F784" s="11" t="inlineStr">
        <is>
          <t>Fernando Valencia- Bernardo Arango</t>
        </is>
      </c>
      <c r="G784" s="11" t="inlineStr">
        <is>
          <t>2</t>
        </is>
      </c>
      <c r="H784" s="12" t="n">
        <v>46350</v>
      </c>
      <c r="I784" s="12" t="n">
        <v>46350</v>
      </c>
      <c r="J784" s="12" t="n"/>
      <c r="K784" s="12" t="n"/>
      <c r="L784" s="11" t="inlineStr">
        <is>
          <t>Programada</t>
        </is>
      </c>
      <c r="M784" s="12" t="n"/>
      <c r="N784" s="11">
        <f>SI(O(H784="";J784="");"";SI(J784&lt;=H784;"SÍ";"NO"))</f>
        <v/>
      </c>
      <c r="O784" s="11">
        <f>SI(O(I784="";K784="");"";SI(K784&lt;=SI(M784&lt;&gt;"";M784;I784);"SÍ";"NO"))</f>
        <v/>
      </c>
      <c r="P784" s="11">
        <f>SI(O(N784="";O784="");"";SI(Y(N784="SÍ";O784="SÍ");"SÍ";"NO"))</f>
        <v/>
      </c>
      <c r="Q784" s="13">
        <f>SI(O(I784="";K784="");"";MAX(0;ENTERO(K784)-ENTERO(SI(M784&lt;&gt;"";M784;I784))))</f>
        <v/>
      </c>
      <c r="R784" s="11" t="n"/>
      <c r="S784" s="11" t="n"/>
      <c r="T784" s="12" t="n"/>
      <c r="U784" s="11" t="n">
        <v>16</v>
      </c>
      <c r="V784" s="11" t="n"/>
    </row>
    <row r="785">
      <c r="A785" s="14" t="n">
        <v>6950</v>
      </c>
      <c r="B785" s="14" t="inlineStr">
        <is>
          <t>SEVILLA</t>
        </is>
      </c>
      <c r="C785" s="14" t="inlineStr">
        <is>
          <t>Sevilla</t>
        </is>
      </c>
      <c r="D785" s="14" t="inlineStr">
        <is>
          <t>Valle del Cauca</t>
        </is>
      </c>
      <c r="E785" s="14" t="inlineStr">
        <is>
          <t>CAFETERA</t>
        </is>
      </c>
      <c r="F785" s="14" t="inlineStr">
        <is>
          <t>Alvaro Augusto Villalba Villamil</t>
        </is>
      </c>
      <c r="G785" s="14" t="inlineStr">
        <is>
          <t>3</t>
        </is>
      </c>
      <c r="H785" s="15" t="n">
        <v>46350</v>
      </c>
      <c r="I785" s="15" t="n">
        <v>46351</v>
      </c>
      <c r="J785" s="15" t="n"/>
      <c r="K785" s="15" t="n"/>
      <c r="L785" s="14" t="inlineStr">
        <is>
          <t>Programada</t>
        </is>
      </c>
      <c r="M785" s="15" t="n"/>
      <c r="N785" s="14">
        <f>SI(O(H785="";J785="");"";SI(J785&lt;=H785;"SÍ";"NO"))</f>
        <v/>
      </c>
      <c r="O785" s="14">
        <f>SI(O(I785="";K785="");"";SI(K785&lt;=SI(M785&lt;&gt;"";M785;I785);"SÍ";"NO"))</f>
        <v/>
      </c>
      <c r="P785" s="14">
        <f>SI(O(N785="";O785="");"";SI(Y(N785="SÍ";O785="SÍ");"SÍ";"NO"))</f>
        <v/>
      </c>
      <c r="Q785" s="16">
        <f>SI(O(I785="";K785="");"";MAX(0;ENTERO(K785)-ENTERO(SI(M785&lt;&gt;"";M785;I785))))</f>
        <v/>
      </c>
      <c r="R785" s="14" t="n"/>
      <c r="S785" s="14" t="n"/>
      <c r="T785" s="15" t="n"/>
      <c r="U785" s="14" t="n">
        <v>27</v>
      </c>
      <c r="V785" s="14" t="n"/>
    </row>
    <row r="786">
      <c r="A786" s="11" t="n">
        <v>5412</v>
      </c>
      <c r="B786" s="11" t="inlineStr">
        <is>
          <t>CAICEDONIA</t>
        </is>
      </c>
      <c r="C786" s="11" t="inlineStr">
        <is>
          <t>Caicedonia</t>
        </is>
      </c>
      <c r="D786" s="11" t="inlineStr">
        <is>
          <t>Valle del Cauca</t>
        </is>
      </c>
      <c r="E786" s="11" t="inlineStr">
        <is>
          <t>CAFETERA</t>
        </is>
      </c>
      <c r="F786" s="11" t="inlineStr">
        <is>
          <t>Alvaro Augusto Villalba Villamil</t>
        </is>
      </c>
      <c r="G786" s="11" t="inlineStr">
        <is>
          <t>2</t>
        </is>
      </c>
      <c r="H786" s="12" t="n">
        <v>46365</v>
      </c>
      <c r="I786" s="12" t="n">
        <v>46366</v>
      </c>
      <c r="J786" s="12" t="n"/>
      <c r="K786" s="12" t="n"/>
      <c r="L786" s="11" t="inlineStr">
        <is>
          <t>Programada</t>
        </is>
      </c>
      <c r="M786" s="12" t="n"/>
      <c r="N786" s="11">
        <f>SI(O(H786="";J786="");"";SI(J786&lt;=H786;"SÍ";"NO"))</f>
        <v/>
      </c>
      <c r="O786" s="11">
        <f>SI(O(I786="";K786="");"";SI(K786&lt;=SI(M786&lt;&gt;"";M786;I786);"SÍ";"NO"))</f>
        <v/>
      </c>
      <c r="P786" s="11">
        <f>SI(O(N786="";O786="");"";SI(Y(N786="SÍ";O786="SÍ");"SÍ";"NO"))</f>
        <v/>
      </c>
      <c r="Q786" s="13">
        <f>SI(O(I786="";K786="");"";MAX(0;ENTERO(K786)-ENTERO(SI(M786&lt;&gt;"";M786;I786))))</f>
        <v/>
      </c>
      <c r="R786" s="11" t="n"/>
      <c r="S786" s="11" t="n"/>
      <c r="T786" s="12" t="n"/>
      <c r="U786" s="11" t="n">
        <v>20</v>
      </c>
      <c r="V786" s="11" t="n"/>
    </row>
    <row r="787">
      <c r="A787" s="14" t="n">
        <v>1803</v>
      </c>
      <c r="B787" s="14" t="inlineStr">
        <is>
          <t>MANIZALES</t>
        </is>
      </c>
      <c r="C787" s="14" t="inlineStr">
        <is>
          <t>Manizales</t>
        </is>
      </c>
      <c r="D787" s="14" t="inlineStr">
        <is>
          <t>Caldas</t>
        </is>
      </c>
      <c r="E787" s="14" t="inlineStr">
        <is>
          <t>CAFETERA</t>
        </is>
      </c>
      <c r="F787" s="14" t="inlineStr">
        <is>
          <t>DIEGO ALEJANDRO HERNÁNDEZ OROZCO</t>
        </is>
      </c>
      <c r="G787" s="14" t="inlineStr">
        <is>
          <t>10</t>
        </is>
      </c>
      <c r="H787" s="15" t="n"/>
      <c r="I787" s="15" t="n"/>
      <c r="J787" s="15" t="n"/>
      <c r="K787" s="15" t="n"/>
      <c r="L787" s="14" t="inlineStr">
        <is>
          <t>Sede_Cerrada</t>
        </is>
      </c>
      <c r="M787" s="15" t="n"/>
      <c r="N787" s="14">
        <f>SI(O(H787="";J787="");"";SI(J787&lt;=H787;"SÍ";"NO"))</f>
        <v/>
      </c>
      <c r="O787" s="14">
        <f>SI(O(I787="";K787="");"";SI(K787&lt;=SI(M787&lt;&gt;"";M787;I787);"SÍ";"NO"))</f>
        <v/>
      </c>
      <c r="P787" s="14">
        <f>SI(O(N787="";O787="");"";SI(Y(N787="SÍ";O787="SÍ");"SÍ";"NO"))</f>
        <v/>
      </c>
      <c r="Q787" s="16">
        <f>SI(O(I787="";K787="");"";MAX(0;ENTERO(K787)-ENTERO(SI(M787&lt;&gt;"";M787;I787))))</f>
        <v/>
      </c>
      <c r="R787" s="14" t="inlineStr">
        <is>
          <t>N/A - A Tiempo</t>
        </is>
      </c>
      <c r="S787" s="14" t="inlineStr">
        <is>
          <t>Firmada</t>
        </is>
      </c>
      <c r="T787" s="15" t="n"/>
      <c r="U787" s="14" t="n">
        <v>74</v>
      </c>
      <c r="V787" s="14" t="n"/>
    </row>
    <row r="788">
      <c r="A788" s="11" t="n">
        <v>1820</v>
      </c>
      <c r="B788" s="11" t="inlineStr">
        <is>
          <t>BELALCAZAR</t>
        </is>
      </c>
      <c r="C788" s="11" t="inlineStr">
        <is>
          <t>Belalcázar</t>
        </is>
      </c>
      <c r="D788" s="11" t="inlineStr">
        <is>
          <t>Caldas</t>
        </is>
      </c>
      <c r="E788" s="11" t="inlineStr">
        <is>
          <t>CAFETERA</t>
        </is>
      </c>
      <c r="F788" s="11" t="inlineStr">
        <is>
          <t>JULIO  CESAR AUDELO  - ANDRES FELIPE BOTERO</t>
        </is>
      </c>
      <c r="G788" s="11" t="inlineStr">
        <is>
          <t>1</t>
        </is>
      </c>
      <c r="H788" s="12" t="n"/>
      <c r="I788" s="12" t="n"/>
      <c r="J788" s="12" t="n"/>
      <c r="K788" s="12" t="n"/>
      <c r="L788" s="11" t="inlineStr">
        <is>
          <t>Sede_Cerrada</t>
        </is>
      </c>
      <c r="M788" s="12" t="n"/>
      <c r="N788" s="11">
        <f>SI(O(H788="";J788="");"";SI(J788&lt;=H788;"SÍ";"NO"))</f>
        <v/>
      </c>
      <c r="O788" s="11">
        <f>SI(O(I788="";K788="");"";SI(K788&lt;=SI(M788&lt;&gt;"";M788;I788);"SÍ";"NO"))</f>
        <v/>
      </c>
      <c r="P788" s="11">
        <f>SI(O(N788="";O788="");"";SI(Y(N788="SÍ";O788="SÍ");"SÍ";"NO"))</f>
        <v/>
      </c>
      <c r="Q788" s="13">
        <f>SI(O(I788="";K788="");"";MAX(0;ENTERO(K788)-ENTERO(SI(M788&lt;&gt;"";M788;I788))))</f>
        <v/>
      </c>
      <c r="R788" s="11" t="inlineStr">
        <is>
          <t>N/A - A Tiempo</t>
        </is>
      </c>
      <c r="S788" s="11" t="inlineStr">
        <is>
          <t>Firmada</t>
        </is>
      </c>
      <c r="T788" s="12" t="n"/>
      <c r="U788" s="11" t="n">
        <v>15</v>
      </c>
      <c r="V788" s="11" t="n"/>
    </row>
    <row r="789">
      <c r="A789" s="14" t="n">
        <v>1850</v>
      </c>
      <c r="B789" s="14" t="inlineStr">
        <is>
          <t>ARANZAZU</t>
        </is>
      </c>
      <c r="C789" s="14" t="inlineStr">
        <is>
          <t>Aranzazu</t>
        </is>
      </c>
      <c r="D789" s="14" t="inlineStr">
        <is>
          <t>Caldas</t>
        </is>
      </c>
      <c r="E789" s="14" t="inlineStr">
        <is>
          <t>CAFETERA</t>
        </is>
      </c>
      <c r="F789" s="14" t="inlineStr">
        <is>
          <t>JULIO  CESAR AUDELO  - ANDRES FELIPE BOTERO</t>
        </is>
      </c>
      <c r="G789" s="14" t="inlineStr">
        <is>
          <t>1</t>
        </is>
      </c>
      <c r="H789" s="15" t="n"/>
      <c r="I789" s="15" t="n"/>
      <c r="J789" s="15" t="n"/>
      <c r="K789" s="15" t="n"/>
      <c r="L789" s="14" t="inlineStr">
        <is>
          <t>Sede_Cerrada</t>
        </is>
      </c>
      <c r="M789" s="15" t="n"/>
      <c r="N789" s="14">
        <f>SI(O(H789="";J789="");"";SI(J789&lt;=H789;"SÍ";"NO"))</f>
        <v/>
      </c>
      <c r="O789" s="14">
        <f>SI(O(I789="";K789="");"";SI(K789&lt;=SI(M789&lt;&gt;"";M789;I789);"SÍ";"NO"))</f>
        <v/>
      </c>
      <c r="P789" s="14">
        <f>SI(O(N789="";O789="");"";SI(Y(N789="SÍ";O789="SÍ");"SÍ";"NO"))</f>
        <v/>
      </c>
      <c r="Q789" s="16">
        <f>SI(O(I789="";K789="");"";MAX(0;ENTERO(K789)-ENTERO(SI(M789&lt;&gt;"";M789;I789))))</f>
        <v/>
      </c>
      <c r="R789" s="14" t="inlineStr">
        <is>
          <t>N/A - A Tiempo</t>
        </is>
      </c>
      <c r="S789" s="14" t="inlineStr">
        <is>
          <t>Firmada</t>
        </is>
      </c>
      <c r="T789" s="15" t="n"/>
      <c r="U789" s="14" t="n">
        <v>16</v>
      </c>
      <c r="V789" s="14" t="n"/>
    </row>
    <row r="790">
      <c r="A790" s="11" t="n">
        <v>3303</v>
      </c>
      <c r="B790" s="11" t="inlineStr">
        <is>
          <t>QUIBDO</t>
        </is>
      </c>
      <c r="C790" s="11" t="inlineStr">
        <is>
          <t>Quibdó</t>
        </is>
      </c>
      <c r="D790" s="11" t="inlineStr">
        <is>
          <t>Chocó</t>
        </is>
      </c>
      <c r="E790" s="11" t="inlineStr">
        <is>
          <t>ANTIOQUIA</t>
        </is>
      </c>
      <c r="F790" s="11" t="inlineStr">
        <is>
          <t>Alvaro Francisco Moreno Palacios</t>
        </is>
      </c>
      <c r="G790" s="11" t="inlineStr">
        <is>
          <t>5</t>
        </is>
      </c>
      <c r="H790" s="12" t="n"/>
      <c r="I790" s="12" t="n"/>
      <c r="J790" s="12" t="n"/>
      <c r="K790" s="12" t="n"/>
      <c r="L790" s="11" t="inlineStr">
        <is>
          <t>Sede_Cerrada</t>
        </is>
      </c>
      <c r="M790" s="12" t="n"/>
      <c r="N790" s="11">
        <f>SI(O(H790="";J790="");"";SI(J790&lt;=H790;"SÍ";"NO"))</f>
        <v/>
      </c>
      <c r="O790" s="11">
        <f>SI(O(I790="";K790="");"";SI(K790&lt;=SI(M790&lt;&gt;"";M790;I790);"SÍ";"NO"))</f>
        <v/>
      </c>
      <c r="P790" s="11">
        <f>SI(O(N790="";O790="");"";SI(Y(N790="SÍ";O790="SÍ");"SÍ";"NO"))</f>
        <v/>
      </c>
      <c r="Q790" s="13">
        <f>SI(O(I790="";K790="");"";MAX(0;ENTERO(K790)-ENTERO(SI(M790&lt;&gt;"";M790;I790))))</f>
        <v/>
      </c>
      <c r="R790" s="11" t="inlineStr">
        <is>
          <t>N/A - A Tiempo</t>
        </is>
      </c>
      <c r="S790" s="11" t="inlineStr">
        <is>
          <t>Firmada</t>
        </is>
      </c>
      <c r="T790" s="12" t="n"/>
      <c r="U790" s="11" t="n">
        <v>50</v>
      </c>
      <c r="V790" s="11" t="n"/>
    </row>
    <row r="791">
      <c r="A791" s="14" t="n">
        <v>3375</v>
      </c>
      <c r="B791" s="14" t="inlineStr">
        <is>
          <t>TADO</t>
        </is>
      </c>
      <c r="C791" s="14" t="inlineStr">
        <is>
          <t>Tadó</t>
        </is>
      </c>
      <c r="D791" s="14" t="inlineStr">
        <is>
          <t>Chocó</t>
        </is>
      </c>
      <c r="E791" s="14" t="inlineStr">
        <is>
          <t>ANTIOQUIA</t>
        </is>
      </c>
      <c r="F791" s="14" t="inlineStr">
        <is>
          <t>Alvaro Francisco Moreno Palacios</t>
        </is>
      </c>
      <c r="G791" s="14" t="inlineStr">
        <is>
          <t>1</t>
        </is>
      </c>
      <c r="H791" s="15" t="n"/>
      <c r="I791" s="15" t="n"/>
      <c r="J791" s="15" t="n"/>
      <c r="K791" s="15" t="n"/>
      <c r="L791" s="14" t="inlineStr">
        <is>
          <t>Sede_Cerrada</t>
        </is>
      </c>
      <c r="M791" s="15" t="n"/>
      <c r="N791" s="14">
        <f>SI(O(H791="";J791="");"";SI(J791&lt;=H791;"SÍ";"NO"))</f>
        <v/>
      </c>
      <c r="O791" s="14">
        <f>SI(O(I791="";K791="");"";SI(K791&lt;=SI(M791&lt;&gt;"";M791;I791);"SÍ";"NO"))</f>
        <v/>
      </c>
      <c r="P791" s="14">
        <f>SI(O(N791="";O791="");"";SI(Y(N791="SÍ";O791="SÍ");"SÍ";"NO"))</f>
        <v/>
      </c>
      <c r="Q791" s="16">
        <f>SI(O(I791="";K791="");"";MAX(0;ENTERO(K791)-ENTERO(SI(M791&lt;&gt;"";M791;I791))))</f>
        <v/>
      </c>
      <c r="R791" s="14" t="inlineStr">
        <is>
          <t>N/A - A Tiempo</t>
        </is>
      </c>
      <c r="S791" s="14" t="inlineStr">
        <is>
          <t>Firmada</t>
        </is>
      </c>
      <c r="T791" s="15" t="n"/>
      <c r="U791" s="14" t="n">
        <v>17</v>
      </c>
      <c r="V791" s="14" t="n"/>
    </row>
    <row r="792">
      <c r="A792" s="11" t="n">
        <v>5401</v>
      </c>
      <c r="B792" s="11" t="inlineStr">
        <is>
          <t>ARMENIA</t>
        </is>
      </c>
      <c r="C792" s="11" t="inlineStr">
        <is>
          <t>Armenia</t>
        </is>
      </c>
      <c r="D792" s="11" t="inlineStr">
        <is>
          <t>Quindio</t>
        </is>
      </c>
      <c r="E792" s="11" t="inlineStr">
        <is>
          <t>CAFETERA</t>
        </is>
      </c>
      <c r="F792" s="11" t="inlineStr">
        <is>
          <t>Alvaro Augusto Villalba Villamil</t>
        </is>
      </c>
      <c r="G792" s="11" t="inlineStr">
        <is>
          <t>9</t>
        </is>
      </c>
      <c r="H792" s="12" t="n"/>
      <c r="I792" s="12" t="n"/>
      <c r="J792" s="12" t="n"/>
      <c r="K792" s="12" t="n"/>
      <c r="L792" s="11" t="inlineStr">
        <is>
          <t>Sede_Cerrada</t>
        </is>
      </c>
      <c r="M792" s="12" t="n"/>
      <c r="N792" s="11">
        <f>SI(O(H792="";J792="");"";SI(J792&lt;=H792;"SÍ";"NO"))</f>
        <v/>
      </c>
      <c r="O792" s="11">
        <f>SI(O(I792="";K792="");"";SI(K792&lt;=SI(M792&lt;&gt;"";M792;I792);"SÍ";"NO"))</f>
        <v/>
      </c>
      <c r="P792" s="11">
        <f>SI(O(N792="";O792="");"";SI(Y(N792="SÍ";O792="SÍ");"SÍ";"NO"))</f>
        <v/>
      </c>
      <c r="Q792" s="13">
        <f>SI(O(I792="";K792="");"";MAX(0;ENTERO(K792)-ENTERO(SI(M792&lt;&gt;"";M792;I792))))</f>
        <v/>
      </c>
      <c r="R792" s="11" t="inlineStr">
        <is>
          <t>N/A - A Tiempo</t>
        </is>
      </c>
      <c r="S792" s="11" t="inlineStr">
        <is>
          <t>Firmada</t>
        </is>
      </c>
      <c r="T792" s="12" t="n"/>
      <c r="U792" s="11" t="n">
        <v>45</v>
      </c>
      <c r="V792" s="11" t="n"/>
    </row>
    <row r="793">
      <c r="A793" s="14" t="n">
        <v>5410</v>
      </c>
      <c r="B793" s="14" t="inlineStr">
        <is>
          <t>CALARCA</t>
        </is>
      </c>
      <c r="C793" s="14" t="inlineStr">
        <is>
          <t>Calarca</t>
        </is>
      </c>
      <c r="D793" s="14" t="inlineStr">
        <is>
          <t>Quindio</t>
        </is>
      </c>
      <c r="E793" s="14" t="inlineStr">
        <is>
          <t>CAFETERA</t>
        </is>
      </c>
      <c r="F793" s="14" t="inlineStr">
        <is>
          <t>Alvaro Augusto Villalba Villamil</t>
        </is>
      </c>
      <c r="G793" s="14" t="inlineStr">
        <is>
          <t>3</t>
        </is>
      </c>
      <c r="H793" s="15" t="n"/>
      <c r="I793" s="15" t="n"/>
      <c r="J793" s="15" t="n"/>
      <c r="K793" s="15" t="n"/>
      <c r="L793" s="14" t="inlineStr">
        <is>
          <t>Sede_Cerrada</t>
        </is>
      </c>
      <c r="M793" s="15" t="n"/>
      <c r="N793" s="14">
        <f>SI(O(H793="";J793="");"";SI(J793&lt;=H793;"SÍ";"NO"))</f>
        <v/>
      </c>
      <c r="O793" s="14">
        <f>SI(O(I793="";K793="");"";SI(K793&lt;=SI(M793&lt;&gt;"";M793;I793);"SÍ";"NO"))</f>
        <v/>
      </c>
      <c r="P793" s="14">
        <f>SI(O(N793="";O793="");"";SI(Y(N793="SÍ";O793="SÍ");"SÍ";"NO"))</f>
        <v/>
      </c>
      <c r="Q793" s="16">
        <f>SI(O(I793="";K793="");"";MAX(0;ENTERO(K793)-ENTERO(SI(M793&lt;&gt;"";M793;I793))))</f>
        <v/>
      </c>
      <c r="R793" s="14" t="inlineStr">
        <is>
          <t>N/A - A Tiempo</t>
        </is>
      </c>
      <c r="S793" s="14" t="inlineStr">
        <is>
          <t>Firmada</t>
        </is>
      </c>
      <c r="T793" s="15" t="n"/>
      <c r="U793" s="14" t="n">
        <v>28</v>
      </c>
      <c r="V793" s="14" t="n"/>
    </row>
    <row r="794">
      <c r="A794" s="11" t="n">
        <v>5414</v>
      </c>
      <c r="B794" s="11" t="inlineStr">
        <is>
          <t>LA UNION</t>
        </is>
      </c>
      <c r="C794" s="11" t="inlineStr">
        <is>
          <t>La Unión</t>
        </is>
      </c>
      <c r="D794" s="11" t="inlineStr">
        <is>
          <t>Valle del Cauca</t>
        </is>
      </c>
      <c r="E794" s="11" t="inlineStr">
        <is>
          <t>CAFETERA</t>
        </is>
      </c>
      <c r="F794" s="11" t="inlineStr">
        <is>
          <t>Alvaro Augusto Villalba Villamil</t>
        </is>
      </c>
      <c r="G794" s="11" t="inlineStr">
        <is>
          <t>4</t>
        </is>
      </c>
      <c r="H794" s="12" t="n"/>
      <c r="I794" s="12" t="n"/>
      <c r="J794" s="12" t="n"/>
      <c r="K794" s="12" t="n"/>
      <c r="L794" s="11" t="inlineStr">
        <is>
          <t>Sede_Cerrada</t>
        </is>
      </c>
      <c r="M794" s="12" t="n"/>
      <c r="N794" s="11">
        <f>SI(O(H794="";J794="");"";SI(J794&lt;=H794;"SÍ";"NO"))</f>
        <v/>
      </c>
      <c r="O794" s="11">
        <f>SI(O(I794="";K794="");"";SI(K794&lt;=SI(M794&lt;&gt;"";M794;I794);"SÍ";"NO"))</f>
        <v/>
      </c>
      <c r="P794" s="11">
        <f>SI(O(N794="";O794="");"";SI(Y(N794="SÍ";O794="SÍ");"SÍ";"NO"))</f>
        <v/>
      </c>
      <c r="Q794" s="13">
        <f>SI(O(I794="";K794="");"";MAX(0;ENTERO(K794)-ENTERO(SI(M794&lt;&gt;"";M794;I794))))</f>
        <v/>
      </c>
      <c r="R794" s="11" t="inlineStr">
        <is>
          <t>N/A - A Tiempo</t>
        </is>
      </c>
      <c r="S794" s="11" t="inlineStr">
        <is>
          <t>Firmada</t>
        </is>
      </c>
      <c r="T794" s="12" t="n"/>
      <c r="U794" s="11" t="n">
        <v>22</v>
      </c>
      <c r="V794" s="11" t="n"/>
    </row>
    <row r="795">
      <c r="A795" s="14" t="n">
        <v>5420</v>
      </c>
      <c r="B795" s="14" t="inlineStr">
        <is>
          <t>QUIMBAYA</t>
        </is>
      </c>
      <c r="C795" s="14" t="inlineStr">
        <is>
          <t>Quimbaya</t>
        </is>
      </c>
      <c r="D795" s="14" t="inlineStr">
        <is>
          <t>Quindio</t>
        </is>
      </c>
      <c r="E795" s="14" t="inlineStr">
        <is>
          <t>CAFETERA</t>
        </is>
      </c>
      <c r="F795" s="14" t="inlineStr">
        <is>
          <t>Alvaro Augusto Villalba Villamil</t>
        </is>
      </c>
      <c r="G795" s="14" t="inlineStr">
        <is>
          <t>2</t>
        </is>
      </c>
      <c r="H795" s="15" t="n"/>
      <c r="I795" s="15" t="n"/>
      <c r="J795" s="15" t="n"/>
      <c r="K795" s="15" t="n"/>
      <c r="L795" s="14" t="inlineStr">
        <is>
          <t>Sede_Cerrada</t>
        </is>
      </c>
      <c r="M795" s="15" t="n"/>
      <c r="N795" s="14">
        <f>SI(O(H795="";J795="");"";SI(J795&lt;=H795;"SÍ";"NO"))</f>
        <v/>
      </c>
      <c r="O795" s="14">
        <f>SI(O(I795="";K795="");"";SI(K795&lt;=SI(M795&lt;&gt;"";M795;I795);"SÍ";"NO"))</f>
        <v/>
      </c>
      <c r="P795" s="14">
        <f>SI(O(N795="";O795="");"";SI(Y(N795="SÍ";O795="SÍ");"SÍ";"NO"))</f>
        <v/>
      </c>
      <c r="Q795" s="16">
        <f>SI(O(I795="";K795="");"";MAX(0;ENTERO(K795)-ENTERO(SI(M795&lt;&gt;"";M795;I795))))</f>
        <v/>
      </c>
      <c r="R795" s="14" t="inlineStr">
        <is>
          <t>N/A - A Tiempo</t>
        </is>
      </c>
      <c r="S795" s="14" t="inlineStr">
        <is>
          <t>Firmada</t>
        </is>
      </c>
      <c r="T795" s="15" t="n"/>
      <c r="U795" s="14" t="n">
        <v>19</v>
      </c>
      <c r="V795" s="14" t="n"/>
    </row>
    <row r="796">
      <c r="A796" s="11" t="n">
        <v>5425</v>
      </c>
      <c r="B796" s="11" t="inlineStr">
        <is>
          <t>LA TEBAIDA</t>
        </is>
      </c>
      <c r="C796" s="11" t="inlineStr">
        <is>
          <t>La Tebaida</t>
        </is>
      </c>
      <c r="D796" s="11" t="inlineStr">
        <is>
          <t>Quindio</t>
        </is>
      </c>
      <c r="E796" s="11" t="inlineStr">
        <is>
          <t>CAFETERA</t>
        </is>
      </c>
      <c r="F796" s="11" t="inlineStr">
        <is>
          <t>Alvaro Augusto Villalba Villamil</t>
        </is>
      </c>
      <c r="G796" s="11" t="inlineStr">
        <is>
          <t>3</t>
        </is>
      </c>
      <c r="H796" s="12" t="n"/>
      <c r="I796" s="12" t="n"/>
      <c r="J796" s="12" t="n"/>
      <c r="K796" s="12" t="n"/>
      <c r="L796" s="11" t="inlineStr">
        <is>
          <t>Sede_Cerrada</t>
        </is>
      </c>
      <c r="M796" s="12" t="n"/>
      <c r="N796" s="11">
        <f>SI(O(H796="";J796="");"";SI(J796&lt;=H796;"SÍ";"NO"))</f>
        <v/>
      </c>
      <c r="O796" s="11">
        <f>SI(O(I796="";K796="");"";SI(K796&lt;=SI(M796&lt;&gt;"";M796;I796);"SÍ";"NO"))</f>
        <v/>
      </c>
      <c r="P796" s="11">
        <f>SI(O(N796="";O796="");"";SI(Y(N796="SÍ";O796="SÍ");"SÍ";"NO"))</f>
        <v/>
      </c>
      <c r="Q796" s="13">
        <f>SI(O(I796="";K796="");"";MAX(0;ENTERO(K796)-ENTERO(SI(M796&lt;&gt;"";M796;I796))))</f>
        <v/>
      </c>
      <c r="R796" s="11" t="inlineStr">
        <is>
          <t>N/A - A Tiempo</t>
        </is>
      </c>
      <c r="S796" s="11" t="inlineStr">
        <is>
          <t>Firmada</t>
        </is>
      </c>
      <c r="T796" s="12" t="n"/>
      <c r="U796" s="11" t="n">
        <v>19</v>
      </c>
      <c r="V796" s="11" t="n"/>
    </row>
    <row r="797">
      <c r="A797" s="14" t="n">
        <v>5440</v>
      </c>
      <c r="B797" s="14" t="inlineStr">
        <is>
          <t>CORDOBA</t>
        </is>
      </c>
      <c r="C797" s="14" t="inlineStr">
        <is>
          <t>Córdoba</t>
        </is>
      </c>
      <c r="D797" s="14" t="inlineStr">
        <is>
          <t>Quindio</t>
        </is>
      </c>
      <c r="E797" s="14" t="inlineStr">
        <is>
          <t>CAFETERA</t>
        </is>
      </c>
      <c r="F797" s="14" t="inlineStr">
        <is>
          <t>Alvaro Augusto Villalba Villamil</t>
        </is>
      </c>
      <c r="G797" s="14" t="inlineStr">
        <is>
          <t>1</t>
        </is>
      </c>
      <c r="H797" s="15" t="n"/>
      <c r="I797" s="15" t="n"/>
      <c r="J797" s="15" t="n"/>
      <c r="K797" s="15" t="n"/>
      <c r="L797" s="14" t="inlineStr">
        <is>
          <t>Sede_Cerrada</t>
        </is>
      </c>
      <c r="M797" s="15" t="n"/>
      <c r="N797" s="14">
        <f>SI(O(H797="";J797="");"";SI(J797&lt;=H797;"SÍ";"NO"))</f>
        <v/>
      </c>
      <c r="O797" s="14">
        <f>SI(O(I797="";K797="");"";SI(K797&lt;=SI(M797&lt;&gt;"";M797;I797);"SÍ";"NO"))</f>
        <v/>
      </c>
      <c r="P797" s="14">
        <f>SI(O(N797="";O797="");"";SI(Y(N797="SÍ";O797="SÍ");"SÍ";"NO"))</f>
        <v/>
      </c>
      <c r="Q797" s="16">
        <f>SI(O(I797="";K797="");"";MAX(0;ENTERO(K797)-ENTERO(SI(M797&lt;&gt;"";M797;I797))))</f>
        <v/>
      </c>
      <c r="R797" s="14" t="inlineStr">
        <is>
          <t>N/A - A Tiempo</t>
        </is>
      </c>
      <c r="S797" s="14" t="inlineStr">
        <is>
          <t>Firmada</t>
        </is>
      </c>
      <c r="T797" s="15" t="n"/>
      <c r="U797" s="14" t="n">
        <v>13</v>
      </c>
      <c r="V797" s="14" t="n"/>
    </row>
    <row r="798">
      <c r="A798" s="11" t="n">
        <v>5703</v>
      </c>
      <c r="B798" s="11" t="inlineStr">
        <is>
          <t>PEREIRA</t>
        </is>
      </c>
      <c r="C798" s="11" t="inlineStr">
        <is>
          <t>Pereira</t>
        </is>
      </c>
      <c r="D798" s="11" t="inlineStr">
        <is>
          <t>Risaralda</t>
        </is>
      </c>
      <c r="E798" s="11" t="inlineStr">
        <is>
          <t>CAFETERA</t>
        </is>
      </c>
      <c r="F798" s="11" t="inlineStr">
        <is>
          <t>CESAR AUGUSTO HENAO</t>
        </is>
      </c>
      <c r="G798" s="11" t="inlineStr">
        <is>
          <t>9</t>
        </is>
      </c>
      <c r="H798" s="12" t="n"/>
      <c r="I798" s="12" t="n"/>
      <c r="J798" s="12" t="n"/>
      <c r="K798" s="12" t="n"/>
      <c r="L798" s="11" t="inlineStr">
        <is>
          <t>Sede_Cerrada</t>
        </is>
      </c>
      <c r="M798" s="12" t="n"/>
      <c r="N798" s="11">
        <f>SI(O(H798="";J798="");"";SI(J798&lt;=H798;"SÍ";"NO"))</f>
        <v/>
      </c>
      <c r="O798" s="11">
        <f>SI(O(I798="";K798="");"";SI(K798&lt;=SI(M798&lt;&gt;"";M798;I798);"SÍ";"NO"))</f>
        <v/>
      </c>
      <c r="P798" s="11">
        <f>SI(O(N798="";O798="");"";SI(Y(N798="SÍ";O798="SÍ");"SÍ";"NO"))</f>
        <v/>
      </c>
      <c r="Q798" s="13">
        <f>SI(O(I798="";K798="");"";MAX(0;ENTERO(K798)-ENTERO(SI(M798&lt;&gt;"";M798;I798))))</f>
        <v/>
      </c>
      <c r="R798" s="11" t="inlineStr">
        <is>
          <t>N/A - A Tiempo</t>
        </is>
      </c>
      <c r="S798" s="11" t="inlineStr">
        <is>
          <t>Firmada</t>
        </is>
      </c>
      <c r="T798" s="12" t="n"/>
      <c r="U798" s="11" t="n">
        <v>58</v>
      </c>
      <c r="V798" s="11" t="n"/>
    </row>
    <row r="799">
      <c r="A799" s="14" t="n">
        <v>5712</v>
      </c>
      <c r="B799" s="14" t="inlineStr">
        <is>
          <t>DOSQUEBRADAS</t>
        </is>
      </c>
      <c r="C799" s="14" t="inlineStr">
        <is>
          <t>Dosquebradas</t>
        </is>
      </c>
      <c r="D799" s="14" t="inlineStr">
        <is>
          <t>Risaralda</t>
        </is>
      </c>
      <c r="E799" s="14" t="inlineStr">
        <is>
          <t>CAFETERA</t>
        </is>
      </c>
      <c r="F799" s="14" t="inlineStr">
        <is>
          <t>CESAR AUGUSTO HENAO</t>
        </is>
      </c>
      <c r="G799" s="14" t="inlineStr">
        <is>
          <t>5</t>
        </is>
      </c>
      <c r="H799" s="15" t="n"/>
      <c r="I799" s="15" t="n"/>
      <c r="J799" s="15" t="n"/>
      <c r="K799" s="15" t="n"/>
      <c r="L799" s="14" t="inlineStr">
        <is>
          <t>Sede_Cerrada</t>
        </is>
      </c>
      <c r="M799" s="15" t="n"/>
      <c r="N799" s="14">
        <f>SI(O(H799="";J799="");"";SI(J799&lt;=H799;"SÍ";"NO"))</f>
        <v/>
      </c>
      <c r="O799" s="14">
        <f>SI(O(I799="";K799="");"";SI(K799&lt;=SI(M799&lt;&gt;"";M799;I799);"SÍ";"NO"))</f>
        <v/>
      </c>
      <c r="P799" s="14">
        <f>SI(O(N799="";O799="");"";SI(Y(N799="SÍ";O799="SÍ");"SÍ";"NO"))</f>
        <v/>
      </c>
      <c r="Q799" s="16">
        <f>SI(O(I799="";K799="");"";MAX(0;ENTERO(K799)-ENTERO(SI(M799&lt;&gt;"";M799;I799))))</f>
        <v/>
      </c>
      <c r="R799" s="14" t="inlineStr">
        <is>
          <t>N/A - A Tiempo</t>
        </is>
      </c>
      <c r="S799" s="14" t="inlineStr">
        <is>
          <t>Firmada</t>
        </is>
      </c>
      <c r="T799" s="15" t="n"/>
      <c r="U799" s="14" t="n">
        <v>24</v>
      </c>
      <c r="V799" s="14" t="n"/>
    </row>
    <row r="800">
      <c r="A800" s="11" t="n">
        <v>5715</v>
      </c>
      <c r="B800" s="11" t="inlineStr">
        <is>
          <t>SANTA ROSA DE CABAL</t>
        </is>
      </c>
      <c r="C800" s="11" t="inlineStr">
        <is>
          <t>Santa Rosa De Cabal</t>
        </is>
      </c>
      <c r="D800" s="11" t="inlineStr">
        <is>
          <t>Risaralda</t>
        </is>
      </c>
      <c r="E800" s="11" t="inlineStr">
        <is>
          <t>CAFETERA</t>
        </is>
      </c>
      <c r="F800" s="11" t="inlineStr">
        <is>
          <t>CESAR AUGUSTO HENAO</t>
        </is>
      </c>
      <c r="G800" s="11" t="inlineStr">
        <is>
          <t>2</t>
        </is>
      </c>
      <c r="H800" s="12" t="n"/>
      <c r="I800" s="12" t="n"/>
      <c r="J800" s="12" t="n"/>
      <c r="K800" s="12" t="n"/>
      <c r="L800" s="11" t="inlineStr">
        <is>
          <t>Sede_Cerrada</t>
        </is>
      </c>
      <c r="M800" s="12" t="n"/>
      <c r="N800" s="11">
        <f>SI(O(H800="";J800="");"";SI(J800&lt;=H800;"SÍ";"NO"))</f>
        <v/>
      </c>
      <c r="O800" s="11">
        <f>SI(O(I800="";K800="");"";SI(K800&lt;=SI(M800&lt;&gt;"";M800;I800);"SÍ";"NO"))</f>
        <v/>
      </c>
      <c r="P800" s="11">
        <f>SI(O(N800="";O800="");"";SI(Y(N800="SÍ";O800="SÍ");"SÍ";"NO"))</f>
        <v/>
      </c>
      <c r="Q800" s="13">
        <f>SI(O(I800="";K800="");"";MAX(0;ENTERO(K800)-ENTERO(SI(M800&lt;&gt;"";M800;I800))))</f>
        <v/>
      </c>
      <c r="R800" s="11" t="inlineStr">
        <is>
          <t>N/A - A Tiempo</t>
        </is>
      </c>
      <c r="S800" s="11" t="inlineStr">
        <is>
          <t>Firmada</t>
        </is>
      </c>
      <c r="T800" s="12" t="n"/>
      <c r="U800" s="11" t="n">
        <v>21</v>
      </c>
      <c r="V800" s="11" t="n"/>
    </row>
    <row r="801">
      <c r="A801" s="14" t="n">
        <v>5732</v>
      </c>
      <c r="B801" s="14" t="inlineStr">
        <is>
          <t>LA CELIA</t>
        </is>
      </c>
      <c r="C801" s="14" t="inlineStr">
        <is>
          <t>La Celia</t>
        </is>
      </c>
      <c r="D801" s="14" t="inlineStr">
        <is>
          <t>Risaralda</t>
        </is>
      </c>
      <c r="E801" s="14" t="inlineStr">
        <is>
          <t>CAFETERA</t>
        </is>
      </c>
      <c r="F801" s="14" t="inlineStr">
        <is>
          <t>CESAR AUGUSTO HENAO</t>
        </is>
      </c>
      <c r="G801" s="14" t="inlineStr">
        <is>
          <t>1</t>
        </is>
      </c>
      <c r="H801" s="15" t="n"/>
      <c r="I801" s="15" t="n"/>
      <c r="J801" s="15" t="n"/>
      <c r="K801" s="15" t="n"/>
      <c r="L801" s="14" t="inlineStr">
        <is>
          <t>Sede_Cerrada</t>
        </is>
      </c>
      <c r="M801" s="15" t="n"/>
      <c r="N801" s="14">
        <f>SI(O(H801="";J801="");"";SI(J801&lt;=H801;"SÍ";"NO"))</f>
        <v/>
      </c>
      <c r="O801" s="14">
        <f>SI(O(I801="";K801="");"";SI(K801&lt;=SI(M801&lt;&gt;"";M801;I801);"SÍ";"NO"))</f>
        <v/>
      </c>
      <c r="P801" s="14">
        <f>SI(O(N801="";O801="");"";SI(Y(N801="SÍ";O801="SÍ");"SÍ";"NO"))</f>
        <v/>
      </c>
      <c r="Q801" s="16">
        <f>SI(O(I801="";K801="");"";MAX(0;ENTERO(K801)-ENTERO(SI(M801&lt;&gt;"";M801;I801))))</f>
        <v/>
      </c>
      <c r="R801" s="14" t="inlineStr">
        <is>
          <t>N/A - A Tiempo</t>
        </is>
      </c>
      <c r="S801" s="14" t="inlineStr">
        <is>
          <t>Firmada</t>
        </is>
      </c>
      <c r="T801" s="15" t="n"/>
      <c r="U801" s="14" t="n">
        <v>16</v>
      </c>
      <c r="V801" s="14" t="n"/>
    </row>
    <row r="802">
      <c r="A802" s="11" t="n">
        <v>5755</v>
      </c>
      <c r="B802" s="11" t="inlineStr">
        <is>
          <t>PUEBLO RICO</t>
        </is>
      </c>
      <c r="C802" s="11" t="inlineStr">
        <is>
          <t>Pueblo Rico</t>
        </is>
      </c>
      <c r="D802" s="11" t="inlineStr">
        <is>
          <t>Risaralda</t>
        </is>
      </c>
      <c r="E802" s="11" t="inlineStr">
        <is>
          <t>CAFETERA</t>
        </is>
      </c>
      <c r="F802" s="11" t="inlineStr">
        <is>
          <t>CESAR AUGUSTO HENAO</t>
        </is>
      </c>
      <c r="G802" s="11" t="inlineStr">
        <is>
          <t>1</t>
        </is>
      </c>
      <c r="H802" s="12" t="n"/>
      <c r="I802" s="12" t="n"/>
      <c r="J802" s="12" t="n"/>
      <c r="K802" s="12" t="n"/>
      <c r="L802" s="11" t="inlineStr">
        <is>
          <t>Sede_Cerrada</t>
        </is>
      </c>
      <c r="M802" s="12" t="n"/>
      <c r="N802" s="11">
        <f>SI(O(H802="";J802="");"";SI(J802&lt;=H802;"SÍ";"NO"))</f>
        <v/>
      </c>
      <c r="O802" s="11">
        <f>SI(O(I802="";K802="");"";SI(K802&lt;=SI(M802&lt;&gt;"";M802;I802);"SÍ";"NO"))</f>
        <v/>
      </c>
      <c r="P802" s="11">
        <f>SI(O(N802="";O802="");"";SI(Y(N802="SÍ";O802="SÍ");"SÍ";"NO"))</f>
        <v/>
      </c>
      <c r="Q802" s="13">
        <f>SI(O(I802="";K802="");"";MAX(0;ENTERO(K802)-ENTERO(SI(M802&lt;&gt;"";M802;I802))))</f>
        <v/>
      </c>
      <c r="R802" s="11" t="inlineStr">
        <is>
          <t>N/A - A Tiempo</t>
        </is>
      </c>
      <c r="S802" s="11" t="inlineStr">
        <is>
          <t>Firmada</t>
        </is>
      </c>
      <c r="T802" s="12" t="n"/>
      <c r="U802" s="11" t="n">
        <v>15</v>
      </c>
      <c r="V802" s="11" t="n"/>
    </row>
    <row r="803">
      <c r="A803" s="14" t="n">
        <v>6924</v>
      </c>
      <c r="B803" s="14" t="inlineStr">
        <is>
          <t>BOLIVAR</t>
        </is>
      </c>
      <c r="C803" s="14" t="inlineStr">
        <is>
          <t>Bolívar</t>
        </is>
      </c>
      <c r="D803" s="14" t="inlineStr">
        <is>
          <t>Valle del Cauca</t>
        </is>
      </c>
      <c r="E803" s="14" t="inlineStr">
        <is>
          <t>CAFETERA</t>
        </is>
      </c>
      <c r="F803" s="14" t="inlineStr">
        <is>
          <t>Alvaro Augusto Villalba Villamil</t>
        </is>
      </c>
      <c r="G803" s="14" t="inlineStr">
        <is>
          <t>2</t>
        </is>
      </c>
      <c r="H803" s="15" t="n"/>
      <c r="I803" s="15" t="n"/>
      <c r="J803" s="15" t="n"/>
      <c r="K803" s="15" t="n"/>
      <c r="L803" s="14" t="inlineStr">
        <is>
          <t>Sede_Cerrada</t>
        </is>
      </c>
      <c r="M803" s="15" t="n"/>
      <c r="N803" s="14">
        <f>SI(O(H803="";J803="");"";SI(J803&lt;=H803;"SÍ";"NO"))</f>
        <v/>
      </c>
      <c r="O803" s="14">
        <f>SI(O(I803="";K803="");"";SI(K803&lt;=SI(M803&lt;&gt;"";M803;I803);"SÍ";"NO"))</f>
        <v/>
      </c>
      <c r="P803" s="14">
        <f>SI(O(N803="";O803="");"";SI(Y(N803="SÍ";O803="SÍ");"SÍ";"NO"))</f>
        <v/>
      </c>
      <c r="Q803" s="16">
        <f>SI(O(I803="";K803="");"";MAX(0;ENTERO(K803)-ENTERO(SI(M803&lt;&gt;"";M803;I803))))</f>
        <v/>
      </c>
      <c r="R803" s="14" t="inlineStr">
        <is>
          <t>N/A - A Tiempo</t>
        </is>
      </c>
      <c r="S803" s="14" t="inlineStr">
        <is>
          <t>Firmada</t>
        </is>
      </c>
      <c r="T803" s="15" t="n"/>
      <c r="U803" s="14" t="n">
        <v>18</v>
      </c>
      <c r="V803" s="14" t="n"/>
    </row>
    <row r="804">
      <c r="A804" s="11" t="n">
        <v>6926</v>
      </c>
      <c r="B804" s="11" t="inlineStr">
        <is>
          <t>EL AGUILA</t>
        </is>
      </c>
      <c r="C804" s="11" t="inlineStr">
        <is>
          <t>El Águila</t>
        </is>
      </c>
      <c r="D804" s="11" t="inlineStr">
        <is>
          <t>Valle del Cauca</t>
        </is>
      </c>
      <c r="E804" s="11" t="inlineStr">
        <is>
          <t>CAFETERA</t>
        </is>
      </c>
      <c r="F804" s="11" t="inlineStr">
        <is>
          <t>Alvaro Augusto Villalba Villamil</t>
        </is>
      </c>
      <c r="G804" s="11" t="inlineStr">
        <is>
          <t>1</t>
        </is>
      </c>
      <c r="H804" s="12" t="n"/>
      <c r="I804" s="12" t="n"/>
      <c r="J804" s="12" t="n"/>
      <c r="K804" s="12" t="n"/>
      <c r="L804" s="11" t="inlineStr">
        <is>
          <t>Sede_Cerrada</t>
        </is>
      </c>
      <c r="M804" s="12" t="n"/>
      <c r="N804" s="11">
        <f>SI(O(H804="";J804="");"";SI(J804&lt;=H804;"SÍ";"NO"))</f>
        <v/>
      </c>
      <c r="O804" s="11">
        <f>SI(O(I804="";K804="");"";SI(K804&lt;=SI(M804&lt;&gt;"";M804;I804);"SÍ";"NO"))</f>
        <v/>
      </c>
      <c r="P804" s="11">
        <f>SI(O(N804="";O804="");"";SI(Y(N804="SÍ";O804="SÍ");"SÍ";"NO"))</f>
        <v/>
      </c>
      <c r="Q804" s="13">
        <f>SI(O(I804="";K804="");"";MAX(0;ENTERO(K804)-ENTERO(SI(M804&lt;&gt;"";M804;I804))))</f>
        <v/>
      </c>
      <c r="R804" s="11" t="inlineStr">
        <is>
          <t>N/A - A Tiempo</t>
        </is>
      </c>
      <c r="S804" s="11" t="inlineStr">
        <is>
          <t>Firmada</t>
        </is>
      </c>
      <c r="T804" s="12" t="n"/>
      <c r="U804" s="11" t="n">
        <v>13</v>
      </c>
      <c r="V804" s="11" t="n"/>
    </row>
    <row r="805">
      <c r="A805" s="14" t="n">
        <v>6932</v>
      </c>
      <c r="B805" s="14" t="inlineStr">
        <is>
          <t>NARANJAL (Corregimiento del municipio de Bolivar - Valle del Cauca)</t>
        </is>
      </c>
      <c r="C805" s="14" t="inlineStr">
        <is>
          <t>Bolívar</t>
        </is>
      </c>
      <c r="D805" s="14" t="inlineStr">
        <is>
          <t>Valle del Cauca</t>
        </is>
      </c>
      <c r="E805" s="14" t="inlineStr">
        <is>
          <t>CAFETERA</t>
        </is>
      </c>
      <c r="F805" s="14" t="inlineStr">
        <is>
          <t>Alvaro Augusto Villalba Villamil</t>
        </is>
      </c>
      <c r="G805" s="14" t="inlineStr">
        <is>
          <t>1</t>
        </is>
      </c>
      <c r="H805" s="15" t="n"/>
      <c r="I805" s="15" t="n"/>
      <c r="J805" s="15" t="n"/>
      <c r="K805" s="15" t="n"/>
      <c r="L805" s="14" t="inlineStr">
        <is>
          <t>Sede_Cerrada</t>
        </is>
      </c>
      <c r="M805" s="15" t="n"/>
      <c r="N805" s="14">
        <f>SI(O(H805="";J805="");"";SI(J805&lt;=H805;"SÍ";"NO"))</f>
        <v/>
      </c>
      <c r="O805" s="14">
        <f>SI(O(I805="";K805="");"";SI(K805&lt;=SI(M805&lt;&gt;"";M805;I805);"SÍ";"NO"))</f>
        <v/>
      </c>
      <c r="P805" s="14">
        <f>SI(O(N805="";O805="");"";SI(Y(N805="SÍ";O805="SÍ");"SÍ";"NO"))</f>
        <v/>
      </c>
      <c r="Q805" s="16">
        <f>SI(O(I805="";K805="");"";MAX(0;ENTERO(K805)-ENTERO(SI(M805&lt;&gt;"";M805;I805))))</f>
        <v/>
      </c>
      <c r="R805" s="14" t="inlineStr">
        <is>
          <t>N/A - A Tiempo</t>
        </is>
      </c>
      <c r="S805" s="14" t="inlineStr">
        <is>
          <t>Firmada</t>
        </is>
      </c>
      <c r="T805" s="15" t="n"/>
      <c r="U805" s="14" t="n">
        <v>13</v>
      </c>
      <c r="V805" s="14" t="n"/>
    </row>
    <row r="806">
      <c r="A806" s="11" t="n">
        <v>6935</v>
      </c>
      <c r="B806" s="11" t="inlineStr">
        <is>
          <t>ANSERMANUEVO</t>
        </is>
      </c>
      <c r="C806" s="11" t="inlineStr">
        <is>
          <t>Ansermanuevo</t>
        </is>
      </c>
      <c r="D806" s="11" t="inlineStr">
        <is>
          <t>Valle del Cauca</t>
        </is>
      </c>
      <c r="E806" s="11" t="inlineStr">
        <is>
          <t>CAFETERA</t>
        </is>
      </c>
      <c r="F806" s="11" t="inlineStr">
        <is>
          <t>Alvaro Augusto Villalba Villamil</t>
        </is>
      </c>
      <c r="G806" s="11" t="inlineStr">
        <is>
          <t>2</t>
        </is>
      </c>
      <c r="H806" s="12" t="n"/>
      <c r="I806" s="12" t="n"/>
      <c r="J806" s="12" t="n"/>
      <c r="K806" s="12" t="n"/>
      <c r="L806" s="11" t="inlineStr">
        <is>
          <t>Sede_Cerrada</t>
        </is>
      </c>
      <c r="M806" s="12" t="n"/>
      <c r="N806" s="11">
        <f>SI(O(H806="";J806="");"";SI(J806&lt;=H806;"SÍ";"NO"))</f>
        <v/>
      </c>
      <c r="O806" s="11">
        <f>SI(O(I806="";K806="");"";SI(K806&lt;=SI(M806&lt;&gt;"";M806;I806);"SÍ";"NO"))</f>
        <v/>
      </c>
      <c r="P806" s="11">
        <f>SI(O(N806="";O806="");"";SI(Y(N806="SÍ";O806="SÍ");"SÍ";"NO"))</f>
        <v/>
      </c>
      <c r="Q806" s="13">
        <f>SI(O(I806="";K806="");"";MAX(0;ENTERO(K806)-ENTERO(SI(M806&lt;&gt;"";M806;I806))))</f>
        <v/>
      </c>
      <c r="R806" s="11" t="inlineStr">
        <is>
          <t>N/A - A Tiempo</t>
        </is>
      </c>
      <c r="S806" s="11" t="inlineStr">
        <is>
          <t>Firmada</t>
        </is>
      </c>
      <c r="T806" s="12" t="n"/>
      <c r="U806" s="11" t="n">
        <v>22</v>
      </c>
      <c r="V806" s="11" t="n"/>
    </row>
    <row r="807">
      <c r="A807" s="14" t="n">
        <v>6963</v>
      </c>
      <c r="B807" s="14" t="inlineStr">
        <is>
          <t>BUENAVENTURA</t>
        </is>
      </c>
      <c r="C807" s="14" t="inlineStr">
        <is>
          <t>Buenaventura</t>
        </is>
      </c>
      <c r="D807" s="14" t="inlineStr">
        <is>
          <t>Valle del Cauca</t>
        </is>
      </c>
      <c r="E807" s="14" t="inlineStr">
        <is>
          <t>OCCIDENTE</t>
        </is>
      </c>
      <c r="F807" s="14" t="inlineStr">
        <is>
          <t>Juan David Cifuente Villegas /John Edwin Jimenez Chavez</t>
        </is>
      </c>
      <c r="G807" s="14" t="inlineStr">
        <is>
          <t>6</t>
        </is>
      </c>
      <c r="H807" s="15" t="n"/>
      <c r="I807" s="15" t="n"/>
      <c r="J807" s="15" t="n"/>
      <c r="K807" s="15" t="n"/>
      <c r="L807" s="14" t="inlineStr">
        <is>
          <t>Sede_Cerrada</t>
        </is>
      </c>
      <c r="M807" s="15" t="n"/>
      <c r="N807" s="14">
        <f>SI(O(H807="";J807="");"";SI(J807&lt;=H807;"SÍ";"NO"))</f>
        <v/>
      </c>
      <c r="O807" s="14">
        <f>SI(O(I807="";K807="");"";SI(K807&lt;=SI(M807&lt;&gt;"";M807;I807);"SÍ";"NO"))</f>
        <v/>
      </c>
      <c r="P807" s="14">
        <f>SI(O(N807="";O807="");"";SI(Y(N807="SÍ";O807="SÍ");"SÍ";"NO"))</f>
        <v/>
      </c>
      <c r="Q807" s="16">
        <f>SI(O(I807="";K807="");"";MAX(0;ENTERO(K807)-ENTERO(SI(M807&lt;&gt;"";M807;I807))))</f>
        <v/>
      </c>
      <c r="R807" s="14" t="inlineStr">
        <is>
          <t>N/A - A Tiempo</t>
        </is>
      </c>
      <c r="S807" s="14" t="inlineStr">
        <is>
          <t>Firmada</t>
        </is>
      </c>
      <c r="T807" s="15" t="n"/>
      <c r="U807" s="14" t="n">
        <v>40</v>
      </c>
      <c r="V807" s="14" t="n"/>
    </row>
    <row r="808">
      <c r="A808" s="11" t="n">
        <v>6970</v>
      </c>
      <c r="B808" s="11" t="inlineStr">
        <is>
          <t>ROLDANILLO</t>
        </is>
      </c>
      <c r="C808" s="11" t="inlineStr">
        <is>
          <t>Roldanillo</t>
        </is>
      </c>
      <c r="D808" s="11" t="inlineStr">
        <is>
          <t>Valle del Cauca</t>
        </is>
      </c>
      <c r="E808" s="11" t="inlineStr">
        <is>
          <t>CAFETERA</t>
        </is>
      </c>
      <c r="F808" s="11" t="inlineStr">
        <is>
          <t>Alvaro Augusto Villalba Villamil</t>
        </is>
      </c>
      <c r="G808" s="11" t="inlineStr">
        <is>
          <t>4</t>
        </is>
      </c>
      <c r="H808" s="12" t="n"/>
      <c r="I808" s="12" t="n"/>
      <c r="J808" s="12" t="n"/>
      <c r="K808" s="12" t="n"/>
      <c r="L808" s="11" t="inlineStr">
        <is>
          <t>Sede_Cerrada</t>
        </is>
      </c>
      <c r="M808" s="12" t="n"/>
      <c r="N808" s="11">
        <f>SI(O(H808="";J808="");"";SI(J808&lt;=H808;"SÍ";"NO"))</f>
        <v/>
      </c>
      <c r="O808" s="11">
        <f>SI(O(I808="";K808="");"";SI(K808&lt;=SI(M808&lt;&gt;"";M808;I808);"SÍ";"NO"))</f>
        <v/>
      </c>
      <c r="P808" s="11">
        <f>SI(O(N808="";O808="");"";SI(Y(N808="SÍ";O808="SÍ");"SÍ";"NO"))</f>
        <v/>
      </c>
      <c r="Q808" s="13">
        <f>SI(O(I808="";K808="");"";MAX(0;ENTERO(K808)-ENTERO(SI(M808&lt;&gt;"";M808;I808))))</f>
        <v/>
      </c>
      <c r="R808" s="11" t="inlineStr">
        <is>
          <t>N/A - A Tiempo</t>
        </is>
      </c>
      <c r="S808" s="11" t="inlineStr">
        <is>
          <t>Firmada</t>
        </is>
      </c>
      <c r="T808" s="12" t="n"/>
      <c r="U808" s="11" t="n">
        <v>31</v>
      </c>
      <c r="V808" s="11" t="n"/>
    </row>
    <row r="809">
      <c r="A809" s="14" t="n">
        <v>6978</v>
      </c>
      <c r="B809" s="14" t="inlineStr">
        <is>
          <t>CARTAGO</t>
        </is>
      </c>
      <c r="C809" s="14" t="inlineStr">
        <is>
          <t>Cartago</t>
        </is>
      </c>
      <c r="D809" s="14" t="inlineStr">
        <is>
          <t>Valle del Cauca</t>
        </is>
      </c>
      <c r="E809" s="14" t="inlineStr">
        <is>
          <t>CAFETERA</t>
        </is>
      </c>
      <c r="F809" s="14" t="inlineStr">
        <is>
          <t>Alvaro Augusto Villalba Villamil</t>
        </is>
      </c>
      <c r="G809" s="14" t="inlineStr">
        <is>
          <t>8</t>
        </is>
      </c>
      <c r="H809" s="15" t="n"/>
      <c r="I809" s="15" t="n"/>
      <c r="J809" s="15" t="n"/>
      <c r="K809" s="15" t="n"/>
      <c r="L809" s="14" t="inlineStr">
        <is>
          <t>Sede_Cerrada</t>
        </is>
      </c>
      <c r="M809" s="15" t="n"/>
      <c r="N809" s="14">
        <f>SI(O(H809="";J809="");"";SI(J809&lt;=H809;"SÍ";"NO"))</f>
        <v/>
      </c>
      <c r="O809" s="14">
        <f>SI(O(I809="";K809="");"";SI(K809&lt;=SI(M809&lt;&gt;"";M809;I809);"SÍ";"NO"))</f>
        <v/>
      </c>
      <c r="P809" s="14">
        <f>SI(O(N809="";O809="");"";SI(Y(N809="SÍ";O809="SÍ");"SÍ";"NO"))</f>
        <v/>
      </c>
      <c r="Q809" s="16">
        <f>SI(O(I809="";K809="");"";MAX(0;ENTERO(K809)-ENTERO(SI(M809&lt;&gt;"";M809;I809))))</f>
        <v/>
      </c>
      <c r="R809" s="14" t="inlineStr">
        <is>
          <t>N/A - A Tiempo</t>
        </is>
      </c>
      <c r="S809" s="14" t="inlineStr">
        <is>
          <t>Firmada</t>
        </is>
      </c>
      <c r="T809" s="15" t="n"/>
      <c r="U809" s="14" t="n">
        <v>36</v>
      </c>
      <c r="V809" s="14" t="n"/>
    </row>
  </sheetData>
  <autoFilter ref="A1:V809"/>
  <conditionalFormatting sqref="L2:L809">
    <cfRule type="cellIs" priority="1" operator="equal" dxfId="0">
      <formula>"Programada"</formula>
    </cfRule>
    <cfRule type="cellIs" priority="2" operator="equal" dxfId="1">
      <formula>"En Proceso"</formula>
    </cfRule>
    <cfRule type="cellIs" priority="3" operator="equal" dxfId="2">
      <formula>"Finalizada"</formula>
    </cfRule>
    <cfRule type="cellIs" priority="4" operator="equal" dxfId="3">
      <formula>"Reprogramada"</formula>
    </cfRule>
    <cfRule type="cellIs" priority="5" operator="equal" dxfId="4">
      <formula>"Sede_Cerrada"</formula>
    </cfRule>
    <cfRule type="cellIs" priority="6" operator="equal" dxfId="5">
      <formula>"Cancelada"</formula>
    </cfRule>
  </conditionalFormatting>
  <conditionalFormatting sqref="N2:N809">
    <cfRule type="cellIs" priority="7" operator="equal" dxfId="6">
      <formula>"SÍ"</formula>
    </cfRule>
    <cfRule type="cellIs" priority="8" operator="equal" dxfId="7">
      <formula>"NO"</formula>
    </cfRule>
  </conditionalFormatting>
  <conditionalFormatting sqref="O2:O809">
    <cfRule type="cellIs" priority="9" operator="equal" dxfId="6">
      <formula>"SÍ"</formula>
    </cfRule>
    <cfRule type="cellIs" priority="10" operator="equal" dxfId="7">
      <formula>"NO"</formula>
    </cfRule>
  </conditionalFormatting>
  <conditionalFormatting sqref="P2:P809">
    <cfRule type="cellIs" priority="11" operator="equal" dxfId="6">
      <formula>"SÍ"</formula>
    </cfRule>
    <cfRule type="cellIs" priority="12" operator="equal" dxfId="7">
      <formula>"NO"</formula>
    </cfRule>
  </conditionalFormatting>
  <dataValidations count="10">
    <dataValidation sqref="E2:E809" showDropDown="0" showInputMessage="0" showErrorMessage="1" allowBlank="1" errorTitle="Región inválida" error="Seleccione una jefatura regional válida." type="list">
      <formula1>=Listas_Validacion!$A$3:$A$12</formula1>
    </dataValidation>
    <dataValidation sqref="L2:L809" showDropDown="0" showInputMessage="0" showErrorMessage="1" allowBlank="1" errorTitle="Estado inválido" error="Seleccione un estado válido." type="list">
      <formula1>=Listas_Validacion!$C$3:$C$8</formula1>
    </dataValidation>
    <dataValidation sqref="R2:R809" showDropDown="0" showInputMessage="0" showErrorMessage="1" allowBlank="1" errorTitle="Causal inválida" error="Seleccione una causal de la lista." type="list">
      <formula1>=Listas_Validacion!$E$3:$E$9</formula1>
    </dataValidation>
    <dataValidation sqref="S2:S809" showDropDown="0" showInputMessage="0" showErrorMessage="1" allowBlank="1" errorTitle="Estatus inválido" error="Seleccione un estatus de acta válido." type="list">
      <formula1>=Listas_Validacion!$G$3:$G$5</formula1>
    </dataValidation>
    <dataValidation sqref="H2:H809" showDropDown="0" showInputMessage="0" showErrorMessage="1" allowBlank="1" errorTitle="Fecha inválida" error="Escriba la fecha en DÍA/MES/AÑO, ej. 05/04/2026 = 5 de abril." type="date" operator="between">
      <formula1>46023</formula1>
      <formula2>48213</formula2>
    </dataValidation>
    <dataValidation sqref="I2:I809" showDropDown="0" showInputMessage="0" showErrorMessage="1" allowBlank="1" errorTitle="Fecha inválida" error="Escriba la fecha en DÍA/MES/AÑO, ej. 05/04/2026 = 5 de abril." type="date" operator="between">
      <formula1>46023</formula1>
      <formula2>48213</formula2>
    </dataValidation>
    <dataValidation sqref="J2:J809" showDropDown="0" showInputMessage="0" showErrorMessage="1" allowBlank="1" errorTitle="Fecha inválida" error="Escriba la fecha en DÍA/MES/AÑO, ej. 05/04/2026 = 5 de abril." type="date" operator="between">
      <formula1>46023</formula1>
      <formula2>48213</formula2>
    </dataValidation>
    <dataValidation sqref="K2:K809" showDropDown="0" showInputMessage="0" showErrorMessage="1" allowBlank="1" errorTitle="Fecha inválida" error="Escriba la fecha en DÍA/MES/AÑO, ej. 05/04/2026 = 5 de abril." type="date" operator="between">
      <formula1>46023</formula1>
      <formula2>48213</formula2>
    </dataValidation>
    <dataValidation sqref="T2:T809" showDropDown="0" showInputMessage="0" showErrorMessage="1" allowBlank="1" errorTitle="Fecha inválida" error="Escriba la fecha en DÍA/MES/AÑO, ej. 05/04/2026 = 5 de abril." type="date" operator="between">
      <formula1>46023</formula1>
      <formula2>48213</formula2>
    </dataValidation>
    <dataValidation sqref="M2:M809" showDropDown="0" showInputMessage="0" showErrorMessage="1" allowBlank="1" errorTitle="Dato obligatorio" error="Si el estado es Reprogramada debe registrar la nueva fecha programada." type="custom">
      <formula1>=SI($L2="Reprogramada";$M2&lt;&gt;"";VERDADERO)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  <col width="13" customWidth="1" min="14" max="14"/>
    <col width="13" customWidth="1" min="15" max="15"/>
    <col width="13" customWidth="1" min="16" max="16"/>
    <col width="12" customWidth="1" min="17" max="17"/>
    <col width="12" customWidth="1" min="18" max="18"/>
  </cols>
  <sheetData>
    <row r="1" ht="34" customHeight="1">
      <c r="A1" s="17" t="inlineStr">
        <is>
          <t>TABLERO DE CONTROL · MANTENIMIENTOS PREVENTIVOS</t>
        </is>
      </c>
      <c r="M1" s="2" t="inlineStr">
        <is>
          <t>PARÁMETROS</t>
        </is>
      </c>
    </row>
    <row r="2">
      <c r="A2" s="18" t="inlineStr">
        <is>
          <t>Avance diario de mantenimientos preventivos y auditoría de calidad — Fuente: Bitacora_Diaria</t>
        </is>
      </c>
      <c r="K2" s="19" t="inlineStr">
        <is>
          <t>Actualizado:</t>
        </is>
      </c>
      <c r="L2" s="20">
        <f>HOY()</f>
        <v/>
      </c>
      <c r="M2" s="10" t="inlineStr">
        <is>
          <t>Mes (número)</t>
        </is>
      </c>
      <c r="N2" s="3" t="n">
        <v>9</v>
      </c>
    </row>
    <row r="3">
      <c r="M3" s="10" t="inlineStr">
        <is>
          <t>Año</t>
        </is>
      </c>
      <c r="N3" s="3" t="n">
        <v>2026</v>
      </c>
    </row>
    <row r="4">
      <c r="A4" s="21" t="inlineStr">
        <is>
          <t>INDICADORES GENERALES</t>
        </is>
      </c>
      <c r="M4" s="10" t="inlineStr">
        <is>
          <t>Meta % Cumplimiento</t>
        </is>
      </c>
      <c r="N4" s="22" t="n">
        <v>0.95</v>
      </c>
    </row>
    <row r="5">
      <c r="A5" s="23" t="inlineStr">
        <is>
          <t>TOTAL MANTENIMIENTOS</t>
        </is>
      </c>
      <c r="B5" s="24" t="n"/>
      <c r="C5" s="24" t="n"/>
      <c r="D5" s="23" t="inlineStr">
        <is>
          <t>EJECUTADAS</t>
        </is>
      </c>
      <c r="E5" s="24" t="n"/>
      <c r="F5" s="24" t="n"/>
      <c r="G5" s="23" t="inlineStr">
        <is>
          <t>PENDIENTES</t>
        </is>
      </c>
      <c r="H5" s="24" t="n"/>
      <c r="I5" s="24" t="n"/>
      <c r="J5" s="23" t="inlineStr">
        <is>
          <t>AVANCE DEL PLAN</t>
        </is>
      </c>
      <c r="K5" s="24" t="n"/>
      <c r="L5" s="24" t="n"/>
      <c r="M5" s="10" t="inlineStr">
        <is>
          <t>Meta % Desviación</t>
        </is>
      </c>
      <c r="N5" s="22" t="n">
        <v>0.05</v>
      </c>
    </row>
    <row r="6">
      <c r="A6" s="25">
        <f>CONTARA(Bitacora_Diaria!A2:A100000)</f>
        <v/>
      </c>
      <c r="B6" s="24" t="n"/>
      <c r="C6" s="24" t="n"/>
      <c r="D6" s="25">
        <f>CONTAR.SI(Bitacora_Diaria!L2:L100000;"Finalizada")+CONTAR.SI(Bitacora_Diaria!L2:L100000;"Sede_Cerrada")</f>
        <v/>
      </c>
      <c r="E6" s="24" t="n"/>
      <c r="F6" s="24" t="n"/>
      <c r="G6" s="25">
        <f>CONTAR.SI(Bitacora_Diaria!L2:L100000;"Programada")+CONTAR.SI(Bitacora_Diaria!L2:L100000;"En Proceso")+CONTAR.SI(Bitacora_Diaria!L2:L100000;"Reprogramada")</f>
        <v/>
      </c>
      <c r="H6" s="24" t="n"/>
      <c r="I6" s="24" t="n"/>
      <c r="J6" s="26">
        <f>SI(A6=0;0;D6/A6)</f>
        <v/>
      </c>
      <c r="K6" s="24" t="n"/>
      <c r="L6" s="24" t="n"/>
      <c r="M6" s="10" t="inlineStr">
        <is>
          <t>Fecha de corte</t>
        </is>
      </c>
      <c r="N6" s="27">
        <f>HOY()</f>
        <v/>
      </c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8" t="inlineStr">
        <is>
          <t>Registros de la bitácora</t>
        </is>
      </c>
      <c r="B8" s="24" t="n"/>
      <c r="C8" s="24" t="n"/>
      <c r="D8" s="24" t="n"/>
      <c r="E8" s="24" t="n"/>
      <c r="F8" s="28" t="inlineStr">
        <is>
          <t>Finalizada + Sede_Cerrada</t>
        </is>
      </c>
      <c r="G8" s="24" t="n"/>
      <c r="H8" s="24" t="n"/>
      <c r="I8" s="28" t="inlineStr">
        <is>
          <t>Programada + En Proceso + Reprogramada</t>
        </is>
      </c>
      <c r="J8" s="24" t="n"/>
      <c r="K8" s="24" t="n"/>
      <c r="L8" s="28" t="inlineStr">
        <is>
          <t>Ejecutadas / Total</t>
        </is>
      </c>
    </row>
    <row r="10">
      <c r="A10" s="21" t="inlineStr">
        <is>
          <t>CUMPLIMIENTO Y DESVIACIÓN</t>
        </is>
      </c>
    </row>
    <row r="11">
      <c r="A11" s="23" t="inlineStr">
        <is>
          <t>TASA DE CUMPLIMIENTO</t>
        </is>
      </c>
      <c r="B11" s="24" t="n"/>
      <c r="C11" s="24" t="n"/>
      <c r="D11" s="23" t="inlineStr">
        <is>
          <t>DESVIACIÓN DEL CRONOGRAMA</t>
        </is>
      </c>
      <c r="E11" s="24" t="n"/>
      <c r="F11" s="24" t="n"/>
      <c r="G11" s="23" t="inlineStr">
        <is>
          <t>DESVIACIÓN PROMEDIO</t>
        </is>
      </c>
      <c r="H11" s="24" t="n"/>
      <c r="I11" s="24" t="n"/>
      <c r="J11" s="23" t="inlineStr">
        <is>
          <t>POR COMPLETAR</t>
        </is>
      </c>
      <c r="K11" s="24" t="n"/>
      <c r="L11" s="24" t="n"/>
      <c r="M11" s="2" t="inlineStr">
        <is>
          <t>CÁLCULOS (no editar)</t>
        </is>
      </c>
    </row>
    <row r="12">
      <c r="A12" s="26">
        <f>SI(N12=0;0;N13/N12)</f>
        <v/>
      </c>
      <c r="B12" s="24" t="n"/>
      <c r="C12" s="24" t="n"/>
      <c r="D12" s="26">
        <f>SI(N12=0;0;N14/N12)</f>
        <v/>
      </c>
      <c r="E12" s="24" t="n"/>
      <c r="F12" s="24" t="n"/>
      <c r="G12" s="29">
        <f>SI.ERROR(PROMEDIO.SI.CONJUNTO(Bitacora_Diaria!Q2:Q100000;Bitacora_Diaria!P2:P100000;"NO");0)</f>
        <v/>
      </c>
      <c r="H12" s="24" t="n"/>
      <c r="I12" s="24" t="n"/>
      <c r="J12" s="25">
        <f>D6-N15</f>
        <v/>
      </c>
      <c r="K12" s="24" t="n"/>
      <c r="L12" s="24" t="n"/>
      <c r="M12" s="18" t="inlineStr">
        <is>
          <t>Evaluables (SÍ + NO + Reprogramadas)</t>
        </is>
      </c>
      <c r="N12" s="30">
        <f>CONTAR.SI(Bitacora_Diaria!P2:P100000;"SÍ")+CONTAR.SI(Bitacora_Diaria!P2:P100000;"NO")+CONTAR.SI(Bitacora_Diaria!L2:L100000;"Reprogramada")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18" t="inlineStr">
        <is>
          <t>Cumplen (SÍ)</t>
        </is>
      </c>
      <c r="N13" s="30">
        <f>CONTAR.SI(Bitacora_Diaria!P2:P100000;"SÍ")</f>
        <v/>
      </c>
    </row>
    <row r="14">
      <c r="A14" s="28" t="inlineStr">
        <is>
          <t>SÍ / Evaluables</t>
        </is>
      </c>
      <c r="B14" s="24" t="n"/>
      <c r="C14" s="24" t="n"/>
      <c r="D14" s="24" t="n"/>
      <c r="E14" s="24" t="n"/>
      <c r="F14" s="28" t="inlineStr">
        <is>
          <t>(NO + Reprogramadas) / Evaluables</t>
        </is>
      </c>
      <c r="G14" s="24" t="n"/>
      <c r="H14" s="24" t="n"/>
      <c r="I14" s="28" t="inlineStr">
        <is>
          <t>Días promedio de retraso</t>
        </is>
      </c>
      <c r="J14" s="24" t="n"/>
      <c r="K14" s="24" t="n"/>
      <c r="L14" s="28" t="inlineStr">
        <is>
          <t>Ejecutadas sin fecha de cierre</t>
        </is>
      </c>
      <c r="M14" s="18" t="inlineStr">
        <is>
          <t>Desvían (NO + Reprogramadas)</t>
        </is>
      </c>
      <c r="N14" s="30">
        <f>CONTAR.SI(Bitacora_Diaria!P2:P100000;"NO")+CONTAR.SI(Bitacora_Diaria!L2:L100000;"Reprogramada")</f>
        <v/>
      </c>
    </row>
    <row r="15">
      <c r="M15" s="18" t="inlineStr">
        <is>
          <t>Ejecutadas con fecha de cierre</t>
        </is>
      </c>
      <c r="N15" s="30">
        <f>CONTAR.SI.CONJUNTO(Bitacora_Diaria!L2:L100000;"Finalizada";Bitacora_Diaria!K2:K100000;"&lt;&gt;")+CONTAR.SI.CONJUNTO(Bitacora_Diaria!L2:L100000;"Sede_Cerrada";Bitacora_Diaria!K2:K100000;"&lt;&gt;")</f>
        <v/>
      </c>
    </row>
    <row r="16">
      <c r="A16" s="21" t="inlineStr">
        <is>
          <t>IMPACTO DIARIO (MES EN PARÁMETROS)</t>
        </is>
      </c>
      <c r="M16" s="18" t="inlineStr">
        <is>
          <t>Acumulado del mes</t>
        </is>
      </c>
      <c r="N16" s="30">
        <f>CONTAR.SI.CONJUNTO(Bitacora_Diaria!K2:K100000;"&gt;="&amp;FECHA(N3;N2;1);Bitacora_Diaria!K2:K100000;"&lt;="&amp;FECHA(N3;N2+1;0))</f>
        <v/>
      </c>
    </row>
    <row r="17">
      <c r="A17" s="23" t="inlineStr">
        <is>
          <t>EJECUTADAS HOY</t>
        </is>
      </c>
      <c r="B17" s="24" t="n"/>
      <c r="C17" s="24" t="n"/>
      <c r="D17" s="23" t="inlineStr">
        <is>
          <t>PROMEDIO DIARIO</t>
        </is>
      </c>
      <c r="E17" s="24" t="n"/>
      <c r="F17" s="24" t="n"/>
      <c r="G17" s="23" t="inlineStr">
        <is>
          <t>MÁXIMO EN EL DÍA</t>
        </is>
      </c>
      <c r="H17" s="24" t="n"/>
      <c r="I17" s="24" t="n"/>
      <c r="J17" s="23" t="inlineStr">
        <is>
          <t>ACUMULADO DEL MES</t>
        </is>
      </c>
      <c r="K17" s="24" t="n"/>
      <c r="L17" s="24" t="n"/>
      <c r="M17" s="18" t="inlineStr">
        <is>
          <t>Días transcurridos del mes</t>
        </is>
      </c>
      <c r="N17" s="30">
        <f>MAX(1;MIN(HOY();FECHA(N3;N2+1;0))-FECHA(N3;N2;1)+1)</f>
        <v/>
      </c>
    </row>
    <row r="18">
      <c r="A18" s="25">
        <f>CONTAR.SI.CONJUNTO(Bitacora_Diaria!K2:K100000;"&gt;="&amp;HOY();Bitacora_Diaria!K2:K100000;"&lt;"&amp;HOY()+1)</f>
        <v/>
      </c>
      <c r="B18" s="24" t="n"/>
      <c r="C18" s="24" t="n"/>
      <c r="D18" s="29">
        <f>N19</f>
        <v/>
      </c>
      <c r="E18" s="24" t="n"/>
      <c r="F18" s="24" t="n"/>
      <c r="G18" s="25">
        <f>N18</f>
        <v/>
      </c>
      <c r="H18" s="24" t="n"/>
      <c r="I18" s="24" t="n"/>
      <c r="J18" s="25">
        <f>N16</f>
        <v/>
      </c>
      <c r="K18" s="24" t="n"/>
      <c r="L18" s="24" t="n"/>
      <c r="M18" s="18" t="inlineStr">
        <is>
          <t>Máximo en el día</t>
        </is>
      </c>
      <c r="N18" s="30">
        <f>MAX(N23:N54)</f>
        <v/>
      </c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18" t="inlineStr">
        <is>
          <t>Promedio diario</t>
        </is>
      </c>
      <c r="N19" s="31">
        <f>SI(N16=0;0;N16/N17)</f>
        <v/>
      </c>
    </row>
    <row r="20">
      <c r="A20" s="28" t="inlineStr">
        <is>
          <t>Cierres operativos de hoy</t>
        </is>
      </c>
      <c r="B20" s="24" t="n"/>
      <c r="C20" s="24" t="n"/>
      <c r="D20" s="24" t="n"/>
      <c r="E20" s="24" t="n"/>
      <c r="F20" s="28" t="inlineStr">
        <is>
          <t>Acumulado / días transcurridos</t>
        </is>
      </c>
      <c r="G20" s="24" t="n"/>
      <c r="H20" s="24" t="n"/>
      <c r="I20" s="28" t="inlineStr">
        <is>
          <t>Mayor cantidad en un día</t>
        </is>
      </c>
      <c r="J20" s="24" t="n"/>
      <c r="K20" s="24" t="n"/>
      <c r="L20" s="28" t="inlineStr">
        <is>
          <t>Cierres del mes seleccionado</t>
        </is>
      </c>
    </row>
    <row r="22">
      <c r="A22" s="21" t="inlineStr">
        <is>
          <t>AVANCE DIARIO — PLAN VS EJECUTADO</t>
        </is>
      </c>
      <c r="M22" s="32" t="inlineStr">
        <is>
          <t>Fecha</t>
        </is>
      </c>
      <c r="N22" s="32" t="inlineStr">
        <is>
          <t>Ejecutadas</t>
        </is>
      </c>
      <c r="O22" s="32" t="inlineStr">
        <is>
          <t>Programadas</t>
        </is>
      </c>
      <c r="P22" s="32" t="inlineStr">
        <is>
          <t>Acumulado</t>
        </is>
      </c>
    </row>
    <row r="23">
      <c r="M23" s="33">
        <f>FECHA(N3;N2;1)</f>
        <v/>
      </c>
      <c r="N23" s="34">
        <f>SI(M23="";"";CONTAR.SI.CONJUNTO(Bitacora_Diaria!K2:K100000;"&gt;="&amp;M23;Bitacora_Diaria!K2:K100000;"&lt;"&amp;M23+1))</f>
        <v/>
      </c>
      <c r="O23" s="34">
        <f>SI(M23="";"";CONTAR.SI.CONJUNTO(Bitacora_Diaria!H2:H100000;"&gt;="&amp;M23;Bitacora_Diaria!H2:H100000;"&lt;"&amp;M23+1))</f>
        <v/>
      </c>
      <c r="P23" s="34">
        <f>SI(M23="";"";CONTAR.SI.CONJUNTO(Bitacora_Diaria!K2:K100000;"&gt;="&amp;FECHA(N3;N2;1);Bitacora_Diaria!K2:K100000;"&lt;="&amp;M23))</f>
        <v/>
      </c>
    </row>
    <row r="24">
      <c r="M24" s="33">
        <f>SI(M23="";"";SI(M23&gt;=FECHA(N3;N2+1;0);"";M23+1))</f>
        <v/>
      </c>
      <c r="N24" s="34">
        <f>SI(M24="";"";CONTAR.SI.CONJUNTO(Bitacora_Diaria!K2:K100000;"&gt;="&amp;M24;Bitacora_Diaria!K2:K100000;"&lt;"&amp;M24+1))</f>
        <v/>
      </c>
      <c r="O24" s="34">
        <f>SI(M24="";"";CONTAR.SI.CONJUNTO(Bitacora_Diaria!H2:H100000;"&gt;="&amp;M24;Bitacora_Diaria!H2:H100000;"&lt;"&amp;M24+1))</f>
        <v/>
      </c>
      <c r="P24" s="34">
        <f>SI(M24="";"";CONTAR.SI.CONJUNTO(Bitacora_Diaria!K2:K100000;"&gt;="&amp;FECHA(N3;N2;1);Bitacora_Diaria!K2:K100000;"&lt;="&amp;M24))</f>
        <v/>
      </c>
    </row>
    <row r="25">
      <c r="M25" s="33">
        <f>SI(M24="";"";SI(M24&gt;=FECHA(N3;N2+1;0);"";M24+1))</f>
        <v/>
      </c>
      <c r="N25" s="34">
        <f>SI(M25="";"";CONTAR.SI.CONJUNTO(Bitacora_Diaria!K2:K100000;"&gt;="&amp;M25;Bitacora_Diaria!K2:K100000;"&lt;"&amp;M25+1))</f>
        <v/>
      </c>
      <c r="O25" s="34">
        <f>SI(M25="";"";CONTAR.SI.CONJUNTO(Bitacora_Diaria!H2:H100000;"&gt;="&amp;M25;Bitacora_Diaria!H2:H100000;"&lt;"&amp;M25+1))</f>
        <v/>
      </c>
      <c r="P25" s="34">
        <f>SI(M25="";"";CONTAR.SI.CONJUNTO(Bitacora_Diaria!K2:K100000;"&gt;="&amp;FECHA(N3;N2;1);Bitacora_Diaria!K2:K100000;"&lt;="&amp;M25))</f>
        <v/>
      </c>
    </row>
    <row r="26">
      <c r="M26" s="33">
        <f>SI(M25="";"";SI(M25&gt;=FECHA(N3;N2+1;0);"";M25+1))</f>
        <v/>
      </c>
      <c r="N26" s="34">
        <f>SI(M26="";"";CONTAR.SI.CONJUNTO(Bitacora_Diaria!K2:K100000;"&gt;="&amp;M26;Bitacora_Diaria!K2:K100000;"&lt;"&amp;M26+1))</f>
        <v/>
      </c>
      <c r="O26" s="34">
        <f>SI(M26="";"";CONTAR.SI.CONJUNTO(Bitacora_Diaria!H2:H100000;"&gt;="&amp;M26;Bitacora_Diaria!H2:H100000;"&lt;"&amp;M26+1))</f>
        <v/>
      </c>
      <c r="P26" s="34">
        <f>SI(M26="";"";CONTAR.SI.CONJUNTO(Bitacora_Diaria!K2:K100000;"&gt;="&amp;FECHA(N3;N2;1);Bitacora_Diaria!K2:K100000;"&lt;="&amp;M26))</f>
        <v/>
      </c>
    </row>
    <row r="27">
      <c r="M27" s="33">
        <f>SI(M26="";"";SI(M26&gt;=FECHA(N3;N2+1;0);"";M26+1))</f>
        <v/>
      </c>
      <c r="N27" s="34">
        <f>SI(M27="";"";CONTAR.SI.CONJUNTO(Bitacora_Diaria!K2:K100000;"&gt;="&amp;M27;Bitacora_Diaria!K2:K100000;"&lt;"&amp;M27+1))</f>
        <v/>
      </c>
      <c r="O27" s="34">
        <f>SI(M27="";"";CONTAR.SI.CONJUNTO(Bitacora_Diaria!H2:H100000;"&gt;="&amp;M27;Bitacora_Diaria!H2:H100000;"&lt;"&amp;M27+1))</f>
        <v/>
      </c>
      <c r="P27" s="34">
        <f>SI(M27="";"";CONTAR.SI.CONJUNTO(Bitacora_Diaria!K2:K100000;"&gt;="&amp;FECHA(N3;N2;1);Bitacora_Diaria!K2:K100000;"&lt;="&amp;M27))</f>
        <v/>
      </c>
    </row>
    <row r="28">
      <c r="M28" s="33">
        <f>SI(M27="";"";SI(M27&gt;=FECHA(N3;N2+1;0);"";M27+1))</f>
        <v/>
      </c>
      <c r="N28" s="34">
        <f>SI(M28="";"";CONTAR.SI.CONJUNTO(Bitacora_Diaria!K2:K100000;"&gt;="&amp;M28;Bitacora_Diaria!K2:K100000;"&lt;"&amp;M28+1))</f>
        <v/>
      </c>
      <c r="O28" s="34">
        <f>SI(M28="";"";CONTAR.SI.CONJUNTO(Bitacora_Diaria!H2:H100000;"&gt;="&amp;M28;Bitacora_Diaria!H2:H100000;"&lt;"&amp;M28+1))</f>
        <v/>
      </c>
      <c r="P28" s="34">
        <f>SI(M28="";"";CONTAR.SI.CONJUNTO(Bitacora_Diaria!K2:K100000;"&gt;="&amp;FECHA(N3;N2;1);Bitacora_Diaria!K2:K100000;"&lt;="&amp;M28))</f>
        <v/>
      </c>
    </row>
    <row r="29">
      <c r="M29" s="33">
        <f>SI(M28="";"";SI(M28&gt;=FECHA(N3;N2+1;0);"";M28+1))</f>
        <v/>
      </c>
      <c r="N29" s="34">
        <f>SI(M29="";"";CONTAR.SI.CONJUNTO(Bitacora_Diaria!K2:K100000;"&gt;="&amp;M29;Bitacora_Diaria!K2:K100000;"&lt;"&amp;M29+1))</f>
        <v/>
      </c>
      <c r="O29" s="34">
        <f>SI(M29="";"";CONTAR.SI.CONJUNTO(Bitacora_Diaria!H2:H100000;"&gt;="&amp;M29;Bitacora_Diaria!H2:H100000;"&lt;"&amp;M29+1))</f>
        <v/>
      </c>
      <c r="P29" s="34">
        <f>SI(M29="";"";CONTAR.SI.CONJUNTO(Bitacora_Diaria!K2:K100000;"&gt;="&amp;FECHA(N3;N2;1);Bitacora_Diaria!K2:K100000;"&lt;="&amp;M29))</f>
        <v/>
      </c>
    </row>
    <row r="30">
      <c r="M30" s="33">
        <f>SI(M29="";"";SI(M29&gt;=FECHA(N3;N2+1;0);"";M29+1))</f>
        <v/>
      </c>
      <c r="N30" s="34">
        <f>SI(M30="";"";CONTAR.SI.CONJUNTO(Bitacora_Diaria!K2:K100000;"&gt;="&amp;M30;Bitacora_Diaria!K2:K100000;"&lt;"&amp;M30+1))</f>
        <v/>
      </c>
      <c r="O30" s="34">
        <f>SI(M30="";"";CONTAR.SI.CONJUNTO(Bitacora_Diaria!H2:H100000;"&gt;="&amp;M30;Bitacora_Diaria!H2:H100000;"&lt;"&amp;M30+1))</f>
        <v/>
      </c>
      <c r="P30" s="34">
        <f>SI(M30="";"";CONTAR.SI.CONJUNTO(Bitacora_Diaria!K2:K100000;"&gt;="&amp;FECHA(N3;N2;1);Bitacora_Diaria!K2:K100000;"&lt;="&amp;M30))</f>
        <v/>
      </c>
    </row>
    <row r="31">
      <c r="M31" s="33">
        <f>SI(M30="";"";SI(M30&gt;=FECHA(N3;N2+1;0);"";M30+1))</f>
        <v/>
      </c>
      <c r="N31" s="34">
        <f>SI(M31="";"";CONTAR.SI.CONJUNTO(Bitacora_Diaria!K2:K100000;"&gt;="&amp;M31;Bitacora_Diaria!K2:K100000;"&lt;"&amp;M31+1))</f>
        <v/>
      </c>
      <c r="O31" s="34">
        <f>SI(M31="";"";CONTAR.SI.CONJUNTO(Bitacora_Diaria!H2:H100000;"&gt;="&amp;M31;Bitacora_Diaria!H2:H100000;"&lt;"&amp;M31+1))</f>
        <v/>
      </c>
      <c r="P31" s="34">
        <f>SI(M31="";"";CONTAR.SI.CONJUNTO(Bitacora_Diaria!K2:K100000;"&gt;="&amp;FECHA(N3;N2;1);Bitacora_Diaria!K2:K100000;"&lt;="&amp;M31))</f>
        <v/>
      </c>
    </row>
    <row r="32">
      <c r="M32" s="33">
        <f>SI(M31="";"";SI(M31&gt;=FECHA(N3;N2+1;0);"";M31+1))</f>
        <v/>
      </c>
      <c r="N32" s="34">
        <f>SI(M32="";"";CONTAR.SI.CONJUNTO(Bitacora_Diaria!K2:K100000;"&gt;="&amp;M32;Bitacora_Diaria!K2:K100000;"&lt;"&amp;M32+1))</f>
        <v/>
      </c>
      <c r="O32" s="34">
        <f>SI(M32="";"";CONTAR.SI.CONJUNTO(Bitacora_Diaria!H2:H100000;"&gt;="&amp;M32;Bitacora_Diaria!H2:H100000;"&lt;"&amp;M32+1))</f>
        <v/>
      </c>
      <c r="P32" s="34">
        <f>SI(M32="";"";CONTAR.SI.CONJUNTO(Bitacora_Diaria!K2:K100000;"&gt;="&amp;FECHA(N3;N2;1);Bitacora_Diaria!K2:K100000;"&lt;="&amp;M32))</f>
        <v/>
      </c>
    </row>
    <row r="33">
      <c r="M33" s="33">
        <f>SI(M32="";"";SI(M32&gt;=FECHA(N3;N2+1;0);"";M32+1))</f>
        <v/>
      </c>
      <c r="N33" s="34">
        <f>SI(M33="";"";CONTAR.SI.CONJUNTO(Bitacora_Diaria!K2:K100000;"&gt;="&amp;M33;Bitacora_Diaria!K2:K100000;"&lt;"&amp;M33+1))</f>
        <v/>
      </c>
      <c r="O33" s="34">
        <f>SI(M33="";"";CONTAR.SI.CONJUNTO(Bitacora_Diaria!H2:H100000;"&gt;="&amp;M33;Bitacora_Diaria!H2:H100000;"&lt;"&amp;M33+1))</f>
        <v/>
      </c>
      <c r="P33" s="34">
        <f>SI(M33="";"";CONTAR.SI.CONJUNTO(Bitacora_Diaria!K2:K100000;"&gt;="&amp;FECHA(N3;N2;1);Bitacora_Diaria!K2:K100000;"&lt;="&amp;M33))</f>
        <v/>
      </c>
    </row>
    <row r="34">
      <c r="M34" s="33">
        <f>SI(M33="";"";SI(M33&gt;=FECHA(N3;N2+1;0);"";M33+1))</f>
        <v/>
      </c>
      <c r="N34" s="34">
        <f>SI(M34="";"";CONTAR.SI.CONJUNTO(Bitacora_Diaria!K2:K100000;"&gt;="&amp;M34;Bitacora_Diaria!K2:K100000;"&lt;"&amp;M34+1))</f>
        <v/>
      </c>
      <c r="O34" s="34">
        <f>SI(M34="";"";CONTAR.SI.CONJUNTO(Bitacora_Diaria!H2:H100000;"&gt;="&amp;M34;Bitacora_Diaria!H2:H100000;"&lt;"&amp;M34+1))</f>
        <v/>
      </c>
      <c r="P34" s="34">
        <f>SI(M34="";"";CONTAR.SI.CONJUNTO(Bitacora_Diaria!K2:K100000;"&gt;="&amp;FECHA(N3;N2;1);Bitacora_Diaria!K2:K100000;"&lt;="&amp;M34))</f>
        <v/>
      </c>
    </row>
    <row r="35">
      <c r="M35" s="33">
        <f>SI(M34="";"";SI(M34&gt;=FECHA(N3;N2+1;0);"";M34+1))</f>
        <v/>
      </c>
      <c r="N35" s="34">
        <f>SI(M35="";"";CONTAR.SI.CONJUNTO(Bitacora_Diaria!K2:K100000;"&gt;="&amp;M35;Bitacora_Diaria!K2:K100000;"&lt;"&amp;M35+1))</f>
        <v/>
      </c>
      <c r="O35" s="34">
        <f>SI(M35="";"";CONTAR.SI.CONJUNTO(Bitacora_Diaria!H2:H100000;"&gt;="&amp;M35;Bitacora_Diaria!H2:H100000;"&lt;"&amp;M35+1))</f>
        <v/>
      </c>
      <c r="P35" s="34">
        <f>SI(M35="";"";CONTAR.SI.CONJUNTO(Bitacora_Diaria!K2:K100000;"&gt;="&amp;FECHA(N3;N2;1);Bitacora_Diaria!K2:K100000;"&lt;="&amp;M35))</f>
        <v/>
      </c>
    </row>
    <row r="36">
      <c r="M36" s="33">
        <f>SI(M35="";"";SI(M35&gt;=FECHA(N3;N2+1;0);"";M35+1))</f>
        <v/>
      </c>
      <c r="N36" s="34">
        <f>SI(M36="";"";CONTAR.SI.CONJUNTO(Bitacora_Diaria!K2:K100000;"&gt;="&amp;M36;Bitacora_Diaria!K2:K100000;"&lt;"&amp;M36+1))</f>
        <v/>
      </c>
      <c r="O36" s="34">
        <f>SI(M36="";"";CONTAR.SI.CONJUNTO(Bitacora_Diaria!H2:H100000;"&gt;="&amp;M36;Bitacora_Diaria!H2:H100000;"&lt;"&amp;M36+1))</f>
        <v/>
      </c>
      <c r="P36" s="34">
        <f>SI(M36="";"";CONTAR.SI.CONJUNTO(Bitacora_Diaria!K2:K100000;"&gt;="&amp;FECHA(N3;N2;1);Bitacora_Diaria!K2:K100000;"&lt;="&amp;M36))</f>
        <v/>
      </c>
    </row>
    <row r="37">
      <c r="M37" s="33">
        <f>SI(M36="";"";SI(M36&gt;=FECHA(N3;N2+1;0);"";M36+1))</f>
        <v/>
      </c>
      <c r="N37" s="34">
        <f>SI(M37="";"";CONTAR.SI.CONJUNTO(Bitacora_Diaria!K2:K100000;"&gt;="&amp;M37;Bitacora_Diaria!K2:K100000;"&lt;"&amp;M37+1))</f>
        <v/>
      </c>
      <c r="O37" s="34">
        <f>SI(M37="";"";CONTAR.SI.CONJUNTO(Bitacora_Diaria!H2:H100000;"&gt;="&amp;M37;Bitacora_Diaria!H2:H100000;"&lt;"&amp;M37+1))</f>
        <v/>
      </c>
      <c r="P37" s="34">
        <f>SI(M37="";"";CONTAR.SI.CONJUNTO(Bitacora_Diaria!K2:K100000;"&gt;="&amp;FECHA(N3;N2;1);Bitacora_Diaria!K2:K100000;"&lt;="&amp;M37))</f>
        <v/>
      </c>
    </row>
    <row r="38">
      <c r="M38" s="33">
        <f>SI(M37="";"";SI(M37&gt;=FECHA(N3;N2+1;0);"";M37+1))</f>
        <v/>
      </c>
      <c r="N38" s="34">
        <f>SI(M38="";"";CONTAR.SI.CONJUNTO(Bitacora_Diaria!K2:K100000;"&gt;="&amp;M38;Bitacora_Diaria!K2:K100000;"&lt;"&amp;M38+1))</f>
        <v/>
      </c>
      <c r="O38" s="34">
        <f>SI(M38="";"";CONTAR.SI.CONJUNTO(Bitacora_Diaria!H2:H100000;"&gt;="&amp;M38;Bitacora_Diaria!H2:H100000;"&lt;"&amp;M38+1))</f>
        <v/>
      </c>
      <c r="P38" s="34">
        <f>SI(M38="";"";CONTAR.SI.CONJUNTO(Bitacora_Diaria!K2:K100000;"&gt;="&amp;FECHA(N3;N2;1);Bitacora_Diaria!K2:K100000;"&lt;="&amp;M38))</f>
        <v/>
      </c>
    </row>
    <row r="39">
      <c r="M39" s="33">
        <f>SI(M38="";"";SI(M38&gt;=FECHA(N3;N2+1;0);"";M38+1))</f>
        <v/>
      </c>
      <c r="N39" s="34">
        <f>SI(M39="";"";CONTAR.SI.CONJUNTO(Bitacora_Diaria!K2:K100000;"&gt;="&amp;M39;Bitacora_Diaria!K2:K100000;"&lt;"&amp;M39+1))</f>
        <v/>
      </c>
      <c r="O39" s="34">
        <f>SI(M39="";"";CONTAR.SI.CONJUNTO(Bitacora_Diaria!H2:H100000;"&gt;="&amp;M39;Bitacora_Diaria!H2:H100000;"&lt;"&amp;M39+1))</f>
        <v/>
      </c>
      <c r="P39" s="34">
        <f>SI(M39="";"";CONTAR.SI.CONJUNTO(Bitacora_Diaria!K2:K100000;"&gt;="&amp;FECHA(N3;N2;1);Bitacora_Diaria!K2:K100000;"&lt;="&amp;M39))</f>
        <v/>
      </c>
    </row>
    <row r="40">
      <c r="M40" s="33">
        <f>SI(M39="";"";SI(M39&gt;=FECHA(N3;N2+1;0);"";M39+1))</f>
        <v/>
      </c>
      <c r="N40" s="34">
        <f>SI(M40="";"";CONTAR.SI.CONJUNTO(Bitacora_Diaria!K2:K100000;"&gt;="&amp;M40;Bitacora_Diaria!K2:K100000;"&lt;"&amp;M40+1))</f>
        <v/>
      </c>
      <c r="O40" s="34">
        <f>SI(M40="";"";CONTAR.SI.CONJUNTO(Bitacora_Diaria!H2:H100000;"&gt;="&amp;M40;Bitacora_Diaria!H2:H100000;"&lt;"&amp;M40+1))</f>
        <v/>
      </c>
      <c r="P40" s="34">
        <f>SI(M40="";"";CONTAR.SI.CONJUNTO(Bitacora_Diaria!K2:K100000;"&gt;="&amp;FECHA(N3;N2;1);Bitacora_Diaria!K2:K100000;"&lt;="&amp;M40))</f>
        <v/>
      </c>
    </row>
    <row r="41">
      <c r="A41" s="21" t="inlineStr">
        <is>
          <t>MANTENIMIENTOS POR REGIÓN</t>
        </is>
      </c>
      <c r="M41" s="33">
        <f>SI(M40="";"";SI(M40&gt;=FECHA(N3;N2+1;0);"";M40+1))</f>
        <v/>
      </c>
      <c r="N41" s="34">
        <f>SI(M41="";"";CONTAR.SI.CONJUNTO(Bitacora_Diaria!K2:K100000;"&gt;="&amp;M41;Bitacora_Diaria!K2:K100000;"&lt;"&amp;M41+1))</f>
        <v/>
      </c>
      <c r="O41" s="34">
        <f>SI(M41="";"";CONTAR.SI.CONJUNTO(Bitacora_Diaria!H2:H100000;"&gt;="&amp;M41;Bitacora_Diaria!H2:H100000;"&lt;"&amp;M41+1))</f>
        <v/>
      </c>
      <c r="P41" s="34">
        <f>SI(M41="";"";CONTAR.SI.CONJUNTO(Bitacora_Diaria!K2:K100000;"&gt;="&amp;FECHA(N3;N2;1);Bitacora_Diaria!K2:K100000;"&lt;="&amp;M41))</f>
        <v/>
      </c>
    </row>
    <row r="42">
      <c r="A42" s="4" t="inlineStr">
        <is>
          <t>Región</t>
        </is>
      </c>
      <c r="B42" s="4" t="inlineStr">
        <is>
          <t>Total</t>
        </is>
      </c>
      <c r="C42" s="4" t="inlineStr">
        <is>
          <t>Ejecutadas</t>
        </is>
      </c>
      <c r="D42" s="4" t="inlineStr">
        <is>
          <t>% Cumplimiento</t>
        </is>
      </c>
      <c r="E42" s="4" t="inlineStr">
        <is>
          <t>% Desviación</t>
        </is>
      </c>
      <c r="F42" s="4" t="inlineStr">
        <is>
          <t>Desv. prom. (días)</t>
        </is>
      </c>
      <c r="G42" s="4" t="inlineStr">
        <is>
          <t>Evaluables</t>
        </is>
      </c>
      <c r="H42" s="4" t="inlineStr">
        <is>
          <t>Cumplen</t>
        </is>
      </c>
      <c r="I42" s="4" t="inlineStr">
        <is>
          <t>Desvían</t>
        </is>
      </c>
      <c r="M42" s="33">
        <f>SI(M41="";"";SI(M41&gt;=FECHA(N3;N2+1;0);"";M41+1))</f>
        <v/>
      </c>
      <c r="N42" s="34">
        <f>SI(M42="";"";CONTAR.SI.CONJUNTO(Bitacora_Diaria!K2:K100000;"&gt;="&amp;M42;Bitacora_Diaria!K2:K100000;"&lt;"&amp;M42+1))</f>
        <v/>
      </c>
      <c r="O42" s="34">
        <f>SI(M42="";"";CONTAR.SI.CONJUNTO(Bitacora_Diaria!H2:H100000;"&gt;="&amp;M42;Bitacora_Diaria!H2:H100000;"&lt;"&amp;M42+1))</f>
        <v/>
      </c>
      <c r="P42" s="34">
        <f>SI(M42="";"";CONTAR.SI.CONJUNTO(Bitacora_Diaria!K2:K100000;"&gt;="&amp;FECHA(N3;N2;1);Bitacora_Diaria!K2:K100000;"&lt;="&amp;M42))</f>
        <v/>
      </c>
    </row>
    <row r="43">
      <c r="A43" s="35" t="inlineStr">
        <is>
          <t>ANTIOQUIA</t>
        </is>
      </c>
      <c r="B43" s="11">
        <f>CONTAR.SI.CONJUNTO(Bitacora_Diaria!E2:E100000;A43)</f>
        <v/>
      </c>
      <c r="C43" s="11">
        <f>CONTAR.SI.CONJUNTO(Bitacora_Diaria!E2:E100000;A43;Bitacora_Diaria!L2:L100000;"Finalizada")+CONTAR.SI.CONJUNTO(Bitacora_Diaria!E2:E100000;A43;Bitacora_Diaria!L2:L100000;"Sede_Cerrada")</f>
        <v/>
      </c>
      <c r="D43" s="36">
        <f>SI(G43=0;0;H43/G43)</f>
        <v/>
      </c>
      <c r="E43" s="36">
        <f>SI(G43=0;0;I43/G43)</f>
        <v/>
      </c>
      <c r="F43" s="13">
        <f>SI.ERROR(PROMEDIO.SI.CONJUNTO(Bitacora_Diaria!Q2:Q100000;Bitacora_Diaria!E2:E100000;A43;Bitacora_Diaria!P2:P100000;"NO");0)</f>
        <v/>
      </c>
      <c r="G43" s="11">
        <f>CONTAR.SI.CONJUNTO(Bitacora_Diaria!E2:E100000;A43;Bitacora_Diaria!P2:P100000;"SÍ")+CONTAR.SI.CONJUNTO(Bitacora_Diaria!E2:E100000;A43;Bitacora_Diaria!P2:P100000;"NO")+CONTAR.SI.CONJUNTO(Bitacora_Diaria!E2:E100000;A43;Bitacora_Diaria!L2:L100000;"Reprogramada")</f>
        <v/>
      </c>
      <c r="H43" s="11">
        <f>CONTAR.SI.CONJUNTO(Bitacora_Diaria!E2:E100000;A43;Bitacora_Diaria!P2:P100000;"SÍ")</f>
        <v/>
      </c>
      <c r="I43" s="11">
        <f>CONTAR.SI.CONJUNTO(Bitacora_Diaria!E2:E100000;A43;Bitacora_Diaria!P2:P100000;"NO")+CONTAR.SI.CONJUNTO(Bitacora_Diaria!E2:E100000;A43;Bitacora_Diaria!L2:L100000;"Reprogramada")</f>
        <v/>
      </c>
      <c r="M43" s="33">
        <f>SI(M42="";"";SI(M42&gt;=FECHA(N3;N2+1;0);"";M42+1))</f>
        <v/>
      </c>
      <c r="N43" s="34">
        <f>SI(M43="";"";CONTAR.SI.CONJUNTO(Bitacora_Diaria!K2:K100000;"&gt;="&amp;M43;Bitacora_Diaria!K2:K100000;"&lt;"&amp;M43+1))</f>
        <v/>
      </c>
      <c r="O43" s="34">
        <f>SI(M43="";"";CONTAR.SI.CONJUNTO(Bitacora_Diaria!H2:H100000;"&gt;="&amp;M43;Bitacora_Diaria!H2:H100000;"&lt;"&amp;M43+1))</f>
        <v/>
      </c>
      <c r="P43" s="34">
        <f>SI(M43="";"";CONTAR.SI.CONJUNTO(Bitacora_Diaria!K2:K100000;"&gt;="&amp;FECHA(N3;N2;1);Bitacora_Diaria!K2:K100000;"&lt;="&amp;M43))</f>
        <v/>
      </c>
    </row>
    <row r="44">
      <c r="A44" s="37" t="inlineStr">
        <is>
          <t>ORIENTE</t>
        </is>
      </c>
      <c r="B44" s="14">
        <f>CONTAR.SI.CONJUNTO(Bitacora_Diaria!E2:E100000;A44)</f>
        <v/>
      </c>
      <c r="C44" s="14">
        <f>CONTAR.SI.CONJUNTO(Bitacora_Diaria!E2:E100000;A44;Bitacora_Diaria!L2:L100000;"Finalizada")+CONTAR.SI.CONJUNTO(Bitacora_Diaria!E2:E100000;A44;Bitacora_Diaria!L2:L100000;"Sede_Cerrada")</f>
        <v/>
      </c>
      <c r="D44" s="38">
        <f>SI(G44=0;0;H44/G44)</f>
        <v/>
      </c>
      <c r="E44" s="38">
        <f>SI(G44=0;0;I44/G44)</f>
        <v/>
      </c>
      <c r="F44" s="16">
        <f>SI.ERROR(PROMEDIO.SI.CONJUNTO(Bitacora_Diaria!Q2:Q100000;Bitacora_Diaria!E2:E100000;A44;Bitacora_Diaria!P2:P100000;"NO");0)</f>
        <v/>
      </c>
      <c r="G44" s="14">
        <f>CONTAR.SI.CONJUNTO(Bitacora_Diaria!E2:E100000;A44;Bitacora_Diaria!P2:P100000;"SÍ")+CONTAR.SI.CONJUNTO(Bitacora_Diaria!E2:E100000;A44;Bitacora_Diaria!P2:P100000;"NO")+CONTAR.SI.CONJUNTO(Bitacora_Diaria!E2:E100000;A44;Bitacora_Diaria!L2:L100000;"Reprogramada")</f>
        <v/>
      </c>
      <c r="H44" s="14">
        <f>CONTAR.SI.CONJUNTO(Bitacora_Diaria!E2:E100000;A44;Bitacora_Diaria!P2:P100000;"SÍ")</f>
        <v/>
      </c>
      <c r="I44" s="14">
        <f>CONTAR.SI.CONJUNTO(Bitacora_Diaria!E2:E100000;A44;Bitacora_Diaria!P2:P100000;"NO")+CONTAR.SI.CONJUNTO(Bitacora_Diaria!E2:E100000;A44;Bitacora_Diaria!L2:L100000;"Reprogramada")</f>
        <v/>
      </c>
      <c r="M44" s="33">
        <f>SI(M43="";"";SI(M43&gt;=FECHA(N3;N2+1;0);"";M43+1))</f>
        <v/>
      </c>
      <c r="N44" s="34">
        <f>SI(M44="";"";CONTAR.SI.CONJUNTO(Bitacora_Diaria!K2:K100000;"&gt;="&amp;M44;Bitacora_Diaria!K2:K100000;"&lt;"&amp;M44+1))</f>
        <v/>
      </c>
      <c r="O44" s="34">
        <f>SI(M44="";"";CONTAR.SI.CONJUNTO(Bitacora_Diaria!H2:H100000;"&gt;="&amp;M44;Bitacora_Diaria!H2:H100000;"&lt;"&amp;M44+1))</f>
        <v/>
      </c>
      <c r="P44" s="34">
        <f>SI(M44="";"";CONTAR.SI.CONJUNTO(Bitacora_Diaria!K2:K100000;"&gt;="&amp;FECHA(N3;N2;1);Bitacora_Diaria!K2:K100000;"&lt;="&amp;M44))</f>
        <v/>
      </c>
    </row>
    <row r="45">
      <c r="A45" s="35" t="inlineStr">
        <is>
          <t>COSTA</t>
        </is>
      </c>
      <c r="B45" s="11">
        <f>CONTAR.SI.CONJUNTO(Bitacora_Diaria!E2:E100000;A45)</f>
        <v/>
      </c>
      <c r="C45" s="11">
        <f>CONTAR.SI.CONJUNTO(Bitacora_Diaria!E2:E100000;A45;Bitacora_Diaria!L2:L100000;"Finalizada")+CONTAR.SI.CONJUNTO(Bitacora_Diaria!E2:E100000;A45;Bitacora_Diaria!L2:L100000;"Sede_Cerrada")</f>
        <v/>
      </c>
      <c r="D45" s="36">
        <f>SI(G45=0;0;H45/G45)</f>
        <v/>
      </c>
      <c r="E45" s="36">
        <f>SI(G45=0;0;I45/G45)</f>
        <v/>
      </c>
      <c r="F45" s="13">
        <f>SI.ERROR(PROMEDIO.SI.CONJUNTO(Bitacora_Diaria!Q2:Q100000;Bitacora_Diaria!E2:E100000;A45;Bitacora_Diaria!P2:P100000;"NO");0)</f>
        <v/>
      </c>
      <c r="G45" s="11">
        <f>CONTAR.SI.CONJUNTO(Bitacora_Diaria!E2:E100000;A45;Bitacora_Diaria!P2:P100000;"SÍ")+CONTAR.SI.CONJUNTO(Bitacora_Diaria!E2:E100000;A45;Bitacora_Diaria!P2:P100000;"NO")+CONTAR.SI.CONJUNTO(Bitacora_Diaria!E2:E100000;A45;Bitacora_Diaria!L2:L100000;"Reprogramada")</f>
        <v/>
      </c>
      <c r="H45" s="11">
        <f>CONTAR.SI.CONJUNTO(Bitacora_Diaria!E2:E100000;A45;Bitacora_Diaria!P2:P100000;"SÍ")</f>
        <v/>
      </c>
      <c r="I45" s="11">
        <f>CONTAR.SI.CONJUNTO(Bitacora_Diaria!E2:E100000;A45;Bitacora_Diaria!P2:P100000;"NO")+CONTAR.SI.CONJUNTO(Bitacora_Diaria!E2:E100000;A45;Bitacora_Diaria!L2:L100000;"Reprogramada")</f>
        <v/>
      </c>
      <c r="M45" s="33">
        <f>SI(M44="";"";SI(M44&gt;=FECHA(N3;N2+1;0);"";M44+1))</f>
        <v/>
      </c>
      <c r="N45" s="34">
        <f>SI(M45="";"";CONTAR.SI.CONJUNTO(Bitacora_Diaria!K2:K100000;"&gt;="&amp;M45;Bitacora_Diaria!K2:K100000;"&lt;"&amp;M45+1))</f>
        <v/>
      </c>
      <c r="O45" s="34">
        <f>SI(M45="";"";CONTAR.SI.CONJUNTO(Bitacora_Diaria!H2:H100000;"&gt;="&amp;M45;Bitacora_Diaria!H2:H100000;"&lt;"&amp;M45+1))</f>
        <v/>
      </c>
      <c r="P45" s="34">
        <f>SI(M45="";"";CONTAR.SI.CONJUNTO(Bitacora_Diaria!K2:K100000;"&gt;="&amp;FECHA(N3;N2;1);Bitacora_Diaria!K2:K100000;"&lt;="&amp;M45))</f>
        <v/>
      </c>
    </row>
    <row r="46">
      <c r="A46" s="37" t="inlineStr">
        <is>
          <t>SUR</t>
        </is>
      </c>
      <c r="B46" s="14">
        <f>CONTAR.SI.CONJUNTO(Bitacora_Diaria!E2:E100000;A46)</f>
        <v/>
      </c>
      <c r="C46" s="14">
        <f>CONTAR.SI.CONJUNTO(Bitacora_Diaria!E2:E100000;A46;Bitacora_Diaria!L2:L100000;"Finalizada")+CONTAR.SI.CONJUNTO(Bitacora_Diaria!E2:E100000;A46;Bitacora_Diaria!L2:L100000;"Sede_Cerrada")</f>
        <v/>
      </c>
      <c r="D46" s="38">
        <f>SI(G46=0;0;H46/G46)</f>
        <v/>
      </c>
      <c r="E46" s="38">
        <f>SI(G46=0;0;I46/G46)</f>
        <v/>
      </c>
      <c r="F46" s="16">
        <f>SI.ERROR(PROMEDIO.SI.CONJUNTO(Bitacora_Diaria!Q2:Q100000;Bitacora_Diaria!E2:E100000;A46;Bitacora_Diaria!P2:P100000;"NO");0)</f>
        <v/>
      </c>
      <c r="G46" s="14">
        <f>CONTAR.SI.CONJUNTO(Bitacora_Diaria!E2:E100000;A46;Bitacora_Diaria!P2:P100000;"SÍ")+CONTAR.SI.CONJUNTO(Bitacora_Diaria!E2:E100000;A46;Bitacora_Diaria!P2:P100000;"NO")+CONTAR.SI.CONJUNTO(Bitacora_Diaria!E2:E100000;A46;Bitacora_Diaria!L2:L100000;"Reprogramada")</f>
        <v/>
      </c>
      <c r="H46" s="14">
        <f>CONTAR.SI.CONJUNTO(Bitacora_Diaria!E2:E100000;A46;Bitacora_Diaria!P2:P100000;"SÍ")</f>
        <v/>
      </c>
      <c r="I46" s="14">
        <f>CONTAR.SI.CONJUNTO(Bitacora_Diaria!E2:E100000;A46;Bitacora_Diaria!P2:P100000;"NO")+CONTAR.SI.CONJUNTO(Bitacora_Diaria!E2:E100000;A46;Bitacora_Diaria!L2:L100000;"Reprogramada")</f>
        <v/>
      </c>
      <c r="M46" s="33">
        <f>SI(M45="";"";SI(M45&gt;=FECHA(N3;N2+1;0);"";M45+1))</f>
        <v/>
      </c>
      <c r="N46" s="34">
        <f>SI(M46="";"";CONTAR.SI.CONJUNTO(Bitacora_Diaria!K2:K100000;"&gt;="&amp;M46;Bitacora_Diaria!K2:K100000;"&lt;"&amp;M46+1))</f>
        <v/>
      </c>
      <c r="O46" s="34">
        <f>SI(M46="";"";CONTAR.SI.CONJUNTO(Bitacora_Diaria!H2:H100000;"&gt;="&amp;M46;Bitacora_Diaria!H2:H100000;"&lt;"&amp;M46+1))</f>
        <v/>
      </c>
      <c r="P46" s="34">
        <f>SI(M46="";"";CONTAR.SI.CONJUNTO(Bitacora_Diaria!K2:K100000;"&gt;="&amp;FECHA(N3;N2;1);Bitacora_Diaria!K2:K100000;"&lt;="&amp;M46))</f>
        <v/>
      </c>
    </row>
    <row r="47">
      <c r="A47" s="35" t="inlineStr">
        <is>
          <t>OCCIDENTE</t>
        </is>
      </c>
      <c r="B47" s="11">
        <f>CONTAR.SI.CONJUNTO(Bitacora_Diaria!E2:E100000;A47)</f>
        <v/>
      </c>
      <c r="C47" s="11">
        <f>CONTAR.SI.CONJUNTO(Bitacora_Diaria!E2:E100000;A47;Bitacora_Diaria!L2:L100000;"Finalizada")+CONTAR.SI.CONJUNTO(Bitacora_Diaria!E2:E100000;A47;Bitacora_Diaria!L2:L100000;"Sede_Cerrada")</f>
        <v/>
      </c>
      <c r="D47" s="36">
        <f>SI(G47=0;0;H47/G47)</f>
        <v/>
      </c>
      <c r="E47" s="36">
        <f>SI(G47=0;0;I47/G47)</f>
        <v/>
      </c>
      <c r="F47" s="13">
        <f>SI.ERROR(PROMEDIO.SI.CONJUNTO(Bitacora_Diaria!Q2:Q100000;Bitacora_Diaria!E2:E100000;A47;Bitacora_Diaria!P2:P100000;"NO");0)</f>
        <v/>
      </c>
      <c r="G47" s="11">
        <f>CONTAR.SI.CONJUNTO(Bitacora_Diaria!E2:E100000;A47;Bitacora_Diaria!P2:P100000;"SÍ")+CONTAR.SI.CONJUNTO(Bitacora_Diaria!E2:E100000;A47;Bitacora_Diaria!P2:P100000;"NO")+CONTAR.SI.CONJUNTO(Bitacora_Diaria!E2:E100000;A47;Bitacora_Diaria!L2:L100000;"Reprogramada")</f>
        <v/>
      </c>
      <c r="H47" s="11">
        <f>CONTAR.SI.CONJUNTO(Bitacora_Diaria!E2:E100000;A47;Bitacora_Diaria!P2:P100000;"SÍ")</f>
        <v/>
      </c>
      <c r="I47" s="11">
        <f>CONTAR.SI.CONJUNTO(Bitacora_Diaria!E2:E100000;A47;Bitacora_Diaria!P2:P100000;"NO")+CONTAR.SI.CONJUNTO(Bitacora_Diaria!E2:E100000;A47;Bitacora_Diaria!L2:L100000;"Reprogramada")</f>
        <v/>
      </c>
      <c r="M47" s="33">
        <f>SI(M46="";"";SI(M46&gt;=FECHA(N3;N2+1;0);"";M46+1))</f>
        <v/>
      </c>
      <c r="N47" s="34">
        <f>SI(M47="";"";CONTAR.SI.CONJUNTO(Bitacora_Diaria!K2:K100000;"&gt;="&amp;M47;Bitacora_Diaria!K2:K100000;"&lt;"&amp;M47+1))</f>
        <v/>
      </c>
      <c r="O47" s="34">
        <f>SI(M47="";"";CONTAR.SI.CONJUNTO(Bitacora_Diaria!H2:H100000;"&gt;="&amp;M47;Bitacora_Diaria!H2:H100000;"&lt;"&amp;M47+1))</f>
        <v/>
      </c>
      <c r="P47" s="34">
        <f>SI(M47="";"";CONTAR.SI.CONJUNTO(Bitacora_Diaria!K2:K100000;"&gt;="&amp;FECHA(N3;N2;1);Bitacora_Diaria!K2:K100000;"&lt;="&amp;M47))</f>
        <v/>
      </c>
    </row>
    <row r="48">
      <c r="A48" s="37" t="inlineStr">
        <is>
          <t>SANTANDERES</t>
        </is>
      </c>
      <c r="B48" s="14">
        <f>CONTAR.SI.CONJUNTO(Bitacora_Diaria!E2:E100000;A48)</f>
        <v/>
      </c>
      <c r="C48" s="14">
        <f>CONTAR.SI.CONJUNTO(Bitacora_Diaria!E2:E100000;A48;Bitacora_Diaria!L2:L100000;"Finalizada")+CONTAR.SI.CONJUNTO(Bitacora_Diaria!E2:E100000;A48;Bitacora_Diaria!L2:L100000;"Sede_Cerrada")</f>
        <v/>
      </c>
      <c r="D48" s="38">
        <f>SI(G48=0;0;H48/G48)</f>
        <v/>
      </c>
      <c r="E48" s="38">
        <f>SI(G48=0;0;I48/G48)</f>
        <v/>
      </c>
      <c r="F48" s="16">
        <f>SI.ERROR(PROMEDIO.SI.CONJUNTO(Bitacora_Diaria!Q2:Q100000;Bitacora_Diaria!E2:E100000;A48;Bitacora_Diaria!P2:P100000;"NO");0)</f>
        <v/>
      </c>
      <c r="G48" s="14">
        <f>CONTAR.SI.CONJUNTO(Bitacora_Diaria!E2:E100000;A48;Bitacora_Diaria!P2:P100000;"SÍ")+CONTAR.SI.CONJUNTO(Bitacora_Diaria!E2:E100000;A48;Bitacora_Diaria!P2:P100000;"NO")+CONTAR.SI.CONJUNTO(Bitacora_Diaria!E2:E100000;A48;Bitacora_Diaria!L2:L100000;"Reprogramada")</f>
        <v/>
      </c>
      <c r="H48" s="14">
        <f>CONTAR.SI.CONJUNTO(Bitacora_Diaria!E2:E100000;A48;Bitacora_Diaria!P2:P100000;"SÍ")</f>
        <v/>
      </c>
      <c r="I48" s="14">
        <f>CONTAR.SI.CONJUNTO(Bitacora_Diaria!E2:E100000;A48;Bitacora_Diaria!P2:P100000;"NO")+CONTAR.SI.CONJUNTO(Bitacora_Diaria!E2:E100000;A48;Bitacora_Diaria!L2:L100000;"Reprogramada")</f>
        <v/>
      </c>
      <c r="M48" s="33">
        <f>SI(M47="";"";SI(M47&gt;=FECHA(N3;N2+1;0);"";M47+1))</f>
        <v/>
      </c>
      <c r="N48" s="34">
        <f>SI(M48="";"";CONTAR.SI.CONJUNTO(Bitacora_Diaria!K2:K100000;"&gt;="&amp;M48;Bitacora_Diaria!K2:K100000;"&lt;"&amp;M48+1))</f>
        <v/>
      </c>
      <c r="O48" s="34">
        <f>SI(M48="";"";CONTAR.SI.CONJUNTO(Bitacora_Diaria!H2:H100000;"&gt;="&amp;M48;Bitacora_Diaria!H2:H100000;"&lt;"&amp;M48+1))</f>
        <v/>
      </c>
      <c r="P48" s="34">
        <f>SI(M48="";"";CONTAR.SI.CONJUNTO(Bitacora_Diaria!K2:K100000;"&gt;="&amp;FECHA(N3;N2;1);Bitacora_Diaria!K2:K100000;"&lt;="&amp;M48))</f>
        <v/>
      </c>
    </row>
    <row r="49">
      <c r="A49" s="35" t="inlineStr">
        <is>
          <t>CAFETERA</t>
        </is>
      </c>
      <c r="B49" s="11">
        <f>CONTAR.SI.CONJUNTO(Bitacora_Diaria!E2:E100000;A49)</f>
        <v/>
      </c>
      <c r="C49" s="11">
        <f>CONTAR.SI.CONJUNTO(Bitacora_Diaria!E2:E100000;A49;Bitacora_Diaria!L2:L100000;"Finalizada")+CONTAR.SI.CONJUNTO(Bitacora_Diaria!E2:E100000;A49;Bitacora_Diaria!L2:L100000;"Sede_Cerrada")</f>
        <v/>
      </c>
      <c r="D49" s="36">
        <f>SI(G49=0;0;H49/G49)</f>
        <v/>
      </c>
      <c r="E49" s="36">
        <f>SI(G49=0;0;I49/G49)</f>
        <v/>
      </c>
      <c r="F49" s="13">
        <f>SI.ERROR(PROMEDIO.SI.CONJUNTO(Bitacora_Diaria!Q2:Q100000;Bitacora_Diaria!E2:E100000;A49;Bitacora_Diaria!P2:P100000;"NO");0)</f>
        <v/>
      </c>
      <c r="G49" s="11">
        <f>CONTAR.SI.CONJUNTO(Bitacora_Diaria!E2:E100000;A49;Bitacora_Diaria!P2:P100000;"SÍ")+CONTAR.SI.CONJUNTO(Bitacora_Diaria!E2:E100000;A49;Bitacora_Diaria!P2:P100000;"NO")+CONTAR.SI.CONJUNTO(Bitacora_Diaria!E2:E100000;A49;Bitacora_Diaria!L2:L100000;"Reprogramada")</f>
        <v/>
      </c>
      <c r="H49" s="11">
        <f>CONTAR.SI.CONJUNTO(Bitacora_Diaria!E2:E100000;A49;Bitacora_Diaria!P2:P100000;"SÍ")</f>
        <v/>
      </c>
      <c r="I49" s="11">
        <f>CONTAR.SI.CONJUNTO(Bitacora_Diaria!E2:E100000;A49;Bitacora_Diaria!P2:P100000;"NO")+CONTAR.SI.CONJUNTO(Bitacora_Diaria!E2:E100000;A49;Bitacora_Diaria!L2:L100000;"Reprogramada")</f>
        <v/>
      </c>
      <c r="M49" s="33">
        <f>SI(M48="";"";SI(M48&gt;=FECHA(N3;N2+1;0);"";M48+1))</f>
        <v/>
      </c>
      <c r="N49" s="34">
        <f>SI(M49="";"";CONTAR.SI.CONJUNTO(Bitacora_Diaria!K2:K100000;"&gt;="&amp;M49;Bitacora_Diaria!K2:K100000;"&lt;"&amp;M49+1))</f>
        <v/>
      </c>
      <c r="O49" s="34">
        <f>SI(M49="";"";CONTAR.SI.CONJUNTO(Bitacora_Diaria!H2:H100000;"&gt;="&amp;M49;Bitacora_Diaria!H2:H100000;"&lt;"&amp;M49+1))</f>
        <v/>
      </c>
      <c r="P49" s="34">
        <f>SI(M49="";"";CONTAR.SI.CONJUNTO(Bitacora_Diaria!K2:K100000;"&gt;="&amp;FECHA(N3;N2;1);Bitacora_Diaria!K2:K100000;"&lt;="&amp;M49))</f>
        <v/>
      </c>
    </row>
    <row r="50">
      <c r="A50" s="37" t="inlineStr">
        <is>
          <t>BOGOTA</t>
        </is>
      </c>
      <c r="B50" s="14">
        <f>CONTAR.SI.CONJUNTO(Bitacora_Diaria!E2:E100000;A50)</f>
        <v/>
      </c>
      <c r="C50" s="14">
        <f>CONTAR.SI.CONJUNTO(Bitacora_Diaria!E2:E100000;A50;Bitacora_Diaria!L2:L100000;"Finalizada")+CONTAR.SI.CONJUNTO(Bitacora_Diaria!E2:E100000;A50;Bitacora_Diaria!L2:L100000;"Sede_Cerrada")</f>
        <v/>
      </c>
      <c r="D50" s="38">
        <f>SI(G50=0;0;H50/G50)</f>
        <v/>
      </c>
      <c r="E50" s="38">
        <f>SI(G50=0;0;I50/G50)</f>
        <v/>
      </c>
      <c r="F50" s="16">
        <f>SI.ERROR(PROMEDIO.SI.CONJUNTO(Bitacora_Diaria!Q2:Q100000;Bitacora_Diaria!E2:E100000;A50;Bitacora_Diaria!P2:P100000;"NO");0)</f>
        <v/>
      </c>
      <c r="G50" s="14">
        <f>CONTAR.SI.CONJUNTO(Bitacora_Diaria!E2:E100000;A50;Bitacora_Diaria!P2:P100000;"SÍ")+CONTAR.SI.CONJUNTO(Bitacora_Diaria!E2:E100000;A50;Bitacora_Diaria!P2:P100000;"NO")+CONTAR.SI.CONJUNTO(Bitacora_Diaria!E2:E100000;A50;Bitacora_Diaria!L2:L100000;"Reprogramada")</f>
        <v/>
      </c>
      <c r="H50" s="14">
        <f>CONTAR.SI.CONJUNTO(Bitacora_Diaria!E2:E100000;A50;Bitacora_Diaria!P2:P100000;"SÍ")</f>
        <v/>
      </c>
      <c r="I50" s="14">
        <f>CONTAR.SI.CONJUNTO(Bitacora_Diaria!E2:E100000;A50;Bitacora_Diaria!P2:P100000;"NO")+CONTAR.SI.CONJUNTO(Bitacora_Diaria!E2:E100000;A50;Bitacora_Diaria!L2:L100000;"Reprogramada")</f>
        <v/>
      </c>
      <c r="M50" s="33">
        <f>SI(M49="";"";SI(M49&gt;=FECHA(N3;N2+1;0);"";M49+1))</f>
        <v/>
      </c>
      <c r="N50" s="34">
        <f>SI(M50="";"";CONTAR.SI.CONJUNTO(Bitacora_Diaria!K2:K100000;"&gt;="&amp;M50;Bitacora_Diaria!K2:K100000;"&lt;"&amp;M50+1))</f>
        <v/>
      </c>
      <c r="O50" s="34">
        <f>SI(M50="";"";CONTAR.SI.CONJUNTO(Bitacora_Diaria!H2:H100000;"&gt;="&amp;M50;Bitacora_Diaria!H2:H100000;"&lt;"&amp;M50+1))</f>
        <v/>
      </c>
      <c r="P50" s="34">
        <f>SI(M50="";"";CONTAR.SI.CONJUNTO(Bitacora_Diaria!K2:K100000;"&gt;="&amp;FECHA(N3;N2;1);Bitacora_Diaria!K2:K100000;"&lt;="&amp;M50))</f>
        <v/>
      </c>
    </row>
    <row r="51">
      <c r="A51" s="35" t="inlineStr">
        <is>
          <t>DIRECCION GENERAL</t>
        </is>
      </c>
      <c r="B51" s="11">
        <f>CONTAR.SI.CONJUNTO(Bitacora_Diaria!E2:E100000;A51)</f>
        <v/>
      </c>
      <c r="C51" s="11">
        <f>CONTAR.SI.CONJUNTO(Bitacora_Diaria!E2:E100000;A51;Bitacora_Diaria!L2:L100000;"Finalizada")+CONTAR.SI.CONJUNTO(Bitacora_Diaria!E2:E100000;A51;Bitacora_Diaria!L2:L100000;"Sede_Cerrada")</f>
        <v/>
      </c>
      <c r="D51" s="36">
        <f>SI(G51=0;0;H51/G51)</f>
        <v/>
      </c>
      <c r="E51" s="36">
        <f>SI(G51=0;0;I51/G51)</f>
        <v/>
      </c>
      <c r="F51" s="13">
        <f>SI.ERROR(PROMEDIO.SI.CONJUNTO(Bitacora_Diaria!Q2:Q100000;Bitacora_Diaria!E2:E100000;A51;Bitacora_Diaria!P2:P100000;"NO");0)</f>
        <v/>
      </c>
      <c r="G51" s="11">
        <f>CONTAR.SI.CONJUNTO(Bitacora_Diaria!E2:E100000;A51;Bitacora_Diaria!P2:P100000;"SÍ")+CONTAR.SI.CONJUNTO(Bitacora_Diaria!E2:E100000;A51;Bitacora_Diaria!P2:P100000;"NO")+CONTAR.SI.CONJUNTO(Bitacora_Diaria!E2:E100000;A51;Bitacora_Diaria!L2:L100000;"Reprogramada")</f>
        <v/>
      </c>
      <c r="H51" s="11">
        <f>CONTAR.SI.CONJUNTO(Bitacora_Diaria!E2:E100000;A51;Bitacora_Diaria!P2:P100000;"SÍ")</f>
        <v/>
      </c>
      <c r="I51" s="11">
        <f>CONTAR.SI.CONJUNTO(Bitacora_Diaria!E2:E100000;A51;Bitacora_Diaria!P2:P100000;"NO")+CONTAR.SI.CONJUNTO(Bitacora_Diaria!E2:E100000;A51;Bitacora_Diaria!L2:L100000;"Reprogramada")</f>
        <v/>
      </c>
      <c r="M51" s="33">
        <f>SI(M50="";"";SI(M50&gt;=FECHA(N3;N2+1;0);"";M50+1))</f>
        <v/>
      </c>
      <c r="N51" s="34">
        <f>SI(M51="";"";CONTAR.SI.CONJUNTO(Bitacora_Diaria!K2:K100000;"&gt;="&amp;M51;Bitacora_Diaria!K2:K100000;"&lt;"&amp;M51+1))</f>
        <v/>
      </c>
      <c r="O51" s="34">
        <f>SI(M51="";"";CONTAR.SI.CONJUNTO(Bitacora_Diaria!H2:H100000;"&gt;="&amp;M51;Bitacora_Diaria!H2:H100000;"&lt;"&amp;M51+1))</f>
        <v/>
      </c>
      <c r="P51" s="34">
        <f>SI(M51="";"";CONTAR.SI.CONJUNTO(Bitacora_Diaria!K2:K100000;"&gt;="&amp;FECHA(N3;N2;1);Bitacora_Diaria!K2:K100000;"&lt;="&amp;M51))</f>
        <v/>
      </c>
    </row>
    <row r="52">
      <c r="A52" s="37" t="inlineStr">
        <is>
          <t>COA</t>
        </is>
      </c>
      <c r="B52" s="14">
        <f>CONTAR.SI.CONJUNTO(Bitacora_Diaria!E2:E100000;A52)</f>
        <v/>
      </c>
      <c r="C52" s="14">
        <f>CONTAR.SI.CONJUNTO(Bitacora_Diaria!E2:E100000;A52;Bitacora_Diaria!L2:L100000;"Finalizada")+CONTAR.SI.CONJUNTO(Bitacora_Diaria!E2:E100000;A52;Bitacora_Diaria!L2:L100000;"Sede_Cerrada")</f>
        <v/>
      </c>
      <c r="D52" s="38">
        <f>SI(G52=0;0;H52/G52)</f>
        <v/>
      </c>
      <c r="E52" s="38">
        <f>SI(G52=0;0;I52/G52)</f>
        <v/>
      </c>
      <c r="F52" s="16">
        <f>SI.ERROR(PROMEDIO.SI.CONJUNTO(Bitacora_Diaria!Q2:Q100000;Bitacora_Diaria!E2:E100000;A52;Bitacora_Diaria!P2:P100000;"NO");0)</f>
        <v/>
      </c>
      <c r="G52" s="14">
        <f>CONTAR.SI.CONJUNTO(Bitacora_Diaria!E2:E100000;A52;Bitacora_Diaria!P2:P100000;"SÍ")+CONTAR.SI.CONJUNTO(Bitacora_Diaria!E2:E100000;A52;Bitacora_Diaria!P2:P100000;"NO")+CONTAR.SI.CONJUNTO(Bitacora_Diaria!E2:E100000;A52;Bitacora_Diaria!L2:L100000;"Reprogramada")</f>
        <v/>
      </c>
      <c r="H52" s="14">
        <f>CONTAR.SI.CONJUNTO(Bitacora_Diaria!E2:E100000;A52;Bitacora_Diaria!P2:P100000;"SÍ")</f>
        <v/>
      </c>
      <c r="I52" s="14">
        <f>CONTAR.SI.CONJUNTO(Bitacora_Diaria!E2:E100000;A52;Bitacora_Diaria!P2:P100000;"NO")+CONTAR.SI.CONJUNTO(Bitacora_Diaria!E2:E100000;A52;Bitacora_Diaria!L2:L100000;"Reprogramada")</f>
        <v/>
      </c>
      <c r="M52" s="33">
        <f>SI(M51="";"";SI(M51&gt;=FECHA(N3;N2+1;0);"";M51+1))</f>
        <v/>
      </c>
      <c r="N52" s="34">
        <f>SI(M52="";"";CONTAR.SI.CONJUNTO(Bitacora_Diaria!K2:K100000;"&gt;="&amp;M52;Bitacora_Diaria!K2:K100000;"&lt;"&amp;M52+1))</f>
        <v/>
      </c>
      <c r="O52" s="34">
        <f>SI(M52="";"";CONTAR.SI.CONJUNTO(Bitacora_Diaria!H2:H100000;"&gt;="&amp;M52;Bitacora_Diaria!H2:H100000;"&lt;"&amp;M52+1))</f>
        <v/>
      </c>
      <c r="P52" s="34">
        <f>SI(M52="";"";CONTAR.SI.CONJUNTO(Bitacora_Diaria!K2:K100000;"&gt;="&amp;FECHA(N3;N2;1);Bitacora_Diaria!K2:K100000;"&lt;="&amp;M52))</f>
        <v/>
      </c>
    </row>
    <row r="53">
      <c r="A53" s="39" t="inlineStr">
        <is>
          <t>TOTAL</t>
        </is>
      </c>
      <c r="B53" s="39">
        <f>SUM(B43:B52)</f>
        <v/>
      </c>
      <c r="C53" s="39">
        <f>SUM(C43:C52)</f>
        <v/>
      </c>
      <c r="D53" s="40">
        <f>SI(G53=0;0;H53/G53)</f>
        <v/>
      </c>
      <c r="E53" s="40">
        <f>SI(G53=0;0;I53/G53)</f>
        <v/>
      </c>
      <c r="F53" s="41">
        <f>G12</f>
        <v/>
      </c>
      <c r="G53" s="39">
        <f>SUM(G43:G52)</f>
        <v/>
      </c>
      <c r="H53" s="39">
        <f>SUM(H43:H52)</f>
        <v/>
      </c>
      <c r="I53" s="39">
        <f>SUM(I43:I52)</f>
        <v/>
      </c>
      <c r="M53" s="33">
        <f>SI(M52="";"";SI(M52&gt;=FECHA(N3;N2+1;0);"";M52+1))</f>
        <v/>
      </c>
      <c r="N53" s="34">
        <f>SI(M53="";"";CONTAR.SI.CONJUNTO(Bitacora_Diaria!K2:K100000;"&gt;="&amp;M53;Bitacora_Diaria!K2:K100000;"&lt;"&amp;M53+1))</f>
        <v/>
      </c>
      <c r="O53" s="34">
        <f>SI(M53="";"";CONTAR.SI.CONJUNTO(Bitacora_Diaria!H2:H100000;"&gt;="&amp;M53;Bitacora_Diaria!H2:H100000;"&lt;"&amp;M53+1))</f>
        <v/>
      </c>
      <c r="P53" s="34">
        <f>SI(M53="";"";CONTAR.SI.CONJUNTO(Bitacora_Diaria!K2:K100000;"&gt;="&amp;FECHA(N3;N2;1);Bitacora_Diaria!K2:K100000;"&lt;="&amp;M53))</f>
        <v/>
      </c>
    </row>
    <row r="54">
      <c r="M54" s="33">
        <f>SI(M53="";"";SI(M53&gt;=FECHA(N3;N2+1;0);"";M53+1))</f>
        <v/>
      </c>
      <c r="N54" s="34">
        <f>SI(M54="";"";CONTAR.SI.CONJUNTO(Bitacora_Diaria!K2:K100000;"&gt;="&amp;M54;Bitacora_Diaria!K2:K100000;"&lt;"&amp;M54+1))</f>
        <v/>
      </c>
      <c r="O54" s="34">
        <f>SI(M54="";"";CONTAR.SI.CONJUNTO(Bitacora_Diaria!H2:H100000;"&gt;="&amp;M54;Bitacora_Diaria!H2:H100000;"&lt;"&amp;M54+1))</f>
        <v/>
      </c>
      <c r="P54" s="34">
        <f>SI(M54="";"";CONTAR.SI.CONJUNTO(Bitacora_Diaria!K2:K100000;"&gt;="&amp;FECHA(N3;N2;1);Bitacora_Diaria!K2:K100000;"&lt;="&amp;M54))</f>
        <v/>
      </c>
    </row>
    <row r="56">
      <c r="A56" s="21" t="inlineStr">
        <is>
          <t>ESTADO DE MANTENIMIENTOS</t>
        </is>
      </c>
      <c r="F56" s="21" t="inlineStr">
        <is>
          <t>CRONOGRAMA CUMPLIDO</t>
        </is>
      </c>
      <c r="H56" s="21" t="inlineStr">
        <is>
          <t>DESVIACIÓN POR CAUSAL</t>
        </is>
      </c>
    </row>
    <row r="57">
      <c r="A57" s="4" t="inlineStr">
        <is>
          <t>Estado</t>
        </is>
      </c>
      <c r="B57" s="4" t="inlineStr">
        <is>
          <t>Registros</t>
        </is>
      </c>
      <c r="C57" s="4" t="inlineStr">
        <is>
          <t>% del total</t>
        </is>
      </c>
      <c r="F57" s="4" t="inlineStr">
        <is>
          <t>Concepto</t>
        </is>
      </c>
      <c r="G57" s="4" t="inlineStr">
        <is>
          <t>Registros</t>
        </is>
      </c>
      <c r="H57" s="4" t="inlineStr">
        <is>
          <t>% evaluables</t>
        </is>
      </c>
      <c r="I57" s="4" t="inlineStr">
        <is>
          <t>Causal</t>
        </is>
      </c>
      <c r="J57" s="4" t="inlineStr">
        <is>
          <t>Casos</t>
        </is>
      </c>
      <c r="K57" s="4" t="inlineStr">
        <is>
          <t>% desvían</t>
        </is>
      </c>
    </row>
    <row r="58">
      <c r="A58" s="11" t="inlineStr">
        <is>
          <t>Programada</t>
        </is>
      </c>
      <c r="B58" s="11">
        <f>CONTAR.SI(Bitacora_Diaria!L2:L100000;A58)</f>
        <v/>
      </c>
      <c r="C58" s="36">
        <f>SI(A6=0;0;B58/A6)</f>
        <v/>
      </c>
      <c r="F58" s="11" t="inlineStr">
        <is>
          <t>Cumplen (SÍ)</t>
        </is>
      </c>
      <c r="G58" s="11">
        <f>N13</f>
        <v/>
      </c>
      <c r="H58" s="36">
        <f>SI(N12=0;0;G58/N12)</f>
        <v/>
      </c>
      <c r="I58" s="11" t="inlineStr">
        <is>
          <t>N/A - A Tiempo</t>
        </is>
      </c>
      <c r="J58" s="11">
        <f>CONTAR.SI(Bitacora_Diaria!R2:R100000;I58)</f>
        <v/>
      </c>
      <c r="K58" s="36">
        <f>SI(N14=0;0;J58/N14)</f>
        <v/>
      </c>
    </row>
    <row r="59">
      <c r="A59" s="14" t="inlineStr">
        <is>
          <t>En Proceso</t>
        </is>
      </c>
      <c r="B59" s="14">
        <f>CONTAR.SI(Bitacora_Diaria!L2:L100000;A59)</f>
        <v/>
      </c>
      <c r="C59" s="38">
        <f>SI(A6=0;0;B59/A6)</f>
        <v/>
      </c>
      <c r="F59" s="14" t="inlineStr">
        <is>
          <t>Desvían (NO + Reprogramadas)</t>
        </is>
      </c>
      <c r="G59" s="14">
        <f>N14</f>
        <v/>
      </c>
      <c r="H59" s="38">
        <f>SI(N12=0;0;G59/N12)</f>
        <v/>
      </c>
      <c r="I59" s="14" t="inlineStr">
        <is>
          <t>Repuesto Faltante</t>
        </is>
      </c>
      <c r="J59" s="14">
        <f>CONTAR.SI(Bitacora_Diaria!R2:R100000;I59)</f>
        <v/>
      </c>
      <c r="K59" s="38">
        <f>SI(N14=0;0;J59/N14)</f>
        <v/>
      </c>
    </row>
    <row r="60">
      <c r="A60" s="11" t="inlineStr">
        <is>
          <t>Finalizada</t>
        </is>
      </c>
      <c r="B60" s="11">
        <f>CONTAR.SI(Bitacora_Diaria!L2:L100000;A60)</f>
        <v/>
      </c>
      <c r="C60" s="36">
        <f>SI(A6=0;0;B60/A6)</f>
        <v/>
      </c>
      <c r="F60" s="11" t="inlineStr">
        <is>
          <t>Total evaluables</t>
        </is>
      </c>
      <c r="G60" s="11">
        <f>N12</f>
        <v/>
      </c>
      <c r="H60" s="36">
        <f>SI(N12=0;0;1)</f>
        <v/>
      </c>
      <c r="I60" s="11" t="inlineStr">
        <is>
          <t>Director Oficina No Disponible</t>
        </is>
      </c>
      <c r="J60" s="11">
        <f>CONTAR.SI(Bitacora_Diaria!R2:R100000;I60)</f>
        <v/>
      </c>
      <c r="K60" s="36">
        <f>SI(N14=0;0;J60/N14)</f>
        <v/>
      </c>
    </row>
    <row r="61">
      <c r="A61" s="14" t="inlineStr">
        <is>
          <t>Reprogramada</t>
        </is>
      </c>
      <c r="B61" s="14">
        <f>CONTAR.SI(Bitacora_Diaria!L2:L100000;A61)</f>
        <v/>
      </c>
      <c r="C61" s="38">
        <f>SI(A6=0;0;B61/A6)</f>
        <v/>
      </c>
      <c r="I61" s="14" t="inlineStr">
        <is>
          <t>Clima</t>
        </is>
      </c>
      <c r="J61" s="14">
        <f>CONTAR.SI(Bitacora_Diaria!R2:R100000;I61)</f>
        <v/>
      </c>
      <c r="K61" s="38">
        <f>SI(N14=0;0;J61/N14)</f>
        <v/>
      </c>
    </row>
    <row r="62">
      <c r="A62" s="11" t="inlineStr">
        <is>
          <t>Sede_Cerrada</t>
        </is>
      </c>
      <c r="B62" s="11">
        <f>CONTAR.SI(Bitacora_Diaria!L2:L100000;A62)</f>
        <v/>
      </c>
      <c r="C62" s="36">
        <f>SI(A6=0;0;B62/A6)</f>
        <v/>
      </c>
      <c r="I62" s="11" t="inlineStr">
        <is>
          <t>Falla Técnica</t>
        </is>
      </c>
      <c r="J62" s="11">
        <f>CONTAR.SI(Bitacora_Diaria!R2:R100000;I62)</f>
        <v/>
      </c>
      <c r="K62" s="36">
        <f>SI(N14=0;0;J62/N14)</f>
        <v/>
      </c>
    </row>
    <row r="63">
      <c r="A63" s="14" t="inlineStr">
        <is>
          <t>Cancelada</t>
        </is>
      </c>
      <c r="B63" s="14">
        <f>CONTAR.SI(Bitacora_Diaria!L2:L100000;A63)</f>
        <v/>
      </c>
      <c r="C63" s="38">
        <f>SI(A6=0;0;B63/A6)</f>
        <v/>
      </c>
      <c r="I63" s="14" t="inlineStr">
        <is>
          <t>Reprogramación Cliente</t>
        </is>
      </c>
      <c r="J63" s="14">
        <f>CONTAR.SI(Bitacora_Diaria!R2:R100000;I63)</f>
        <v/>
      </c>
      <c r="K63" s="38">
        <f>SI(N14=0;0;J63/N14)</f>
        <v/>
      </c>
    </row>
    <row r="64">
      <c r="I64" s="11" t="inlineStr">
        <is>
          <t>Logística/Acceso</t>
        </is>
      </c>
      <c r="J64" s="11">
        <f>CONTAR.SI(Bitacora_Diaria!R2:R100000;I64)</f>
        <v/>
      </c>
      <c r="K64" s="36">
        <f>SI(N14=0;0;J64/N14)</f>
        <v/>
      </c>
    </row>
    <row r="82">
      <c r="A82" s="2" t="inlineStr">
        <is>
          <t>NOTAS:</t>
        </is>
      </c>
    </row>
    <row r="83">
      <c r="A83" s="42" t="inlineStr">
        <is>
          <t>1. Los datos iniciales provienen de 'Campos dashborad.xlsx' (campaña septiembre 2026). Continúe diligenciando la Bitacora_Diaria y el tablero se actualizará solo.</t>
        </is>
      </c>
    </row>
    <row r="84">
      <c r="A84" s="42" t="inlineStr">
        <is>
          <t>2. 'Evaluables' = registros con Cumpli_Cronograma SÍ o NO + Reprogramadas. 'Por completar' = ejecutadas sin Fecha_Cierre_Operativo (señal de registro incompleto).</t>
        </is>
      </c>
    </row>
    <row r="85">
      <c r="A85" s="42" t="inlineStr">
        <is>
          <t>3. Cambie Mes/Año en PARÁMETROS para ver otro periodo. Metas de semáforo: Cumplimiento ≥95% verde, 90-95% ámbar, &lt;90% rojo; Desviación ≤5% verde, 5-10% ámbar, &gt;10% rojo.</t>
        </is>
      </c>
    </row>
    <row r="86">
      <c r="A86" s="42" t="inlineStr">
        <is>
          <t>4. Las filas tipo DG/COA no distorsionan los indicadores de cumplimiento: solo cuentan en los totales por región.</t>
        </is>
      </c>
    </row>
  </sheetData>
  <mergeCells count="42">
    <mergeCell ref="A83:K83"/>
    <mergeCell ref="D11:F11"/>
    <mergeCell ref="I8"/>
    <mergeCell ref="I20"/>
    <mergeCell ref="D17:F17"/>
    <mergeCell ref="G12:I13"/>
    <mergeCell ref="F14"/>
    <mergeCell ref="J11:L11"/>
    <mergeCell ref="D6:F7"/>
    <mergeCell ref="J18:L19"/>
    <mergeCell ref="A5:C5"/>
    <mergeCell ref="G5:I5"/>
    <mergeCell ref="A8:C8"/>
    <mergeCell ref="A14:C14"/>
    <mergeCell ref="A17:C17"/>
    <mergeCell ref="A84:K84"/>
    <mergeCell ref="A20:C20"/>
    <mergeCell ref="A6:C7"/>
    <mergeCell ref="J6:L7"/>
    <mergeCell ref="D5:F5"/>
    <mergeCell ref="A86:K86"/>
    <mergeCell ref="A85:K85"/>
    <mergeCell ref="F20"/>
    <mergeCell ref="J17:L17"/>
    <mergeCell ref="A12:C13"/>
    <mergeCell ref="G11:I11"/>
    <mergeCell ref="L14"/>
    <mergeCell ref="J5:L5"/>
    <mergeCell ref="D12:F13"/>
    <mergeCell ref="G6:I7"/>
    <mergeCell ref="A11:C11"/>
    <mergeCell ref="F8"/>
    <mergeCell ref="L8"/>
    <mergeCell ref="A18:C19"/>
    <mergeCell ref="G18:I19"/>
    <mergeCell ref="A1:L1"/>
    <mergeCell ref="L20"/>
    <mergeCell ref="D18:F19"/>
    <mergeCell ref="G17:I17"/>
    <mergeCell ref="A2:J2"/>
    <mergeCell ref="J12:L13"/>
    <mergeCell ref="I14"/>
  </mergeCells>
  <conditionalFormatting sqref="A12:C13">
    <cfRule type="cellIs" priority="1" operator="greaterThanOrEqual" dxfId="6">
      <formula>0.95</formula>
    </cfRule>
    <cfRule type="cellIs" priority="2" operator="between" dxfId="8">
      <formula>0.9</formula>
      <formula>0.95</formula>
    </cfRule>
    <cfRule type="cellIs" priority="3" operator="lessThan" dxfId="7">
      <formula>0.9</formula>
    </cfRule>
  </conditionalFormatting>
  <conditionalFormatting sqref="D12:F13">
    <cfRule type="cellIs" priority="4" operator="lessThanOrEqual" dxfId="6">
      <formula>0.05</formula>
    </cfRule>
    <cfRule type="cellIs" priority="5" operator="between" dxfId="8">
      <formula>0.05</formula>
      <formula>0.10</formula>
    </cfRule>
    <cfRule type="cellIs" priority="6" operator="greaterThan" dxfId="7">
      <formula>0.10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Ingeniería de Procesos</dc:creator>
  <dc:title xmlns:dc="http://purl.org/dc/elements/1.1/">Dashboard Mantenimientos Preventivos</dc:title>
  <dcterms:created xmlns:dcterms="http://purl.org/dc/terms/" xmlns:xsi="http://www.w3.org/2001/XMLSchema-instance" xsi:type="dcterms:W3CDTF">2026-08-28T22:27:02Z</dcterms:created>
  <dcterms:modified xmlns:dcterms="http://purl.org/dc/terms/" xmlns:xsi="http://www.w3.org/2001/XMLSchema-instance" xsi:type="dcterms:W3CDTF">2026-08-28T22:27:03Z</dcterms:modified>
</cp:coreProperties>
</file>