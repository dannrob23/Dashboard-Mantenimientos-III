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ammicro-my.sharepoint.com/personal/zayda_cabanzohernandez_colsof_com_co/Documents/1. COLSOF/19. BANCO AGRARIO/5. DASHBOARD/"/>
    </mc:Choice>
  </mc:AlternateContent>
  <xr:revisionPtr revIDLastSave="310" documentId="8_{A6063181-702E-4DD8-A811-4FCAC74074A6}" xr6:coauthVersionLast="47" xr6:coauthVersionMax="47" xr10:uidLastSave="{8BB32968-2E91-41C0-95C8-86A5D1AB07EF}"/>
  <bookViews>
    <workbookView xWindow="-120" yWindow="-120" windowWidth="20730" windowHeight="11040" xr2:uid="{B48C6452-10E6-495B-BD5B-EA9C8933577B}"/>
  </bookViews>
  <sheets>
    <sheet name="Dashboard" sheetId="1" r:id="rId1"/>
    <sheet name="Listas" sheetId="2" r:id="rId2"/>
  </sheets>
  <definedNames>
    <definedName name="_xlnm._FilterDatabase" localSheetId="0" hidden="1">Dashboard!$A$1:$AT$809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2" i="1"/>
  <c r="I24" i="1"/>
  <c r="I23" i="1"/>
  <c r="I253" i="1"/>
  <c r="I22" i="1"/>
  <c r="AT108" i="1"/>
  <c r="I108" i="1"/>
  <c r="AT107" i="1"/>
  <c r="I107" i="1"/>
  <c r="AT106" i="1"/>
  <c r="I106" i="1"/>
  <c r="AT105" i="1"/>
  <c r="I105" i="1"/>
  <c r="AT104" i="1"/>
  <c r="I104" i="1"/>
  <c r="AT103" i="1"/>
  <c r="I103" i="1"/>
  <c r="I102" i="1"/>
  <c r="I101" i="1"/>
  <c r="I436" i="1"/>
  <c r="I202" i="1"/>
  <c r="I515" i="1"/>
  <c r="I397" i="1"/>
  <c r="I630" i="1"/>
  <c r="I306" i="1"/>
  <c r="I348" i="1"/>
  <c r="I604" i="1"/>
  <c r="I252" i="1"/>
  <c r="I478" i="1"/>
  <c r="I157" i="1"/>
  <c r="I578" i="1"/>
  <c r="I251" i="1"/>
  <c r="I539" i="1"/>
  <c r="I41" i="1"/>
  <c r="I100" i="1"/>
  <c r="I250" i="1"/>
  <c r="I21" i="1"/>
  <c r="I40" i="1"/>
  <c r="I62" i="1"/>
  <c r="I457" i="1"/>
  <c r="I567" i="1"/>
  <c r="I61" i="1"/>
  <c r="I156" i="1"/>
  <c r="I249" i="1"/>
  <c r="I155" i="1"/>
  <c r="I20" i="1"/>
  <c r="I154" i="1"/>
  <c r="I325" i="1"/>
  <c r="I276" i="1"/>
  <c r="I201" i="1"/>
  <c r="I347" i="1"/>
  <c r="I99" i="1"/>
  <c r="I275" i="1"/>
  <c r="I60" i="1"/>
  <c r="I777" i="1"/>
  <c r="I666" i="1"/>
  <c r="I713" i="1"/>
  <c r="I734" i="1"/>
  <c r="I682" i="1"/>
  <c r="I693" i="1"/>
  <c r="I753" i="1"/>
  <c r="I742" i="1"/>
  <c r="I749" i="1"/>
  <c r="I701" i="1"/>
  <c r="I756" i="1"/>
  <c r="I765" i="1"/>
  <c r="I223" i="1"/>
  <c r="I456" i="1"/>
  <c r="I39" i="1"/>
  <c r="I19" i="1"/>
  <c r="I324" i="1"/>
  <c r="I305" i="1"/>
  <c r="I130" i="1"/>
  <c r="I153" i="1"/>
  <c r="I648" i="1"/>
  <c r="I809" i="1"/>
  <c r="I733" i="1"/>
  <c r="I566" i="1"/>
  <c r="I603" i="1"/>
  <c r="I780" i="1"/>
  <c r="I712" i="1"/>
  <c r="I700" i="1"/>
  <c r="I808" i="1"/>
  <c r="I741" i="1"/>
  <c r="I615" i="1"/>
  <c r="I724" i="1"/>
  <c r="I807" i="1"/>
  <c r="I665" i="1"/>
  <c r="I681" i="1"/>
  <c r="I692" i="1"/>
  <c r="I785" i="1"/>
  <c r="I752" i="1"/>
  <c r="I758" i="1"/>
  <c r="I755" i="1"/>
  <c r="I806" i="1"/>
  <c r="I805" i="1"/>
  <c r="I526" i="1"/>
  <c r="I538" i="1"/>
  <c r="I804" i="1"/>
  <c r="I769" i="1"/>
  <c r="I803" i="1"/>
  <c r="I420" i="1"/>
  <c r="I455" i="1"/>
  <c r="I304" i="1"/>
  <c r="AT565" i="1"/>
  <c r="I565" i="1"/>
  <c r="I129" i="1"/>
  <c r="I346" i="1"/>
  <c r="I772" i="1"/>
  <c r="I629" i="1"/>
  <c r="I514" i="1"/>
  <c r="I764" i="1"/>
  <c r="I628" i="1"/>
  <c r="I59" i="1"/>
  <c r="I128" i="1"/>
  <c r="I564" i="1"/>
  <c r="I58" i="1"/>
  <c r="I38" i="1"/>
  <c r="I79" i="1"/>
  <c r="I477" i="1"/>
  <c r="I754" i="1"/>
  <c r="I476" i="1"/>
  <c r="I419" i="1"/>
  <c r="I396" i="1"/>
  <c r="I784" i="1"/>
  <c r="I248" i="1"/>
  <c r="I373" i="1"/>
  <c r="I18" i="1"/>
  <c r="I57" i="1"/>
  <c r="I17" i="1"/>
  <c r="I274" i="1"/>
  <c r="I763" i="1"/>
  <c r="I680" i="1"/>
  <c r="I783" i="1"/>
  <c r="I303" i="1"/>
  <c r="I782" i="1"/>
  <c r="I37" i="1"/>
  <c r="I776" i="1"/>
  <c r="I768" i="1"/>
  <c r="I16" i="1"/>
  <c r="I779" i="1"/>
  <c r="I395" i="1"/>
  <c r="I771" i="1"/>
  <c r="I372" i="1"/>
  <c r="I778" i="1"/>
  <c r="I152" i="1"/>
  <c r="I247" i="1"/>
  <c r="I766" i="1"/>
  <c r="I98" i="1"/>
  <c r="I679" i="1"/>
  <c r="I151" i="1"/>
  <c r="I751" i="1"/>
  <c r="I78" i="1"/>
  <c r="I757" i="1"/>
  <c r="I15" i="1"/>
  <c r="I182" i="1"/>
  <c r="I77" i="1"/>
  <c r="AT563" i="1"/>
  <c r="I563" i="1"/>
  <c r="I394" i="1"/>
  <c r="I97" i="1"/>
  <c r="I435" i="1"/>
  <c r="I434" i="1"/>
  <c r="I273" i="1"/>
  <c r="I513" i="1"/>
  <c r="I222" i="1"/>
  <c r="I302" i="1"/>
  <c r="I475" i="1"/>
  <c r="I246" i="1"/>
  <c r="I393" i="1"/>
  <c r="I496" i="1"/>
  <c r="I245" i="1"/>
  <c r="I345" i="1"/>
  <c r="I418" i="1"/>
  <c r="I344" i="1"/>
  <c r="I371" i="1"/>
  <c r="I272" i="1"/>
  <c r="I244" i="1"/>
  <c r="I537" i="1"/>
  <c r="I591" i="1"/>
  <c r="I691" i="1"/>
  <c r="I577" i="1"/>
  <c r="I536" i="1"/>
  <c r="I562" i="1"/>
  <c r="I656" i="1"/>
  <c r="I627" i="1"/>
  <c r="I614" i="1"/>
  <c r="I474" i="1"/>
  <c r="I602" i="1"/>
  <c r="I473" i="1"/>
  <c r="I590" i="1"/>
  <c r="I535" i="1"/>
  <c r="I525" i="1"/>
  <c r="I664" i="1"/>
  <c r="I647" i="1"/>
  <c r="I646" i="1"/>
  <c r="I645" i="1"/>
  <c r="I626" i="1"/>
  <c r="I655" i="1"/>
  <c r="I613" i="1"/>
  <c r="I472" i="1"/>
  <c r="I654" i="1"/>
  <c r="I653" i="1"/>
  <c r="I534" i="1"/>
  <c r="I625" i="1"/>
  <c r="I612" i="1"/>
  <c r="I601" i="1"/>
  <c r="I600" i="1"/>
  <c r="I533" i="1"/>
  <c r="I611" i="1"/>
  <c r="I663" i="1"/>
  <c r="I454" i="1"/>
  <c r="I690" i="1"/>
  <c r="I453" i="1"/>
  <c r="I471" i="1"/>
  <c r="I452" i="1"/>
  <c r="I451" i="1"/>
  <c r="I589" i="1"/>
  <c r="I652" i="1"/>
  <c r="I561" i="1"/>
  <c r="I662" i="1"/>
  <c r="I588" i="1"/>
  <c r="I644" i="1"/>
  <c r="I689" i="1"/>
  <c r="I688" i="1"/>
  <c r="I512" i="1"/>
  <c r="I610" i="1"/>
  <c r="I495" i="1"/>
  <c r="I587" i="1"/>
  <c r="I494" i="1"/>
  <c r="AT678" i="1"/>
  <c r="I678" i="1"/>
  <c r="I493" i="1"/>
  <c r="I599" i="1"/>
  <c r="I492" i="1"/>
  <c r="AT560" i="1"/>
  <c r="I560" i="1"/>
  <c r="I511" i="1"/>
  <c r="I802" i="1"/>
  <c r="I417" i="1"/>
  <c r="I301" i="1"/>
  <c r="I243" i="1"/>
  <c r="I801" i="1"/>
  <c r="I370" i="1"/>
  <c r="I800" i="1"/>
  <c r="I799" i="1"/>
  <c r="I643" i="1"/>
  <c r="I798" i="1"/>
  <c r="I775" i="1"/>
  <c r="I767" i="1"/>
  <c r="I745" i="1"/>
  <c r="I598" i="1"/>
  <c r="I797" i="1"/>
  <c r="I770" i="1"/>
  <c r="I796" i="1"/>
  <c r="I795" i="1"/>
  <c r="I732" i="1"/>
  <c r="I794" i="1"/>
  <c r="I642" i="1"/>
  <c r="I786" i="1"/>
  <c r="I793" i="1"/>
  <c r="I792" i="1"/>
  <c r="I510" i="1"/>
  <c r="I271" i="1"/>
  <c r="I14" i="1"/>
  <c r="I641" i="1"/>
  <c r="I270" i="1"/>
  <c r="I369" i="1"/>
  <c r="I559" i="1"/>
  <c r="I576" i="1"/>
  <c r="I640" i="1"/>
  <c r="I723" i="1"/>
  <c r="I748" i="1"/>
  <c r="I558" i="1"/>
  <c r="I343" i="1"/>
  <c r="I722" i="1"/>
  <c r="I300" i="1"/>
  <c r="I677" i="1"/>
  <c r="I762" i="1"/>
  <c r="I127" i="1"/>
  <c r="I676" i="1"/>
  <c r="I242" i="1"/>
  <c r="I416" i="1"/>
  <c r="I221" i="1"/>
  <c r="I761" i="1"/>
  <c r="I624" i="1"/>
  <c r="I675" i="1"/>
  <c r="I392" i="1"/>
  <c r="I450" i="1"/>
  <c r="I150" i="1"/>
  <c r="I623" i="1"/>
  <c r="I126" i="1"/>
  <c r="I557" i="1"/>
  <c r="I721" i="1"/>
  <c r="I575" i="1"/>
  <c r="I36" i="1"/>
  <c r="I747" i="1"/>
  <c r="I524" i="1"/>
  <c r="I781" i="1"/>
  <c r="I674" i="1"/>
  <c r="I622" i="1"/>
  <c r="I556" i="1"/>
  <c r="I586" i="1"/>
  <c r="I241" i="1"/>
  <c r="I744" i="1"/>
  <c r="I368" i="1"/>
  <c r="I760" i="1"/>
  <c r="I705" i="1"/>
  <c r="I746" i="1"/>
  <c r="I391" i="1"/>
  <c r="I509" i="1"/>
  <c r="I687" i="1"/>
  <c r="I639" i="1"/>
  <c r="I125" i="1"/>
  <c r="I269" i="1"/>
  <c r="I597" i="1"/>
  <c r="I96" i="1"/>
  <c r="I415" i="1"/>
  <c r="I699" i="1"/>
  <c r="I774" i="1"/>
  <c r="I731" i="1"/>
  <c r="I56" i="1"/>
  <c r="I323" i="1"/>
  <c r="I76" i="1"/>
  <c r="I200" i="1"/>
  <c r="I220" i="1"/>
  <c r="I149" i="1"/>
  <c r="I491" i="1"/>
  <c r="I470" i="1"/>
  <c r="I740" i="1"/>
  <c r="I181" i="1"/>
  <c r="I299" i="1"/>
  <c r="AT555" i="1"/>
  <c r="I555" i="1"/>
  <c r="I219" i="1"/>
  <c r="I124" i="1"/>
  <c r="I490" i="1"/>
  <c r="I449" i="1"/>
  <c r="I13" i="1"/>
  <c r="I322" i="1"/>
  <c r="I148" i="1"/>
  <c r="I147" i="1"/>
  <c r="I180" i="1"/>
  <c r="I55" i="1"/>
  <c r="I367" i="1"/>
  <c r="I390" i="1"/>
  <c r="I240" i="1"/>
  <c r="I199" i="1"/>
  <c r="I198" i="1"/>
  <c r="I179" i="1"/>
  <c r="I54" i="1"/>
  <c r="I342" i="1"/>
  <c r="I298" i="1"/>
  <c r="I95" i="1"/>
  <c r="I35" i="1"/>
  <c r="I197" i="1"/>
  <c r="I268" i="1"/>
  <c r="I75" i="1"/>
  <c r="I554" i="1"/>
  <c r="I711" i="1"/>
  <c r="I710" i="1"/>
  <c r="I720" i="1"/>
  <c r="I719" i="1"/>
  <c r="I709" i="1"/>
  <c r="I708" i="1"/>
  <c r="I707" i="1"/>
  <c r="I730" i="1"/>
  <c r="I729" i="1"/>
  <c r="I739" i="1"/>
  <c r="I738" i="1"/>
  <c r="I718" i="1"/>
  <c r="I728" i="1"/>
  <c r="I123" i="1"/>
  <c r="I621" i="1"/>
  <c r="I321" i="1"/>
  <c r="I553" i="1"/>
  <c r="I523" i="1"/>
  <c r="I366" i="1"/>
  <c r="I239" i="1"/>
  <c r="I53" i="1"/>
  <c r="I596" i="1"/>
  <c r="I532" i="1"/>
  <c r="I297" i="1"/>
  <c r="I585" i="1"/>
  <c r="I508" i="1"/>
  <c r="I489" i="1"/>
  <c r="I448" i="1"/>
  <c r="I522" i="1"/>
  <c r="I94" i="1"/>
  <c r="I12" i="1"/>
  <c r="I267" i="1"/>
  <c r="I122" i="1"/>
  <c r="I238" i="1"/>
  <c r="I266" i="1"/>
  <c r="I74" i="1"/>
  <c r="I296" i="1"/>
  <c r="I146" i="1"/>
  <c r="I52" i="1"/>
  <c r="I638" i="1"/>
  <c r="I178" i="1"/>
  <c r="AT673" i="1"/>
  <c r="I673" i="1"/>
  <c r="I759" i="1"/>
  <c r="I93" i="1"/>
  <c r="I341" i="1"/>
  <c r="I34" i="1"/>
  <c r="I177" i="1"/>
  <c r="I414" i="1"/>
  <c r="I365" i="1"/>
  <c r="AT552" i="1"/>
  <c r="I552" i="1"/>
  <c r="I773" i="1"/>
  <c r="I196" i="1"/>
  <c r="I389" i="1"/>
  <c r="I651" i="1"/>
  <c r="I469" i="1"/>
  <c r="I488" i="1"/>
  <c r="I33" i="1"/>
  <c r="I218" i="1"/>
  <c r="I295" i="1"/>
  <c r="I294" i="1"/>
  <c r="I791" i="1"/>
  <c r="I584" i="1"/>
  <c r="I574" i="1"/>
  <c r="I686" i="1"/>
  <c r="I609" i="1"/>
  <c r="I637" i="1"/>
  <c r="I661" i="1"/>
  <c r="I790" i="1"/>
  <c r="I551" i="1"/>
  <c r="I217" i="1"/>
  <c r="I727" i="1"/>
  <c r="I121" i="1"/>
  <c r="I388" i="1"/>
  <c r="I176" i="1"/>
  <c r="I413" i="1"/>
  <c r="I433" i="1"/>
  <c r="I237" i="1"/>
  <c r="I145" i="1"/>
  <c r="I175" i="1"/>
  <c r="I468" i="1"/>
  <c r="I467" i="1"/>
  <c r="I195" i="1"/>
  <c r="I340" i="1"/>
  <c r="I487" i="1"/>
  <c r="I387" i="1"/>
  <c r="I364" i="1"/>
  <c r="I320" i="1"/>
  <c r="I466" i="1"/>
  <c r="I339" i="1"/>
  <c r="I236" i="1"/>
  <c r="I412" i="1"/>
  <c r="I486" i="1"/>
  <c r="I293" i="1"/>
  <c r="I432" i="1"/>
  <c r="I174" i="1"/>
  <c r="I363" i="1"/>
  <c r="I431" i="1"/>
  <c r="I216" i="1"/>
  <c r="I92" i="1"/>
  <c r="I120" i="1"/>
  <c r="I386" i="1"/>
  <c r="I411" i="1"/>
  <c r="I91" i="1"/>
  <c r="I465" i="1"/>
  <c r="I90" i="1"/>
  <c r="I292" i="1"/>
  <c r="I89" i="1"/>
  <c r="I485" i="1"/>
  <c r="I291" i="1"/>
  <c r="I319" i="1"/>
  <c r="I265" i="1"/>
  <c r="I215" i="1"/>
  <c r="I385" i="1"/>
  <c r="I173" i="1"/>
  <c r="I144" i="1"/>
  <c r="I119" i="1"/>
  <c r="I447" i="1"/>
  <c r="I264" i="1"/>
  <c r="I338" i="1"/>
  <c r="I446" i="1"/>
  <c r="I445" i="1"/>
  <c r="I143" i="1"/>
  <c r="I362" i="1"/>
  <c r="I194" i="1"/>
  <c r="I507" i="1"/>
  <c r="I318" i="1"/>
  <c r="I444" i="1"/>
  <c r="I337" i="1"/>
  <c r="I361" i="1"/>
  <c r="I410" i="1"/>
  <c r="I521" i="1"/>
  <c r="I430" i="1"/>
  <c r="I193" i="1"/>
  <c r="I506" i="1"/>
  <c r="I429" i="1"/>
  <c r="I317" i="1"/>
  <c r="I290" i="1"/>
  <c r="I11" i="1"/>
  <c r="I409" i="1"/>
  <c r="I428" i="1"/>
  <c r="I118" i="1"/>
  <c r="I263" i="1"/>
  <c r="I443" i="1"/>
  <c r="I384" i="1"/>
  <c r="I51" i="1"/>
  <c r="I32" i="1"/>
  <c r="I408" i="1"/>
  <c r="I117" i="1"/>
  <c r="I235" i="1"/>
  <c r="I142" i="1"/>
  <c r="I360" i="1"/>
  <c r="I31" i="1"/>
  <c r="I141" i="1"/>
  <c r="I172" i="1"/>
  <c r="I88" i="1"/>
  <c r="I336" i="1"/>
  <c r="I171" i="1"/>
  <c r="I10" i="1"/>
  <c r="AT550" i="1"/>
  <c r="I550" i="1"/>
  <c r="I214" i="1"/>
  <c r="I73" i="1"/>
  <c r="I316" i="1"/>
  <c r="I315" i="1"/>
  <c r="I87" i="1"/>
  <c r="I192" i="1"/>
  <c r="I314" i="1"/>
  <c r="I86" i="1"/>
  <c r="I335" i="1"/>
  <c r="I407" i="1"/>
  <c r="I50" i="1"/>
  <c r="I262" i="1"/>
  <c r="I140" i="1"/>
  <c r="I520" i="1"/>
  <c r="I72" i="1"/>
  <c r="I30" i="1"/>
  <c r="I116" i="1"/>
  <c r="I213" i="1"/>
  <c r="I170" i="1"/>
  <c r="I191" i="1"/>
  <c r="AT549" i="1"/>
  <c r="I549" i="1"/>
  <c r="I505" i="1"/>
  <c r="I49" i="1"/>
  <c r="I717" i="1"/>
  <c r="I261" i="1"/>
  <c r="I531" i="1"/>
  <c r="I169" i="1"/>
  <c r="I168" i="1"/>
  <c r="I190" i="1"/>
  <c r="I484" i="1"/>
  <c r="I636" i="1"/>
  <c r="I115" i="1"/>
  <c r="I334" i="1"/>
  <c r="I464" i="1"/>
  <c r="I212" i="1"/>
  <c r="I672" i="1"/>
  <c r="I483" i="1"/>
  <c r="I234" i="1"/>
  <c r="I583" i="1"/>
  <c r="I427" i="1"/>
  <c r="I608" i="1"/>
  <c r="I211" i="1"/>
  <c r="I289" i="1"/>
  <c r="I620" i="1"/>
  <c r="I548" i="1"/>
  <c r="I547" i="1"/>
  <c r="I504" i="1"/>
  <c r="I650" i="1"/>
  <c r="I635" i="1"/>
  <c r="I595" i="1"/>
  <c r="I426" i="1"/>
  <c r="I573" i="1"/>
  <c r="I383" i="1"/>
  <c r="I503" i="1"/>
  <c r="I671" i="1"/>
  <c r="I502" i="1"/>
  <c r="I619" i="1"/>
  <c r="I233" i="1"/>
  <c r="I546" i="1"/>
  <c r="I698" i="1"/>
  <c r="I789" i="1"/>
  <c r="I406" i="1"/>
  <c r="I582" i="1"/>
  <c r="I463" i="1"/>
  <c r="I288" i="1"/>
  <c r="I716" i="1"/>
  <c r="I405" i="1"/>
  <c r="I287" i="1"/>
  <c r="I462" i="1"/>
  <c r="I737" i="1"/>
  <c r="I788" i="1"/>
  <c r="I359" i="1"/>
  <c r="AT787" i="1"/>
  <c r="I787" i="1"/>
  <c r="I232" i="1"/>
  <c r="I545" i="1"/>
  <c r="I333" i="1"/>
  <c r="I572" i="1"/>
  <c r="I167" i="1"/>
  <c r="I382" i="1"/>
  <c r="I71" i="1"/>
  <c r="I581" i="1"/>
  <c r="I358" i="1"/>
  <c r="I189" i="1"/>
  <c r="I530" i="1"/>
  <c r="I501" i="1"/>
  <c r="AT544" i="1"/>
  <c r="I544" i="1"/>
  <c r="I188" i="1"/>
  <c r="I404" i="1"/>
  <c r="I357" i="1"/>
  <c r="I381" i="1"/>
  <c r="I356" i="1"/>
  <c r="I313" i="1"/>
  <c r="I380" i="1"/>
  <c r="I9" i="1"/>
  <c r="I114" i="1"/>
  <c r="I85" i="1"/>
  <c r="I231" i="1"/>
  <c r="I8" i="1"/>
  <c r="I379" i="1"/>
  <c r="I84" i="1"/>
  <c r="I166" i="1"/>
  <c r="I165" i="1"/>
  <c r="I29" i="1"/>
  <c r="I312" i="1"/>
  <c r="I230" i="1"/>
  <c r="I70" i="1"/>
  <c r="I311" i="1"/>
  <c r="I48" i="1"/>
  <c r="I69" i="1"/>
  <c r="I286" i="1"/>
  <c r="I285" i="1"/>
  <c r="I210" i="1"/>
  <c r="I139" i="1"/>
  <c r="I660" i="1"/>
  <c r="I332" i="1"/>
  <c r="I209" i="1"/>
  <c r="I403" i="1"/>
  <c r="I164" i="1"/>
  <c r="I208" i="1"/>
  <c r="I284" i="1"/>
  <c r="I138" i="1"/>
  <c r="I68" i="1"/>
  <c r="I378" i="1"/>
  <c r="I229" i="1"/>
  <c r="I207" i="1"/>
  <c r="I7" i="1"/>
  <c r="I355" i="1"/>
  <c r="I47" i="1"/>
  <c r="I67" i="1"/>
  <c r="I83" i="1"/>
  <c r="I137" i="1"/>
  <c r="I82" i="1"/>
  <c r="I331" i="1"/>
  <c r="I228" i="1"/>
  <c r="I354" i="1"/>
  <c r="I46" i="1"/>
  <c r="I28" i="1"/>
  <c r="I27" i="1"/>
  <c r="I283" i="1"/>
  <c r="I163" i="1"/>
  <c r="I402" i="1"/>
  <c r="I66" i="1"/>
  <c r="I45" i="1"/>
  <c r="I113" i="1"/>
  <c r="I425" i="1"/>
  <c r="I442" i="1"/>
  <c r="I136" i="1"/>
  <c r="I401" i="1"/>
  <c r="I6" i="1"/>
  <c r="I162" i="1"/>
  <c r="I26" i="1"/>
  <c r="AT543" i="1"/>
  <c r="I543" i="1"/>
  <c r="I330" i="1"/>
  <c r="I329" i="1"/>
  <c r="I500" i="1"/>
  <c r="I260" i="1"/>
  <c r="I65" i="1"/>
  <c r="I482" i="1"/>
  <c r="I670" i="1"/>
  <c r="I44" i="1"/>
  <c r="I377" i="1"/>
  <c r="I542" i="1"/>
  <c r="I43" i="1"/>
  <c r="I541" i="1"/>
  <c r="I726" i="1"/>
  <c r="I461" i="1"/>
  <c r="I499" i="1"/>
  <c r="I400" i="1"/>
  <c r="I353" i="1"/>
  <c r="I376" i="1"/>
  <c r="I669" i="1"/>
  <c r="I227" i="1"/>
  <c r="I715" i="1"/>
  <c r="I161" i="1"/>
  <c r="I5" i="1"/>
  <c r="I618" i="1"/>
  <c r="I282" i="1"/>
  <c r="I352" i="1"/>
  <c r="I697" i="1"/>
  <c r="I424" i="1"/>
  <c r="I375" i="1"/>
  <c r="I481" i="1"/>
  <c r="I423" i="1"/>
  <c r="I460" i="1"/>
  <c r="I399" i="1"/>
  <c r="I422" i="1"/>
  <c r="I259" i="1"/>
  <c r="I64" i="1"/>
  <c r="I571" i="1"/>
  <c r="I112" i="1"/>
  <c r="I459" i="1"/>
  <c r="I374" i="1"/>
  <c r="I736" i="1"/>
  <c r="I135" i="1"/>
  <c r="I668" i="1"/>
  <c r="I226" i="1"/>
  <c r="I685" i="1"/>
  <c r="I529" i="1"/>
  <c r="I580" i="1"/>
  <c r="I258" i="1"/>
  <c r="I570" i="1"/>
  <c r="I441" i="1"/>
  <c r="I351" i="1"/>
  <c r="I421" i="1"/>
  <c r="I743" i="1"/>
  <c r="I649" i="1"/>
  <c r="I25" i="1"/>
  <c r="I735" i="1"/>
  <c r="I310" i="1"/>
  <c r="I519" i="1"/>
  <c r="I206" i="1"/>
  <c r="I634" i="1"/>
  <c r="I750" i="1"/>
  <c r="I579" i="1"/>
  <c r="I328" i="1"/>
  <c r="I81" i="1"/>
  <c r="I42" i="1"/>
  <c r="I704" i="1"/>
  <c r="I659" i="1"/>
  <c r="I281" i="1"/>
  <c r="I309" i="1"/>
  <c r="I440" i="1"/>
  <c r="I696" i="1"/>
  <c r="I134" i="1"/>
  <c r="I225" i="1"/>
  <c r="I518" i="1"/>
  <c r="I607" i="1"/>
  <c r="I111" i="1"/>
  <c r="I4" i="1"/>
  <c r="I480" i="1"/>
  <c r="I3" i="1"/>
  <c r="I684" i="1"/>
  <c r="I703" i="1"/>
  <c r="I308" i="1"/>
  <c r="I633" i="1"/>
  <c r="I594" i="1"/>
  <c r="I160" i="1"/>
  <c r="I159" i="1"/>
  <c r="I658" i="1"/>
  <c r="I187" i="1"/>
  <c r="I133" i="1"/>
  <c r="I327" i="1"/>
  <c r="I458" i="1"/>
  <c r="I617" i="1"/>
  <c r="I205" i="1"/>
  <c r="I186" i="1"/>
  <c r="I616" i="1"/>
  <c r="I517" i="1"/>
  <c r="I2" i="1"/>
  <c r="I80" i="1"/>
  <c r="I606" i="1"/>
  <c r="I280" i="1"/>
  <c r="I398" i="1"/>
  <c r="I439" i="1"/>
  <c r="I695" i="1"/>
  <c r="I63" i="1"/>
  <c r="I257" i="1"/>
  <c r="I350" i="1"/>
  <c r="I632" i="1"/>
  <c r="I185" i="1"/>
  <c r="I132" i="1"/>
  <c r="I540" i="1"/>
  <c r="I158" i="1"/>
  <c r="I184" i="1"/>
  <c r="I593" i="1"/>
  <c r="I110" i="1"/>
  <c r="I256" i="1"/>
  <c r="I438" i="1"/>
  <c r="I183" i="1"/>
  <c r="I279" i="1"/>
  <c r="I326" i="1"/>
  <c r="I204" i="1"/>
  <c r="I528" i="1"/>
  <c r="I667" i="1"/>
  <c r="I569" i="1"/>
  <c r="I278" i="1"/>
  <c r="I725" i="1"/>
  <c r="I592" i="1"/>
  <c r="I349" i="1"/>
  <c r="I479" i="1"/>
  <c r="I255" i="1"/>
  <c r="I254" i="1"/>
  <c r="I277" i="1"/>
  <c r="I203" i="1"/>
  <c r="I307" i="1"/>
  <c r="I498" i="1"/>
  <c r="I714" i="1"/>
  <c r="I694" i="1"/>
  <c r="I657" i="1"/>
  <c r="I497" i="1"/>
  <c r="I131" i="1"/>
  <c r="I224" i="1"/>
  <c r="I631" i="1"/>
  <c r="I702" i="1"/>
  <c r="I109" i="1"/>
  <c r="I516" i="1"/>
  <c r="I605" i="1"/>
  <c r="I683" i="1"/>
  <c r="I706" i="1"/>
  <c r="I437" i="1"/>
  <c r="I527" i="1"/>
  <c r="I568" i="1"/>
</calcChain>
</file>

<file path=xl/sharedStrings.xml><?xml version="1.0" encoding="utf-8"?>
<sst xmlns="http://schemas.openxmlformats.org/spreadsheetml/2006/main" count="5771" uniqueCount="1696">
  <si>
    <t>SBAN</t>
  </si>
  <si>
    <t>tipo</t>
  </si>
  <si>
    <t>Nombre Oficina</t>
  </si>
  <si>
    <t>Municipio</t>
  </si>
  <si>
    <t>Departamento</t>
  </si>
  <si>
    <t>Jefaturas  Operaciones Regional</t>
  </si>
  <si>
    <t>Fecha Inicio</t>
  </si>
  <si>
    <t>Fecha Fin</t>
  </si>
  <si>
    <t>DIAS</t>
  </si>
  <si>
    <t>Nonbre Tecnico</t>
  </si>
  <si>
    <t>Equipo de escritorio</t>
  </si>
  <si>
    <t>Equipo portátil</t>
  </si>
  <si>
    <t>Escáner</t>
  </si>
  <si>
    <t>Impresora</t>
  </si>
  <si>
    <t>Lector biométrico</t>
  </si>
  <si>
    <t>Lector de banda pin pad</t>
  </si>
  <si>
    <t>Lector de código</t>
  </si>
  <si>
    <t>Monitor</t>
  </si>
  <si>
    <t>PAD de firmas</t>
  </si>
  <si>
    <t>Servidor</t>
  </si>
  <si>
    <t>Tablet</t>
  </si>
  <si>
    <t>UPS</t>
  </si>
  <si>
    <t>Oficina</t>
  </si>
  <si>
    <t>CENTRO DE NEGOCIOS BOGOTA CENTRO</t>
  </si>
  <si>
    <t>Bogotá, D.C.</t>
  </si>
  <si>
    <t>Bogotá D.C</t>
  </si>
  <si>
    <t>BOGOTA</t>
  </si>
  <si>
    <t xml:space="preserve">Anderson Forero Mora </t>
  </si>
  <si>
    <t>BOGOTA CENTRO DE PAGOS, RECAUDOS Y DEPOSITOS JUDICIALES CHAPINERO</t>
  </si>
  <si>
    <t>BOGOTA - AVENIDA JIMENEZ</t>
  </si>
  <si>
    <t>BOGOTA - CAN</t>
  </si>
  <si>
    <t>BOGOTA - PALOQUEMAO</t>
  </si>
  <si>
    <t>BOGOTA - CORABASTOS</t>
  </si>
  <si>
    <t>BOGOTA - CODABAS</t>
  </si>
  <si>
    <t>UBATE</t>
  </si>
  <si>
    <t>Ubate</t>
  </si>
  <si>
    <t>Cundinamarca</t>
  </si>
  <si>
    <t>Edwin Santiago Cuchivaguen Diaz</t>
  </si>
  <si>
    <t>BOGOTÀ - CALLE CIEN</t>
  </si>
  <si>
    <t>BOGOTA - BARRIO RESTREPO</t>
  </si>
  <si>
    <t>LA CALERA</t>
  </si>
  <si>
    <t>La Calera</t>
  </si>
  <si>
    <t>UNE</t>
  </si>
  <si>
    <t>Une</t>
  </si>
  <si>
    <t>Nelson Leonardo Paez Suarez</t>
  </si>
  <si>
    <t>BOGOTÀ - SUBA</t>
  </si>
  <si>
    <t>BOGOTA - AVENIDA CHILE</t>
  </si>
  <si>
    <t>BOGOTA - PUENTE ARANDA</t>
  </si>
  <si>
    <t>BOGOTA - USME</t>
  </si>
  <si>
    <t>FACATATIVA</t>
  </si>
  <si>
    <t>Facatativá</t>
  </si>
  <si>
    <t>Jhonatan Felipe Hernandez Gamboa</t>
  </si>
  <si>
    <t>FUNZA</t>
  </si>
  <si>
    <t>Funza</t>
  </si>
  <si>
    <t>CHIA</t>
  </si>
  <si>
    <t>Chía</t>
  </si>
  <si>
    <t>TENJO</t>
  </si>
  <si>
    <t>Tenjo</t>
  </si>
  <si>
    <t>SOPO</t>
  </si>
  <si>
    <t>Sopó</t>
  </si>
  <si>
    <t>ZIPAQUIRA</t>
  </si>
  <si>
    <t>Zipaquirá</t>
  </si>
  <si>
    <t>SUBACHOQUE</t>
  </si>
  <si>
    <t>Subachoque</t>
  </si>
  <si>
    <t>Carlos Andres Cuchivaguen Diaz</t>
  </si>
  <si>
    <t>ACHI</t>
  </si>
  <si>
    <t>Achí</t>
  </si>
  <si>
    <t>Bolívar</t>
  </si>
  <si>
    <t>COSTA</t>
  </si>
  <si>
    <t>Jorge Felipe Munive Medina</t>
  </si>
  <si>
    <t>SOLEDAD</t>
  </si>
  <si>
    <t>Soledad</t>
  </si>
  <si>
    <t>Atlántico</t>
  </si>
  <si>
    <t>Vladimir Faneyte Taborda</t>
  </si>
  <si>
    <t>ZONA BANANERA</t>
  </si>
  <si>
    <t>Zona Bananera</t>
  </si>
  <si>
    <t>Magdalena</t>
  </si>
  <si>
    <t>Andrés Felipe Carvajal Pire</t>
  </si>
  <si>
    <t>CARTAGENA</t>
  </si>
  <si>
    <t>Cartagena</t>
  </si>
  <si>
    <t>Rafael Antonio Molina Ortega</t>
  </si>
  <si>
    <t>ARJONA</t>
  </si>
  <si>
    <t>Arjona</t>
  </si>
  <si>
    <t>Ramon Salgado Romero</t>
  </si>
  <si>
    <t>CALAMAR</t>
  </si>
  <si>
    <t>Calamar</t>
  </si>
  <si>
    <t>MARIA LA BAJA</t>
  </si>
  <si>
    <t>María La Baja</t>
  </si>
  <si>
    <t>EL CARMEN DE BOLIVAR</t>
  </si>
  <si>
    <t>El Carmen de Bolivar</t>
  </si>
  <si>
    <t>Gabriel Eduardo Tapias Castellar</t>
  </si>
  <si>
    <t>MAGANGUE</t>
  </si>
  <si>
    <t>Magangué</t>
  </si>
  <si>
    <t>Gabriel Ivan Ballesteros Quiroz</t>
  </si>
  <si>
    <t>MOMPOX</t>
  </si>
  <si>
    <t>Mompós</t>
  </si>
  <si>
    <t>MORALES</t>
  </si>
  <si>
    <t>Morales</t>
  </si>
  <si>
    <t>SANTANDERES</t>
  </si>
  <si>
    <t>Libni Simei Pardo Yanes</t>
  </si>
  <si>
    <t>PINILLOS</t>
  </si>
  <si>
    <t>Pinillos</t>
  </si>
  <si>
    <t>SAN JUAN DE NEPOMUCENO</t>
  </si>
  <si>
    <t>San Juan Nepomuceno</t>
  </si>
  <si>
    <t>SAN PABLO</t>
  </si>
  <si>
    <t>San Pablo</t>
  </si>
  <si>
    <t>SAN ESTANISLAO</t>
  </si>
  <si>
    <t>San Estanislao</t>
  </si>
  <si>
    <t>SAN JACINTO</t>
  </si>
  <si>
    <t>San Jacinto</t>
  </si>
  <si>
    <t>SIMITI</t>
  </si>
  <si>
    <t>Simití</t>
  </si>
  <si>
    <t>SANTA CATALINA</t>
  </si>
  <si>
    <t>Santa Catalina</t>
  </si>
  <si>
    <t>SANTA ROSA DEL SUR</t>
  </si>
  <si>
    <t>Santa Rosa Del Sur</t>
  </si>
  <si>
    <t>ANDES</t>
  </si>
  <si>
    <t>Andes</t>
  </si>
  <si>
    <t>Antioquia</t>
  </si>
  <si>
    <t>ANTIOQUIA</t>
  </si>
  <si>
    <t>Juan Pablo Osorio Ramirez</t>
  </si>
  <si>
    <t>ABEJORRAL</t>
  </si>
  <si>
    <t>Abejorral</t>
  </si>
  <si>
    <t>MEDELLIN MILLA DE ORO</t>
  </si>
  <si>
    <t>Medellín</t>
  </si>
  <si>
    <t>Andrés Mariano Bustamante Castro</t>
  </si>
  <si>
    <t>ITAGÜI</t>
  </si>
  <si>
    <t>Itagüi</t>
  </si>
  <si>
    <t>MEDELLIN AMERICA</t>
  </si>
  <si>
    <t>ANGELOPOLIS</t>
  </si>
  <si>
    <t>Angelópolis</t>
  </si>
  <si>
    <t>ANGOSTURA</t>
  </si>
  <si>
    <t>Angostura</t>
  </si>
  <si>
    <t>ANORI</t>
  </si>
  <si>
    <t>Anorí</t>
  </si>
  <si>
    <t>ANZA</t>
  </si>
  <si>
    <t>Anza</t>
  </si>
  <si>
    <t>Ever Enrique Esquivel Movilla</t>
  </si>
  <si>
    <t>ARBOLETES</t>
  </si>
  <si>
    <t>Arboletes</t>
  </si>
  <si>
    <t>EL BAGRE</t>
  </si>
  <si>
    <t>El Bagre</t>
  </si>
  <si>
    <t>CAUCASIA</t>
  </si>
  <si>
    <t>Caucasia</t>
  </si>
  <si>
    <t>CENTRO DE NEGOCIOS MEDELLIN CARABOBO</t>
  </si>
  <si>
    <t>DON MATIAS</t>
  </si>
  <si>
    <t>Donmatías</t>
  </si>
  <si>
    <t>CHIGORODO</t>
  </si>
  <si>
    <t>Chigorodó</t>
  </si>
  <si>
    <t>MUTATA</t>
  </si>
  <si>
    <t>Mutatá</t>
  </si>
  <si>
    <t>ARGELIA</t>
  </si>
  <si>
    <t>Argelia</t>
  </si>
  <si>
    <t>MEDELLIN ALPUJARRA</t>
  </si>
  <si>
    <t>TURBO</t>
  </si>
  <si>
    <t>Turbo</t>
  </si>
  <si>
    <t>ALTAMIRA (Corregimiento del municipio de Betulia - Antioquia)</t>
  </si>
  <si>
    <t>Betulia</t>
  </si>
  <si>
    <t>JARDIN</t>
  </si>
  <si>
    <t>Jardín</t>
  </si>
  <si>
    <t>SANTA ROSA DE OSOS</t>
  </si>
  <si>
    <t>Santa Rosa De Osos</t>
  </si>
  <si>
    <t>BETANIA</t>
  </si>
  <si>
    <t>Betania</t>
  </si>
  <si>
    <t>BOLIVAR</t>
  </si>
  <si>
    <t>Ciudad Bolívar</t>
  </si>
  <si>
    <t>SAN LUIS</t>
  </si>
  <si>
    <t>San Luis</t>
  </si>
  <si>
    <t>SONSON</t>
  </si>
  <si>
    <t>Sonson</t>
  </si>
  <si>
    <t>EL RETIRO</t>
  </si>
  <si>
    <t>Retiro</t>
  </si>
  <si>
    <t>ARMENIA</t>
  </si>
  <si>
    <t>Armenia</t>
  </si>
  <si>
    <t>AMAGA</t>
  </si>
  <si>
    <t>Amagá</t>
  </si>
  <si>
    <t>BELLO</t>
  </si>
  <si>
    <t>Bello</t>
  </si>
  <si>
    <t>APARTADO</t>
  </si>
  <si>
    <t>Apartadó</t>
  </si>
  <si>
    <t>EBEJICO</t>
  </si>
  <si>
    <t>Ebéjico</t>
  </si>
  <si>
    <t>CAICEDO</t>
  </si>
  <si>
    <t>Caicedo</t>
  </si>
  <si>
    <t>COPACABANA</t>
  </si>
  <si>
    <t>Copacabana</t>
  </si>
  <si>
    <t>SAN JUAN DE URABA</t>
  </si>
  <si>
    <t>San Juan De Urabá</t>
  </si>
  <si>
    <t>TAMESIS</t>
  </si>
  <si>
    <t>Támesis</t>
  </si>
  <si>
    <t>ENVIGADO</t>
  </si>
  <si>
    <t>Envigado</t>
  </si>
  <si>
    <t>HELICONIA</t>
  </si>
  <si>
    <t>Heliconia</t>
  </si>
  <si>
    <t>CAMPAMENTO</t>
  </si>
  <si>
    <t>Campamento</t>
  </si>
  <si>
    <t>CAÑASGORDAS</t>
  </si>
  <si>
    <t>Cañasgordas</t>
  </si>
  <si>
    <t>LA PINTADA</t>
  </si>
  <si>
    <t>La Pintada</t>
  </si>
  <si>
    <t>PUERTO BERRIO</t>
  </si>
  <si>
    <t>Puerto Berrío</t>
  </si>
  <si>
    <t>PUERTO TRIUNFO</t>
  </si>
  <si>
    <t>Puerto Triunfo</t>
  </si>
  <si>
    <t>CISNEROS</t>
  </si>
  <si>
    <t>Cisneros</t>
  </si>
  <si>
    <t>LA CEJA</t>
  </si>
  <si>
    <t>La Ceja</t>
  </si>
  <si>
    <t>LA ESTRELLA</t>
  </si>
  <si>
    <t>La Estrella</t>
  </si>
  <si>
    <t>COCORNA</t>
  </si>
  <si>
    <t>Cocorná</t>
  </si>
  <si>
    <t>CARMEN DE VIBORAL</t>
  </si>
  <si>
    <t>El Carmen De Viboral</t>
  </si>
  <si>
    <t>CALDAS</t>
  </si>
  <si>
    <t>Caldas</t>
  </si>
  <si>
    <t>GIRARDOTA</t>
  </si>
  <si>
    <t>Girardota</t>
  </si>
  <si>
    <t>GUADALUPE</t>
  </si>
  <si>
    <t>Guadalupe</t>
  </si>
  <si>
    <t>GUARNE</t>
  </si>
  <si>
    <t>Guarne</t>
  </si>
  <si>
    <t>GRANADA</t>
  </si>
  <si>
    <t>Granada</t>
  </si>
  <si>
    <t>RIONEGRO</t>
  </si>
  <si>
    <t>Rionegro</t>
  </si>
  <si>
    <t>LA UNION</t>
  </si>
  <si>
    <t>La Unión</t>
  </si>
  <si>
    <t>MARINILLA</t>
  </si>
  <si>
    <t>Marinilla</t>
  </si>
  <si>
    <t>SAN CRISTOBAL</t>
  </si>
  <si>
    <t>SAN JERONIMO</t>
  </si>
  <si>
    <t>San Jerónimo</t>
  </si>
  <si>
    <t>SAN PEDRO</t>
  </si>
  <si>
    <t>San Pedro De Los Milagros</t>
  </si>
  <si>
    <t>SAN VICENTE</t>
  </si>
  <si>
    <t>San Vicente</t>
  </si>
  <si>
    <t>SANTAFE DE ANTIOQUIA</t>
  </si>
  <si>
    <t>Santafé De Antioquia</t>
  </si>
  <si>
    <t>SANTUARIO</t>
  </si>
  <si>
    <t>El Santuario</t>
  </si>
  <si>
    <t>SAN PEDRO DE URABA</t>
  </si>
  <si>
    <t>San Pedro De Uraba</t>
  </si>
  <si>
    <t>TITIRIBI</t>
  </si>
  <si>
    <t>Titiribí</t>
  </si>
  <si>
    <t>JERICO</t>
  </si>
  <si>
    <t>Jericó</t>
  </si>
  <si>
    <t>YONDO</t>
  </si>
  <si>
    <t>Yondó</t>
  </si>
  <si>
    <t>URRAO</t>
  </si>
  <si>
    <t>Urrao</t>
  </si>
  <si>
    <t>SAN CARLOS</t>
  </si>
  <si>
    <t>San Carlos</t>
  </si>
  <si>
    <t>SOPETRAN</t>
  </si>
  <si>
    <t>Sopetrán</t>
  </si>
  <si>
    <t>YARUMAL</t>
  </si>
  <si>
    <t>Yarumal</t>
  </si>
  <si>
    <t>ZARAGOZA</t>
  </si>
  <si>
    <t>Zaragoza</t>
  </si>
  <si>
    <t>CONCEPCION</t>
  </si>
  <si>
    <t>Concepción</t>
  </si>
  <si>
    <t>CARACOLI</t>
  </si>
  <si>
    <t>Caracolí</t>
  </si>
  <si>
    <t>CARAMANTA</t>
  </si>
  <si>
    <t>Caramanta</t>
  </si>
  <si>
    <t>CAROLINA</t>
  </si>
  <si>
    <t>Carolina</t>
  </si>
  <si>
    <t>AMALFI</t>
  </si>
  <si>
    <t>Amalfi</t>
  </si>
  <si>
    <t>FRONTINO</t>
  </si>
  <si>
    <t>Frontino</t>
  </si>
  <si>
    <t>GOMEZ PLATA</t>
  </si>
  <si>
    <t>Gómez Plata</t>
  </si>
  <si>
    <t>ITUANGO</t>
  </si>
  <si>
    <t>Ituango</t>
  </si>
  <si>
    <t>LIBORINA</t>
  </si>
  <si>
    <t>Liborina</t>
  </si>
  <si>
    <t>DABEIBA</t>
  </si>
  <si>
    <t>Dabeiba</t>
  </si>
  <si>
    <t>PUERTO NARE</t>
  </si>
  <si>
    <t>Puerto Nare</t>
  </si>
  <si>
    <t>MACEO</t>
  </si>
  <si>
    <t>Maceo</t>
  </si>
  <si>
    <t>MONTEBELLO</t>
  </si>
  <si>
    <t>Montebello</t>
  </si>
  <si>
    <t>NARIÑO</t>
  </si>
  <si>
    <t>Nariño</t>
  </si>
  <si>
    <t>NECHI</t>
  </si>
  <si>
    <t>Nechí</t>
  </si>
  <si>
    <t>NECOCLI</t>
  </si>
  <si>
    <t>Necoclí</t>
  </si>
  <si>
    <t>EL PEÑOL</t>
  </si>
  <si>
    <t>Peñol</t>
  </si>
  <si>
    <t>PEQUE</t>
  </si>
  <si>
    <t>Peque</t>
  </si>
  <si>
    <t>PUEBLORRICO</t>
  </si>
  <si>
    <t>Pueblorrico</t>
  </si>
  <si>
    <t>REMEDIOS</t>
  </si>
  <si>
    <t>Remedios</t>
  </si>
  <si>
    <t>VEGACHI</t>
  </si>
  <si>
    <t>Vegachí</t>
  </si>
  <si>
    <t>SABANALARGA</t>
  </si>
  <si>
    <t>Sabanalarga</t>
  </si>
  <si>
    <t>SAN ANDRES DE CUERQUIA</t>
  </si>
  <si>
    <t>San Andrés De Cuerquía</t>
  </si>
  <si>
    <t>SAN JOSE DE LA MONTAÑA</t>
  </si>
  <si>
    <t>San José De La Montaña</t>
  </si>
  <si>
    <t>SAN RAFAEL</t>
  </si>
  <si>
    <t>San Rafael</t>
  </si>
  <si>
    <t>ALEJANDRIA</t>
  </si>
  <si>
    <t>Alejandría</t>
  </si>
  <si>
    <t>SAN ROQUE</t>
  </si>
  <si>
    <t>San Roque</t>
  </si>
  <si>
    <t>SANTO DOMINGO</t>
  </si>
  <si>
    <t>Santo Domingo</t>
  </si>
  <si>
    <t>SEGOVIA</t>
  </si>
  <si>
    <t>Segovia</t>
  </si>
  <si>
    <t>TARAZA</t>
  </si>
  <si>
    <t>Tarazá</t>
  </si>
  <si>
    <t>TARSO</t>
  </si>
  <si>
    <t>Tarso</t>
  </si>
  <si>
    <t>TOLEDO</t>
  </si>
  <si>
    <t>Toledo</t>
  </si>
  <si>
    <t>VALDIVIA</t>
  </si>
  <si>
    <t>Valdivia</t>
  </si>
  <si>
    <t>VALPARAISO</t>
  </si>
  <si>
    <t>Valparaíso</t>
  </si>
  <si>
    <t>ENTRERRIOS</t>
  </si>
  <si>
    <t>AQUITANIA</t>
  </si>
  <si>
    <t>Aquitania</t>
  </si>
  <si>
    <t>Boyacá</t>
  </si>
  <si>
    <t>ORIENTE</t>
  </si>
  <si>
    <t xml:space="preserve">Luz Nélida Barragán Toro </t>
  </si>
  <si>
    <t>ARCABUCO</t>
  </si>
  <si>
    <t>Arcabuco</t>
  </si>
  <si>
    <t xml:space="preserve">Andrés Felipe Díaz Noy </t>
  </si>
  <si>
    <t>TUNJA</t>
  </si>
  <si>
    <t>Tunja</t>
  </si>
  <si>
    <t>BELEN</t>
  </si>
  <si>
    <t>Belén</t>
  </si>
  <si>
    <t>PAZ DE RIO</t>
  </si>
  <si>
    <t>Paz de Río</t>
  </si>
  <si>
    <t>CRISTIAN CAMILO DIAZ NOY</t>
  </si>
  <si>
    <t>BOAVITA</t>
  </si>
  <si>
    <t>Boavita</t>
  </si>
  <si>
    <t>DUITAMA</t>
  </si>
  <si>
    <t>Duitama</t>
  </si>
  <si>
    <t>CAMPOHERMOSO</t>
  </si>
  <si>
    <t>Campohermoso</t>
  </si>
  <si>
    <t>CUBARA</t>
  </si>
  <si>
    <t>Cubará</t>
  </si>
  <si>
    <t>ARAUCA</t>
  </si>
  <si>
    <t>PAIPA</t>
  </si>
  <si>
    <t>Paipa</t>
  </si>
  <si>
    <t>CHINAVITA</t>
  </si>
  <si>
    <t>Chinavita</t>
  </si>
  <si>
    <t>CHISCAS</t>
  </si>
  <si>
    <t>Chiscas</t>
  </si>
  <si>
    <t>CHIVOR</t>
  </si>
  <si>
    <t>Chivor</t>
  </si>
  <si>
    <t>SOGAMOSO</t>
  </si>
  <si>
    <t>Sogamoso</t>
  </si>
  <si>
    <t>CHITA</t>
  </si>
  <si>
    <t>Chita</t>
  </si>
  <si>
    <t xml:space="preserve">Mauricio Andrés Rivera Páez </t>
  </si>
  <si>
    <t>CHITARAQUE</t>
  </si>
  <si>
    <t>Chitaraque</t>
  </si>
  <si>
    <t>COVARACHIA</t>
  </si>
  <si>
    <t>Covarachía</t>
  </si>
  <si>
    <t>EL COCUY</t>
  </si>
  <si>
    <t>El Cocuy</t>
  </si>
  <si>
    <t>EL ESPINO</t>
  </si>
  <si>
    <t>El Espino</t>
  </si>
  <si>
    <t>GACHANTIVA</t>
  </si>
  <si>
    <t>Gachantivá</t>
  </si>
  <si>
    <t>CHIQUINQUIRA</t>
  </si>
  <si>
    <t>Chiquinquirá</t>
  </si>
  <si>
    <t>GAMEZA</t>
  </si>
  <si>
    <t>Gameza</t>
  </si>
  <si>
    <t>GARAGOA</t>
  </si>
  <si>
    <t>Garagoa</t>
  </si>
  <si>
    <t>JENESANO</t>
  </si>
  <si>
    <t>Jenesano</t>
  </si>
  <si>
    <t>GUATEQUE</t>
  </si>
  <si>
    <t>Guateque</t>
  </si>
  <si>
    <t>GUAYATA</t>
  </si>
  <si>
    <t>Guayatá</t>
  </si>
  <si>
    <t>GUICAN</t>
  </si>
  <si>
    <t>Güicán</t>
  </si>
  <si>
    <t>LABRANZAGRANDE</t>
  </si>
  <si>
    <t>Labranzagrande</t>
  </si>
  <si>
    <t>LA UVITA</t>
  </si>
  <si>
    <t>La Uvita</t>
  </si>
  <si>
    <t>MUZO</t>
  </si>
  <si>
    <t>Muzo</t>
  </si>
  <si>
    <t>VILLA DE LEYVA</t>
  </si>
  <si>
    <t>Villa De Leyva</t>
  </si>
  <si>
    <t>NUEVO COLON</t>
  </si>
  <si>
    <t>Nuevo Colón</t>
  </si>
  <si>
    <t>MACANAL</t>
  </si>
  <si>
    <t>Macanal</t>
  </si>
  <si>
    <t>MIRAFLORES</t>
  </si>
  <si>
    <t>Miraflores</t>
  </si>
  <si>
    <t>MONIQUIRA</t>
  </si>
  <si>
    <t>Moniquirá</t>
  </si>
  <si>
    <t>OTANCHE</t>
  </si>
  <si>
    <t>Otanche</t>
  </si>
  <si>
    <t>PAEZ</t>
  </si>
  <si>
    <t>Páez</t>
  </si>
  <si>
    <t>PAJARITO</t>
  </si>
  <si>
    <t>Pajarito</t>
  </si>
  <si>
    <t>PAUNA</t>
  </si>
  <si>
    <t>Pauna</t>
  </si>
  <si>
    <t>PESCA</t>
  </si>
  <si>
    <t>Pesca</t>
  </si>
  <si>
    <t>PUERTO BOYACA</t>
  </si>
  <si>
    <t>Puerto Boyacá</t>
  </si>
  <si>
    <t>Luz Nélida Barragán Toro  Y ANDRES FELIPE DIAZ</t>
  </si>
  <si>
    <t>RAMIRIQUI</t>
  </si>
  <si>
    <t>Ramiriquí</t>
  </si>
  <si>
    <t>SABOYA</t>
  </si>
  <si>
    <t>Saboyá</t>
  </si>
  <si>
    <t>SAMACA</t>
  </si>
  <si>
    <t>Samacá</t>
  </si>
  <si>
    <t>SAN JOSE DE PARE</t>
  </si>
  <si>
    <t>San José De Pare</t>
  </si>
  <si>
    <t>SAN LUIS DE GACENO</t>
  </si>
  <si>
    <t>San Luis De Gaceno</t>
  </si>
  <si>
    <t>SAN MATEO</t>
  </si>
  <si>
    <t>San Mateo</t>
  </si>
  <si>
    <t>SANTANA</t>
  </si>
  <si>
    <t>Santana</t>
  </si>
  <si>
    <t>SANTA ROSA DE VITERBO</t>
  </si>
  <si>
    <t>Santa Rosa De Viterbo</t>
  </si>
  <si>
    <t>SANTA SOFIA</t>
  </si>
  <si>
    <t>Santa Sofía</t>
  </si>
  <si>
    <t>SATIVANORTE</t>
  </si>
  <si>
    <t>Sativanorte</t>
  </si>
  <si>
    <t>SOATA</t>
  </si>
  <si>
    <t>Soatá</t>
  </si>
  <si>
    <t>Mauricio Andrés Rivera Páez  Y ANDRES FELIPE DIAZ</t>
  </si>
  <si>
    <t>SOCOTA</t>
  </si>
  <si>
    <t>Socotá</t>
  </si>
  <si>
    <t>SOCHA</t>
  </si>
  <si>
    <t>Socha</t>
  </si>
  <si>
    <t>SOMONDOCO</t>
  </si>
  <si>
    <t>Somondoco</t>
  </si>
  <si>
    <t>SOTAQUIRA</t>
  </si>
  <si>
    <t>Sotaquirá</t>
  </si>
  <si>
    <t>SUSACON</t>
  </si>
  <si>
    <t>Susacón</t>
  </si>
  <si>
    <t>SUTAMARCHAN</t>
  </si>
  <si>
    <t>Sutamarchán</t>
  </si>
  <si>
    <t>TENZA</t>
  </si>
  <si>
    <t>Tenza</t>
  </si>
  <si>
    <t>TIBANA</t>
  </si>
  <si>
    <t>Tibaná</t>
  </si>
  <si>
    <t>TIPACOQUE</t>
  </si>
  <si>
    <t>Tipacoque</t>
  </si>
  <si>
    <t>TOCA</t>
  </si>
  <si>
    <t>Toca</t>
  </si>
  <si>
    <t>TOGUI</t>
  </si>
  <si>
    <t>Togüí</t>
  </si>
  <si>
    <t>TURMEQUE</t>
  </si>
  <si>
    <t>Turmequé</t>
  </si>
  <si>
    <t>TUTA</t>
  </si>
  <si>
    <t>Tuta</t>
  </si>
  <si>
    <t>UMBITA</t>
  </si>
  <si>
    <t>Umbita</t>
  </si>
  <si>
    <t>VENTAQUEMADA</t>
  </si>
  <si>
    <t>Ventaquemada</t>
  </si>
  <si>
    <t>ZETAQUIRA</t>
  </si>
  <si>
    <t>Zetaquira</t>
  </si>
  <si>
    <t>BARRANQUILLA ( PRINCIPAL )</t>
  </si>
  <si>
    <t>Barranquilla</t>
  </si>
  <si>
    <t>BARRANQUILLA PRADO</t>
  </si>
  <si>
    <t xml:space="preserve">Vladimir Faneyte Taborda/Karolyn Ripoll </t>
  </si>
  <si>
    <t>Karolym  Maria Rypoll Bolemo</t>
  </si>
  <si>
    <t>BARANOA</t>
  </si>
  <si>
    <t>Baranoa</t>
  </si>
  <si>
    <t>Saudy Enrique Amaya Hernadez</t>
  </si>
  <si>
    <t>CAMPO DE LA CRUZ</t>
  </si>
  <si>
    <t>Campo De La Cruz</t>
  </si>
  <si>
    <t>Hernando Arenas Lambis</t>
  </si>
  <si>
    <t>LURUACO</t>
  </si>
  <si>
    <t>Luruaco</t>
  </si>
  <si>
    <t>MANATI</t>
  </si>
  <si>
    <t>Manatí</t>
  </si>
  <si>
    <t>REPELON</t>
  </si>
  <si>
    <t>Repelón</t>
  </si>
  <si>
    <t>JUAN DE ACOSTA</t>
  </si>
  <si>
    <t>Juan De Acosta</t>
  </si>
  <si>
    <t>PUERTO COLOMBIA</t>
  </si>
  <si>
    <t>Puerto Colombia</t>
  </si>
  <si>
    <t>CANDELARIA</t>
  </si>
  <si>
    <t>Candelaria</t>
  </si>
  <si>
    <t>SANTO TOMAS</t>
  </si>
  <si>
    <t>Santo Tomás</t>
  </si>
  <si>
    <t>AGUADAS</t>
  </si>
  <si>
    <t>Aguadas</t>
  </si>
  <si>
    <t>CAFETERA</t>
  </si>
  <si>
    <t>JULIO  CESAR AUDELO  - ANDRES FELIPE BOTERO</t>
  </si>
  <si>
    <t>MANIZALES</t>
  </si>
  <si>
    <t>Manizales</t>
  </si>
  <si>
    <t>CERRADA</t>
  </si>
  <si>
    <t>NEIRA</t>
  </si>
  <si>
    <t>Neira</t>
  </si>
  <si>
    <t>BELALCAZAR</t>
  </si>
  <si>
    <t>Belalcázar</t>
  </si>
  <si>
    <t>RISARALDA</t>
  </si>
  <si>
    <t>BOLIVIA (Corregimiento de l municipio de Pensilvania - Caldas)</t>
  </si>
  <si>
    <t>Pensilvania</t>
  </si>
  <si>
    <t>ANSERMA</t>
  </si>
  <si>
    <t>Anserma</t>
  </si>
  <si>
    <t>SALAMINA</t>
  </si>
  <si>
    <t>Salamina</t>
  </si>
  <si>
    <t>MARMATO</t>
  </si>
  <si>
    <t>Marmato</t>
  </si>
  <si>
    <t>MARQUETALIA</t>
  </si>
  <si>
    <t>Marquetalia</t>
  </si>
  <si>
    <t>MARULANDA</t>
  </si>
  <si>
    <t>Marulanda</t>
  </si>
  <si>
    <t>RIOSUCIO</t>
  </si>
  <si>
    <t>Riosucio</t>
  </si>
  <si>
    <t>PALESTINA-CALDAS</t>
  </si>
  <si>
    <t>Palestina</t>
  </si>
  <si>
    <t>LA MERCED</t>
  </si>
  <si>
    <t>La Merced</t>
  </si>
  <si>
    <t>ARANZAZU</t>
  </si>
  <si>
    <t>Aranzazu</t>
  </si>
  <si>
    <t>SAMANA</t>
  </si>
  <si>
    <t>Samaná</t>
  </si>
  <si>
    <t>VITERBO</t>
  </si>
  <si>
    <t>Viterbo</t>
  </si>
  <si>
    <t>PACORA</t>
  </si>
  <si>
    <t>Pácora</t>
  </si>
  <si>
    <t>NORCASIA</t>
  </si>
  <si>
    <t>Norcasia</t>
  </si>
  <si>
    <t>Risaralda</t>
  </si>
  <si>
    <t>VICTORIA</t>
  </si>
  <si>
    <t>Victoria</t>
  </si>
  <si>
    <t>SAN JOSÉ</t>
  </si>
  <si>
    <t>San José</t>
  </si>
  <si>
    <t>EL TAMBO</t>
  </si>
  <si>
    <t>El Tambo</t>
  </si>
  <si>
    <t>Cauca</t>
  </si>
  <si>
    <t>OCCIDENTE</t>
  </si>
  <si>
    <t>Holmes Arley Astudillo Fajardo</t>
  </si>
  <si>
    <t>EL BORDO</t>
  </si>
  <si>
    <t>Patía</t>
  </si>
  <si>
    <t>BALBOA</t>
  </si>
  <si>
    <t>Balboa</t>
  </si>
  <si>
    <t>CAJIBIO</t>
  </si>
  <si>
    <t>Cajibío</t>
  </si>
  <si>
    <t>TOTORO</t>
  </si>
  <si>
    <t>Totoró</t>
  </si>
  <si>
    <t>ROSAS</t>
  </si>
  <si>
    <t>Rosas</t>
  </si>
  <si>
    <t>LA SIERRA</t>
  </si>
  <si>
    <t>La Sierra</t>
  </si>
  <si>
    <t>CALDONO</t>
  </si>
  <si>
    <t>Caldono</t>
  </si>
  <si>
    <t>SUAREZ</t>
  </si>
  <si>
    <t>Suárez</t>
  </si>
  <si>
    <t>MIRANDA</t>
  </si>
  <si>
    <t>Miranda</t>
  </si>
  <si>
    <t>CORINTO</t>
  </si>
  <si>
    <t>Corinto</t>
  </si>
  <si>
    <t>MERCADERES</t>
  </si>
  <si>
    <t>Mercaderes</t>
  </si>
  <si>
    <t>CALOTO</t>
  </si>
  <si>
    <t>Caloto</t>
  </si>
  <si>
    <t>INZA</t>
  </si>
  <si>
    <t>Inzá</t>
  </si>
  <si>
    <t>SUR</t>
  </si>
  <si>
    <t>GUAPI</t>
  </si>
  <si>
    <t>Guapi</t>
  </si>
  <si>
    <t>PADILLA</t>
  </si>
  <si>
    <t>Padilla</t>
  </si>
  <si>
    <t>BUENOS AIRES</t>
  </si>
  <si>
    <t>Buenos Aires</t>
  </si>
  <si>
    <t>JAMBALO</t>
  </si>
  <si>
    <t>Jambaló</t>
  </si>
  <si>
    <t>PAISPAMBA SOTARA</t>
  </si>
  <si>
    <t>Sotara</t>
  </si>
  <si>
    <t>LOPEZ DE MICAY</t>
  </si>
  <si>
    <t>López</t>
  </si>
  <si>
    <t>PAEZ BELALCAZAR</t>
  </si>
  <si>
    <t>Paez</t>
  </si>
  <si>
    <t>SAN SEBASTIAN</t>
  </si>
  <si>
    <t>San Sebastián</t>
  </si>
  <si>
    <t>ALMAGUER</t>
  </si>
  <si>
    <t>Almaguer</t>
  </si>
  <si>
    <t>LA VEGA</t>
  </si>
  <si>
    <t>La Vega</t>
  </si>
  <si>
    <t>PURACE</t>
  </si>
  <si>
    <t>Puracé</t>
  </si>
  <si>
    <t>TORIBIO</t>
  </si>
  <si>
    <t>Toribio</t>
  </si>
  <si>
    <t>CAUCA</t>
  </si>
  <si>
    <t>TIMBIQUI</t>
  </si>
  <si>
    <t>Timbiquí</t>
  </si>
  <si>
    <t>AGUACHICA</t>
  </si>
  <si>
    <t>Aguachica</t>
  </si>
  <si>
    <t>Cesar</t>
  </si>
  <si>
    <t>Jerson Gregorio Rodriguez Ramirez</t>
  </si>
  <si>
    <t>ASTREA</t>
  </si>
  <si>
    <t>Astrea</t>
  </si>
  <si>
    <t xml:space="preserve">María Fernanda Mendoza Martinez </t>
  </si>
  <si>
    <t>VALLEDUPAR</t>
  </si>
  <si>
    <t>Valledupar</t>
  </si>
  <si>
    <t>BECERRIL</t>
  </si>
  <si>
    <t>Becerril</t>
  </si>
  <si>
    <t>Luis Alfonso Lozano Cervantes</t>
  </si>
  <si>
    <t>CODAZZI</t>
  </si>
  <si>
    <t>Agustín Codazzi</t>
  </si>
  <si>
    <t>Antonio Martinez Charris</t>
  </si>
  <si>
    <t>VALLEDUPAR - CDV</t>
  </si>
  <si>
    <t>LA PAZ ROBLES</t>
  </si>
  <si>
    <t>La Paz</t>
  </si>
  <si>
    <t>FONSECA</t>
  </si>
  <si>
    <t>Fonseca</t>
  </si>
  <si>
    <t>La Guajira</t>
  </si>
  <si>
    <t>Karen Katerine  Beleño Andrade</t>
  </si>
  <si>
    <t>BOSCONIA</t>
  </si>
  <si>
    <t>Bosconia</t>
  </si>
  <si>
    <t>Saray Herrera Guette</t>
  </si>
  <si>
    <t>CHIMICHAGUA</t>
  </si>
  <si>
    <t>Chimichagua</t>
  </si>
  <si>
    <t>MANAURE</t>
  </si>
  <si>
    <t>Manaure</t>
  </si>
  <si>
    <t>CHIRIGUANA</t>
  </si>
  <si>
    <t>Chiriguaná</t>
  </si>
  <si>
    <t>Eliana Julieth Castellanos Diaz</t>
  </si>
  <si>
    <t>EL COPEY</t>
  </si>
  <si>
    <t>El Copey</t>
  </si>
  <si>
    <t>Jorge Mario Rocha Cabarca</t>
  </si>
  <si>
    <t>SAN ALBERTO</t>
  </si>
  <si>
    <t>San Alberto</t>
  </si>
  <si>
    <t>Juan Diego Mariño Rivera</t>
  </si>
  <si>
    <t>LA GLORIA</t>
  </si>
  <si>
    <t>La Gloria</t>
  </si>
  <si>
    <t>Jerson Julian Portillo Anteliz</t>
  </si>
  <si>
    <t>SAN DIEGO</t>
  </si>
  <si>
    <t>San Diego</t>
  </si>
  <si>
    <t>LA JAGUA DE IBIRICO</t>
  </si>
  <si>
    <t>La Jagua De Ibirico</t>
  </si>
  <si>
    <t>PUEBLO BELLO</t>
  </si>
  <si>
    <t>Ruben Dario Bertel Hugues</t>
  </si>
  <si>
    <t>PAILITAS - CESAR</t>
  </si>
  <si>
    <t>Pailitas</t>
  </si>
  <si>
    <t>Santiago Pupo Cogollo</t>
  </si>
  <si>
    <t>PELAYA</t>
  </si>
  <si>
    <t>Pelaya</t>
  </si>
  <si>
    <t>RIO DE ORO</t>
  </si>
  <si>
    <t>Río De Oro</t>
  </si>
  <si>
    <t>Yojan Alexis Pava Duarte</t>
  </si>
  <si>
    <t>TAMALAMEQUE</t>
  </si>
  <si>
    <t>Tamalameque</t>
  </si>
  <si>
    <t>AYAPEL</t>
  </si>
  <si>
    <t>Ayapel</t>
  </si>
  <si>
    <t>Córdoba</t>
  </si>
  <si>
    <t>Jhon Jairo Vergara Pelaez</t>
  </si>
  <si>
    <t>MONTERIA</t>
  </si>
  <si>
    <t>Montería</t>
  </si>
  <si>
    <t>BUENAVISTA</t>
  </si>
  <si>
    <t>Buenavista</t>
  </si>
  <si>
    <t>CERETE</t>
  </si>
  <si>
    <t>Cereté</t>
  </si>
  <si>
    <t>CANALETE</t>
  </si>
  <si>
    <t>Canalete</t>
  </si>
  <si>
    <t>CIENAGA DE ORO</t>
  </si>
  <si>
    <t>Ciénaga De Oro</t>
  </si>
  <si>
    <t>CHIMA</t>
  </si>
  <si>
    <t>Chimá</t>
  </si>
  <si>
    <t>Dimar Jose Morelo Cardona</t>
  </si>
  <si>
    <t>LORICA</t>
  </si>
  <si>
    <t>Lorica</t>
  </si>
  <si>
    <t>LOS CORDOBAS</t>
  </si>
  <si>
    <t>Los Córdobas</t>
  </si>
  <si>
    <t>MOMIL</t>
  </si>
  <si>
    <t>Momil</t>
  </si>
  <si>
    <t>MONTELIBANO</t>
  </si>
  <si>
    <t>Montelíbano</t>
  </si>
  <si>
    <t>MOÑITOS</t>
  </si>
  <si>
    <t>Moñitos</t>
  </si>
  <si>
    <t>SAN BERNARDO DEL VIENTO</t>
  </si>
  <si>
    <t>San Bernardo Del Viento</t>
  </si>
  <si>
    <t>PLANETA RICA</t>
  </si>
  <si>
    <t>Planeta Rica</t>
  </si>
  <si>
    <t>PUEBLO NUEVO</t>
  </si>
  <si>
    <t>Pueblo Nuevo</t>
  </si>
  <si>
    <t>PUERTO ESCONDIDO</t>
  </si>
  <si>
    <t>Puerto Escondido</t>
  </si>
  <si>
    <t>SAHAGUN</t>
  </si>
  <si>
    <t>Sahagún</t>
  </si>
  <si>
    <t>Laura Camila Ospino Taborda</t>
  </si>
  <si>
    <t>PUERTO LIBERTADOR</t>
  </si>
  <si>
    <t>Puerto Libertador</t>
  </si>
  <si>
    <t>SAN PELAYO</t>
  </si>
  <si>
    <t>San Pelayo</t>
  </si>
  <si>
    <t>PURISIMA</t>
  </si>
  <si>
    <t>Purísima</t>
  </si>
  <si>
    <t>SAN ANDRES DE SOTAVENTO</t>
  </si>
  <si>
    <t>San Andrés De Sotavento</t>
  </si>
  <si>
    <t>SAN ANTERO</t>
  </si>
  <si>
    <t>San Antero</t>
  </si>
  <si>
    <t>TIERRALTA</t>
  </si>
  <si>
    <t>Tierralta</t>
  </si>
  <si>
    <t>VALENCIA</t>
  </si>
  <si>
    <t>Valencia</t>
  </si>
  <si>
    <t>CHINU</t>
  </si>
  <si>
    <t>Chinú</t>
  </si>
  <si>
    <t>TENA</t>
  </si>
  <si>
    <t>Tena</t>
  </si>
  <si>
    <t>VILLAGOMEZ</t>
  </si>
  <si>
    <t>Villagómez</t>
  </si>
  <si>
    <t>ANAPOIMA</t>
  </si>
  <si>
    <t>Anapoima</t>
  </si>
  <si>
    <t>ANOLAIMA</t>
  </si>
  <si>
    <t>Anolaima</t>
  </si>
  <si>
    <t>APULO</t>
  </si>
  <si>
    <t>Apulo</t>
  </si>
  <si>
    <t>AGUA DE DIOS</t>
  </si>
  <si>
    <t>Agua De Dios</t>
  </si>
  <si>
    <t>CABRERA</t>
  </si>
  <si>
    <t>Cabrera</t>
  </si>
  <si>
    <t>ARBELAEZ</t>
  </si>
  <si>
    <t>Arbeláez</t>
  </si>
  <si>
    <t>CAQUEZA</t>
  </si>
  <si>
    <t>Caqueza</t>
  </si>
  <si>
    <t>CACHIPAY</t>
  </si>
  <si>
    <t>Cachipay</t>
  </si>
  <si>
    <t>CHOACHI</t>
  </si>
  <si>
    <t>Choachí</t>
  </si>
  <si>
    <t>CAPARRAPI</t>
  </si>
  <si>
    <t>Caparrapí</t>
  </si>
  <si>
    <t>CHOCONTA</t>
  </si>
  <si>
    <t>Chocontá</t>
  </si>
  <si>
    <t>CHAGUANI</t>
  </si>
  <si>
    <t>Chaguaní</t>
  </si>
  <si>
    <t>VILLETA</t>
  </si>
  <si>
    <t>Villeta</t>
  </si>
  <si>
    <t>GIRARDOT</t>
  </si>
  <si>
    <t>Girardot</t>
  </si>
  <si>
    <t>GUAYABETAL</t>
  </si>
  <si>
    <t>Guayabetal</t>
  </si>
  <si>
    <t>EL COLEGIO</t>
  </si>
  <si>
    <t>El Colegio</t>
  </si>
  <si>
    <t>FOSCA</t>
  </si>
  <si>
    <t>Fosca</t>
  </si>
  <si>
    <t>CARMEN DE CARUPA</t>
  </si>
  <si>
    <t>Carmen De Carupa</t>
  </si>
  <si>
    <t>FOMEQUE</t>
  </si>
  <si>
    <t>Fomeque</t>
  </si>
  <si>
    <t>GUADUAS</t>
  </si>
  <si>
    <t>Guaduas</t>
  </si>
  <si>
    <t>GACHALA</t>
  </si>
  <si>
    <t>Gachala</t>
  </si>
  <si>
    <t>GACHETA</t>
  </si>
  <si>
    <t>Gachetá</t>
  </si>
  <si>
    <t>GUASCA</t>
  </si>
  <si>
    <t>Guasca</t>
  </si>
  <si>
    <t>GUATAVITA</t>
  </si>
  <si>
    <t>Guatavita</t>
  </si>
  <si>
    <t>GUAYABAL DE SIQUIMA</t>
  </si>
  <si>
    <t>Guayabal De Siquima</t>
  </si>
  <si>
    <t>GUTIERREZ</t>
  </si>
  <si>
    <t>Gutiérrez</t>
  </si>
  <si>
    <t xml:space="preserve">JUNIN </t>
  </si>
  <si>
    <t>Junín</t>
  </si>
  <si>
    <t>LENGUAZAQUE</t>
  </si>
  <si>
    <t>Lenguazaque</t>
  </si>
  <si>
    <t>LA MESA</t>
  </si>
  <si>
    <t>La Mesa</t>
  </si>
  <si>
    <t>LA PALMA</t>
  </si>
  <si>
    <t>La Palma</t>
  </si>
  <si>
    <t>LA PEÑA</t>
  </si>
  <si>
    <t>La Peña</t>
  </si>
  <si>
    <t>MACHETA</t>
  </si>
  <si>
    <t>Macheta</t>
  </si>
  <si>
    <t>MANTA</t>
  </si>
  <si>
    <t>Manta</t>
  </si>
  <si>
    <t>MEDINA</t>
  </si>
  <si>
    <t>Medina</t>
  </si>
  <si>
    <t>NOCAIMA</t>
  </si>
  <si>
    <t>Nocaima</t>
  </si>
  <si>
    <t>VENECIA</t>
  </si>
  <si>
    <t>Venecia</t>
  </si>
  <si>
    <t>PAIME</t>
  </si>
  <si>
    <t>Paime</t>
  </si>
  <si>
    <t>PASCA</t>
  </si>
  <si>
    <t>Pasca</t>
  </si>
  <si>
    <t>QUETAME</t>
  </si>
  <si>
    <t>Quetame</t>
  </si>
  <si>
    <t>QUIPILE</t>
  </si>
  <si>
    <t>Quipile</t>
  </si>
  <si>
    <t>SAN BERNARDO</t>
  </si>
  <si>
    <t>San Bernardo</t>
  </si>
  <si>
    <t>SAN CAYETANO</t>
  </si>
  <si>
    <t>San Cayetano</t>
  </si>
  <si>
    <t>SAN FRANCISCO</t>
  </si>
  <si>
    <t>San Francisco</t>
  </si>
  <si>
    <t>SAN JUAN DE RIOSECO</t>
  </si>
  <si>
    <t>San Juan De Río Seco</t>
  </si>
  <si>
    <t>SUESCA</t>
  </si>
  <si>
    <t>Suesca</t>
  </si>
  <si>
    <t>SUPATA</t>
  </si>
  <si>
    <t>Supatá</t>
  </si>
  <si>
    <t>PANDI</t>
  </si>
  <si>
    <t>Pandi</t>
  </si>
  <si>
    <t>SILVANIA</t>
  </si>
  <si>
    <t>Silvania</t>
  </si>
  <si>
    <t>PUERTO SALGAR</t>
  </si>
  <si>
    <t>Puerto Salgar</t>
  </si>
  <si>
    <t>SIMIJACA</t>
  </si>
  <si>
    <t>Simijaca</t>
  </si>
  <si>
    <t>FUSAGASUGA</t>
  </si>
  <si>
    <t>Fusagasugá</t>
  </si>
  <si>
    <t>SASAIMA</t>
  </si>
  <si>
    <t>Sasaima</t>
  </si>
  <si>
    <t>SUSA</t>
  </si>
  <si>
    <t>Susa</t>
  </si>
  <si>
    <t>TOPAIPI</t>
  </si>
  <si>
    <t>Topaipí</t>
  </si>
  <si>
    <t xml:space="preserve">UBALA </t>
  </si>
  <si>
    <t>Ubalá</t>
  </si>
  <si>
    <t>UTICA</t>
  </si>
  <si>
    <t>Útica</t>
  </si>
  <si>
    <t>VERGARA</t>
  </si>
  <si>
    <t>Vergara</t>
  </si>
  <si>
    <t>VILLAPINZON</t>
  </si>
  <si>
    <t>Villapinzón</t>
  </si>
  <si>
    <t>VIOTA</t>
  </si>
  <si>
    <t>Viotá</t>
  </si>
  <si>
    <t>YACOPI</t>
  </si>
  <si>
    <t>Yacopí</t>
  </si>
  <si>
    <t>BOGOTA - GOBERNACION DE CUND.</t>
  </si>
  <si>
    <t>PACHO</t>
  </si>
  <si>
    <t>Pacho</t>
  </si>
  <si>
    <t>ACANDI</t>
  </si>
  <si>
    <t>Acandí</t>
  </si>
  <si>
    <t>Chocó</t>
  </si>
  <si>
    <t>QUIBDO</t>
  </si>
  <si>
    <t>Quibdó</t>
  </si>
  <si>
    <t>Alvaro Francisco Moreno Palacios</t>
  </si>
  <si>
    <t>BAHIA SOLANO</t>
  </si>
  <si>
    <t>Bahía Solano</t>
  </si>
  <si>
    <t>CARMEN DE ATRATO</t>
  </si>
  <si>
    <t>El Carmen De Atrato</t>
  </si>
  <si>
    <t>CONDOTO</t>
  </si>
  <si>
    <t>Condoto</t>
  </si>
  <si>
    <t>PIZARRO</t>
  </si>
  <si>
    <t>Bajo Baudó</t>
  </si>
  <si>
    <t>UNGUIA</t>
  </si>
  <si>
    <t>Unguía</t>
  </si>
  <si>
    <t>TADO</t>
  </si>
  <si>
    <t>Tadó</t>
  </si>
  <si>
    <t>RIOHACHA</t>
  </si>
  <si>
    <t>Riohacha</t>
  </si>
  <si>
    <t>Olger Jair Choles Ramirez</t>
  </si>
  <si>
    <t>Yeison Quintero  Caballero</t>
  </si>
  <si>
    <t>MAICAO</t>
  </si>
  <si>
    <t>Maicao</t>
  </si>
  <si>
    <t>Osvaldo Enrique Mora Viloria</t>
  </si>
  <si>
    <t>SAN JUAN DEL CESAR</t>
  </si>
  <si>
    <t>San Juan Del Cesar</t>
  </si>
  <si>
    <t>Alberto Luis Pinto Acosta</t>
  </si>
  <si>
    <t>VILLANUEVA</t>
  </si>
  <si>
    <t>URUMITA</t>
  </si>
  <si>
    <t>Urumita</t>
  </si>
  <si>
    <t>ACEVEDO</t>
  </si>
  <si>
    <t>Acevedo</t>
  </si>
  <si>
    <t>Huila</t>
  </si>
  <si>
    <t>ERIKA VARGAS</t>
  </si>
  <si>
    <t>AGRADO</t>
  </si>
  <si>
    <t>Agrado</t>
  </si>
  <si>
    <t>LETICIA</t>
  </si>
  <si>
    <t>Leticia</t>
  </si>
  <si>
    <t>Amazonas</t>
  </si>
  <si>
    <t>EDWIN ANDRES HERRERA BARRIOS</t>
  </si>
  <si>
    <t>SOLITA</t>
  </si>
  <si>
    <t>Solita</t>
  </si>
  <si>
    <t>Caquetá</t>
  </si>
  <si>
    <t>NEIVA</t>
  </si>
  <si>
    <t>Neiva</t>
  </si>
  <si>
    <t>ALGECIRAS</t>
  </si>
  <si>
    <t>Algeciras</t>
  </si>
  <si>
    <t xml:space="preserve">HAROLD STEED GARCIA </t>
  </si>
  <si>
    <t>ALTAMIRA</t>
  </si>
  <si>
    <t>Altamira</t>
  </si>
  <si>
    <t>AIPE</t>
  </si>
  <si>
    <t>Aipe</t>
  </si>
  <si>
    <t>COLOMBIA</t>
  </si>
  <si>
    <t>Colombia</t>
  </si>
  <si>
    <t>GARZON</t>
  </si>
  <si>
    <t>Garzón</t>
  </si>
  <si>
    <t>CAMPOALEGRE</t>
  </si>
  <si>
    <t>Campolegre</t>
  </si>
  <si>
    <t>CURILLO</t>
  </si>
  <si>
    <t>Curillo</t>
  </si>
  <si>
    <t>CENTRAL DE ABASTOS NEIVA(Operando Provisionalmente desde Oficina Neiva)</t>
  </si>
  <si>
    <t>GIGANTE</t>
  </si>
  <si>
    <t>Gigante</t>
  </si>
  <si>
    <t>BARAYA</t>
  </si>
  <si>
    <t>Baraya</t>
  </si>
  <si>
    <t>HOBO</t>
  </si>
  <si>
    <t>Hobo</t>
  </si>
  <si>
    <t>PAICOL</t>
  </si>
  <si>
    <t>Paicol</t>
  </si>
  <si>
    <t>PALERMO</t>
  </si>
  <si>
    <t>Palermo</t>
  </si>
  <si>
    <t>LA PLATA</t>
  </si>
  <si>
    <t>La Plata</t>
  </si>
  <si>
    <t>LA ARGENTINA</t>
  </si>
  <si>
    <t>La Argentina</t>
  </si>
  <si>
    <t>RIVERA</t>
  </si>
  <si>
    <t>Rivera</t>
  </si>
  <si>
    <t>ELIAS</t>
  </si>
  <si>
    <t>Elías</t>
  </si>
  <si>
    <t>IQUIRA</t>
  </si>
  <si>
    <t>Iquira</t>
  </si>
  <si>
    <t>ISNOS</t>
  </si>
  <si>
    <t>San José de Isnos</t>
  </si>
  <si>
    <t>YAGUARA</t>
  </si>
  <si>
    <t>Yaguará</t>
  </si>
  <si>
    <t>PITALITO</t>
  </si>
  <si>
    <t>Pitalito</t>
  </si>
  <si>
    <t>BRUSELAS (Corregimiento de Pitalito - Huila)</t>
  </si>
  <si>
    <t>PALESTINA</t>
  </si>
  <si>
    <t>OPORAPA</t>
  </si>
  <si>
    <t>Oporapa</t>
  </si>
  <si>
    <t>NATAGA</t>
  </si>
  <si>
    <t>Nátaga</t>
  </si>
  <si>
    <t>SAN AGUSTIN</t>
  </si>
  <si>
    <t>San Agustín</t>
  </si>
  <si>
    <t>TARQUI</t>
  </si>
  <si>
    <t>Tarqui</t>
  </si>
  <si>
    <t>TERUEL</t>
  </si>
  <si>
    <t>Teruel</t>
  </si>
  <si>
    <t>SANTA MARIA</t>
  </si>
  <si>
    <t>Santa María</t>
  </si>
  <si>
    <t>PITAL</t>
  </si>
  <si>
    <t>Pital</t>
  </si>
  <si>
    <t>TIMANA</t>
  </si>
  <si>
    <t>Timaná</t>
  </si>
  <si>
    <t>SALADOBLANCO</t>
  </si>
  <si>
    <t>Saladoblanco</t>
  </si>
  <si>
    <t>TESALIA</t>
  </si>
  <si>
    <t>Tesalia</t>
  </si>
  <si>
    <t>SUAZA</t>
  </si>
  <si>
    <t>Suaza</t>
  </si>
  <si>
    <t>TELLO</t>
  </si>
  <si>
    <t>Tello</t>
  </si>
  <si>
    <t>CERRO DE SAN ANTONIO</t>
  </si>
  <si>
    <t>Cerro San Antonio</t>
  </si>
  <si>
    <t>CHIVOLO</t>
  </si>
  <si>
    <t>Chivolo</t>
  </si>
  <si>
    <t>CIENAGA</t>
  </si>
  <si>
    <t>Ciénaga</t>
  </si>
  <si>
    <t>SANTA MARTA</t>
  </si>
  <si>
    <t>Santa Marta</t>
  </si>
  <si>
    <t>ARACATACA</t>
  </si>
  <si>
    <t>Aracataca</t>
  </si>
  <si>
    <t>SABANAS DE SAN ANGEL</t>
  </si>
  <si>
    <t>Sabanas De San Angel</t>
  </si>
  <si>
    <t>EL BANCO</t>
  </si>
  <si>
    <t>El Banco</t>
  </si>
  <si>
    <t>EL DIFICIL</t>
  </si>
  <si>
    <t>Ariguaní</t>
  </si>
  <si>
    <t>GUAMAL</t>
  </si>
  <si>
    <t>Guamal</t>
  </si>
  <si>
    <t>PIVIJAY</t>
  </si>
  <si>
    <t>Pivijay</t>
  </si>
  <si>
    <t>PLATO</t>
  </si>
  <si>
    <t>Plato</t>
  </si>
  <si>
    <t>San Sebastián De Buenavista</t>
  </si>
  <si>
    <t>SANTA ANA</t>
  </si>
  <si>
    <t>Santa Ana</t>
  </si>
  <si>
    <t>VILLAVICENCIO</t>
  </si>
  <si>
    <t>Villavicencio</t>
  </si>
  <si>
    <t>Meta</t>
  </si>
  <si>
    <t>CESAR AUGUSTO PORRAS</t>
  </si>
  <si>
    <t>ACACIAS</t>
  </si>
  <si>
    <t>Acacías</t>
  </si>
  <si>
    <t>Andres Felipe Balbin</t>
  </si>
  <si>
    <t>CUBARRAL</t>
  </si>
  <si>
    <t>San Luis De Cubarral</t>
  </si>
  <si>
    <t>CUMARAL</t>
  </si>
  <si>
    <t>Cumaral</t>
  </si>
  <si>
    <t>Angel Danilo Martinez Tejeiro</t>
  </si>
  <si>
    <t>CASTILLA LA NUEVA</t>
  </si>
  <si>
    <t>Castilla La Nueva</t>
  </si>
  <si>
    <t>CABUYARO</t>
  </si>
  <si>
    <t>Cabuyaro</t>
  </si>
  <si>
    <t>EL CASTILLO</t>
  </si>
  <si>
    <t>El Castillo</t>
  </si>
  <si>
    <t>FUENTE DE ORO</t>
  </si>
  <si>
    <t>Fuente De Oro</t>
  </si>
  <si>
    <t>LEJANIAS</t>
  </si>
  <si>
    <t>Lejanías</t>
  </si>
  <si>
    <t>LA MACARENA</t>
  </si>
  <si>
    <t>La Macarena</t>
  </si>
  <si>
    <t xml:space="preserve">Javier Camilo Gonzalez Muñoz </t>
  </si>
  <si>
    <t>MESETAS</t>
  </si>
  <si>
    <t>Mesetas</t>
  </si>
  <si>
    <t>PUERTO LLERAS</t>
  </si>
  <si>
    <t>Puerto Lleras</t>
  </si>
  <si>
    <t>PUERTO RICO</t>
  </si>
  <si>
    <t>Puerto Rico</t>
  </si>
  <si>
    <t>PUERTO GAITAN</t>
  </si>
  <si>
    <t>Puerto Gaitán</t>
  </si>
  <si>
    <t>Jhon Andres Urrea Peña</t>
  </si>
  <si>
    <t>RESTREPO</t>
  </si>
  <si>
    <t>Restrepo</t>
  </si>
  <si>
    <t>PUERTO LOPEZ</t>
  </si>
  <si>
    <t>Puerto López</t>
  </si>
  <si>
    <t>SAN JUAN DE ARAMA</t>
  </si>
  <si>
    <t>San Juan De Arama</t>
  </si>
  <si>
    <t>SAN MARTIN</t>
  </si>
  <si>
    <t>San Martín</t>
  </si>
  <si>
    <t>SAN CARLOS DE GUAROA</t>
  </si>
  <si>
    <t>San Carlos De Guaroa</t>
  </si>
  <si>
    <t>SAN JUANITO</t>
  </si>
  <si>
    <t>San Juanito</t>
  </si>
  <si>
    <t>MAPIRIPAN</t>
  </si>
  <si>
    <t>Mapiripán</t>
  </si>
  <si>
    <t>VISTAHERMOSA</t>
  </si>
  <si>
    <t>Vistahermosa</t>
  </si>
  <si>
    <t>URIBE</t>
  </si>
  <si>
    <t>Uribe</t>
  </si>
  <si>
    <t>PASTO</t>
  </si>
  <si>
    <t>Pasto</t>
  </si>
  <si>
    <t>CORDOBA</t>
  </si>
  <si>
    <t>Juan Carlos Narvaez Acosta / Luis Fernando Ibarra Guio</t>
  </si>
  <si>
    <t>IPIALES</t>
  </si>
  <si>
    <t>Ipiales</t>
  </si>
  <si>
    <t>TUQUERRES</t>
  </si>
  <si>
    <t>Túquerres</t>
  </si>
  <si>
    <t>SANDONA</t>
  </si>
  <si>
    <t>Sandoná</t>
  </si>
  <si>
    <t>ANCUYA</t>
  </si>
  <si>
    <t>Ancuyá</t>
  </si>
  <si>
    <t>PUPIALES</t>
  </si>
  <si>
    <t>Pupiales</t>
  </si>
  <si>
    <t>CUMBAL</t>
  </si>
  <si>
    <t>Cumbal</t>
  </si>
  <si>
    <t>GUACHUCAL</t>
  </si>
  <si>
    <t>Guachucal</t>
  </si>
  <si>
    <t>CONTADERO</t>
  </si>
  <si>
    <t>Contadero</t>
  </si>
  <si>
    <t>PUERRES</t>
  </si>
  <si>
    <t>Puerres</t>
  </si>
  <si>
    <t>YACUANQUER</t>
  </si>
  <si>
    <t>Yacuanquer</t>
  </si>
  <si>
    <t>CUMBITARA</t>
  </si>
  <si>
    <t>Cumbitara</t>
  </si>
  <si>
    <t>EL CHARCO</t>
  </si>
  <si>
    <t>El Charco</t>
  </si>
  <si>
    <t>Por asignar</t>
  </si>
  <si>
    <t>EL ROSARIO</t>
  </si>
  <si>
    <t>El Rosario</t>
  </si>
  <si>
    <t>FUNES</t>
  </si>
  <si>
    <t>Funes</t>
  </si>
  <si>
    <t>GUAITARILLA</t>
  </si>
  <si>
    <t>Guaitarilla</t>
  </si>
  <si>
    <t>ILES</t>
  </si>
  <si>
    <t>Iles</t>
  </si>
  <si>
    <t>LA CRUZ</t>
  </si>
  <si>
    <t>La Cruz</t>
  </si>
  <si>
    <t>LINARES</t>
  </si>
  <si>
    <t>Linares</t>
  </si>
  <si>
    <t>CHACHAGÜI</t>
  </si>
  <si>
    <t>Chachagüi</t>
  </si>
  <si>
    <t>BARBACOAS</t>
  </si>
  <si>
    <t>Barbacoas</t>
  </si>
  <si>
    <t>Wilber Bernardo Angulo Quijano</t>
  </si>
  <si>
    <t>SOTOMAYOR</t>
  </si>
  <si>
    <t>Los Andes</t>
  </si>
  <si>
    <t>BOCAS DE SATINGA</t>
  </si>
  <si>
    <t>Olaya Herrera</t>
  </si>
  <si>
    <t>BUESACO</t>
  </si>
  <si>
    <t>Buesaco</t>
  </si>
  <si>
    <t>RICAURTE</t>
  </si>
  <si>
    <t>Ricaurte</t>
  </si>
  <si>
    <t>SAMANIEGO</t>
  </si>
  <si>
    <t>Samaniego</t>
  </si>
  <si>
    <t>SAN JOSE DE ALBAN</t>
  </si>
  <si>
    <t>Albán</t>
  </si>
  <si>
    <t>SAN LORENZO</t>
  </si>
  <si>
    <t>San Lorenzo</t>
  </si>
  <si>
    <t>EL TABLON DE GOMEZ</t>
  </si>
  <si>
    <t>El Tablón</t>
  </si>
  <si>
    <t>SANTA BARBARA DE ISCUANDE</t>
  </si>
  <si>
    <t>Santa Bárbara</t>
  </si>
  <si>
    <t>TAMINANGO</t>
  </si>
  <si>
    <t>Taminango</t>
  </si>
  <si>
    <t>TUMACO</t>
  </si>
  <si>
    <t>Tumaco</t>
  </si>
  <si>
    <t>CONSACA</t>
  </si>
  <si>
    <t>Consacá</t>
  </si>
  <si>
    <t>BERRUECOS</t>
  </si>
  <si>
    <t>Arboleda</t>
  </si>
  <si>
    <t>POLICARPA</t>
  </si>
  <si>
    <t>Policarpa</t>
  </si>
  <si>
    <t>CUCUTA</t>
  </si>
  <si>
    <t>Cúcuta</t>
  </si>
  <si>
    <t>Norte de Santander</t>
  </si>
  <si>
    <t>CRISTIAN VARGAS RODRIGUEZ</t>
  </si>
  <si>
    <t>PUERTO SANTANDER</t>
  </si>
  <si>
    <t>Puerto Santander</t>
  </si>
  <si>
    <t>Ali Kassem Issa Sierra</t>
  </si>
  <si>
    <t>BOCHALEMA</t>
  </si>
  <si>
    <t>Bochalema</t>
  </si>
  <si>
    <t>Juan Alfonso Cuberos Buendia</t>
  </si>
  <si>
    <t>EL ZULIA</t>
  </si>
  <si>
    <t>El Zulia</t>
  </si>
  <si>
    <t>ABREGO</t>
  </si>
  <si>
    <t>Abrego</t>
  </si>
  <si>
    <t>ARBOLEDAS</t>
  </si>
  <si>
    <t>Arboledas</t>
  </si>
  <si>
    <t>CENTRAL DE ABASTOS CUCUTA</t>
  </si>
  <si>
    <t>DURANIA</t>
  </si>
  <si>
    <t>Durania</t>
  </si>
  <si>
    <t>CHINACOTA</t>
  </si>
  <si>
    <t>Chinácota</t>
  </si>
  <si>
    <t>CONVENCION</t>
  </si>
  <si>
    <t>Convención</t>
  </si>
  <si>
    <t>CUCUTILLA</t>
  </si>
  <si>
    <t>Cucutilla</t>
  </si>
  <si>
    <t>LABATECA</t>
  </si>
  <si>
    <t>Labateca</t>
  </si>
  <si>
    <t>CACOTA</t>
  </si>
  <si>
    <t>Cácota</t>
  </si>
  <si>
    <t>OCAÑA</t>
  </si>
  <si>
    <t>Ocaña</t>
  </si>
  <si>
    <t>CACHIRA</t>
  </si>
  <si>
    <t>Cachirá</t>
  </si>
  <si>
    <t>CHITAGA</t>
  </si>
  <si>
    <t>Chitagá</t>
  </si>
  <si>
    <t>EL CARMEN</t>
  </si>
  <si>
    <t>El Carmen</t>
  </si>
  <si>
    <t>GRAMALOTE</t>
  </si>
  <si>
    <t>Gramalote</t>
  </si>
  <si>
    <t>HACARI</t>
  </si>
  <si>
    <t>Hacarí</t>
  </si>
  <si>
    <t>HERRAN</t>
  </si>
  <si>
    <t>Herrán</t>
  </si>
  <si>
    <t>PAMPLONA</t>
  </si>
  <si>
    <t>Pamplona</t>
  </si>
  <si>
    <t>Juan Alfonso Cuberos Buendia-Ali Kassem Issa Sierra</t>
  </si>
  <si>
    <t>LOURDES</t>
  </si>
  <si>
    <t>Lourdes</t>
  </si>
  <si>
    <t>MUTISCUA</t>
  </si>
  <si>
    <t>Mutiscua</t>
  </si>
  <si>
    <t>RAGONVALIA</t>
  </si>
  <si>
    <t>Ragonvalia</t>
  </si>
  <si>
    <t>SARDINATA</t>
  </si>
  <si>
    <t>Sardinata</t>
  </si>
  <si>
    <t>SALAZAR</t>
  </si>
  <si>
    <t>Salazar</t>
  </si>
  <si>
    <t>SILOS</t>
  </si>
  <si>
    <t>Silos</t>
  </si>
  <si>
    <t>TIBU</t>
  </si>
  <si>
    <t>Tibú</t>
  </si>
  <si>
    <t>TEORAMA</t>
  </si>
  <si>
    <t>Teorama</t>
  </si>
  <si>
    <t>VILLACARO</t>
  </si>
  <si>
    <t>Villa Caro</t>
  </si>
  <si>
    <t>Quindio</t>
  </si>
  <si>
    <t>Alvaro Augusto Villalba Villamil</t>
  </si>
  <si>
    <t>CALARCA</t>
  </si>
  <si>
    <t>Calarca</t>
  </si>
  <si>
    <t>CAICEDONIA</t>
  </si>
  <si>
    <t>Caicedonia</t>
  </si>
  <si>
    <t>Valle del Cauca</t>
  </si>
  <si>
    <t>LA DORADA</t>
  </si>
  <si>
    <t>La Dorada</t>
  </si>
  <si>
    <t>CIRCASIA</t>
  </si>
  <si>
    <t>Circasia</t>
  </si>
  <si>
    <t>QUIMBAYA</t>
  </si>
  <si>
    <t>Quimbaya</t>
  </si>
  <si>
    <t>LA TEBAIDA</t>
  </si>
  <si>
    <t>La Tebaida</t>
  </si>
  <si>
    <t>BARCELONA (Corregimiento del municipio de Calarcá - Quindio )</t>
  </si>
  <si>
    <t>FILANDIA</t>
  </si>
  <si>
    <t>Filandia</t>
  </si>
  <si>
    <t>SALENTO</t>
  </si>
  <si>
    <t>Salento</t>
  </si>
  <si>
    <t>PIJAO</t>
  </si>
  <si>
    <t>Pijao</t>
  </si>
  <si>
    <t>PEREIRA</t>
  </si>
  <si>
    <t>Pereira</t>
  </si>
  <si>
    <t xml:space="preserve">CESAR AUGUSTO HENAO </t>
  </si>
  <si>
    <t>CENTRAL DE ABASTOS PEREIRA</t>
  </si>
  <si>
    <t>DOSQUEBRADAS</t>
  </si>
  <si>
    <t>Dosquebradas</t>
  </si>
  <si>
    <t>SANTA ROSA DE CABAL</t>
  </si>
  <si>
    <t>Santa Rosa De Cabal</t>
  </si>
  <si>
    <t>LA CELIA</t>
  </si>
  <si>
    <t>La Celia</t>
  </si>
  <si>
    <t>APIA</t>
  </si>
  <si>
    <t>Apía</t>
  </si>
  <si>
    <t>BELEN DE UMBRIA</t>
  </si>
  <si>
    <t>Belén de Umbria</t>
  </si>
  <si>
    <t>MISTRATO</t>
  </si>
  <si>
    <t>Mistrató</t>
  </si>
  <si>
    <t>PUEBLO RICO</t>
  </si>
  <si>
    <t>Pueblo Rico</t>
  </si>
  <si>
    <t>GUATICA</t>
  </si>
  <si>
    <t>Guática</t>
  </si>
  <si>
    <t>BUCARAMANGA</t>
  </si>
  <si>
    <t>Bucaramanga</t>
  </si>
  <si>
    <t>Santander</t>
  </si>
  <si>
    <t>ARATOCA</t>
  </si>
  <si>
    <t>Aratoca</t>
  </si>
  <si>
    <t>GIRON</t>
  </si>
  <si>
    <t>Girón</t>
  </si>
  <si>
    <t>CENTRAL DE ABASTOS BUCARAMANGA</t>
  </si>
  <si>
    <t>LEBRIJA</t>
  </si>
  <si>
    <t>Lebrija</t>
  </si>
  <si>
    <t>CHARALÁ</t>
  </si>
  <si>
    <t>Charalá</t>
  </si>
  <si>
    <t>FLORIDABLANCA</t>
  </si>
  <si>
    <t>Floridablanca</t>
  </si>
  <si>
    <t>OIBA</t>
  </si>
  <si>
    <t>Oiba</t>
  </si>
  <si>
    <t>PIEDECUESTA</t>
  </si>
  <si>
    <t>Piedecuesta</t>
  </si>
  <si>
    <t>BARRANCABERMEJA</t>
  </si>
  <si>
    <t>Barrancabermeja</t>
  </si>
  <si>
    <t>SAN VICENTE DE CHUCURI</t>
  </si>
  <si>
    <t>San Vicente De Chucurí</t>
  </si>
  <si>
    <t>BARBOSA</t>
  </si>
  <si>
    <t>Barbosa</t>
  </si>
  <si>
    <t>BARICHARA</t>
  </si>
  <si>
    <t>Barichara</t>
  </si>
  <si>
    <t>CIMITARRA</t>
  </si>
  <si>
    <t>Cimitarra</t>
  </si>
  <si>
    <t>BETULIA</t>
  </si>
  <si>
    <t>CURITI</t>
  </si>
  <si>
    <t>Curití</t>
  </si>
  <si>
    <t>MALAGA</t>
  </si>
  <si>
    <t>Málaga</t>
  </si>
  <si>
    <t>CAPITANEJO</t>
  </si>
  <si>
    <t>Capitanejo</t>
  </si>
  <si>
    <t>CARCASI</t>
  </si>
  <si>
    <t>Carcasí</t>
  </si>
  <si>
    <t>CERRITO</t>
  </si>
  <si>
    <t>Cerrito</t>
  </si>
  <si>
    <t>PUERTO WILCHES</t>
  </si>
  <si>
    <t>Puerto Wilches</t>
  </si>
  <si>
    <t>SABANA DE TORRES</t>
  </si>
  <si>
    <t>Sabana De Torres</t>
  </si>
  <si>
    <t>CONTRATACION</t>
  </si>
  <si>
    <t>Contratación</t>
  </si>
  <si>
    <t>SAN GIL</t>
  </si>
  <si>
    <t>San Gil</t>
  </si>
  <si>
    <t>COROMORO</t>
  </si>
  <si>
    <t>Coromoro</t>
  </si>
  <si>
    <t>SOCORRO</t>
  </si>
  <si>
    <t>Socorro</t>
  </si>
  <si>
    <t>Chima</t>
  </si>
  <si>
    <t>VELEZ</t>
  </si>
  <si>
    <t>Vélez</t>
  </si>
  <si>
    <t>ZAPATOCA</t>
  </si>
  <si>
    <t>Zapatoca</t>
  </si>
  <si>
    <t>FLORIAN</t>
  </si>
  <si>
    <t>Florián</t>
  </si>
  <si>
    <t>GAMBITA</t>
  </si>
  <si>
    <t>Gambita</t>
  </si>
  <si>
    <t>GUACA</t>
  </si>
  <si>
    <t>Guaca</t>
  </si>
  <si>
    <t>GUAVATA</t>
  </si>
  <si>
    <t>Guavatá</t>
  </si>
  <si>
    <t>GUEPSA</t>
  </si>
  <si>
    <t>Güepsa</t>
  </si>
  <si>
    <t>JESUS MARIA</t>
  </si>
  <si>
    <t>Jesús María</t>
  </si>
  <si>
    <t>LA BELLEZA</t>
  </si>
  <si>
    <t>La Belleza</t>
  </si>
  <si>
    <t>LA PAZ</t>
  </si>
  <si>
    <t>LANDAZURI</t>
  </si>
  <si>
    <t>Landázuri</t>
  </si>
  <si>
    <t>LOS SANTOS</t>
  </si>
  <si>
    <t>Los Santos</t>
  </si>
  <si>
    <t>MATANZA</t>
  </si>
  <si>
    <t>Matanza</t>
  </si>
  <si>
    <t>MOGOTES</t>
  </si>
  <si>
    <t>Mogotes</t>
  </si>
  <si>
    <t>MOLAGAVITA</t>
  </si>
  <si>
    <t>Molagavita</t>
  </si>
  <si>
    <t>ONZAGA</t>
  </si>
  <si>
    <t>Onzaga</t>
  </si>
  <si>
    <t>SAN ANDRES</t>
  </si>
  <si>
    <t>San Andrés</t>
  </si>
  <si>
    <t>SIMACOTA</t>
  </si>
  <si>
    <t>Simacota</t>
  </si>
  <si>
    <t>CHIPATA</t>
  </si>
  <si>
    <t>Chipatá</t>
  </si>
  <si>
    <t>SUCRE</t>
  </si>
  <si>
    <t>Sucre</t>
  </si>
  <si>
    <t xml:space="preserve">SURATA </t>
  </si>
  <si>
    <t>Suratá</t>
  </si>
  <si>
    <t>TONA</t>
  </si>
  <si>
    <t>Tona</t>
  </si>
  <si>
    <t>VETAS</t>
  </si>
  <si>
    <t>Vetas</t>
  </si>
  <si>
    <t>EL CARMEN DE CHUCURI</t>
  </si>
  <si>
    <t>El Carmen De Chucurí</t>
  </si>
  <si>
    <t>Villanueva</t>
  </si>
  <si>
    <t>SINCELEJO</t>
  </si>
  <si>
    <t>Sincelejo</t>
  </si>
  <si>
    <t>CAIMITO</t>
  </si>
  <si>
    <t>Caimito</t>
  </si>
  <si>
    <t>COROZAL</t>
  </si>
  <si>
    <t>Corozal</t>
  </si>
  <si>
    <t>CENTRAL DE ABASTOS SINCELEJO</t>
  </si>
  <si>
    <t>GALERAS</t>
  </si>
  <si>
    <t>Galeras</t>
  </si>
  <si>
    <t>Mauricio Rafael Narvaez Iriarte</t>
  </si>
  <si>
    <t>GUARANDA</t>
  </si>
  <si>
    <t>Guaranda</t>
  </si>
  <si>
    <t>LOS PALMITOS</t>
  </si>
  <si>
    <t>Los Palmitos</t>
  </si>
  <si>
    <t>MAJAGUAL</t>
  </si>
  <si>
    <t>Majagual</t>
  </si>
  <si>
    <t>OVEJAS</t>
  </si>
  <si>
    <t>Ovejas</t>
  </si>
  <si>
    <t>SAMPUES</t>
  </si>
  <si>
    <t>Sampués</t>
  </si>
  <si>
    <t>SAN BENITO ABAD</t>
  </si>
  <si>
    <t>San Benito Abad</t>
  </si>
  <si>
    <t>SAN MARCOS</t>
  </si>
  <si>
    <t>San Marcos</t>
  </si>
  <si>
    <t>SAN ONOFRE</t>
  </si>
  <si>
    <t>San Onofre</t>
  </si>
  <si>
    <t>San Pedro</t>
  </si>
  <si>
    <t>SINCE</t>
  </si>
  <si>
    <t>San Luis De Sincé</t>
  </si>
  <si>
    <t>TOLU</t>
  </si>
  <si>
    <t>Santiago De Tolú</t>
  </si>
  <si>
    <t>TOLUVIEJO</t>
  </si>
  <si>
    <t>Tolú Viejo</t>
  </si>
  <si>
    <t>IBAGUE</t>
  </si>
  <si>
    <t>Ibagué</t>
  </si>
  <si>
    <t>Tolima</t>
  </si>
  <si>
    <t>ALVARADO</t>
  </si>
  <si>
    <t>Alvarado</t>
  </si>
  <si>
    <t>Yeisson Castaño</t>
  </si>
  <si>
    <t>LÉRIDA</t>
  </si>
  <si>
    <t>Lérida</t>
  </si>
  <si>
    <t>CAJAMARCA</t>
  </si>
  <si>
    <t>Cajamarca</t>
  </si>
  <si>
    <t>Fernando Valencia- Bernardo Arango</t>
  </si>
  <si>
    <t>MARIQUITA</t>
  </si>
  <si>
    <t>Mariquita</t>
  </si>
  <si>
    <t>ICONONZO</t>
  </si>
  <si>
    <t>Icononzo</t>
  </si>
  <si>
    <t>Johan Molano</t>
  </si>
  <si>
    <t>HONDA</t>
  </si>
  <si>
    <t>Honda</t>
  </si>
  <si>
    <t>CHAPARRAL</t>
  </si>
  <si>
    <t>Chaparral</t>
  </si>
  <si>
    <t>Johan Cardenas</t>
  </si>
  <si>
    <t>HERVEO</t>
  </si>
  <si>
    <t>Herveo</t>
  </si>
  <si>
    <t>Fernando Valencia</t>
  </si>
  <si>
    <t>GUAMO</t>
  </si>
  <si>
    <t>Guamo</t>
  </si>
  <si>
    <t>MURILLO</t>
  </si>
  <si>
    <t>Murillo</t>
  </si>
  <si>
    <t>NATAGAIMA</t>
  </si>
  <si>
    <t>Natagaima</t>
  </si>
  <si>
    <t>ORTEGA</t>
  </si>
  <si>
    <t>Ortega</t>
  </si>
  <si>
    <t>FALAN</t>
  </si>
  <si>
    <t>Falan</t>
  </si>
  <si>
    <t>ALPUJARRA</t>
  </si>
  <si>
    <t>Alpujarra</t>
  </si>
  <si>
    <t>Bernardo Arango</t>
  </si>
  <si>
    <t>PALOCABILDO</t>
  </si>
  <si>
    <t>Palocabildo</t>
  </si>
  <si>
    <t>PURIFICACION</t>
  </si>
  <si>
    <t>Purificación</t>
  </si>
  <si>
    <t>CASABIANCA</t>
  </si>
  <si>
    <t>Casabianca</t>
  </si>
  <si>
    <t>ANZOATEGUI</t>
  </si>
  <si>
    <t>Anzoátegui</t>
  </si>
  <si>
    <t>VILLAHERMOSA</t>
  </si>
  <si>
    <t>Villahermosa</t>
  </si>
  <si>
    <t>GUAYABAL</t>
  </si>
  <si>
    <t>Guayabal</t>
  </si>
  <si>
    <t>COELLO</t>
  </si>
  <si>
    <t>Coello</t>
  </si>
  <si>
    <t>VILLARRICA</t>
  </si>
  <si>
    <t>Villarrica</t>
  </si>
  <si>
    <t>COYAIMA</t>
  </si>
  <si>
    <t>Coyaima</t>
  </si>
  <si>
    <t>CUNDAY</t>
  </si>
  <si>
    <t>Cunday</t>
  </si>
  <si>
    <t>ESPINAL</t>
  </si>
  <si>
    <t>Espinal</t>
  </si>
  <si>
    <t>Bernardo Arango-Johan Molano</t>
  </si>
  <si>
    <t>LIBANO</t>
  </si>
  <si>
    <t>Líbano</t>
  </si>
  <si>
    <t>HERRERA Corregimiento (Del Municipio de Rioblanco - Tolima)</t>
  </si>
  <si>
    <t>Rioblanco</t>
  </si>
  <si>
    <t>CARMEN DE APICALA</t>
  </si>
  <si>
    <t>Carmen De Apicalá</t>
  </si>
  <si>
    <t>PIEDRAS</t>
  </si>
  <si>
    <t>Piedras</t>
  </si>
  <si>
    <t>PLANADAS</t>
  </si>
  <si>
    <t>Planadas</t>
  </si>
  <si>
    <t>PRADO</t>
  </si>
  <si>
    <t>Prado</t>
  </si>
  <si>
    <t>RIOBLANCO</t>
  </si>
  <si>
    <t>RONCESVALLES</t>
  </si>
  <si>
    <t>Roncesvalles</t>
  </si>
  <si>
    <t>DOLORES</t>
  </si>
  <si>
    <t>Dolores</t>
  </si>
  <si>
    <t>ATACO</t>
  </si>
  <si>
    <t>Ataco</t>
  </si>
  <si>
    <t>SALDAÑA</t>
  </si>
  <si>
    <t>Saldaña</t>
  </si>
  <si>
    <t>FRESNO</t>
  </si>
  <si>
    <t>Fresno</t>
  </si>
  <si>
    <t>SAN ANTONIO</t>
  </si>
  <si>
    <t>San Antonio</t>
  </si>
  <si>
    <t>SANTA ISABEL</t>
  </si>
  <si>
    <t>Santa Isabel</t>
  </si>
  <si>
    <t>Johan molano</t>
  </si>
  <si>
    <t>ROVIRA</t>
  </si>
  <si>
    <t>Rovira</t>
  </si>
  <si>
    <t>VENADILLO</t>
  </si>
  <si>
    <t>Venadillo</t>
  </si>
  <si>
    <t>VALLE DE SAN JUAN</t>
  </si>
  <si>
    <t>Valle De San Juan</t>
  </si>
  <si>
    <t>ALCALA</t>
  </si>
  <si>
    <t>Alcalá</t>
  </si>
  <si>
    <t>CALI SUCURSAL</t>
  </si>
  <si>
    <t>Cali</t>
  </si>
  <si>
    <t>John Edwin Jimenez Chavez</t>
  </si>
  <si>
    <t>VIJES</t>
  </si>
  <si>
    <t>Vijes</t>
  </si>
  <si>
    <t>GINEBRA</t>
  </si>
  <si>
    <t>Ginebra</t>
  </si>
  <si>
    <t>CALI  AVENIDA TERCERA NORTE</t>
  </si>
  <si>
    <t>SILVIA</t>
  </si>
  <si>
    <t>Silvia</t>
  </si>
  <si>
    <t>TIMBIO</t>
  </si>
  <si>
    <t>Timbío</t>
  </si>
  <si>
    <t>POPAYAN</t>
  </si>
  <si>
    <t>Popayán</t>
  </si>
  <si>
    <t>SANTANDER DE QUILICHAO</t>
  </si>
  <si>
    <t>Santander De Quilichao</t>
  </si>
  <si>
    <t>PUERTO TEJADA</t>
  </si>
  <si>
    <t>Puerto Tejada</t>
  </si>
  <si>
    <t>PIENDAMO</t>
  </si>
  <si>
    <t>Piendamó</t>
  </si>
  <si>
    <t>CALI  PASOANCHO</t>
  </si>
  <si>
    <t>EL AGUILA</t>
  </si>
  <si>
    <t>El Águila</t>
  </si>
  <si>
    <t>JAMUNDÍ</t>
  </si>
  <si>
    <t>Jamundí</t>
  </si>
  <si>
    <t>LA CUMBRE</t>
  </si>
  <si>
    <t>La Cumbre</t>
  </si>
  <si>
    <t>NARANJAL (Corregimiento del municipio de Bolivar - Valle del Cauca)</t>
  </si>
  <si>
    <t>ANSERMANUEVO</t>
  </si>
  <si>
    <t>Ansermanuevo</t>
  </si>
  <si>
    <t>PALMIRA</t>
  </si>
  <si>
    <t>Palmira</t>
  </si>
  <si>
    <t>PRADERA</t>
  </si>
  <si>
    <t>Pradera</t>
  </si>
  <si>
    <t>FLORIDA</t>
  </si>
  <si>
    <t>Florida</t>
  </si>
  <si>
    <t>SEVILLA</t>
  </si>
  <si>
    <t>Sevilla</t>
  </si>
  <si>
    <t>TRUJILLO</t>
  </si>
  <si>
    <t>Trujillo</t>
  </si>
  <si>
    <t>RIOFRIO</t>
  </si>
  <si>
    <t>Riofrío</t>
  </si>
  <si>
    <t>TULUA</t>
  </si>
  <si>
    <t>Tuluá</t>
  </si>
  <si>
    <t>BUENAVENTURA</t>
  </si>
  <si>
    <t>Buenaventura</t>
  </si>
  <si>
    <t>Juan David Cifuente Villegas /John Edwin Jimenez Chavez</t>
  </si>
  <si>
    <t>DARIEN</t>
  </si>
  <si>
    <t>Calima</t>
  </si>
  <si>
    <t>EL CERRITO</t>
  </si>
  <si>
    <t>El Cerrito</t>
  </si>
  <si>
    <t>GUACARI</t>
  </si>
  <si>
    <t>Guacarí</t>
  </si>
  <si>
    <t>ROLDANILLO</t>
  </si>
  <si>
    <t>Roldanillo</t>
  </si>
  <si>
    <t>ZARZAL</t>
  </si>
  <si>
    <t>Zarzal</t>
  </si>
  <si>
    <t>TORO</t>
  </si>
  <si>
    <t>Toro</t>
  </si>
  <si>
    <t>CANDELARIA - CAVASA</t>
  </si>
  <si>
    <t>DAGUA</t>
  </si>
  <si>
    <t>Dagua</t>
  </si>
  <si>
    <t>GUADALAJARA DE BUGA</t>
  </si>
  <si>
    <t>Guadalajara de Buga</t>
  </si>
  <si>
    <t>CARTAGO</t>
  </si>
  <si>
    <t>Cartago</t>
  </si>
  <si>
    <t>ULLOA</t>
  </si>
  <si>
    <t>Ulloa</t>
  </si>
  <si>
    <t>VILLAVIEJA</t>
  </si>
  <si>
    <t>Villavieja</t>
  </si>
  <si>
    <t>PUERTO LEGUIZAMO</t>
  </si>
  <si>
    <t>Puerto Leguízamo</t>
  </si>
  <si>
    <t>Putumayo</t>
  </si>
  <si>
    <t>HEIDELVER STELLA HINCHAMON</t>
  </si>
  <si>
    <t>VILLAGARZON</t>
  </si>
  <si>
    <t>Villagarzón</t>
  </si>
  <si>
    <t>HEIVER OVEYMAR BASTIDAS MAVISOY</t>
  </si>
  <si>
    <t>PUERTO GUZMAN</t>
  </si>
  <si>
    <t>Puerto Guzmán</t>
  </si>
  <si>
    <t>Arauca</t>
  </si>
  <si>
    <t>JOAQUIN DE JESUS ROMERO PIÑEREZ</t>
  </si>
  <si>
    <t>ARAUQUITA</t>
  </si>
  <si>
    <t>Arauquita</t>
  </si>
  <si>
    <t>CRAVO NORTE</t>
  </si>
  <si>
    <t>Cravo Norte</t>
  </si>
  <si>
    <t>FORTUL</t>
  </si>
  <si>
    <t>Fortul</t>
  </si>
  <si>
    <t>ALBANIA</t>
  </si>
  <si>
    <t>Albania</t>
  </si>
  <si>
    <t>FLORENCIA</t>
  </si>
  <si>
    <t>Florencia</t>
  </si>
  <si>
    <t>BELEN DE LOS ANDAQUIES</t>
  </si>
  <si>
    <t>Belén De Los Andaquíes</t>
  </si>
  <si>
    <t>CARTAGENA DEL CHAIRA</t>
  </si>
  <si>
    <t>Cartagena Del Chairá</t>
  </si>
  <si>
    <t>EL DONCELLO</t>
  </si>
  <si>
    <t>El Doncello</t>
  </si>
  <si>
    <t>EL PAUJIL</t>
  </si>
  <si>
    <t>El Paujil</t>
  </si>
  <si>
    <t>LA MONTAÑITA</t>
  </si>
  <si>
    <t>La Montañita</t>
  </si>
  <si>
    <t>MILAN</t>
  </si>
  <si>
    <t>Milán</t>
  </si>
  <si>
    <t>SAN VICENTE DEL CAGUAN</t>
  </si>
  <si>
    <t>San Vicente Del Caguán</t>
  </si>
  <si>
    <t>SOLANO</t>
  </si>
  <si>
    <t>Solano</t>
  </si>
  <si>
    <t>PUERTO INIRIDA</t>
  </si>
  <si>
    <t>Inírida</t>
  </si>
  <si>
    <t>Guainía</t>
  </si>
  <si>
    <t>Arnulfo Rojas Gomez</t>
  </si>
  <si>
    <t>PUERTO RONDON</t>
  </si>
  <si>
    <t>Puerto Rondón</t>
  </si>
  <si>
    <t>SARAVENA</t>
  </si>
  <si>
    <t>Saravena</t>
  </si>
  <si>
    <t>TAME</t>
  </si>
  <si>
    <t>Tame</t>
  </si>
  <si>
    <t>LA HORMIGA</t>
  </si>
  <si>
    <t>La Hormiga</t>
  </si>
  <si>
    <t>JOSE ARTEAGA BRAVO</t>
  </si>
  <si>
    <t>ORITO</t>
  </si>
  <si>
    <t>Orito</t>
  </si>
  <si>
    <t>PUERTO ASIS</t>
  </si>
  <si>
    <t>Puerto Asís</t>
  </si>
  <si>
    <t>SAN MIGUEL</t>
  </si>
  <si>
    <t>San Miguel</t>
  </si>
  <si>
    <t>SIBUNDOY</t>
  </si>
  <si>
    <t>Sibundoy</t>
  </si>
  <si>
    <t>JOSE EVANGELISTA PINCHAO PINCHAO</t>
  </si>
  <si>
    <t>Archipiélago de San Andrés, Providencia y Santa Catalina</t>
  </si>
  <si>
    <t>LUIS BALLESTEROS</t>
  </si>
  <si>
    <t>MOCOA</t>
  </si>
  <si>
    <t>Mocoa</t>
  </si>
  <si>
    <t>WILLIAM FABIAN GONZALEZ
DANIEL GRAJALES VALLEJO</t>
  </si>
  <si>
    <t>PROVIDENCIA</t>
  </si>
  <si>
    <t>Providencia</t>
  </si>
  <si>
    <t>YAMID ALBERTO THYME THYME</t>
  </si>
  <si>
    <t>SAN JOSE DEL GUAVIARE</t>
  </si>
  <si>
    <t>San José Del Guaviare</t>
  </si>
  <si>
    <t>Guaviare</t>
  </si>
  <si>
    <t>EDGARDO LEON CEBALLOS</t>
  </si>
  <si>
    <t>JORGE STIWER PALMA</t>
  </si>
  <si>
    <t>MITU</t>
  </si>
  <si>
    <t>Mitú</t>
  </si>
  <si>
    <t>Vaupés</t>
  </si>
  <si>
    <t>OSCAR MUÑOZ DASILVA</t>
  </si>
  <si>
    <t>PUERTO CARREÑO</t>
  </si>
  <si>
    <t>Puerto Carreño</t>
  </si>
  <si>
    <t>Vichada</t>
  </si>
  <si>
    <t>SALOMON STIVEN OSORIO</t>
  </si>
  <si>
    <t>CUMARIBO</t>
  </si>
  <si>
    <t>Cumaribo</t>
  </si>
  <si>
    <t>Gerardo Vanegas</t>
  </si>
  <si>
    <t>LA PRIMAVERA</t>
  </si>
  <si>
    <t>La Primavera</t>
  </si>
  <si>
    <t>Andres Diaz</t>
  </si>
  <si>
    <t>SANTA ROSALIA</t>
  </si>
  <si>
    <t>Santa Rosalía</t>
  </si>
  <si>
    <t>AGUAZUL</t>
  </si>
  <si>
    <t>Aguazul</t>
  </si>
  <si>
    <t>Casanare</t>
  </si>
  <si>
    <t>Juan Sebastian Lopez Acevedo</t>
  </si>
  <si>
    <t>YOPAL</t>
  </si>
  <si>
    <t>Yopal</t>
  </si>
  <si>
    <t>HATO COROZAL</t>
  </si>
  <si>
    <t>Hato Corozal</t>
  </si>
  <si>
    <t>MANI</t>
  </si>
  <si>
    <t>Maní</t>
  </si>
  <si>
    <t>MONTERREY</t>
  </si>
  <si>
    <t>Monterrey</t>
  </si>
  <si>
    <t>NUNCHIA</t>
  </si>
  <si>
    <t>Nunchía</t>
  </si>
  <si>
    <t>OROCUE</t>
  </si>
  <si>
    <t>Orocué</t>
  </si>
  <si>
    <t>PARATEBUENO</t>
  </si>
  <si>
    <t>Paratebueno</t>
  </si>
  <si>
    <t>PAZ DE ARIPORO</t>
  </si>
  <si>
    <t>Paz De Ariporo</t>
  </si>
  <si>
    <t>PORE</t>
  </si>
  <si>
    <t>Pore</t>
  </si>
  <si>
    <t>SAN LUIS DE PALENQUE</t>
  </si>
  <si>
    <t>San Luis De Palenque</t>
  </si>
  <si>
    <t>TAMARA</t>
  </si>
  <si>
    <t>Támara</t>
  </si>
  <si>
    <t>TAURAMENA</t>
  </si>
  <si>
    <t>Tauramena</t>
  </si>
  <si>
    <t>TRINIDAD</t>
  </si>
  <si>
    <t>Trinidad</t>
  </si>
  <si>
    <t>Regional</t>
  </si>
  <si>
    <t>GERENCIA REGIONAL ANTIOQUIA</t>
  </si>
  <si>
    <t>Bogota</t>
  </si>
  <si>
    <t>JONATHAN  FELIPE JARABE CHALARCA</t>
  </si>
  <si>
    <t>GERENCIA REGIONAL BOGOTA</t>
  </si>
  <si>
    <t>Grupo Bogota</t>
  </si>
  <si>
    <t>REGIONAL REGIONAL CAFETERA</t>
  </si>
  <si>
    <t>REGIONAL REGIONAL COSTA</t>
  </si>
  <si>
    <t>REGIONAL REGIONAL OCCIDENTE</t>
  </si>
  <si>
    <t>REGIONAL REGIONAL ORIENTE</t>
  </si>
  <si>
    <t>REGIONAL REGIONAL SANTANDERES</t>
  </si>
  <si>
    <t>REGIONAL REGIONAL SUR</t>
  </si>
  <si>
    <t>DG</t>
  </si>
  <si>
    <t>AVIANCA</t>
  </si>
  <si>
    <t>DIRECCION GENERAL</t>
  </si>
  <si>
    <t>COA TOCANCIPA</t>
  </si>
  <si>
    <t>Tocancipa</t>
  </si>
  <si>
    <t>COA</t>
  </si>
  <si>
    <t>ANA ELVIRA BELTRAN</t>
  </si>
  <si>
    <t>SUDAMERIS</t>
  </si>
  <si>
    <t>Estado de la sede</t>
  </si>
  <si>
    <t>Total de equipos impactados facturables</t>
  </si>
  <si>
    <t>Total equipos impactados</t>
  </si>
  <si>
    <t>Programada</t>
  </si>
  <si>
    <t>SI</t>
  </si>
  <si>
    <t>En proceso</t>
  </si>
  <si>
    <t>NO</t>
  </si>
  <si>
    <t>Finalizada</t>
  </si>
  <si>
    <t>Reprogramada</t>
  </si>
  <si>
    <t>Inventario en sitio validado</t>
  </si>
  <si>
    <t>Inventario de asignacion validado</t>
  </si>
  <si>
    <t>Checklist mantenimiento completo</t>
  </si>
  <si>
    <t>Observaciones sede</t>
  </si>
  <si>
    <t>Observaciones generales</t>
  </si>
  <si>
    <t>Sede_Cerrada</t>
  </si>
  <si>
    <t>Cronograma  ingreso cumplido</t>
  </si>
  <si>
    <t>Cronograma  salida cumplido</t>
  </si>
  <si>
    <t xml:space="preserve">Calculo desviacion cronograma </t>
  </si>
  <si>
    <t>Validación de guayas</t>
  </si>
  <si>
    <t xml:space="preserve">No firma el director debido en vacaiones, firma el encergado de la sede </t>
  </si>
  <si>
    <t>Total</t>
  </si>
  <si>
    <t>4</t>
  </si>
  <si>
    <t>37</t>
  </si>
  <si>
    <t>Total equipo impactados novedades</t>
  </si>
  <si>
    <t>Observaciones equipos linea base</t>
  </si>
  <si>
    <t>Formula</t>
  </si>
  <si>
    <t>0</t>
  </si>
  <si>
    <t>Cronograma cumplido sede reprogramada</t>
  </si>
  <si>
    <t>Nueva fecha fin sede reprogramada</t>
  </si>
  <si>
    <t>Nueva fecha inicio sede reprogramada</t>
  </si>
  <si>
    <t>ESTA SEDE</t>
  </si>
  <si>
    <t>100</t>
  </si>
  <si>
    <t>7/08/2026</t>
  </si>
  <si>
    <t>N/A</t>
  </si>
  <si>
    <t xml:space="preserve">Derrumbe en la zona que impide el acceso </t>
  </si>
  <si>
    <t>Equipos asignados al director y actas firmadas</t>
  </si>
  <si>
    <t>Actas cargadas PCT</t>
  </si>
  <si>
    <t>El directo del Sban se encentra en vacaiones, firma en su nombre el encargdo del cargo durante su ausencia Zayda Cabanzo</t>
  </si>
  <si>
    <t>Visto bueno PMU COLSOF</t>
  </si>
  <si>
    <t>Visto bueno Banco Actas</t>
  </si>
  <si>
    <t>14</t>
  </si>
  <si>
    <t>16</t>
  </si>
  <si>
    <t>2</t>
  </si>
  <si>
    <t xml:space="preserve">Se evidencian dos equipos portatiles en desuso se deben retornar a bogota </t>
  </si>
  <si>
    <t xml:space="preserve">Se reporta a logistica </t>
  </si>
  <si>
    <t>Observaciones actas PCT</t>
  </si>
  <si>
    <t xml:space="preserve">Tecnico de Calidad </t>
  </si>
  <si>
    <t>Yuliana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</si>
</sst>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7BA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83C937"/>
      </left>
      <right style="thin">
        <color rgb="FF83C937"/>
      </right>
      <top style="thin">
        <color rgb="FF83C937"/>
      </top>
      <bottom style="thin">
        <color rgb="FF83C937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2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AE77-75DE-4526-A88F-2F492E022CD8}">
  <sheetPr>
    <tabColor theme="4" tint="0.39997558519241921"/>
  </sheetPr>
  <dimension ref="A1:AT809"/>
  <sheetViews>
    <sheetView tabSelected="1" zoomScaleNormal="100" workbookViewId="0">
      <selection activeCell="S18" sqref="S18"/>
    </sheetView>
  </sheetViews>
  <sheetFormatPr defaultColWidth="11.42578125" defaultRowHeight="11.25" x14ac:dyDescent="0.2"/>
  <cols>
    <col min="1" max="6" width="11.42578125" style="17"/>
    <col min="7" max="8" width="24.5703125" style="17" bestFit="1" customWidth="1"/>
    <col min="9" max="10" width="11.42578125" style="17"/>
    <col min="11" max="11" width="13.140625" style="17" customWidth="1"/>
    <col min="12" max="12" width="12.42578125" style="17" customWidth="1"/>
    <col min="13" max="16" width="14.85546875" style="17" customWidth="1"/>
    <col min="17" max="17" width="30.28515625" style="17" customWidth="1"/>
    <col min="18" max="21" width="11.42578125" style="17"/>
    <col min="22" max="22" width="14.42578125" style="17" customWidth="1"/>
    <col min="23" max="23" width="11.42578125" style="17"/>
    <col min="24" max="24" width="36.42578125" style="17" customWidth="1"/>
    <col min="25" max="26" width="11.42578125" style="17"/>
    <col min="27" max="27" width="15.42578125" style="17" customWidth="1"/>
    <col min="28" max="28" width="14.5703125" style="17" customWidth="1"/>
    <col min="29" max="29" width="11.42578125" style="17"/>
    <col min="30" max="30" width="38" style="17" customWidth="1"/>
    <col min="31" max="32" width="21.5703125" style="17" customWidth="1"/>
    <col min="33" max="41" width="11.42578125" style="17"/>
    <col min="42" max="42" width="9.28515625" style="17" customWidth="1"/>
    <col min="43" max="45" width="11.42578125" style="17"/>
    <col min="46" max="46" width="37.5703125" style="17" bestFit="1" customWidth="1"/>
    <col min="47" max="16384" width="11.42578125" style="17"/>
  </cols>
  <sheetData>
    <row r="1" spans="1:46" ht="33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8" t="s">
        <v>1648</v>
      </c>
      <c r="K1" s="18" t="s">
        <v>1663</v>
      </c>
      <c r="L1" s="18" t="s">
        <v>1664</v>
      </c>
      <c r="M1" s="20" t="s">
        <v>1665</v>
      </c>
      <c r="N1" s="22" t="s">
        <v>1677</v>
      </c>
      <c r="O1" s="22" t="s">
        <v>1676</v>
      </c>
      <c r="P1" s="22" t="s">
        <v>1675</v>
      </c>
      <c r="Q1" s="19" t="s">
        <v>1660</v>
      </c>
      <c r="R1" s="18" t="s">
        <v>1657</v>
      </c>
      <c r="S1" s="18" t="s">
        <v>1658</v>
      </c>
      <c r="T1" s="18" t="s">
        <v>1666</v>
      </c>
      <c r="U1" s="18" t="s">
        <v>1659</v>
      </c>
      <c r="V1" s="18" t="s">
        <v>1683</v>
      </c>
      <c r="W1" s="18" t="s">
        <v>1684</v>
      </c>
      <c r="X1" s="19" t="s">
        <v>1693</v>
      </c>
      <c r="Y1" s="18" t="s">
        <v>1686</v>
      </c>
      <c r="Z1" s="18" t="s">
        <v>1687</v>
      </c>
      <c r="AA1" s="20" t="s">
        <v>1649</v>
      </c>
      <c r="AB1" s="18" t="s">
        <v>1671</v>
      </c>
      <c r="AC1" s="20" t="s">
        <v>1650</v>
      </c>
      <c r="AD1" s="19" t="s">
        <v>1672</v>
      </c>
      <c r="AE1" s="19" t="s">
        <v>1661</v>
      </c>
      <c r="AF1" s="24" t="s">
        <v>1694</v>
      </c>
      <c r="AG1" s="15" t="s">
        <v>10</v>
      </c>
      <c r="AH1" s="15" t="s">
        <v>11</v>
      </c>
      <c r="AI1" s="15" t="s">
        <v>12</v>
      </c>
      <c r="AJ1" s="15" t="s">
        <v>13</v>
      </c>
      <c r="AK1" s="16" t="s">
        <v>14</v>
      </c>
      <c r="AL1" s="16" t="s">
        <v>15</v>
      </c>
      <c r="AM1" s="16" t="s">
        <v>16</v>
      </c>
      <c r="AN1" s="16" t="s">
        <v>17</v>
      </c>
      <c r="AO1" s="16" t="s">
        <v>18</v>
      </c>
      <c r="AP1" s="16" t="s">
        <v>19</v>
      </c>
      <c r="AQ1" s="16" t="s">
        <v>20</v>
      </c>
      <c r="AR1" s="16" t="s">
        <v>21</v>
      </c>
      <c r="AS1" s="21" t="s">
        <v>1668</v>
      </c>
      <c r="AT1" s="3" t="s">
        <v>9</v>
      </c>
    </row>
    <row r="2" spans="1:46" x14ac:dyDescent="0.2">
      <c r="A2" s="4">
        <v>1321</v>
      </c>
      <c r="B2" s="4" t="s">
        <v>22</v>
      </c>
      <c r="C2" s="5" t="s">
        <v>142</v>
      </c>
      <c r="D2" s="5" t="s">
        <v>143</v>
      </c>
      <c r="E2" s="5" t="s">
        <v>118</v>
      </c>
      <c r="F2" s="5" t="s">
        <v>119</v>
      </c>
      <c r="G2" s="13">
        <v>46266</v>
      </c>
      <c r="H2" s="13">
        <v>46267</v>
      </c>
      <c r="I2" s="9">
        <f t="shared" ref="I2:I65" si="0">NETWORKDAYS(G2,H2)</f>
        <v>2</v>
      </c>
      <c r="J2" s="5" t="s">
        <v>1653</v>
      </c>
      <c r="K2" s="5">
        <v>100</v>
      </c>
      <c r="L2" s="5"/>
      <c r="M2" s="5"/>
      <c r="N2" s="5"/>
      <c r="O2" s="5"/>
      <c r="P2" s="5"/>
      <c r="Q2" s="5"/>
      <c r="R2" s="5" t="s">
        <v>1652</v>
      </c>
      <c r="S2" s="5" t="s">
        <v>1652</v>
      </c>
      <c r="T2" s="5" t="s">
        <v>1652</v>
      </c>
      <c r="U2" s="5" t="s">
        <v>1652</v>
      </c>
      <c r="V2" s="5" t="s">
        <v>1652</v>
      </c>
      <c r="W2" s="5" t="s">
        <v>1652</v>
      </c>
      <c r="X2" s="5" t="s">
        <v>1667</v>
      </c>
      <c r="Y2" s="5" t="s">
        <v>1652</v>
      </c>
      <c r="Z2" s="5" t="s">
        <v>1652</v>
      </c>
      <c r="AA2" s="5" t="s">
        <v>1670</v>
      </c>
      <c r="AB2" s="5" t="s">
        <v>1669</v>
      </c>
      <c r="AC2" s="5" t="s">
        <v>1673</v>
      </c>
      <c r="AD2" s="5"/>
      <c r="AE2" s="5"/>
      <c r="AF2" s="5"/>
      <c r="AG2" s="4">
        <v>6</v>
      </c>
      <c r="AH2" s="4">
        <v>8</v>
      </c>
      <c r="AI2" s="4">
        <v>1</v>
      </c>
      <c r="AJ2" s="4">
        <v>3</v>
      </c>
      <c r="AK2" s="4">
        <v>12</v>
      </c>
      <c r="AL2" s="4">
        <v>4</v>
      </c>
      <c r="AM2" s="4">
        <v>2</v>
      </c>
      <c r="AN2" s="4">
        <v>0</v>
      </c>
      <c r="AO2" s="4">
        <v>2</v>
      </c>
      <c r="AP2" s="4"/>
      <c r="AQ2" s="4">
        <v>1</v>
      </c>
      <c r="AR2" s="4">
        <v>1</v>
      </c>
      <c r="AS2" s="4">
        <f>SUM(AG2:AQ2)</f>
        <v>39</v>
      </c>
      <c r="AT2" s="4" t="s">
        <v>137</v>
      </c>
    </row>
    <row r="3" spans="1:46" x14ac:dyDescent="0.2">
      <c r="A3" s="4">
        <v>1351</v>
      </c>
      <c r="B3" s="4" t="s">
        <v>22</v>
      </c>
      <c r="C3" s="5" t="s">
        <v>176</v>
      </c>
      <c r="D3" s="5" t="s">
        <v>177</v>
      </c>
      <c r="E3" s="5" t="s">
        <v>118</v>
      </c>
      <c r="F3" s="5" t="s">
        <v>119</v>
      </c>
      <c r="G3" s="13">
        <v>46266</v>
      </c>
      <c r="H3" s="13">
        <v>46268</v>
      </c>
      <c r="I3" s="9">
        <f t="shared" si="0"/>
        <v>3</v>
      </c>
      <c r="J3" s="5" t="s">
        <v>1653</v>
      </c>
      <c r="K3" s="5">
        <v>100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4">
        <v>6</v>
      </c>
      <c r="AH3" s="4">
        <v>5</v>
      </c>
      <c r="AI3" s="4">
        <v>1</v>
      </c>
      <c r="AJ3" s="4">
        <v>3</v>
      </c>
      <c r="AK3" s="4">
        <v>11</v>
      </c>
      <c r="AL3" s="4">
        <v>6</v>
      </c>
      <c r="AM3" s="4">
        <v>2</v>
      </c>
      <c r="AN3" s="4">
        <v>0</v>
      </c>
      <c r="AO3" s="4">
        <v>2</v>
      </c>
      <c r="AP3" s="4"/>
      <c r="AQ3" s="4">
        <v>0</v>
      </c>
      <c r="AR3" s="4">
        <v>1</v>
      </c>
      <c r="AS3" s="4">
        <f t="shared" ref="AS3:AS66" si="1">SUM(AG3:AQ3)</f>
        <v>36</v>
      </c>
      <c r="AT3" s="4" t="s">
        <v>125</v>
      </c>
    </row>
    <row r="4" spans="1:46" x14ac:dyDescent="0.2">
      <c r="A4" s="4">
        <v>1353</v>
      </c>
      <c r="B4" s="4" t="s">
        <v>22</v>
      </c>
      <c r="C4" s="5" t="s">
        <v>180</v>
      </c>
      <c r="D4" s="5" t="s">
        <v>181</v>
      </c>
      <c r="E4" s="5" t="s">
        <v>118</v>
      </c>
      <c r="F4" s="5" t="s">
        <v>119</v>
      </c>
      <c r="G4" s="13">
        <v>46266</v>
      </c>
      <c r="H4" s="13">
        <v>46266</v>
      </c>
      <c r="I4" s="9">
        <f t="shared" si="0"/>
        <v>1</v>
      </c>
      <c r="J4" s="5" t="s">
        <v>1655</v>
      </c>
      <c r="K4" s="5">
        <v>100</v>
      </c>
      <c r="L4" s="5">
        <v>100</v>
      </c>
      <c r="M4" s="5" t="s">
        <v>1679</v>
      </c>
      <c r="N4" s="5" t="s">
        <v>1681</v>
      </c>
      <c r="O4" s="5"/>
      <c r="P4" s="5"/>
      <c r="Q4" s="5"/>
      <c r="R4" s="5" t="s">
        <v>1652</v>
      </c>
      <c r="S4" s="5" t="s">
        <v>1652</v>
      </c>
      <c r="T4" s="5" t="s">
        <v>1652</v>
      </c>
      <c r="U4" s="5">
        <v>100</v>
      </c>
      <c r="V4" s="5" t="s">
        <v>1652</v>
      </c>
      <c r="W4" s="5" t="s">
        <v>1652</v>
      </c>
      <c r="X4" s="23" t="s">
        <v>1685</v>
      </c>
      <c r="Y4" s="5" t="s">
        <v>1652</v>
      </c>
      <c r="Z4" s="5" t="s">
        <v>1652</v>
      </c>
      <c r="AA4" s="5" t="s">
        <v>1688</v>
      </c>
      <c r="AB4" s="5" t="s">
        <v>1690</v>
      </c>
      <c r="AC4" s="5" t="s">
        <v>1689</v>
      </c>
      <c r="AD4" s="5" t="s">
        <v>1691</v>
      </c>
      <c r="AE4" s="5" t="s">
        <v>1692</v>
      </c>
      <c r="AF4" s="5" t="s">
        <v>1695</v>
      </c>
      <c r="AG4" s="4">
        <v>3</v>
      </c>
      <c r="AH4" s="4">
        <v>1</v>
      </c>
      <c r="AI4" s="4">
        <v>1</v>
      </c>
      <c r="AJ4" s="4">
        <v>2</v>
      </c>
      <c r="AK4" s="4">
        <v>4</v>
      </c>
      <c r="AL4" s="4">
        <v>2</v>
      </c>
      <c r="AM4" s="4">
        <v>1</v>
      </c>
      <c r="AN4" s="4">
        <v>0</v>
      </c>
      <c r="AO4" s="4">
        <v>1</v>
      </c>
      <c r="AP4" s="4"/>
      <c r="AQ4" s="4">
        <v>0</v>
      </c>
      <c r="AR4" s="4">
        <v>1</v>
      </c>
      <c r="AS4" s="4">
        <f t="shared" si="1"/>
        <v>15</v>
      </c>
      <c r="AT4" s="4" t="s">
        <v>120</v>
      </c>
    </row>
    <row r="5" spans="1:46" x14ac:dyDescent="0.2">
      <c r="A5" s="4">
        <v>1444</v>
      </c>
      <c r="B5" s="4" t="s">
        <v>22</v>
      </c>
      <c r="C5" s="5" t="s">
        <v>287</v>
      </c>
      <c r="D5" s="5" t="s">
        <v>288</v>
      </c>
      <c r="E5" s="5" t="s">
        <v>118</v>
      </c>
      <c r="F5" s="5" t="s">
        <v>119</v>
      </c>
      <c r="G5" s="13">
        <v>46266</v>
      </c>
      <c r="H5" s="13">
        <v>46266</v>
      </c>
      <c r="I5" s="9">
        <f t="shared" si="0"/>
        <v>1</v>
      </c>
      <c r="J5" s="5" t="s">
        <v>1655</v>
      </c>
      <c r="K5" s="5">
        <v>100</v>
      </c>
      <c r="L5" s="5">
        <v>100</v>
      </c>
      <c r="M5" s="5" t="s">
        <v>1679</v>
      </c>
      <c r="N5" s="5" t="s">
        <v>1681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>
        <v>2</v>
      </c>
      <c r="AH5" s="4">
        <v>3</v>
      </c>
      <c r="AI5" s="4">
        <v>1</v>
      </c>
      <c r="AJ5" s="4">
        <v>2</v>
      </c>
      <c r="AK5" s="4">
        <v>6</v>
      </c>
      <c r="AL5" s="4">
        <v>2</v>
      </c>
      <c r="AM5" s="4">
        <v>1</v>
      </c>
      <c r="AN5" s="4">
        <v>0</v>
      </c>
      <c r="AO5" s="4">
        <v>1</v>
      </c>
      <c r="AP5" s="7"/>
      <c r="AQ5" s="4">
        <v>0</v>
      </c>
      <c r="AR5" s="4">
        <v>1</v>
      </c>
      <c r="AS5" s="4">
        <f t="shared" si="1"/>
        <v>18</v>
      </c>
      <c r="AT5" s="4" t="s">
        <v>137</v>
      </c>
    </row>
    <row r="6" spans="1:46" x14ac:dyDescent="0.2">
      <c r="A6" s="4">
        <v>1506</v>
      </c>
      <c r="B6" s="4" t="s">
        <v>22</v>
      </c>
      <c r="C6" s="5" t="s">
        <v>343</v>
      </c>
      <c r="D6" s="5" t="s">
        <v>344</v>
      </c>
      <c r="E6" s="5" t="s">
        <v>330</v>
      </c>
      <c r="F6" s="5" t="s">
        <v>331</v>
      </c>
      <c r="G6" s="13">
        <v>46266</v>
      </c>
      <c r="H6" s="13">
        <v>46267</v>
      </c>
      <c r="I6" s="9">
        <f t="shared" si="0"/>
        <v>2</v>
      </c>
      <c r="J6" s="5" t="s">
        <v>1653</v>
      </c>
      <c r="K6" s="5">
        <v>100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>
        <v>2</v>
      </c>
      <c r="AH6" s="4">
        <v>2</v>
      </c>
      <c r="AI6" s="4">
        <v>1</v>
      </c>
      <c r="AJ6" s="4">
        <v>2</v>
      </c>
      <c r="AK6" s="4">
        <v>4</v>
      </c>
      <c r="AL6" s="4">
        <v>2</v>
      </c>
      <c r="AM6" s="4">
        <v>1</v>
      </c>
      <c r="AN6" s="4">
        <v>0</v>
      </c>
      <c r="AO6" s="4">
        <v>1</v>
      </c>
      <c r="AP6" s="4"/>
      <c r="AQ6" s="4">
        <v>0</v>
      </c>
      <c r="AR6" s="4">
        <v>1</v>
      </c>
      <c r="AS6" s="4">
        <f t="shared" si="1"/>
        <v>15</v>
      </c>
      <c r="AT6" s="9" t="s">
        <v>332</v>
      </c>
    </row>
    <row r="7" spans="1:46" x14ac:dyDescent="0.2">
      <c r="A7" s="4">
        <v>1544</v>
      </c>
      <c r="B7" s="4" t="s">
        <v>22</v>
      </c>
      <c r="C7" s="5" t="s">
        <v>391</v>
      </c>
      <c r="D7" s="5" t="s">
        <v>392</v>
      </c>
      <c r="E7" s="5" t="s">
        <v>330</v>
      </c>
      <c r="F7" s="5" t="s">
        <v>331</v>
      </c>
      <c r="G7" s="13">
        <v>46266</v>
      </c>
      <c r="H7" s="13">
        <v>46267</v>
      </c>
      <c r="I7" s="9">
        <f t="shared" si="0"/>
        <v>2</v>
      </c>
      <c r="J7" s="5" t="s">
        <v>1653</v>
      </c>
      <c r="K7" s="5">
        <v>100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>
        <v>2</v>
      </c>
      <c r="AH7" s="4">
        <v>1</v>
      </c>
      <c r="AI7" s="4">
        <v>1</v>
      </c>
      <c r="AJ7" s="4">
        <v>2</v>
      </c>
      <c r="AK7" s="4">
        <v>3</v>
      </c>
      <c r="AL7" s="4">
        <v>2</v>
      </c>
      <c r="AM7" s="4">
        <v>1</v>
      </c>
      <c r="AN7" s="4">
        <v>0</v>
      </c>
      <c r="AO7" s="4">
        <v>1</v>
      </c>
      <c r="AP7" s="4"/>
      <c r="AQ7" s="4">
        <v>0</v>
      </c>
      <c r="AR7" s="4">
        <v>1</v>
      </c>
      <c r="AS7" s="4">
        <f t="shared" si="1"/>
        <v>13</v>
      </c>
      <c r="AT7" s="9" t="s">
        <v>335</v>
      </c>
    </row>
    <row r="8" spans="1:46" x14ac:dyDescent="0.2">
      <c r="A8" s="4">
        <v>1582</v>
      </c>
      <c r="B8" s="4" t="s">
        <v>22</v>
      </c>
      <c r="C8" s="5" t="s">
        <v>449</v>
      </c>
      <c r="D8" s="5" t="s">
        <v>450</v>
      </c>
      <c r="E8" s="5" t="s">
        <v>330</v>
      </c>
      <c r="F8" s="5" t="s">
        <v>331</v>
      </c>
      <c r="G8" s="13">
        <v>46266</v>
      </c>
      <c r="H8" s="13">
        <v>46267</v>
      </c>
      <c r="I8" s="9">
        <f t="shared" si="0"/>
        <v>2</v>
      </c>
      <c r="J8" s="5" t="s">
        <v>1653</v>
      </c>
      <c r="K8" s="5">
        <v>100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>
        <v>2</v>
      </c>
      <c r="AH8" s="4">
        <v>1</v>
      </c>
      <c r="AI8" s="4">
        <v>1</v>
      </c>
      <c r="AJ8" s="4">
        <v>2</v>
      </c>
      <c r="AK8" s="4">
        <v>3</v>
      </c>
      <c r="AL8" s="4">
        <v>2</v>
      </c>
      <c r="AM8" s="4">
        <v>1</v>
      </c>
      <c r="AN8" s="4">
        <v>0</v>
      </c>
      <c r="AO8" s="4">
        <v>1</v>
      </c>
      <c r="AP8" s="4"/>
      <c r="AQ8" s="4">
        <v>0</v>
      </c>
      <c r="AR8" s="4">
        <v>1</v>
      </c>
      <c r="AS8" s="4">
        <f t="shared" si="1"/>
        <v>13</v>
      </c>
      <c r="AT8" s="9" t="s">
        <v>77</v>
      </c>
    </row>
    <row r="9" spans="1:46" x14ac:dyDescent="0.2">
      <c r="A9" s="4">
        <v>1586</v>
      </c>
      <c r="B9" s="4" t="s">
        <v>22</v>
      </c>
      <c r="C9" s="5" t="s">
        <v>457</v>
      </c>
      <c r="D9" s="5" t="s">
        <v>458</v>
      </c>
      <c r="E9" s="5" t="s">
        <v>330</v>
      </c>
      <c r="F9" s="5" t="s">
        <v>331</v>
      </c>
      <c r="G9" s="13">
        <v>46266</v>
      </c>
      <c r="H9" s="13">
        <v>46267</v>
      </c>
      <c r="I9" s="9">
        <f t="shared" si="0"/>
        <v>2</v>
      </c>
      <c r="J9" s="5" t="s">
        <v>1653</v>
      </c>
      <c r="K9" s="5">
        <v>100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>
        <v>2</v>
      </c>
      <c r="AH9" s="4">
        <v>1</v>
      </c>
      <c r="AI9" s="4">
        <v>1</v>
      </c>
      <c r="AJ9" s="4">
        <v>2</v>
      </c>
      <c r="AK9" s="4">
        <v>3</v>
      </c>
      <c r="AL9" s="4">
        <v>2</v>
      </c>
      <c r="AM9" s="4">
        <v>1</v>
      </c>
      <c r="AN9" s="4">
        <v>0</v>
      </c>
      <c r="AO9" s="4">
        <v>1</v>
      </c>
      <c r="AP9" s="4"/>
      <c r="AQ9" s="4">
        <v>0</v>
      </c>
      <c r="AR9" s="4">
        <v>1</v>
      </c>
      <c r="AS9" s="4">
        <f t="shared" si="1"/>
        <v>13</v>
      </c>
      <c r="AT9" s="9" t="s">
        <v>364</v>
      </c>
    </row>
    <row r="10" spans="1:46" x14ac:dyDescent="0.2">
      <c r="A10" s="4">
        <v>2712</v>
      </c>
      <c r="B10" s="4" t="s">
        <v>22</v>
      </c>
      <c r="C10" s="5" t="s">
        <v>665</v>
      </c>
      <c r="D10" s="5" t="s">
        <v>666</v>
      </c>
      <c r="E10" s="5" t="s">
        <v>661</v>
      </c>
      <c r="F10" s="5" t="s">
        <v>119</v>
      </c>
      <c r="G10" s="13">
        <v>46266</v>
      </c>
      <c r="H10" s="13">
        <v>46266</v>
      </c>
      <c r="I10" s="9">
        <f t="shared" si="0"/>
        <v>1</v>
      </c>
      <c r="J10" s="5" t="s">
        <v>1655</v>
      </c>
      <c r="K10" s="5">
        <v>100</v>
      </c>
      <c r="L10" s="5">
        <v>100</v>
      </c>
      <c r="M10" s="5" t="s">
        <v>1679</v>
      </c>
      <c r="N10" s="5" t="s">
        <v>1681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>
        <v>2</v>
      </c>
      <c r="AH10" s="4">
        <v>2</v>
      </c>
      <c r="AI10" s="4">
        <v>1</v>
      </c>
      <c r="AJ10" s="4">
        <v>2</v>
      </c>
      <c r="AK10" s="4">
        <v>4</v>
      </c>
      <c r="AL10" s="4">
        <v>2</v>
      </c>
      <c r="AM10" s="4">
        <v>1</v>
      </c>
      <c r="AN10" s="4">
        <v>0</v>
      </c>
      <c r="AO10" s="4">
        <v>1</v>
      </c>
      <c r="AP10" s="7"/>
      <c r="AQ10" s="4">
        <v>0</v>
      </c>
      <c r="AR10" s="4">
        <v>1</v>
      </c>
      <c r="AS10" s="4">
        <f t="shared" si="1"/>
        <v>15</v>
      </c>
      <c r="AT10" s="9" t="s">
        <v>69</v>
      </c>
    </row>
    <row r="11" spans="1:46" x14ac:dyDescent="0.2">
      <c r="A11" s="4">
        <v>2777</v>
      </c>
      <c r="B11" s="4" t="s">
        <v>22</v>
      </c>
      <c r="C11" s="5" t="s">
        <v>705</v>
      </c>
      <c r="D11" s="5" t="s">
        <v>706</v>
      </c>
      <c r="E11" s="5" t="s">
        <v>661</v>
      </c>
      <c r="F11" s="5" t="s">
        <v>68</v>
      </c>
      <c r="G11" s="13">
        <v>46266</v>
      </c>
      <c r="H11" s="13">
        <v>46266</v>
      </c>
      <c r="I11" s="9">
        <f t="shared" si="0"/>
        <v>1</v>
      </c>
      <c r="J11" s="5" t="s">
        <v>1655</v>
      </c>
      <c r="K11" s="5">
        <v>100</v>
      </c>
      <c r="L11" s="5">
        <v>100</v>
      </c>
      <c r="M11" s="5" t="s">
        <v>1679</v>
      </c>
      <c r="N11" s="5" t="s">
        <v>1681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>
        <v>2</v>
      </c>
      <c r="AH11" s="4">
        <v>3</v>
      </c>
      <c r="AI11" s="4">
        <v>1</v>
      </c>
      <c r="AJ11" s="4">
        <v>2</v>
      </c>
      <c r="AK11" s="4">
        <v>5</v>
      </c>
      <c r="AL11" s="4">
        <v>2</v>
      </c>
      <c r="AM11" s="4">
        <v>1</v>
      </c>
      <c r="AN11" s="4">
        <v>0</v>
      </c>
      <c r="AO11" s="4">
        <v>1</v>
      </c>
      <c r="AP11" s="4"/>
      <c r="AQ11" s="4">
        <v>0</v>
      </c>
      <c r="AR11" s="4">
        <v>1</v>
      </c>
      <c r="AS11" s="4">
        <f t="shared" si="1"/>
        <v>17</v>
      </c>
      <c r="AT11" s="9" t="s">
        <v>675</v>
      </c>
    </row>
    <row r="12" spans="1:46" x14ac:dyDescent="0.2">
      <c r="A12" s="4">
        <v>3935</v>
      </c>
      <c r="B12" s="4" t="s">
        <v>22</v>
      </c>
      <c r="C12" s="5" t="s">
        <v>920</v>
      </c>
      <c r="D12" s="5" t="s">
        <v>921</v>
      </c>
      <c r="E12" s="5" t="s">
        <v>873</v>
      </c>
      <c r="F12" s="5" t="s">
        <v>574</v>
      </c>
      <c r="G12" s="13">
        <v>46266</v>
      </c>
      <c r="H12" s="13">
        <v>46266</v>
      </c>
      <c r="I12" s="9">
        <f t="shared" si="0"/>
        <v>1</v>
      </c>
      <c r="J12" s="5" t="s">
        <v>1655</v>
      </c>
      <c r="K12" s="5">
        <v>100</v>
      </c>
      <c r="L12" s="5">
        <v>100</v>
      </c>
      <c r="M12" s="5" t="s">
        <v>1679</v>
      </c>
      <c r="N12" s="5" t="s">
        <v>1681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>
        <v>3</v>
      </c>
      <c r="AH12" s="4">
        <v>2</v>
      </c>
      <c r="AI12" s="4">
        <v>1</v>
      </c>
      <c r="AJ12" s="4">
        <v>2</v>
      </c>
      <c r="AK12" s="4">
        <v>5</v>
      </c>
      <c r="AL12" s="4">
        <v>2</v>
      </c>
      <c r="AM12" s="4">
        <v>1</v>
      </c>
      <c r="AN12" s="4">
        <v>1</v>
      </c>
      <c r="AO12" s="4">
        <v>1</v>
      </c>
      <c r="AP12" s="4"/>
      <c r="AQ12" s="4">
        <v>0</v>
      </c>
      <c r="AR12" s="4">
        <v>1</v>
      </c>
      <c r="AS12" s="4">
        <f t="shared" si="1"/>
        <v>18</v>
      </c>
      <c r="AT12" s="9" t="s">
        <v>874</v>
      </c>
    </row>
    <row r="13" spans="1:46" x14ac:dyDescent="0.2">
      <c r="A13" s="4">
        <v>4540</v>
      </c>
      <c r="B13" s="4" t="s">
        <v>22</v>
      </c>
      <c r="C13" s="5" t="s">
        <v>1021</v>
      </c>
      <c r="D13" s="5" t="s">
        <v>1022</v>
      </c>
      <c r="E13" s="5" t="s">
        <v>981</v>
      </c>
      <c r="F13" s="5" t="s">
        <v>26</v>
      </c>
      <c r="G13" s="13">
        <v>46266</v>
      </c>
      <c r="H13" s="13">
        <v>46266</v>
      </c>
      <c r="I13" s="9">
        <f t="shared" si="0"/>
        <v>1</v>
      </c>
      <c r="J13" s="5" t="s">
        <v>1655</v>
      </c>
      <c r="K13" s="5">
        <v>100</v>
      </c>
      <c r="L13" s="5">
        <v>100</v>
      </c>
      <c r="M13" s="5" t="s">
        <v>1679</v>
      </c>
      <c r="N13" s="5" t="s">
        <v>1681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>
        <v>2</v>
      </c>
      <c r="AH13" s="4">
        <v>3</v>
      </c>
      <c r="AI13" s="4">
        <v>1</v>
      </c>
      <c r="AJ13" s="4">
        <v>2</v>
      </c>
      <c r="AK13" s="4">
        <v>5</v>
      </c>
      <c r="AL13" s="4">
        <v>2</v>
      </c>
      <c r="AM13" s="4">
        <v>1</v>
      </c>
      <c r="AN13" s="4">
        <v>0</v>
      </c>
      <c r="AO13" s="4">
        <v>1</v>
      </c>
      <c r="AP13" s="4"/>
      <c r="AQ13" s="4">
        <v>0</v>
      </c>
      <c r="AR13" s="4">
        <v>1</v>
      </c>
      <c r="AS13" s="4">
        <f t="shared" si="1"/>
        <v>17</v>
      </c>
      <c r="AT13" s="9" t="s">
        <v>985</v>
      </c>
    </row>
    <row r="14" spans="1:46" x14ac:dyDescent="0.2">
      <c r="A14" s="4">
        <v>5170</v>
      </c>
      <c r="B14" s="4" t="s">
        <v>22</v>
      </c>
      <c r="C14" s="5" t="s">
        <v>1163</v>
      </c>
      <c r="D14" s="5" t="s">
        <v>1164</v>
      </c>
      <c r="E14" s="5" t="s">
        <v>1107</v>
      </c>
      <c r="F14" s="5" t="s">
        <v>98</v>
      </c>
      <c r="G14" s="13">
        <v>46266</v>
      </c>
      <c r="H14" s="13">
        <v>46269</v>
      </c>
      <c r="I14" s="9">
        <f t="shared" si="0"/>
        <v>4</v>
      </c>
      <c r="J14" s="5" t="s">
        <v>1653</v>
      </c>
      <c r="K14" s="5">
        <v>100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>
        <v>7</v>
      </c>
      <c r="AH14" s="4">
        <v>6</v>
      </c>
      <c r="AI14" s="4">
        <v>1</v>
      </c>
      <c r="AJ14" s="4">
        <v>5</v>
      </c>
      <c r="AK14" s="4">
        <v>12</v>
      </c>
      <c r="AL14" s="4">
        <v>7</v>
      </c>
      <c r="AM14" s="4">
        <v>4</v>
      </c>
      <c r="AN14" s="4">
        <v>0</v>
      </c>
      <c r="AO14" s="4">
        <v>2</v>
      </c>
      <c r="AP14" s="4"/>
      <c r="AQ14" s="4">
        <v>0</v>
      </c>
      <c r="AR14" s="4">
        <v>1</v>
      </c>
      <c r="AS14" s="4">
        <f t="shared" si="1"/>
        <v>44</v>
      </c>
      <c r="AT14" s="9" t="s">
        <v>1150</v>
      </c>
    </row>
    <row r="15" spans="1:46" x14ac:dyDescent="0.2">
      <c r="A15" s="4">
        <v>6607</v>
      </c>
      <c r="B15" s="4" t="s">
        <v>22</v>
      </c>
      <c r="C15" s="5" t="s">
        <v>1352</v>
      </c>
      <c r="D15" s="5" t="s">
        <v>1353</v>
      </c>
      <c r="E15" s="5" t="s">
        <v>1346</v>
      </c>
      <c r="F15" s="5" t="s">
        <v>574</v>
      </c>
      <c r="G15" s="13">
        <v>46266</v>
      </c>
      <c r="H15" s="13">
        <v>46267</v>
      </c>
      <c r="I15" s="9">
        <f t="shared" si="0"/>
        <v>2</v>
      </c>
      <c r="J15" s="5" t="s">
        <v>1653</v>
      </c>
      <c r="K15" s="5">
        <v>100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>
        <v>4</v>
      </c>
      <c r="AH15" s="4">
        <v>3</v>
      </c>
      <c r="AI15" s="4">
        <v>1</v>
      </c>
      <c r="AJ15" s="4">
        <v>2</v>
      </c>
      <c r="AK15" s="4">
        <v>7</v>
      </c>
      <c r="AL15" s="4">
        <v>3</v>
      </c>
      <c r="AM15" s="4">
        <v>1</v>
      </c>
      <c r="AN15" s="4">
        <v>0</v>
      </c>
      <c r="AO15" s="4">
        <v>1</v>
      </c>
      <c r="AP15" s="4"/>
      <c r="AQ15" s="4">
        <v>0</v>
      </c>
      <c r="AR15" s="4">
        <v>1</v>
      </c>
      <c r="AS15" s="4">
        <f t="shared" si="1"/>
        <v>22</v>
      </c>
      <c r="AT15" s="9" t="s">
        <v>1354</v>
      </c>
    </row>
    <row r="16" spans="1:46" x14ac:dyDescent="0.2">
      <c r="A16" s="4">
        <v>6627</v>
      </c>
      <c r="B16" s="4" t="s">
        <v>22</v>
      </c>
      <c r="C16" s="5" t="s">
        <v>1387</v>
      </c>
      <c r="D16" s="5" t="s">
        <v>1388</v>
      </c>
      <c r="E16" s="5" t="s">
        <v>1346</v>
      </c>
      <c r="F16" s="5" t="s">
        <v>574</v>
      </c>
      <c r="G16" s="13">
        <v>46266</v>
      </c>
      <c r="H16" s="13">
        <v>46266</v>
      </c>
      <c r="I16" s="9">
        <f t="shared" si="0"/>
        <v>1</v>
      </c>
      <c r="J16" s="5" t="s">
        <v>1655</v>
      </c>
      <c r="K16" s="5">
        <v>100</v>
      </c>
      <c r="L16" s="5">
        <v>100</v>
      </c>
      <c r="M16" s="5" t="s">
        <v>1679</v>
      </c>
      <c r="N16" s="5" t="s">
        <v>1681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>
        <v>3</v>
      </c>
      <c r="AH16" s="4">
        <v>1</v>
      </c>
      <c r="AI16" s="4">
        <v>1</v>
      </c>
      <c r="AJ16" s="4">
        <v>2</v>
      </c>
      <c r="AK16" s="4">
        <v>4</v>
      </c>
      <c r="AL16" s="4">
        <v>3</v>
      </c>
      <c r="AM16" s="4">
        <v>1</v>
      </c>
      <c r="AN16" s="4">
        <v>0</v>
      </c>
      <c r="AO16" s="4">
        <v>1</v>
      </c>
      <c r="AP16" s="4"/>
      <c r="AQ16" s="4">
        <v>0</v>
      </c>
      <c r="AR16" s="4">
        <v>1</v>
      </c>
      <c r="AS16" s="4">
        <f t="shared" si="1"/>
        <v>16</v>
      </c>
      <c r="AT16" s="9" t="s">
        <v>1349</v>
      </c>
    </row>
    <row r="17" spans="1:46" x14ac:dyDescent="0.2">
      <c r="A17" s="4">
        <v>6640</v>
      </c>
      <c r="B17" s="4" t="s">
        <v>22</v>
      </c>
      <c r="C17" s="5" t="s">
        <v>1408</v>
      </c>
      <c r="D17" s="5" t="s">
        <v>1409</v>
      </c>
      <c r="E17" s="5" t="s">
        <v>1346</v>
      </c>
      <c r="F17" s="5" t="s">
        <v>574</v>
      </c>
      <c r="G17" s="13">
        <v>46266</v>
      </c>
      <c r="H17" s="13">
        <v>46266</v>
      </c>
      <c r="I17" s="9">
        <f t="shared" si="0"/>
        <v>1</v>
      </c>
      <c r="J17" s="5" t="s">
        <v>1656</v>
      </c>
      <c r="K17" s="5">
        <v>0</v>
      </c>
      <c r="L17" s="5">
        <v>0</v>
      </c>
      <c r="M17" s="5" t="s">
        <v>1674</v>
      </c>
      <c r="N17" s="5" t="s">
        <v>1680</v>
      </c>
      <c r="O17" s="5" t="s">
        <v>1680</v>
      </c>
      <c r="P17" s="5"/>
      <c r="Q17" s="5" t="s">
        <v>1682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>
        <v>3</v>
      </c>
      <c r="AH17" s="4">
        <v>2</v>
      </c>
      <c r="AI17" s="4">
        <v>1</v>
      </c>
      <c r="AJ17" s="4">
        <v>2</v>
      </c>
      <c r="AK17" s="4">
        <v>6</v>
      </c>
      <c r="AL17" s="4">
        <v>3</v>
      </c>
      <c r="AM17" s="4">
        <v>1</v>
      </c>
      <c r="AN17" s="4">
        <v>0</v>
      </c>
      <c r="AO17" s="4">
        <v>1</v>
      </c>
      <c r="AP17" s="4"/>
      <c r="AQ17" s="4">
        <v>1</v>
      </c>
      <c r="AR17" s="4">
        <v>1</v>
      </c>
      <c r="AS17" s="4">
        <f t="shared" si="1"/>
        <v>20</v>
      </c>
      <c r="AT17" s="9" t="s">
        <v>1359</v>
      </c>
    </row>
    <row r="18" spans="1:46" x14ac:dyDescent="0.2">
      <c r="A18" s="4">
        <v>6642</v>
      </c>
      <c r="B18" s="4" t="s">
        <v>22</v>
      </c>
      <c r="C18" s="5" t="s">
        <v>1412</v>
      </c>
      <c r="D18" s="5" t="s">
        <v>1413</v>
      </c>
      <c r="E18" s="5" t="s">
        <v>1346</v>
      </c>
      <c r="F18" s="5" t="s">
        <v>574</v>
      </c>
      <c r="G18" s="13">
        <v>46266</v>
      </c>
      <c r="H18" s="13">
        <v>46267</v>
      </c>
      <c r="I18" s="9">
        <f t="shared" si="0"/>
        <v>2</v>
      </c>
      <c r="J18" s="5" t="s">
        <v>1653</v>
      </c>
      <c r="K18" s="5">
        <v>100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>
        <v>6</v>
      </c>
      <c r="AH18" s="4">
        <v>3</v>
      </c>
      <c r="AI18" s="4">
        <v>1</v>
      </c>
      <c r="AJ18" s="4">
        <v>3</v>
      </c>
      <c r="AK18" s="4">
        <v>10</v>
      </c>
      <c r="AL18" s="4">
        <v>5</v>
      </c>
      <c r="AM18" s="4">
        <v>2</v>
      </c>
      <c r="AN18" s="4">
        <v>0</v>
      </c>
      <c r="AO18" s="4">
        <v>2</v>
      </c>
      <c r="AP18" s="4"/>
      <c r="AQ18" s="4">
        <v>0</v>
      </c>
      <c r="AR18" s="4">
        <v>1</v>
      </c>
      <c r="AS18" s="4">
        <f t="shared" si="1"/>
        <v>32</v>
      </c>
      <c r="AT18" s="9" t="s">
        <v>1364</v>
      </c>
    </row>
    <row r="19" spans="1:46" x14ac:dyDescent="0.2">
      <c r="A19" s="4">
        <v>7303</v>
      </c>
      <c r="B19" s="4" t="s">
        <v>22</v>
      </c>
      <c r="C19" s="5" t="s">
        <v>351</v>
      </c>
      <c r="D19" s="5" t="s">
        <v>1519</v>
      </c>
      <c r="E19" s="5" t="s">
        <v>1519</v>
      </c>
      <c r="F19" s="5" t="s">
        <v>26</v>
      </c>
      <c r="G19" s="13">
        <v>46266</v>
      </c>
      <c r="H19" s="13">
        <v>46266</v>
      </c>
      <c r="I19" s="9">
        <f t="shared" si="0"/>
        <v>1</v>
      </c>
      <c r="J19" s="5" t="s">
        <v>1655</v>
      </c>
      <c r="K19" s="5">
        <v>100</v>
      </c>
      <c r="L19" s="5">
        <v>100</v>
      </c>
      <c r="M19" s="5" t="s">
        <v>1679</v>
      </c>
      <c r="N19" s="5" t="s">
        <v>1681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>
        <v>6</v>
      </c>
      <c r="AH19" s="4">
        <v>5</v>
      </c>
      <c r="AI19" s="4">
        <v>1</v>
      </c>
      <c r="AJ19" s="4">
        <v>3</v>
      </c>
      <c r="AK19" s="4">
        <v>9</v>
      </c>
      <c r="AL19" s="4">
        <v>6</v>
      </c>
      <c r="AM19" s="4">
        <v>2</v>
      </c>
      <c r="AN19" s="4">
        <v>0</v>
      </c>
      <c r="AO19" s="4">
        <v>2</v>
      </c>
      <c r="AP19" s="4"/>
      <c r="AQ19" s="4">
        <v>0</v>
      </c>
      <c r="AR19" s="4">
        <v>1</v>
      </c>
      <c r="AS19" s="4">
        <f t="shared" si="1"/>
        <v>34</v>
      </c>
      <c r="AT19" s="9" t="s">
        <v>1520</v>
      </c>
    </row>
    <row r="20" spans="1:46" x14ac:dyDescent="0.2">
      <c r="A20" s="4">
        <v>7901</v>
      </c>
      <c r="B20" s="4" t="s">
        <v>22</v>
      </c>
      <c r="C20" s="5" t="s">
        <v>1566</v>
      </c>
      <c r="D20" s="5" t="s">
        <v>1567</v>
      </c>
      <c r="E20" s="5" t="s">
        <v>1512</v>
      </c>
      <c r="F20" s="5" t="s">
        <v>574</v>
      </c>
      <c r="G20" s="13">
        <v>46266</v>
      </c>
      <c r="H20" s="13">
        <v>46267</v>
      </c>
      <c r="I20" s="9">
        <f t="shared" si="0"/>
        <v>2</v>
      </c>
      <c r="J20" s="5" t="s">
        <v>1653</v>
      </c>
      <c r="K20" s="5">
        <v>100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>
        <v>6</v>
      </c>
      <c r="AH20" s="4">
        <v>3</v>
      </c>
      <c r="AI20" s="4">
        <v>1</v>
      </c>
      <c r="AJ20" s="4">
        <v>3</v>
      </c>
      <c r="AK20" s="4">
        <v>10</v>
      </c>
      <c r="AL20" s="4">
        <v>4</v>
      </c>
      <c r="AM20" s="4">
        <v>2</v>
      </c>
      <c r="AN20" s="4">
        <v>0</v>
      </c>
      <c r="AO20" s="4">
        <v>2</v>
      </c>
      <c r="AP20" s="4"/>
      <c r="AQ20" s="4">
        <v>0</v>
      </c>
      <c r="AR20" s="4">
        <v>1</v>
      </c>
      <c r="AS20" s="4">
        <f t="shared" si="1"/>
        <v>31</v>
      </c>
      <c r="AT20" s="9" t="s">
        <v>1568</v>
      </c>
    </row>
    <row r="21" spans="1:46" x14ac:dyDescent="0.2">
      <c r="A21" s="4">
        <v>8510</v>
      </c>
      <c r="B21" s="4" t="s">
        <v>22</v>
      </c>
      <c r="C21" s="5" t="s">
        <v>1593</v>
      </c>
      <c r="D21" s="5" t="s">
        <v>1594</v>
      </c>
      <c r="E21" s="5" t="s">
        <v>1588</v>
      </c>
      <c r="F21" s="5" t="s">
        <v>26</v>
      </c>
      <c r="G21" s="13">
        <v>46266</v>
      </c>
      <c r="H21" s="13">
        <v>46272</v>
      </c>
      <c r="I21" s="9">
        <f t="shared" si="0"/>
        <v>5</v>
      </c>
      <c r="J21" s="5" t="s">
        <v>1653</v>
      </c>
      <c r="K21" s="5">
        <v>100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>
        <v>3</v>
      </c>
      <c r="AH21" s="4">
        <v>2</v>
      </c>
      <c r="AI21" s="4">
        <v>1</v>
      </c>
      <c r="AJ21" s="4">
        <v>2</v>
      </c>
      <c r="AK21" s="4">
        <v>5</v>
      </c>
      <c r="AL21" s="4">
        <v>2</v>
      </c>
      <c r="AM21" s="4">
        <v>1</v>
      </c>
      <c r="AN21" s="4">
        <v>0</v>
      </c>
      <c r="AO21" s="4">
        <v>1</v>
      </c>
      <c r="AP21" s="4"/>
      <c r="AQ21" s="4">
        <v>0</v>
      </c>
      <c r="AR21" s="4">
        <v>1</v>
      </c>
      <c r="AS21" s="4">
        <f t="shared" si="1"/>
        <v>17</v>
      </c>
      <c r="AT21" s="9" t="s">
        <v>1595</v>
      </c>
    </row>
    <row r="22" spans="1:46" x14ac:dyDescent="0.2">
      <c r="A22" s="5">
        <v>9000</v>
      </c>
      <c r="B22" s="5" t="s">
        <v>1640</v>
      </c>
      <c r="C22" s="5" t="s">
        <v>1641</v>
      </c>
      <c r="D22" s="5" t="s">
        <v>24</v>
      </c>
      <c r="E22" s="5" t="s">
        <v>36</v>
      </c>
      <c r="F22" s="5" t="s">
        <v>1642</v>
      </c>
      <c r="G22" s="13">
        <v>46266</v>
      </c>
      <c r="H22" s="13">
        <v>46367</v>
      </c>
      <c r="I22" s="9">
        <f t="shared" si="0"/>
        <v>74</v>
      </c>
      <c r="J22" s="5" t="s">
        <v>1653</v>
      </c>
      <c r="K22" s="5">
        <v>100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188</v>
      </c>
      <c r="AH22" s="5">
        <v>936</v>
      </c>
      <c r="AI22" s="5"/>
      <c r="AJ22" s="5">
        <v>12</v>
      </c>
      <c r="AK22" s="5">
        <v>278</v>
      </c>
      <c r="AL22" s="5">
        <v>41</v>
      </c>
      <c r="AM22" s="5">
        <v>1</v>
      </c>
      <c r="AN22" s="5">
        <v>250</v>
      </c>
      <c r="AO22" s="5"/>
      <c r="AP22" s="5">
        <v>2</v>
      </c>
      <c r="AQ22" s="5">
        <v>5</v>
      </c>
      <c r="AR22" s="5"/>
      <c r="AS22" s="4">
        <f t="shared" si="1"/>
        <v>1713</v>
      </c>
      <c r="AT22" s="9" t="s">
        <v>1633</v>
      </c>
    </row>
    <row r="23" spans="1:46" x14ac:dyDescent="0.2">
      <c r="A23" s="5">
        <v>9000</v>
      </c>
      <c r="B23" s="5" t="s">
        <v>1640</v>
      </c>
      <c r="C23" s="5" t="s">
        <v>1642</v>
      </c>
      <c r="D23" s="5" t="s">
        <v>24</v>
      </c>
      <c r="E23" s="5" t="s">
        <v>36</v>
      </c>
      <c r="F23" s="5" t="s">
        <v>1642</v>
      </c>
      <c r="G23" s="13">
        <v>46266</v>
      </c>
      <c r="H23" s="13">
        <v>46367</v>
      </c>
      <c r="I23" s="9">
        <f t="shared" si="0"/>
        <v>74</v>
      </c>
      <c r="J23" s="5" t="s">
        <v>1653</v>
      </c>
      <c r="K23" s="5">
        <v>100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277</v>
      </c>
      <c r="AH23" s="5">
        <v>1022</v>
      </c>
      <c r="AI23" s="5"/>
      <c r="AJ23" s="5"/>
      <c r="AK23" s="5"/>
      <c r="AL23" s="5">
        <v>247</v>
      </c>
      <c r="AM23" s="5"/>
      <c r="AN23" s="5">
        <v>91</v>
      </c>
      <c r="AO23" s="5"/>
      <c r="AP23" s="5"/>
      <c r="AQ23" s="5"/>
      <c r="AR23" s="5"/>
      <c r="AS23" s="4">
        <f t="shared" si="1"/>
        <v>1637</v>
      </c>
      <c r="AT23" s="5" t="s">
        <v>1633</v>
      </c>
    </row>
    <row r="24" spans="1:46" x14ac:dyDescent="0.2">
      <c r="A24" s="5">
        <v>9000</v>
      </c>
      <c r="B24" s="5" t="s">
        <v>1640</v>
      </c>
      <c r="C24" s="5" t="s">
        <v>1647</v>
      </c>
      <c r="D24" s="5" t="s">
        <v>24</v>
      </c>
      <c r="E24" s="5" t="s">
        <v>36</v>
      </c>
      <c r="F24" s="5" t="s">
        <v>1642</v>
      </c>
      <c r="G24" s="13">
        <v>46266</v>
      </c>
      <c r="H24" s="13">
        <v>46367</v>
      </c>
      <c r="I24" s="9">
        <f t="shared" si="0"/>
        <v>74</v>
      </c>
      <c r="J24" s="5" t="s">
        <v>1653</v>
      </c>
      <c r="K24" s="5">
        <v>100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27</v>
      </c>
      <c r="AH24" s="5">
        <v>43</v>
      </c>
      <c r="AI24" s="5"/>
      <c r="AJ24" s="5"/>
      <c r="AK24" s="5"/>
      <c r="AL24" s="5"/>
      <c r="AM24" s="5"/>
      <c r="AN24" s="5">
        <v>1</v>
      </c>
      <c r="AO24" s="5"/>
      <c r="AP24" s="5"/>
      <c r="AQ24" s="5">
        <v>2</v>
      </c>
      <c r="AR24" s="5"/>
      <c r="AS24" s="4">
        <f t="shared" si="1"/>
        <v>73</v>
      </c>
      <c r="AT24" s="5" t="s">
        <v>1633</v>
      </c>
    </row>
    <row r="25" spans="1:46" x14ac:dyDescent="0.2">
      <c r="A25" s="4">
        <v>1381</v>
      </c>
      <c r="B25" s="4" t="s">
        <v>22</v>
      </c>
      <c r="C25" s="5" t="s">
        <v>224</v>
      </c>
      <c r="D25" s="5" t="s">
        <v>225</v>
      </c>
      <c r="E25" s="5" t="s">
        <v>118</v>
      </c>
      <c r="F25" s="5" t="s">
        <v>119</v>
      </c>
      <c r="G25" s="13">
        <v>46267</v>
      </c>
      <c r="H25" s="13">
        <v>46267</v>
      </c>
      <c r="I25" s="9">
        <f t="shared" si="0"/>
        <v>1</v>
      </c>
      <c r="J25" s="5" t="s">
        <v>1651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G25" s="4">
        <v>5</v>
      </c>
      <c r="AH25" s="4">
        <v>8</v>
      </c>
      <c r="AI25" s="4">
        <v>1</v>
      </c>
      <c r="AJ25" s="4">
        <v>3</v>
      </c>
      <c r="AK25" s="4">
        <v>10</v>
      </c>
      <c r="AL25" s="4">
        <v>4</v>
      </c>
      <c r="AM25" s="4">
        <v>2</v>
      </c>
      <c r="AN25" s="4">
        <v>0</v>
      </c>
      <c r="AO25" s="4">
        <v>2</v>
      </c>
      <c r="AP25" s="4"/>
      <c r="AQ25" s="4">
        <v>0</v>
      </c>
      <c r="AR25" s="4">
        <v>1</v>
      </c>
      <c r="AS25" s="4">
        <f t="shared" si="1"/>
        <v>35</v>
      </c>
      <c r="AT25" s="4" t="s">
        <v>120</v>
      </c>
    </row>
    <row r="26" spans="1:46" x14ac:dyDescent="0.2">
      <c r="A26" s="4">
        <v>1504</v>
      </c>
      <c r="B26" s="4" t="s">
        <v>22</v>
      </c>
      <c r="C26" s="5" t="s">
        <v>338</v>
      </c>
      <c r="D26" s="5" t="s">
        <v>339</v>
      </c>
      <c r="E26" s="5" t="s">
        <v>330</v>
      </c>
      <c r="F26" s="5" t="s">
        <v>331</v>
      </c>
      <c r="G26" s="13">
        <v>46267</v>
      </c>
      <c r="H26" s="13">
        <v>46268</v>
      </c>
      <c r="I26" s="9">
        <f t="shared" si="0"/>
        <v>2</v>
      </c>
      <c r="J26" s="5" t="s">
        <v>1651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>
        <v>4</v>
      </c>
      <c r="AH26" s="4">
        <v>4</v>
      </c>
      <c r="AI26" s="4">
        <v>1</v>
      </c>
      <c r="AJ26" s="4">
        <v>2</v>
      </c>
      <c r="AK26" s="4">
        <v>8</v>
      </c>
      <c r="AL26" s="4">
        <v>2</v>
      </c>
      <c r="AM26" s="4">
        <v>1</v>
      </c>
      <c r="AN26" s="4">
        <v>0</v>
      </c>
      <c r="AO26" s="4">
        <v>2</v>
      </c>
      <c r="AP26" s="4"/>
      <c r="AQ26" s="4">
        <v>0</v>
      </c>
      <c r="AR26" s="4">
        <v>1</v>
      </c>
      <c r="AS26" s="4">
        <f t="shared" si="1"/>
        <v>24</v>
      </c>
      <c r="AT26" s="9" t="s">
        <v>77</v>
      </c>
    </row>
    <row r="27" spans="1:46" x14ac:dyDescent="0.2">
      <c r="A27" s="4">
        <v>1522</v>
      </c>
      <c r="B27" s="4" t="s">
        <v>22</v>
      </c>
      <c r="C27" s="5" t="s">
        <v>367</v>
      </c>
      <c r="D27" s="5" t="s">
        <v>368</v>
      </c>
      <c r="E27" s="5" t="s">
        <v>330</v>
      </c>
      <c r="F27" s="5" t="s">
        <v>331</v>
      </c>
      <c r="G27" s="13">
        <v>46267</v>
      </c>
      <c r="H27" s="13">
        <v>46268</v>
      </c>
      <c r="I27" s="9">
        <f t="shared" si="0"/>
        <v>2</v>
      </c>
      <c r="J27" s="5" t="s">
        <v>1651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>
        <v>2</v>
      </c>
      <c r="AH27" s="4">
        <v>1</v>
      </c>
      <c r="AI27" s="4">
        <v>1</v>
      </c>
      <c r="AJ27" s="4">
        <v>2</v>
      </c>
      <c r="AK27" s="4">
        <v>3</v>
      </c>
      <c r="AL27" s="4">
        <v>2</v>
      </c>
      <c r="AM27" s="4">
        <v>1</v>
      </c>
      <c r="AN27" s="4">
        <v>0</v>
      </c>
      <c r="AO27" s="4">
        <v>1</v>
      </c>
      <c r="AP27" s="4"/>
      <c r="AQ27" s="4">
        <v>0</v>
      </c>
      <c r="AR27" s="4">
        <v>1</v>
      </c>
      <c r="AS27" s="4">
        <f t="shared" si="1"/>
        <v>13</v>
      </c>
      <c r="AT27" s="9" t="s">
        <v>364</v>
      </c>
    </row>
    <row r="28" spans="1:46" x14ac:dyDescent="0.2">
      <c r="A28" s="4">
        <v>1524</v>
      </c>
      <c r="B28" s="4" t="s">
        <v>22</v>
      </c>
      <c r="C28" s="5" t="s">
        <v>369</v>
      </c>
      <c r="D28" s="5" t="s">
        <v>370</v>
      </c>
      <c r="E28" s="5" t="s">
        <v>330</v>
      </c>
      <c r="F28" s="5" t="s">
        <v>331</v>
      </c>
      <c r="G28" s="13">
        <v>46267</v>
      </c>
      <c r="H28" s="13">
        <v>46268</v>
      </c>
      <c r="I28" s="9">
        <f t="shared" si="0"/>
        <v>2</v>
      </c>
      <c r="J28" s="5" t="s">
        <v>1651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>
        <v>2</v>
      </c>
      <c r="AH28" s="4">
        <v>3</v>
      </c>
      <c r="AI28" s="4">
        <v>1</v>
      </c>
      <c r="AJ28" s="4">
        <v>2</v>
      </c>
      <c r="AK28" s="4">
        <v>5</v>
      </c>
      <c r="AL28" s="4">
        <v>2</v>
      </c>
      <c r="AM28" s="4">
        <v>1</v>
      </c>
      <c r="AN28" s="4">
        <v>0</v>
      </c>
      <c r="AO28" s="4">
        <v>1</v>
      </c>
      <c r="AP28" s="4"/>
      <c r="AQ28" s="4">
        <v>0</v>
      </c>
      <c r="AR28" s="4">
        <v>1</v>
      </c>
      <c r="AS28" s="4">
        <f t="shared" si="1"/>
        <v>17</v>
      </c>
      <c r="AT28" s="9" t="s">
        <v>332</v>
      </c>
    </row>
    <row r="29" spans="1:46" x14ac:dyDescent="0.2">
      <c r="A29" s="4">
        <v>1576</v>
      </c>
      <c r="B29" s="4" t="s">
        <v>22</v>
      </c>
      <c r="C29" s="5" t="s">
        <v>438</v>
      </c>
      <c r="D29" s="5" t="s">
        <v>439</v>
      </c>
      <c r="E29" s="5" t="s">
        <v>330</v>
      </c>
      <c r="F29" s="5" t="s">
        <v>331</v>
      </c>
      <c r="G29" s="13">
        <v>46267</v>
      </c>
      <c r="H29" s="13">
        <v>46269</v>
      </c>
      <c r="I29" s="9">
        <f t="shared" si="0"/>
        <v>3</v>
      </c>
      <c r="J29" s="5" t="s">
        <v>1651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>
        <v>5</v>
      </c>
      <c r="AH29" s="4">
        <v>5</v>
      </c>
      <c r="AI29" s="4">
        <v>1</v>
      </c>
      <c r="AJ29" s="4">
        <v>3</v>
      </c>
      <c r="AK29" s="4">
        <v>9</v>
      </c>
      <c r="AL29" s="4">
        <v>4</v>
      </c>
      <c r="AM29" s="4">
        <v>2</v>
      </c>
      <c r="AN29" s="4">
        <v>0</v>
      </c>
      <c r="AO29" s="4">
        <v>1</v>
      </c>
      <c r="AP29" s="7"/>
      <c r="AQ29" s="4">
        <v>1</v>
      </c>
      <c r="AR29" s="4">
        <v>1</v>
      </c>
      <c r="AS29" s="4">
        <f t="shared" si="1"/>
        <v>31</v>
      </c>
      <c r="AT29" s="9" t="s">
        <v>440</v>
      </c>
    </row>
    <row r="30" spans="1:46" x14ac:dyDescent="0.2">
      <c r="A30" s="4">
        <v>2413</v>
      </c>
      <c r="B30" s="4" t="s">
        <v>22</v>
      </c>
      <c r="C30" s="5" t="s">
        <v>620</v>
      </c>
      <c r="D30" s="5" t="s">
        <v>621</v>
      </c>
      <c r="E30" s="5" t="s">
        <v>622</v>
      </c>
      <c r="F30" s="5" t="s">
        <v>68</v>
      </c>
      <c r="G30" s="13">
        <v>46267</v>
      </c>
      <c r="H30" s="13">
        <v>46267</v>
      </c>
      <c r="I30" s="9">
        <f t="shared" si="0"/>
        <v>1</v>
      </c>
      <c r="J30" s="5" t="s">
        <v>1651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>
        <v>4</v>
      </c>
      <c r="AH30" s="4">
        <v>2</v>
      </c>
      <c r="AI30" s="4">
        <v>1</v>
      </c>
      <c r="AJ30" s="4">
        <v>2</v>
      </c>
      <c r="AK30" s="4">
        <v>8</v>
      </c>
      <c r="AL30" s="4">
        <v>3</v>
      </c>
      <c r="AM30" s="4">
        <v>1</v>
      </c>
      <c r="AN30" s="4">
        <v>0</v>
      </c>
      <c r="AO30" s="4">
        <v>1</v>
      </c>
      <c r="AP30" s="4"/>
      <c r="AQ30" s="4">
        <v>0</v>
      </c>
      <c r="AR30" s="4">
        <v>1</v>
      </c>
      <c r="AS30" s="4">
        <f t="shared" si="1"/>
        <v>22</v>
      </c>
      <c r="AT30" s="9" t="s">
        <v>623</v>
      </c>
    </row>
    <row r="31" spans="1:46" x14ac:dyDescent="0.2">
      <c r="A31" s="4">
        <v>2745</v>
      </c>
      <c r="B31" s="4" t="s">
        <v>22</v>
      </c>
      <c r="C31" s="5" t="s">
        <v>676</v>
      </c>
      <c r="D31" s="5" t="s">
        <v>677</v>
      </c>
      <c r="E31" s="5" t="s">
        <v>661</v>
      </c>
      <c r="F31" s="5" t="s">
        <v>68</v>
      </c>
      <c r="G31" s="13">
        <v>46267</v>
      </c>
      <c r="H31" s="13">
        <v>46267</v>
      </c>
      <c r="I31" s="9">
        <f t="shared" si="0"/>
        <v>1</v>
      </c>
      <c r="J31" s="5" t="s">
        <v>1651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>
        <v>4</v>
      </c>
      <c r="AH31" s="4">
        <v>4</v>
      </c>
      <c r="AI31" s="4">
        <v>1</v>
      </c>
      <c r="AJ31" s="4">
        <v>3</v>
      </c>
      <c r="AK31" s="4">
        <v>9</v>
      </c>
      <c r="AL31" s="4">
        <v>3</v>
      </c>
      <c r="AM31" s="4">
        <v>2</v>
      </c>
      <c r="AN31" s="4">
        <v>0</v>
      </c>
      <c r="AO31" s="4">
        <v>1</v>
      </c>
      <c r="AP31" s="4"/>
      <c r="AQ31" s="4">
        <v>0</v>
      </c>
      <c r="AR31" s="4">
        <v>1</v>
      </c>
      <c r="AS31" s="4">
        <f t="shared" si="1"/>
        <v>27</v>
      </c>
      <c r="AT31" s="9" t="s">
        <v>675</v>
      </c>
    </row>
    <row r="32" spans="1:46" x14ac:dyDescent="0.2">
      <c r="A32" s="4">
        <v>2765</v>
      </c>
      <c r="B32" s="4" t="s">
        <v>22</v>
      </c>
      <c r="C32" s="5" t="s">
        <v>688</v>
      </c>
      <c r="D32" s="5" t="s">
        <v>689</v>
      </c>
      <c r="E32" s="5" t="s">
        <v>661</v>
      </c>
      <c r="F32" s="5" t="s">
        <v>119</v>
      </c>
      <c r="G32" s="13">
        <v>46267</v>
      </c>
      <c r="H32" s="13">
        <v>46267</v>
      </c>
      <c r="I32" s="9">
        <f t="shared" si="0"/>
        <v>1</v>
      </c>
      <c r="J32" s="5" t="s">
        <v>1651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>
        <v>5</v>
      </c>
      <c r="AH32" s="4">
        <v>5</v>
      </c>
      <c r="AI32" s="4">
        <v>1</v>
      </c>
      <c r="AJ32" s="4">
        <v>3</v>
      </c>
      <c r="AK32" s="4">
        <v>10</v>
      </c>
      <c r="AL32" s="4">
        <v>4</v>
      </c>
      <c r="AM32" s="4">
        <v>2</v>
      </c>
      <c r="AN32" s="4">
        <v>0</v>
      </c>
      <c r="AO32" s="4">
        <v>2</v>
      </c>
      <c r="AP32" s="4"/>
      <c r="AQ32" s="4">
        <v>0</v>
      </c>
      <c r="AR32" s="4">
        <v>1</v>
      </c>
      <c r="AS32" s="4">
        <f t="shared" si="1"/>
        <v>32</v>
      </c>
      <c r="AT32" s="9" t="s">
        <v>69</v>
      </c>
    </row>
    <row r="33" spans="1:46" x14ac:dyDescent="0.2">
      <c r="A33" s="4">
        <v>3640</v>
      </c>
      <c r="B33" s="4" t="s">
        <v>22</v>
      </c>
      <c r="C33" s="5" t="s">
        <v>865</v>
      </c>
      <c r="D33" s="5" t="s">
        <v>866</v>
      </c>
      <c r="E33" s="5" t="s">
        <v>622</v>
      </c>
      <c r="F33" s="5" t="s">
        <v>68</v>
      </c>
      <c r="G33" s="13">
        <v>46267</v>
      </c>
      <c r="H33" s="13">
        <v>46267</v>
      </c>
      <c r="I33" s="9">
        <f t="shared" si="0"/>
        <v>1</v>
      </c>
      <c r="J33" s="5" t="s">
        <v>1651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>
        <v>5</v>
      </c>
      <c r="AH33" s="4">
        <v>4</v>
      </c>
      <c r="AI33" s="4">
        <v>1</v>
      </c>
      <c r="AJ33" s="4">
        <v>3</v>
      </c>
      <c r="AK33" s="4">
        <v>9</v>
      </c>
      <c r="AL33" s="4">
        <v>4</v>
      </c>
      <c r="AM33" s="4">
        <v>2</v>
      </c>
      <c r="AN33" s="4">
        <v>0</v>
      </c>
      <c r="AO33" s="4">
        <v>1</v>
      </c>
      <c r="AP33" s="4"/>
      <c r="AQ33" s="4">
        <v>1</v>
      </c>
      <c r="AR33" s="4">
        <v>1</v>
      </c>
      <c r="AS33" s="4">
        <f t="shared" si="1"/>
        <v>30</v>
      </c>
      <c r="AT33" s="9" t="s">
        <v>867</v>
      </c>
    </row>
    <row r="34" spans="1:46" x14ac:dyDescent="0.2">
      <c r="A34" s="4">
        <v>3910</v>
      </c>
      <c r="B34" s="4" t="s">
        <v>22</v>
      </c>
      <c r="C34" s="5" t="s">
        <v>893</v>
      </c>
      <c r="D34" s="5" t="s">
        <v>894</v>
      </c>
      <c r="E34" s="5" t="s">
        <v>873</v>
      </c>
      <c r="F34" s="5" t="s">
        <v>574</v>
      </c>
      <c r="G34" s="13">
        <v>46267</v>
      </c>
      <c r="H34" s="13">
        <v>46268</v>
      </c>
      <c r="I34" s="9">
        <f t="shared" si="0"/>
        <v>2</v>
      </c>
      <c r="J34" s="5" t="s">
        <v>1651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>
        <v>3</v>
      </c>
      <c r="AH34" s="4">
        <v>1</v>
      </c>
      <c r="AI34" s="4">
        <v>1</v>
      </c>
      <c r="AJ34" s="4">
        <v>2</v>
      </c>
      <c r="AK34" s="4">
        <v>4</v>
      </c>
      <c r="AL34" s="4">
        <v>3</v>
      </c>
      <c r="AM34" s="4">
        <v>1</v>
      </c>
      <c r="AN34" s="4">
        <v>0</v>
      </c>
      <c r="AO34" s="4">
        <v>1</v>
      </c>
      <c r="AP34" s="4"/>
      <c r="AQ34" s="4">
        <v>0</v>
      </c>
      <c r="AR34" s="4">
        <v>1</v>
      </c>
      <c r="AS34" s="4">
        <f t="shared" si="1"/>
        <v>16</v>
      </c>
      <c r="AT34" s="9" t="s">
        <v>888</v>
      </c>
    </row>
    <row r="35" spans="1:46" x14ac:dyDescent="0.2">
      <c r="A35" s="4">
        <v>4509</v>
      </c>
      <c r="B35" s="4" t="s">
        <v>22</v>
      </c>
      <c r="C35" s="5" t="s">
        <v>991</v>
      </c>
      <c r="D35" s="5" t="s">
        <v>992</v>
      </c>
      <c r="E35" s="5" t="s">
        <v>981</v>
      </c>
      <c r="F35" s="5" t="s">
        <v>26</v>
      </c>
      <c r="G35" s="13">
        <v>46267</v>
      </c>
      <c r="H35" s="13">
        <v>46267</v>
      </c>
      <c r="I35" s="9">
        <f t="shared" si="0"/>
        <v>1</v>
      </c>
      <c r="J35" s="5" t="s">
        <v>1651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>
        <v>2</v>
      </c>
      <c r="AH35" s="4">
        <v>2</v>
      </c>
      <c r="AI35" s="4">
        <v>1</v>
      </c>
      <c r="AJ35" s="4">
        <v>2</v>
      </c>
      <c r="AK35" s="4">
        <v>5</v>
      </c>
      <c r="AL35" s="4">
        <v>2</v>
      </c>
      <c r="AM35" s="4">
        <v>1</v>
      </c>
      <c r="AN35" s="4">
        <v>0</v>
      </c>
      <c r="AO35" s="4">
        <v>1</v>
      </c>
      <c r="AP35" s="7"/>
      <c r="AQ35" s="4">
        <v>0</v>
      </c>
      <c r="AR35" s="4">
        <v>1</v>
      </c>
      <c r="AS35" s="4">
        <f t="shared" si="1"/>
        <v>16</v>
      </c>
      <c r="AT35" s="9" t="s">
        <v>985</v>
      </c>
    </row>
    <row r="36" spans="1:46" x14ac:dyDescent="0.2">
      <c r="A36" s="4">
        <v>4884</v>
      </c>
      <c r="B36" s="4" t="s">
        <v>22</v>
      </c>
      <c r="C36" s="5" t="s">
        <v>1099</v>
      </c>
      <c r="D36" s="5" t="s">
        <v>1100</v>
      </c>
      <c r="E36" s="5" t="s">
        <v>286</v>
      </c>
      <c r="F36" s="5" t="s">
        <v>546</v>
      </c>
      <c r="G36" s="13">
        <v>46267</v>
      </c>
      <c r="H36" s="13">
        <v>46267</v>
      </c>
      <c r="I36" s="9">
        <f t="shared" si="0"/>
        <v>1</v>
      </c>
      <c r="J36" s="5" t="s">
        <v>1651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>
        <v>2</v>
      </c>
      <c r="AH36" s="4">
        <v>2</v>
      </c>
      <c r="AI36" s="4">
        <v>1</v>
      </c>
      <c r="AJ36" s="4">
        <v>2</v>
      </c>
      <c r="AK36" s="4">
        <v>4</v>
      </c>
      <c r="AL36" s="4">
        <v>2</v>
      </c>
      <c r="AM36" s="4">
        <v>1</v>
      </c>
      <c r="AN36" s="4">
        <v>0</v>
      </c>
      <c r="AO36" s="4">
        <v>1</v>
      </c>
      <c r="AP36" s="7"/>
      <c r="AQ36" s="4">
        <v>0</v>
      </c>
      <c r="AR36" s="4">
        <v>1</v>
      </c>
      <c r="AS36" s="4">
        <f t="shared" si="1"/>
        <v>15</v>
      </c>
      <c r="AT36" s="9" t="s">
        <v>1034</v>
      </c>
    </row>
    <row r="37" spans="1:46" x14ac:dyDescent="0.2">
      <c r="A37" s="4">
        <v>6631</v>
      </c>
      <c r="B37" s="4" t="s">
        <v>22</v>
      </c>
      <c r="C37" s="5" t="s">
        <v>1393</v>
      </c>
      <c r="D37" s="5" t="s">
        <v>1394</v>
      </c>
      <c r="E37" s="5" t="s">
        <v>1346</v>
      </c>
      <c r="F37" s="5" t="s">
        <v>574</v>
      </c>
      <c r="G37" s="13">
        <v>46267</v>
      </c>
      <c r="H37" s="13">
        <v>46267</v>
      </c>
      <c r="I37" s="9">
        <f t="shared" si="0"/>
        <v>1</v>
      </c>
      <c r="J37" s="5" t="s">
        <v>1651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>
        <v>2</v>
      </c>
      <c r="AH37" s="4">
        <v>1</v>
      </c>
      <c r="AI37" s="4">
        <v>1</v>
      </c>
      <c r="AJ37" s="4">
        <v>2</v>
      </c>
      <c r="AK37" s="4">
        <v>3</v>
      </c>
      <c r="AL37" s="4">
        <v>2</v>
      </c>
      <c r="AM37" s="4">
        <v>1</v>
      </c>
      <c r="AN37" s="4">
        <v>0</v>
      </c>
      <c r="AO37" s="4">
        <v>1</v>
      </c>
      <c r="AP37" s="4"/>
      <c r="AQ37" s="4">
        <v>0</v>
      </c>
      <c r="AR37" s="4">
        <v>1</v>
      </c>
      <c r="AS37" s="4">
        <f t="shared" si="1"/>
        <v>13</v>
      </c>
      <c r="AT37" s="9" t="s">
        <v>1359</v>
      </c>
    </row>
    <row r="38" spans="1:46" x14ac:dyDescent="0.2">
      <c r="A38" s="4">
        <v>6654</v>
      </c>
      <c r="B38" s="4" t="s">
        <v>22</v>
      </c>
      <c r="C38" s="5" t="s">
        <v>1429</v>
      </c>
      <c r="D38" s="5" t="s">
        <v>1430</v>
      </c>
      <c r="E38" s="5" t="s">
        <v>1346</v>
      </c>
      <c r="F38" s="5" t="s">
        <v>574</v>
      </c>
      <c r="G38" s="13">
        <v>46267</v>
      </c>
      <c r="H38" s="13">
        <v>46267</v>
      </c>
      <c r="I38" s="9">
        <f t="shared" si="0"/>
        <v>1</v>
      </c>
      <c r="J38" s="5" t="s">
        <v>1651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>
        <v>2</v>
      </c>
      <c r="AH38" s="4">
        <v>2</v>
      </c>
      <c r="AI38" s="4">
        <v>1</v>
      </c>
      <c r="AJ38" s="4">
        <v>2</v>
      </c>
      <c r="AK38" s="4">
        <v>4</v>
      </c>
      <c r="AL38" s="4">
        <v>2</v>
      </c>
      <c r="AM38" s="4">
        <v>1</v>
      </c>
      <c r="AN38" s="4">
        <v>0</v>
      </c>
      <c r="AO38" s="4">
        <v>1</v>
      </c>
      <c r="AP38" s="4"/>
      <c r="AQ38" s="4">
        <v>0</v>
      </c>
      <c r="AR38" s="4">
        <v>1</v>
      </c>
      <c r="AS38" s="4">
        <f t="shared" si="1"/>
        <v>15</v>
      </c>
      <c r="AT38" s="9" t="s">
        <v>1349</v>
      </c>
    </row>
    <row r="39" spans="1:46" x14ac:dyDescent="0.2">
      <c r="A39" s="4">
        <v>7305</v>
      </c>
      <c r="B39" s="4" t="s">
        <v>22</v>
      </c>
      <c r="C39" s="5" t="s">
        <v>1521</v>
      </c>
      <c r="D39" s="5" t="s">
        <v>1522</v>
      </c>
      <c r="E39" s="5" t="s">
        <v>1519</v>
      </c>
      <c r="F39" s="5" t="s">
        <v>26</v>
      </c>
      <c r="G39" s="13">
        <v>46267</v>
      </c>
      <c r="H39" s="13">
        <v>46268</v>
      </c>
      <c r="I39" s="9">
        <f t="shared" si="0"/>
        <v>2</v>
      </c>
      <c r="J39" s="5" t="s">
        <v>1651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>
        <v>5</v>
      </c>
      <c r="AH39" s="4">
        <v>3</v>
      </c>
      <c r="AI39" s="4">
        <v>1</v>
      </c>
      <c r="AJ39" s="4">
        <v>3</v>
      </c>
      <c r="AK39" s="4">
        <v>8</v>
      </c>
      <c r="AL39" s="4">
        <v>4</v>
      </c>
      <c r="AM39" s="4">
        <v>2</v>
      </c>
      <c r="AN39" s="4">
        <v>0</v>
      </c>
      <c r="AO39" s="4">
        <v>1</v>
      </c>
      <c r="AP39" s="4"/>
      <c r="AQ39" s="4">
        <v>1</v>
      </c>
      <c r="AR39" s="4">
        <v>1</v>
      </c>
      <c r="AS39" s="4">
        <f t="shared" si="1"/>
        <v>28</v>
      </c>
      <c r="AT39" s="9" t="s">
        <v>1520</v>
      </c>
    </row>
    <row r="40" spans="1:46" x14ac:dyDescent="0.2">
      <c r="A40" s="4">
        <v>8505</v>
      </c>
      <c r="B40" s="4" t="s">
        <v>22</v>
      </c>
      <c r="C40" s="5" t="s">
        <v>1590</v>
      </c>
      <c r="D40" s="5" t="s">
        <v>1591</v>
      </c>
      <c r="E40" s="5" t="s">
        <v>1588</v>
      </c>
      <c r="F40" s="5" t="s">
        <v>26</v>
      </c>
      <c r="G40" s="13">
        <v>46267</v>
      </c>
      <c r="H40" s="13">
        <v>46274</v>
      </c>
      <c r="I40" s="9">
        <f t="shared" si="0"/>
        <v>6</v>
      </c>
      <c r="J40" s="5" t="s">
        <v>1651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>
        <v>2</v>
      </c>
      <c r="AH40" s="4">
        <v>1</v>
      </c>
      <c r="AI40" s="4">
        <v>1</v>
      </c>
      <c r="AJ40" s="4">
        <v>2</v>
      </c>
      <c r="AK40" s="4">
        <v>3</v>
      </c>
      <c r="AL40" s="4">
        <v>2</v>
      </c>
      <c r="AM40" s="4">
        <v>1</v>
      </c>
      <c r="AN40" s="4">
        <v>0</v>
      </c>
      <c r="AO40" s="4">
        <v>1</v>
      </c>
      <c r="AP40" s="4"/>
      <c r="AQ40" s="4">
        <v>0</v>
      </c>
      <c r="AR40" s="4">
        <v>1</v>
      </c>
      <c r="AS40" s="4">
        <f t="shared" si="1"/>
        <v>13</v>
      </c>
      <c r="AT40" s="9" t="s">
        <v>1592</v>
      </c>
    </row>
    <row r="41" spans="1:46" x14ac:dyDescent="0.2">
      <c r="A41" s="4">
        <v>8603</v>
      </c>
      <c r="B41" s="4" t="s">
        <v>22</v>
      </c>
      <c r="C41" s="5" t="s">
        <v>1602</v>
      </c>
      <c r="D41" s="5" t="s">
        <v>1603</v>
      </c>
      <c r="E41" s="5" t="s">
        <v>1600</v>
      </c>
      <c r="F41" s="5" t="s">
        <v>331</v>
      </c>
      <c r="G41" s="13">
        <v>46267</v>
      </c>
      <c r="H41" s="13">
        <v>46269</v>
      </c>
      <c r="I41" s="9">
        <f t="shared" si="0"/>
        <v>3</v>
      </c>
      <c r="J41" s="5" t="s">
        <v>1651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>
        <v>9</v>
      </c>
      <c r="AH41" s="4">
        <v>11</v>
      </c>
      <c r="AI41" s="4">
        <v>1</v>
      </c>
      <c r="AJ41" s="4">
        <v>4</v>
      </c>
      <c r="AK41" s="4">
        <v>18</v>
      </c>
      <c r="AL41" s="4">
        <v>6</v>
      </c>
      <c r="AM41" s="4">
        <v>3</v>
      </c>
      <c r="AN41" s="4">
        <v>0</v>
      </c>
      <c r="AO41" s="4">
        <v>4</v>
      </c>
      <c r="AP41" s="4"/>
      <c r="AQ41" s="4">
        <v>1</v>
      </c>
      <c r="AR41" s="4">
        <v>1</v>
      </c>
      <c r="AS41" s="4">
        <f t="shared" si="1"/>
        <v>57</v>
      </c>
      <c r="AT41" s="9" t="s">
        <v>1601</v>
      </c>
    </row>
    <row r="42" spans="1:46" x14ac:dyDescent="0.2">
      <c r="A42" s="4">
        <v>1368</v>
      </c>
      <c r="B42" s="4" t="s">
        <v>22</v>
      </c>
      <c r="C42" s="5" t="s">
        <v>204</v>
      </c>
      <c r="D42" s="5" t="s">
        <v>205</v>
      </c>
      <c r="E42" s="5" t="s">
        <v>118</v>
      </c>
      <c r="F42" s="5" t="s">
        <v>119</v>
      </c>
      <c r="G42" s="13">
        <v>46268</v>
      </c>
      <c r="H42" s="13">
        <v>46268</v>
      </c>
      <c r="I42" s="9">
        <f t="shared" si="0"/>
        <v>1</v>
      </c>
      <c r="J42" s="5" t="s">
        <v>1651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>
        <v>4</v>
      </c>
      <c r="AH42" s="4">
        <v>2</v>
      </c>
      <c r="AI42" s="4">
        <v>1</v>
      </c>
      <c r="AJ42" s="4">
        <v>3</v>
      </c>
      <c r="AK42" s="4">
        <v>7</v>
      </c>
      <c r="AL42" s="4">
        <v>4</v>
      </c>
      <c r="AM42" s="4">
        <v>2</v>
      </c>
      <c r="AN42" s="4">
        <v>0</v>
      </c>
      <c r="AO42" s="4">
        <v>1</v>
      </c>
      <c r="AP42" s="4"/>
      <c r="AQ42" s="4">
        <v>1</v>
      </c>
      <c r="AR42" s="4">
        <v>1</v>
      </c>
      <c r="AS42" s="4">
        <f t="shared" si="1"/>
        <v>25</v>
      </c>
      <c r="AT42" s="4" t="s">
        <v>120</v>
      </c>
    </row>
    <row r="43" spans="1:46" x14ac:dyDescent="0.2">
      <c r="A43" s="4">
        <v>1472</v>
      </c>
      <c r="B43" s="4" t="s">
        <v>22</v>
      </c>
      <c r="C43" s="5" t="s">
        <v>311</v>
      </c>
      <c r="D43" s="5" t="s">
        <v>312</v>
      </c>
      <c r="E43" s="5" t="s">
        <v>118</v>
      </c>
      <c r="F43" s="5" t="s">
        <v>119</v>
      </c>
      <c r="G43" s="13">
        <v>46268</v>
      </c>
      <c r="H43" s="13">
        <v>46268</v>
      </c>
      <c r="I43" s="9">
        <f t="shared" si="0"/>
        <v>1</v>
      </c>
      <c r="J43" s="5" t="s">
        <v>1651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>
        <v>3</v>
      </c>
      <c r="AH43" s="4">
        <v>2</v>
      </c>
      <c r="AI43" s="4">
        <v>1</v>
      </c>
      <c r="AJ43" s="4">
        <v>2</v>
      </c>
      <c r="AK43" s="4">
        <v>5</v>
      </c>
      <c r="AL43" s="4">
        <v>3</v>
      </c>
      <c r="AM43" s="4">
        <v>1</v>
      </c>
      <c r="AN43" s="4">
        <v>0</v>
      </c>
      <c r="AO43" s="4">
        <v>1</v>
      </c>
      <c r="AP43" s="7"/>
      <c r="AQ43" s="4">
        <v>1</v>
      </c>
      <c r="AR43" s="4">
        <v>1</v>
      </c>
      <c r="AS43" s="4">
        <f t="shared" si="1"/>
        <v>19</v>
      </c>
      <c r="AT43" s="4" t="s">
        <v>120</v>
      </c>
    </row>
    <row r="44" spans="1:46" x14ac:dyDescent="0.2">
      <c r="A44" s="4">
        <v>1478</v>
      </c>
      <c r="B44" s="4" t="s">
        <v>22</v>
      </c>
      <c r="C44" s="5" t="s">
        <v>317</v>
      </c>
      <c r="D44" s="5" t="s">
        <v>318</v>
      </c>
      <c r="E44" s="5" t="s">
        <v>118</v>
      </c>
      <c r="F44" s="5" t="s">
        <v>119</v>
      </c>
      <c r="G44" s="13">
        <v>46268</v>
      </c>
      <c r="H44" s="13">
        <v>46268</v>
      </c>
      <c r="I44" s="9">
        <f t="shared" si="0"/>
        <v>1</v>
      </c>
      <c r="J44" s="5" t="s">
        <v>1651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>
        <v>5</v>
      </c>
      <c r="AH44" s="4">
        <v>3</v>
      </c>
      <c r="AI44" s="4">
        <v>1</v>
      </c>
      <c r="AJ44" s="4">
        <v>3</v>
      </c>
      <c r="AK44" s="4">
        <v>8</v>
      </c>
      <c r="AL44" s="4">
        <v>4</v>
      </c>
      <c r="AM44" s="4">
        <v>2</v>
      </c>
      <c r="AN44" s="4">
        <v>0</v>
      </c>
      <c r="AO44" s="4">
        <v>1</v>
      </c>
      <c r="AP44" s="4"/>
      <c r="AQ44" s="4">
        <v>0</v>
      </c>
      <c r="AR44" s="4">
        <v>1</v>
      </c>
      <c r="AS44" s="4">
        <f t="shared" si="1"/>
        <v>27</v>
      </c>
      <c r="AT44" s="4" t="s">
        <v>137</v>
      </c>
    </row>
    <row r="45" spans="1:46" x14ac:dyDescent="0.2">
      <c r="A45" s="4">
        <v>1514</v>
      </c>
      <c r="B45" s="4" t="s">
        <v>22</v>
      </c>
      <c r="C45" s="5" t="s">
        <v>356</v>
      </c>
      <c r="D45" s="5" t="s">
        <v>357</v>
      </c>
      <c r="E45" s="5" t="s">
        <v>330</v>
      </c>
      <c r="F45" s="5" t="s">
        <v>331</v>
      </c>
      <c r="G45" s="13">
        <v>46268</v>
      </c>
      <c r="H45" s="13">
        <v>46269</v>
      </c>
      <c r="I45" s="9">
        <f t="shared" si="0"/>
        <v>2</v>
      </c>
      <c r="J45" s="5" t="s">
        <v>1651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>
        <v>2</v>
      </c>
      <c r="AH45" s="4">
        <v>1</v>
      </c>
      <c r="AI45" s="4">
        <v>1</v>
      </c>
      <c r="AJ45" s="4">
        <v>2</v>
      </c>
      <c r="AK45" s="4">
        <v>3</v>
      </c>
      <c r="AL45" s="4">
        <v>2</v>
      </c>
      <c r="AM45" s="4">
        <v>1</v>
      </c>
      <c r="AN45" s="4">
        <v>0</v>
      </c>
      <c r="AO45" s="4">
        <v>1</v>
      </c>
      <c r="AP45" s="4"/>
      <c r="AQ45" s="4">
        <v>0</v>
      </c>
      <c r="AR45" s="4">
        <v>1</v>
      </c>
      <c r="AS45" s="4">
        <f t="shared" si="1"/>
        <v>13</v>
      </c>
      <c r="AT45" s="9" t="s">
        <v>335</v>
      </c>
    </row>
    <row r="46" spans="1:46" x14ac:dyDescent="0.2">
      <c r="A46" s="4">
        <v>1526</v>
      </c>
      <c r="B46" s="4" t="s">
        <v>22</v>
      </c>
      <c r="C46" s="5" t="s">
        <v>371</v>
      </c>
      <c r="D46" s="5" t="s">
        <v>372</v>
      </c>
      <c r="E46" s="5" t="s">
        <v>330</v>
      </c>
      <c r="F46" s="5" t="s">
        <v>331</v>
      </c>
      <c r="G46" s="13">
        <v>46268</v>
      </c>
      <c r="H46" s="13">
        <v>46269</v>
      </c>
      <c r="I46" s="9">
        <f t="shared" si="0"/>
        <v>2</v>
      </c>
      <c r="J46" s="5" t="s">
        <v>1651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>
        <v>2</v>
      </c>
      <c r="AH46" s="4">
        <v>1</v>
      </c>
      <c r="AI46" s="4">
        <v>1</v>
      </c>
      <c r="AJ46" s="4">
        <v>2</v>
      </c>
      <c r="AK46" s="4">
        <v>3</v>
      </c>
      <c r="AL46" s="4">
        <v>2</v>
      </c>
      <c r="AM46" s="4">
        <v>1</v>
      </c>
      <c r="AN46" s="4">
        <v>0</v>
      </c>
      <c r="AO46" s="4">
        <v>1</v>
      </c>
      <c r="AP46" s="4"/>
      <c r="AQ46" s="4">
        <v>0</v>
      </c>
      <c r="AR46" s="4">
        <v>1</v>
      </c>
      <c r="AS46" s="4">
        <f t="shared" si="1"/>
        <v>13</v>
      </c>
      <c r="AT46" s="9" t="s">
        <v>332</v>
      </c>
    </row>
    <row r="47" spans="1:46" x14ac:dyDescent="0.2">
      <c r="A47" s="4">
        <v>1540</v>
      </c>
      <c r="B47" s="4" t="s">
        <v>22</v>
      </c>
      <c r="C47" s="5" t="s">
        <v>387</v>
      </c>
      <c r="D47" s="5" t="s">
        <v>388</v>
      </c>
      <c r="E47" s="5" t="s">
        <v>330</v>
      </c>
      <c r="F47" s="5" t="s">
        <v>331</v>
      </c>
      <c r="G47" s="13">
        <v>46268</v>
      </c>
      <c r="H47" s="13">
        <v>46269</v>
      </c>
      <c r="I47" s="9">
        <f t="shared" si="0"/>
        <v>2</v>
      </c>
      <c r="J47" s="5" t="s">
        <v>1651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>
        <v>2</v>
      </c>
      <c r="AH47" s="4">
        <v>1</v>
      </c>
      <c r="AI47" s="4">
        <v>1</v>
      </c>
      <c r="AJ47" s="4">
        <v>2</v>
      </c>
      <c r="AK47" s="4">
        <v>3</v>
      </c>
      <c r="AL47" s="4">
        <v>2</v>
      </c>
      <c r="AM47" s="4">
        <v>1</v>
      </c>
      <c r="AN47" s="4">
        <v>0</v>
      </c>
      <c r="AO47" s="4">
        <v>1</v>
      </c>
      <c r="AP47" s="4"/>
      <c r="AQ47" s="4">
        <v>0</v>
      </c>
      <c r="AR47" s="4">
        <v>1</v>
      </c>
      <c r="AS47" s="4">
        <f t="shared" si="1"/>
        <v>13</v>
      </c>
      <c r="AT47" s="9" t="s">
        <v>342</v>
      </c>
    </row>
    <row r="48" spans="1:46" x14ac:dyDescent="0.2">
      <c r="A48" s="4">
        <v>1571</v>
      </c>
      <c r="B48" s="4" t="s">
        <v>22</v>
      </c>
      <c r="C48" s="5" t="s">
        <v>428</v>
      </c>
      <c r="D48" s="5" t="s">
        <v>429</v>
      </c>
      <c r="E48" s="5" t="s">
        <v>330</v>
      </c>
      <c r="F48" s="5" t="s">
        <v>331</v>
      </c>
      <c r="G48" s="13">
        <v>46268</v>
      </c>
      <c r="H48" s="13">
        <v>46269</v>
      </c>
      <c r="I48" s="9">
        <f t="shared" si="0"/>
        <v>2</v>
      </c>
      <c r="J48" s="5" t="s">
        <v>1651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>
        <v>2</v>
      </c>
      <c r="AH48" s="4">
        <v>1</v>
      </c>
      <c r="AI48" s="4">
        <v>1</v>
      </c>
      <c r="AJ48" s="4">
        <v>2</v>
      </c>
      <c r="AK48" s="4">
        <v>3</v>
      </c>
      <c r="AL48" s="4">
        <v>2</v>
      </c>
      <c r="AM48" s="4">
        <v>1</v>
      </c>
      <c r="AN48" s="4">
        <v>0</v>
      </c>
      <c r="AO48" s="4">
        <v>1</v>
      </c>
      <c r="AP48" s="4"/>
      <c r="AQ48" s="4">
        <v>0</v>
      </c>
      <c r="AR48" s="4">
        <v>1</v>
      </c>
      <c r="AS48" s="4">
        <f t="shared" si="1"/>
        <v>13</v>
      </c>
      <c r="AT48" s="9" t="s">
        <v>77</v>
      </c>
    </row>
    <row r="49" spans="1:46" x14ac:dyDescent="0.2">
      <c r="A49" s="4">
        <v>2401</v>
      </c>
      <c r="B49" s="4" t="s">
        <v>22</v>
      </c>
      <c r="C49" s="5" t="s">
        <v>602</v>
      </c>
      <c r="D49" s="5" t="s">
        <v>603</v>
      </c>
      <c r="E49" s="5" t="s">
        <v>604</v>
      </c>
      <c r="F49" s="5" t="s">
        <v>98</v>
      </c>
      <c r="G49" s="13">
        <v>46268</v>
      </c>
      <c r="H49" s="13">
        <v>46268</v>
      </c>
      <c r="I49" s="9">
        <f t="shared" si="0"/>
        <v>1</v>
      </c>
      <c r="J49" s="5" t="s">
        <v>1651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>
        <v>6</v>
      </c>
      <c r="AH49" s="4">
        <v>8</v>
      </c>
      <c r="AI49" s="4">
        <v>1</v>
      </c>
      <c r="AJ49" s="4">
        <v>3</v>
      </c>
      <c r="AK49" s="4">
        <v>14</v>
      </c>
      <c r="AL49" s="4">
        <v>4</v>
      </c>
      <c r="AM49" s="4">
        <v>2</v>
      </c>
      <c r="AN49" s="4">
        <v>0</v>
      </c>
      <c r="AO49" s="4">
        <v>3</v>
      </c>
      <c r="AP49" s="4"/>
      <c r="AQ49" s="4">
        <v>1</v>
      </c>
      <c r="AR49" s="4">
        <v>1</v>
      </c>
      <c r="AS49" s="4">
        <f t="shared" si="1"/>
        <v>42</v>
      </c>
      <c r="AT49" s="9" t="s">
        <v>605</v>
      </c>
    </row>
    <row r="50" spans="1:46" x14ac:dyDescent="0.2">
      <c r="A50" s="4">
        <v>2427</v>
      </c>
      <c r="B50" s="4" t="s">
        <v>22</v>
      </c>
      <c r="C50" s="5" t="s">
        <v>634</v>
      </c>
      <c r="D50" s="5" t="s">
        <v>635</v>
      </c>
      <c r="E50" s="5" t="s">
        <v>604</v>
      </c>
      <c r="F50" s="5" t="s">
        <v>68</v>
      </c>
      <c r="G50" s="13">
        <v>46268</v>
      </c>
      <c r="H50" s="13">
        <v>46268</v>
      </c>
      <c r="I50" s="9">
        <f t="shared" si="0"/>
        <v>1</v>
      </c>
      <c r="J50" s="5" t="s">
        <v>1651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>
        <v>4</v>
      </c>
      <c r="AH50" s="4">
        <v>3</v>
      </c>
      <c r="AI50" s="4">
        <v>1</v>
      </c>
      <c r="AJ50" s="4">
        <v>3</v>
      </c>
      <c r="AK50" s="4">
        <v>7</v>
      </c>
      <c r="AL50" s="4">
        <v>4</v>
      </c>
      <c r="AM50" s="4">
        <v>2</v>
      </c>
      <c r="AN50" s="4">
        <v>0</v>
      </c>
      <c r="AO50" s="4">
        <v>1</v>
      </c>
      <c r="AP50" s="4"/>
      <c r="AQ50" s="4">
        <v>0</v>
      </c>
      <c r="AR50" s="4">
        <v>1</v>
      </c>
      <c r="AS50" s="4">
        <f t="shared" si="1"/>
        <v>25</v>
      </c>
      <c r="AT50" s="9" t="s">
        <v>636</v>
      </c>
    </row>
    <row r="51" spans="1:46" x14ac:dyDescent="0.2">
      <c r="A51" s="4">
        <v>2767</v>
      </c>
      <c r="B51" s="4" t="s">
        <v>22</v>
      </c>
      <c r="C51" s="5" t="s">
        <v>690</v>
      </c>
      <c r="D51" s="5" t="s">
        <v>691</v>
      </c>
      <c r="E51" s="5" t="s">
        <v>661</v>
      </c>
      <c r="F51" s="5" t="s">
        <v>119</v>
      </c>
      <c r="G51" s="13">
        <v>46268</v>
      </c>
      <c r="H51" s="13">
        <v>46268</v>
      </c>
      <c r="I51" s="9">
        <f t="shared" si="0"/>
        <v>1</v>
      </c>
      <c r="J51" s="5" t="s">
        <v>1651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>
        <v>2</v>
      </c>
      <c r="AH51" s="4">
        <v>2</v>
      </c>
      <c r="AI51" s="4">
        <v>1</v>
      </c>
      <c r="AJ51" s="4">
        <v>2</v>
      </c>
      <c r="AK51" s="4">
        <v>4</v>
      </c>
      <c r="AL51" s="4">
        <v>2</v>
      </c>
      <c r="AM51" s="4">
        <v>1</v>
      </c>
      <c r="AN51" s="4">
        <v>0</v>
      </c>
      <c r="AO51" s="4">
        <v>1</v>
      </c>
      <c r="AP51" s="4"/>
      <c r="AQ51" s="4">
        <v>0</v>
      </c>
      <c r="AR51" s="4">
        <v>1</v>
      </c>
      <c r="AS51" s="4">
        <f t="shared" si="1"/>
        <v>15</v>
      </c>
      <c r="AT51" s="9" t="s">
        <v>69</v>
      </c>
    </row>
    <row r="52" spans="1:46" x14ac:dyDescent="0.2">
      <c r="A52" s="4">
        <v>3912</v>
      </c>
      <c r="B52" s="4" t="s">
        <v>22</v>
      </c>
      <c r="C52" s="5" t="s">
        <v>904</v>
      </c>
      <c r="D52" s="5" t="s">
        <v>905</v>
      </c>
      <c r="E52" s="5" t="s">
        <v>873</v>
      </c>
      <c r="F52" s="5" t="s">
        <v>574</v>
      </c>
      <c r="G52" s="13">
        <v>46268</v>
      </c>
      <c r="H52" s="13">
        <v>46269</v>
      </c>
      <c r="I52" s="9">
        <f t="shared" si="0"/>
        <v>2</v>
      </c>
      <c r="J52" s="5" t="s">
        <v>1651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>
        <v>2</v>
      </c>
      <c r="AH52" s="4">
        <v>1</v>
      </c>
      <c r="AI52" s="4">
        <v>1</v>
      </c>
      <c r="AJ52" s="4">
        <v>2</v>
      </c>
      <c r="AK52" s="4">
        <v>2</v>
      </c>
      <c r="AL52" s="4">
        <v>2</v>
      </c>
      <c r="AM52" s="4">
        <v>1</v>
      </c>
      <c r="AN52" s="4">
        <v>0</v>
      </c>
      <c r="AO52" s="4">
        <v>1</v>
      </c>
      <c r="AP52" s="4"/>
      <c r="AQ52" s="4">
        <v>0</v>
      </c>
      <c r="AR52" s="4">
        <v>1</v>
      </c>
      <c r="AS52" s="4">
        <f t="shared" si="1"/>
        <v>12</v>
      </c>
      <c r="AT52" s="9" t="s">
        <v>888</v>
      </c>
    </row>
    <row r="53" spans="1:46" x14ac:dyDescent="0.2">
      <c r="A53" s="4">
        <v>3957</v>
      </c>
      <c r="B53" s="4" t="s">
        <v>22</v>
      </c>
      <c r="C53" s="5" t="s">
        <v>938</v>
      </c>
      <c r="D53" s="5" t="s">
        <v>939</v>
      </c>
      <c r="E53" s="5" t="s">
        <v>873</v>
      </c>
      <c r="F53" s="5" t="s">
        <v>574</v>
      </c>
      <c r="G53" s="13">
        <v>46268</v>
      </c>
      <c r="H53" s="13">
        <v>46268</v>
      </c>
      <c r="I53" s="9">
        <f t="shared" si="0"/>
        <v>1</v>
      </c>
      <c r="J53" s="5" t="s">
        <v>1651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>
        <v>2</v>
      </c>
      <c r="AH53" s="4">
        <v>2</v>
      </c>
      <c r="AI53" s="4">
        <v>1</v>
      </c>
      <c r="AJ53" s="4">
        <v>1</v>
      </c>
      <c r="AK53" s="4">
        <v>4</v>
      </c>
      <c r="AL53" s="4">
        <v>2</v>
      </c>
      <c r="AM53" s="4">
        <v>1</v>
      </c>
      <c r="AN53" s="4">
        <v>0</v>
      </c>
      <c r="AO53" s="4">
        <v>1</v>
      </c>
      <c r="AP53" s="4"/>
      <c r="AQ53" s="4">
        <v>1</v>
      </c>
      <c r="AR53" s="4">
        <v>1</v>
      </c>
      <c r="AS53" s="4">
        <f t="shared" si="1"/>
        <v>15</v>
      </c>
      <c r="AT53" s="9" t="s">
        <v>874</v>
      </c>
    </row>
    <row r="54" spans="1:46" x14ac:dyDescent="0.2">
      <c r="A54" s="4">
        <v>4515</v>
      </c>
      <c r="B54" s="4" t="s">
        <v>22</v>
      </c>
      <c r="C54" s="5" t="s">
        <v>970</v>
      </c>
      <c r="D54" s="5" t="s">
        <v>971</v>
      </c>
      <c r="E54" s="5" t="s">
        <v>981</v>
      </c>
      <c r="F54" s="5" t="s">
        <v>26</v>
      </c>
      <c r="G54" s="13">
        <v>46268</v>
      </c>
      <c r="H54" s="13">
        <v>46268</v>
      </c>
      <c r="I54" s="9">
        <f t="shared" si="0"/>
        <v>1</v>
      </c>
      <c r="J54" s="5" t="s">
        <v>1651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>
        <v>3</v>
      </c>
      <c r="AH54" s="4">
        <v>3</v>
      </c>
      <c r="AI54" s="4">
        <v>1</v>
      </c>
      <c r="AJ54" s="4">
        <v>2</v>
      </c>
      <c r="AK54" s="4">
        <v>6</v>
      </c>
      <c r="AL54" s="4">
        <v>2</v>
      </c>
      <c r="AM54" s="4">
        <v>1</v>
      </c>
      <c r="AN54" s="4">
        <v>0</v>
      </c>
      <c r="AO54" s="4">
        <v>1</v>
      </c>
      <c r="AP54" s="4"/>
      <c r="AQ54" s="4">
        <v>0</v>
      </c>
      <c r="AR54" s="4">
        <v>1</v>
      </c>
      <c r="AS54" s="4">
        <f t="shared" si="1"/>
        <v>19</v>
      </c>
      <c r="AT54" s="9" t="s">
        <v>985</v>
      </c>
    </row>
    <row r="55" spans="1:46" x14ac:dyDescent="0.2">
      <c r="A55" s="4">
        <v>4524</v>
      </c>
      <c r="B55" s="4" t="s">
        <v>22</v>
      </c>
      <c r="C55" s="5" t="s">
        <v>1010</v>
      </c>
      <c r="D55" s="5" t="s">
        <v>1011</v>
      </c>
      <c r="E55" s="5" t="s">
        <v>981</v>
      </c>
      <c r="F55" s="5" t="s">
        <v>26</v>
      </c>
      <c r="G55" s="13">
        <v>46268</v>
      </c>
      <c r="H55" s="13">
        <v>46268</v>
      </c>
      <c r="I55" s="9">
        <f t="shared" si="0"/>
        <v>1</v>
      </c>
      <c r="J55" s="5" t="s">
        <v>1651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>
        <v>3</v>
      </c>
      <c r="AH55" s="4">
        <v>2</v>
      </c>
      <c r="AI55" s="4">
        <v>1</v>
      </c>
      <c r="AJ55" s="4">
        <v>2</v>
      </c>
      <c r="AK55" s="4">
        <v>5</v>
      </c>
      <c r="AL55" s="4">
        <v>2</v>
      </c>
      <c r="AM55" s="4">
        <v>1</v>
      </c>
      <c r="AN55" s="4">
        <v>0</v>
      </c>
      <c r="AO55" s="4">
        <v>1</v>
      </c>
      <c r="AP55" s="4"/>
      <c r="AQ55" s="4">
        <v>0</v>
      </c>
      <c r="AR55" s="4">
        <v>1</v>
      </c>
      <c r="AS55" s="4">
        <f t="shared" si="1"/>
        <v>17</v>
      </c>
      <c r="AT55" s="9" t="s">
        <v>1012</v>
      </c>
    </row>
    <row r="56" spans="1:46" x14ac:dyDescent="0.2">
      <c r="A56" s="4">
        <v>4822</v>
      </c>
      <c r="B56" s="4" t="s">
        <v>22</v>
      </c>
      <c r="C56" s="5" t="s">
        <v>1053</v>
      </c>
      <c r="D56" s="5" t="s">
        <v>1054</v>
      </c>
      <c r="E56" s="5" t="s">
        <v>286</v>
      </c>
      <c r="F56" s="5" t="s">
        <v>546</v>
      </c>
      <c r="G56" s="13">
        <v>46268</v>
      </c>
      <c r="H56" s="13">
        <v>46268</v>
      </c>
      <c r="I56" s="9">
        <f t="shared" si="0"/>
        <v>1</v>
      </c>
      <c r="J56" s="5" t="s">
        <v>1651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>
        <v>3</v>
      </c>
      <c r="AH56" s="4">
        <v>2</v>
      </c>
      <c r="AI56" s="4">
        <v>1</v>
      </c>
      <c r="AJ56" s="4">
        <v>2</v>
      </c>
      <c r="AK56" s="4">
        <v>5</v>
      </c>
      <c r="AL56" s="4">
        <v>2</v>
      </c>
      <c r="AM56" s="4">
        <v>1</v>
      </c>
      <c r="AN56" s="4">
        <v>0</v>
      </c>
      <c r="AO56" s="4">
        <v>1</v>
      </c>
      <c r="AP56" s="4"/>
      <c r="AQ56" s="4">
        <v>0</v>
      </c>
      <c r="AR56" s="4">
        <v>1</v>
      </c>
      <c r="AS56" s="4">
        <f t="shared" si="1"/>
        <v>17</v>
      </c>
      <c r="AT56" s="9" t="s">
        <v>1034</v>
      </c>
    </row>
    <row r="57" spans="1:46" x14ac:dyDescent="0.2">
      <c r="A57" s="4">
        <v>6641</v>
      </c>
      <c r="B57" s="4" t="s">
        <v>22</v>
      </c>
      <c r="C57" s="5" t="s">
        <v>1410</v>
      </c>
      <c r="D57" s="5" t="s">
        <v>1411</v>
      </c>
      <c r="E57" s="5" t="s">
        <v>1346</v>
      </c>
      <c r="F57" s="5" t="s">
        <v>574</v>
      </c>
      <c r="G57" s="13">
        <v>46268</v>
      </c>
      <c r="H57" s="13">
        <v>46268</v>
      </c>
      <c r="I57" s="9">
        <f t="shared" si="0"/>
        <v>1</v>
      </c>
      <c r="J57" s="5" t="s">
        <v>1651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>
        <v>2</v>
      </c>
      <c r="AH57" s="4">
        <v>1</v>
      </c>
      <c r="AI57" s="4">
        <v>1</v>
      </c>
      <c r="AJ57" s="4">
        <v>2</v>
      </c>
      <c r="AK57" s="4">
        <v>3</v>
      </c>
      <c r="AL57" s="4">
        <v>2</v>
      </c>
      <c r="AM57" s="4">
        <v>1</v>
      </c>
      <c r="AN57" s="4">
        <v>0</v>
      </c>
      <c r="AO57" s="4">
        <v>1</v>
      </c>
      <c r="AP57" s="4"/>
      <c r="AQ57" s="4">
        <v>0</v>
      </c>
      <c r="AR57" s="4">
        <v>1</v>
      </c>
      <c r="AS57" s="4">
        <f t="shared" si="1"/>
        <v>13</v>
      </c>
      <c r="AT57" s="9" t="s">
        <v>1349</v>
      </c>
    </row>
    <row r="58" spans="1:46" x14ac:dyDescent="0.2">
      <c r="A58" s="4">
        <v>6657</v>
      </c>
      <c r="B58" s="4" t="s">
        <v>22</v>
      </c>
      <c r="C58" s="5" t="s">
        <v>562</v>
      </c>
      <c r="D58" s="5" t="s">
        <v>563</v>
      </c>
      <c r="E58" s="5" t="s">
        <v>1346</v>
      </c>
      <c r="F58" s="5" t="s">
        <v>574</v>
      </c>
      <c r="G58" s="13">
        <v>46268</v>
      </c>
      <c r="H58" s="13">
        <v>46268</v>
      </c>
      <c r="I58" s="9">
        <f t="shared" si="0"/>
        <v>1</v>
      </c>
      <c r="J58" s="5" t="s">
        <v>1651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4">
        <v>2</v>
      </c>
      <c r="AH58" s="4">
        <v>2</v>
      </c>
      <c r="AI58" s="4">
        <v>1</v>
      </c>
      <c r="AJ58" s="4">
        <v>2</v>
      </c>
      <c r="AK58" s="4">
        <v>4</v>
      </c>
      <c r="AL58" s="4">
        <v>2</v>
      </c>
      <c r="AM58" s="4">
        <v>1</v>
      </c>
      <c r="AN58" s="4">
        <v>0</v>
      </c>
      <c r="AO58" s="4">
        <v>1</v>
      </c>
      <c r="AP58" s="4"/>
      <c r="AQ58" s="4">
        <v>0</v>
      </c>
      <c r="AR58" s="4">
        <v>1</v>
      </c>
      <c r="AS58" s="4">
        <f t="shared" si="1"/>
        <v>15</v>
      </c>
      <c r="AT58" s="9" t="s">
        <v>1431</v>
      </c>
    </row>
    <row r="59" spans="1:46" x14ac:dyDescent="0.2">
      <c r="A59" s="4">
        <v>6680</v>
      </c>
      <c r="B59" s="4" t="s">
        <v>22</v>
      </c>
      <c r="C59" s="5" t="s">
        <v>1436</v>
      </c>
      <c r="D59" s="5" t="s">
        <v>1437</v>
      </c>
      <c r="E59" s="5" t="s">
        <v>1346</v>
      </c>
      <c r="F59" s="5" t="s">
        <v>574</v>
      </c>
      <c r="G59" s="13">
        <v>46268</v>
      </c>
      <c r="H59" s="13">
        <v>46268</v>
      </c>
      <c r="I59" s="9">
        <f t="shared" si="0"/>
        <v>1</v>
      </c>
      <c r="J59" s="5" t="s">
        <v>1651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4">
        <v>2</v>
      </c>
      <c r="AH59" s="4">
        <v>2</v>
      </c>
      <c r="AI59" s="4">
        <v>1</v>
      </c>
      <c r="AJ59" s="4">
        <v>2</v>
      </c>
      <c r="AK59" s="4">
        <v>4</v>
      </c>
      <c r="AL59" s="4">
        <v>2</v>
      </c>
      <c r="AM59" s="4">
        <v>1</v>
      </c>
      <c r="AN59" s="4">
        <v>0</v>
      </c>
      <c r="AO59" s="4">
        <v>1</v>
      </c>
      <c r="AP59" s="4"/>
      <c r="AQ59" s="4">
        <v>0</v>
      </c>
      <c r="AR59" s="4">
        <v>1</v>
      </c>
      <c r="AS59" s="4">
        <f t="shared" si="1"/>
        <v>15</v>
      </c>
      <c r="AT59" s="9" t="s">
        <v>1367</v>
      </c>
    </row>
    <row r="60" spans="1:46" x14ac:dyDescent="0.2">
      <c r="A60" s="4">
        <v>7703</v>
      </c>
      <c r="B60" s="4" t="s">
        <v>22</v>
      </c>
      <c r="C60" s="5" t="s">
        <v>1547</v>
      </c>
      <c r="D60" s="5" t="s">
        <v>1548</v>
      </c>
      <c r="E60" s="5" t="s">
        <v>1549</v>
      </c>
      <c r="F60" s="5" t="s">
        <v>26</v>
      </c>
      <c r="G60" s="13">
        <v>46268</v>
      </c>
      <c r="H60" s="13">
        <v>46274</v>
      </c>
      <c r="I60" s="9">
        <f t="shared" si="0"/>
        <v>5</v>
      </c>
      <c r="J60" s="5" t="s">
        <v>1651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4">
        <v>5</v>
      </c>
      <c r="AH60" s="4">
        <v>1</v>
      </c>
      <c r="AI60" s="4">
        <v>1</v>
      </c>
      <c r="AJ60" s="4">
        <v>3</v>
      </c>
      <c r="AK60" s="4">
        <v>6</v>
      </c>
      <c r="AL60" s="4">
        <v>4</v>
      </c>
      <c r="AM60" s="4">
        <v>2</v>
      </c>
      <c r="AN60" s="4">
        <v>0</v>
      </c>
      <c r="AO60" s="4">
        <v>1</v>
      </c>
      <c r="AP60" s="4"/>
      <c r="AQ60" s="4">
        <v>0</v>
      </c>
      <c r="AR60" s="4">
        <v>1</v>
      </c>
      <c r="AS60" s="4">
        <f t="shared" si="1"/>
        <v>23</v>
      </c>
      <c r="AT60" s="9" t="s">
        <v>1550</v>
      </c>
    </row>
    <row r="61" spans="1:46" x14ac:dyDescent="0.2">
      <c r="A61" s="4">
        <v>8303</v>
      </c>
      <c r="B61" s="4" t="s">
        <v>22</v>
      </c>
      <c r="C61" s="5" t="s">
        <v>1577</v>
      </c>
      <c r="D61" s="5" t="s">
        <v>1578</v>
      </c>
      <c r="E61" s="5" t="s">
        <v>1579</v>
      </c>
      <c r="F61" s="5" t="s">
        <v>26</v>
      </c>
      <c r="G61" s="13">
        <v>46268</v>
      </c>
      <c r="H61" s="13">
        <v>46269</v>
      </c>
      <c r="I61" s="9">
        <f t="shared" si="0"/>
        <v>2</v>
      </c>
      <c r="J61" s="5" t="s">
        <v>1651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4">
        <v>7</v>
      </c>
      <c r="AH61" s="4">
        <v>6</v>
      </c>
      <c r="AI61" s="4">
        <v>1</v>
      </c>
      <c r="AJ61" s="4">
        <v>4</v>
      </c>
      <c r="AK61" s="4">
        <v>15</v>
      </c>
      <c r="AL61" s="4">
        <v>6</v>
      </c>
      <c r="AM61" s="4">
        <v>3</v>
      </c>
      <c r="AN61" s="4">
        <v>0</v>
      </c>
      <c r="AO61" s="4">
        <v>2</v>
      </c>
      <c r="AP61" s="4"/>
      <c r="AQ61" s="4">
        <v>2</v>
      </c>
      <c r="AR61" s="4">
        <v>1</v>
      </c>
      <c r="AS61" s="4">
        <f t="shared" si="1"/>
        <v>46</v>
      </c>
      <c r="AT61" s="9" t="s">
        <v>1580</v>
      </c>
    </row>
    <row r="62" spans="1:46" x14ac:dyDescent="0.2">
      <c r="A62" s="4">
        <v>8503</v>
      </c>
      <c r="B62" s="4" t="s">
        <v>22</v>
      </c>
      <c r="C62" s="5" t="s">
        <v>1586</v>
      </c>
      <c r="D62" s="5" t="s">
        <v>1587</v>
      </c>
      <c r="E62" s="5" t="s">
        <v>1588</v>
      </c>
      <c r="F62" s="5" t="s">
        <v>26</v>
      </c>
      <c r="G62" s="13">
        <v>46268</v>
      </c>
      <c r="H62" s="13">
        <v>46269</v>
      </c>
      <c r="I62" s="9">
        <f t="shared" si="0"/>
        <v>2</v>
      </c>
      <c r="J62" s="5" t="s">
        <v>1651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4">
        <v>3</v>
      </c>
      <c r="AH62" s="4">
        <v>1</v>
      </c>
      <c r="AI62" s="4">
        <v>1</v>
      </c>
      <c r="AJ62" s="4">
        <v>2</v>
      </c>
      <c r="AK62" s="4">
        <v>4</v>
      </c>
      <c r="AL62" s="4">
        <v>2</v>
      </c>
      <c r="AM62" s="4">
        <v>1</v>
      </c>
      <c r="AN62" s="4">
        <v>0</v>
      </c>
      <c r="AO62" s="4">
        <v>1</v>
      </c>
      <c r="AP62" s="4"/>
      <c r="AQ62" s="4">
        <v>0</v>
      </c>
      <c r="AR62" s="4">
        <v>1</v>
      </c>
      <c r="AS62" s="4">
        <f t="shared" si="1"/>
        <v>15</v>
      </c>
      <c r="AT62" s="9" t="s">
        <v>1589</v>
      </c>
    </row>
    <row r="63" spans="1:46" x14ac:dyDescent="0.2">
      <c r="A63" s="4">
        <v>1307</v>
      </c>
      <c r="B63" s="4" t="s">
        <v>22</v>
      </c>
      <c r="C63" s="5" t="s">
        <v>128</v>
      </c>
      <c r="D63" s="5" t="s">
        <v>124</v>
      </c>
      <c r="E63" s="5" t="s">
        <v>118</v>
      </c>
      <c r="F63" s="5" t="s">
        <v>119</v>
      </c>
      <c r="G63" s="13">
        <v>46269</v>
      </c>
      <c r="H63" s="13">
        <v>46273</v>
      </c>
      <c r="I63" s="9">
        <f t="shared" si="0"/>
        <v>3</v>
      </c>
      <c r="J63" s="5" t="s">
        <v>1651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4">
        <v>6</v>
      </c>
      <c r="AH63" s="4">
        <v>2</v>
      </c>
      <c r="AI63" s="4">
        <v>1</v>
      </c>
      <c r="AJ63" s="4">
        <v>3</v>
      </c>
      <c r="AK63" s="4">
        <v>8</v>
      </c>
      <c r="AL63" s="4">
        <v>4</v>
      </c>
      <c r="AM63" s="4">
        <v>2</v>
      </c>
      <c r="AN63" s="4">
        <v>0</v>
      </c>
      <c r="AO63" s="4">
        <v>1</v>
      </c>
      <c r="AP63" s="4"/>
      <c r="AQ63" s="4">
        <v>0</v>
      </c>
      <c r="AR63" s="4">
        <v>1</v>
      </c>
      <c r="AS63" s="4">
        <f t="shared" si="1"/>
        <v>27</v>
      </c>
      <c r="AT63" s="4" t="s">
        <v>125</v>
      </c>
    </row>
    <row r="64" spans="1:46" x14ac:dyDescent="0.2">
      <c r="A64" s="4">
        <v>1410</v>
      </c>
      <c r="B64" s="4" t="s">
        <v>22</v>
      </c>
      <c r="C64" s="5" t="s">
        <v>261</v>
      </c>
      <c r="D64" s="5" t="s">
        <v>262</v>
      </c>
      <c r="E64" s="5" t="s">
        <v>118</v>
      </c>
      <c r="F64" s="5" t="s">
        <v>119</v>
      </c>
      <c r="G64" s="13">
        <v>46269</v>
      </c>
      <c r="H64" s="13">
        <v>46269</v>
      </c>
      <c r="I64" s="9">
        <f t="shared" si="0"/>
        <v>1</v>
      </c>
      <c r="J64" s="5" t="s">
        <v>1651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4">
        <v>2</v>
      </c>
      <c r="AH64" s="4">
        <v>1</v>
      </c>
      <c r="AI64" s="4">
        <v>1</v>
      </c>
      <c r="AJ64" s="4">
        <v>2</v>
      </c>
      <c r="AK64" s="4">
        <v>3</v>
      </c>
      <c r="AL64" s="4">
        <v>2</v>
      </c>
      <c r="AM64" s="4">
        <v>1</v>
      </c>
      <c r="AN64" s="4">
        <v>0</v>
      </c>
      <c r="AO64" s="4">
        <v>1</v>
      </c>
      <c r="AP64" s="4"/>
      <c r="AQ64" s="4">
        <v>0</v>
      </c>
      <c r="AR64" s="4">
        <v>1</v>
      </c>
      <c r="AS64" s="4">
        <f t="shared" si="1"/>
        <v>13</v>
      </c>
      <c r="AT64" s="4" t="s">
        <v>120</v>
      </c>
    </row>
    <row r="65" spans="1:46" x14ac:dyDescent="0.2">
      <c r="A65" s="4">
        <v>1484</v>
      </c>
      <c r="B65" s="4" t="s">
        <v>22</v>
      </c>
      <c r="C65" s="5" t="s">
        <v>323</v>
      </c>
      <c r="D65" s="5" t="s">
        <v>324</v>
      </c>
      <c r="E65" s="5" t="s">
        <v>118</v>
      </c>
      <c r="F65" s="5" t="s">
        <v>119</v>
      </c>
      <c r="G65" s="13">
        <v>46269</v>
      </c>
      <c r="H65" s="13">
        <v>46269</v>
      </c>
      <c r="I65" s="9">
        <f t="shared" si="0"/>
        <v>1</v>
      </c>
      <c r="J65" s="5" t="s">
        <v>1651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4">
        <v>2</v>
      </c>
      <c r="AH65" s="4">
        <v>1</v>
      </c>
      <c r="AI65" s="4">
        <v>1</v>
      </c>
      <c r="AJ65" s="4">
        <v>2</v>
      </c>
      <c r="AK65" s="4">
        <v>3</v>
      </c>
      <c r="AL65" s="4">
        <v>2</v>
      </c>
      <c r="AM65" s="4">
        <v>1</v>
      </c>
      <c r="AN65" s="4">
        <v>1</v>
      </c>
      <c r="AO65" s="4">
        <v>1</v>
      </c>
      <c r="AP65" s="4"/>
      <c r="AQ65" s="4">
        <v>0</v>
      </c>
      <c r="AR65" s="4">
        <v>1</v>
      </c>
      <c r="AS65" s="4">
        <f t="shared" si="1"/>
        <v>14</v>
      </c>
      <c r="AT65" s="4" t="s">
        <v>137</v>
      </c>
    </row>
    <row r="66" spans="1:46" x14ac:dyDescent="0.2">
      <c r="A66" s="4">
        <v>1515</v>
      </c>
      <c r="B66" s="4" t="s">
        <v>22</v>
      </c>
      <c r="C66" s="5" t="s">
        <v>358</v>
      </c>
      <c r="D66" s="5" t="s">
        <v>359</v>
      </c>
      <c r="E66" s="5" t="s">
        <v>330</v>
      </c>
      <c r="F66" s="5" t="s">
        <v>331</v>
      </c>
      <c r="G66" s="13">
        <v>46269</v>
      </c>
      <c r="H66" s="13">
        <v>46269</v>
      </c>
      <c r="I66" s="9">
        <f t="shared" ref="I66:I129" si="2">NETWORKDAYS(G66,H66)</f>
        <v>1</v>
      </c>
      <c r="J66" s="5" t="s">
        <v>1651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4">
        <v>2</v>
      </c>
      <c r="AH66" s="4">
        <v>1</v>
      </c>
      <c r="AI66" s="4">
        <v>1</v>
      </c>
      <c r="AJ66" s="4">
        <v>2</v>
      </c>
      <c r="AK66" s="4">
        <v>3</v>
      </c>
      <c r="AL66" s="4">
        <v>2</v>
      </c>
      <c r="AM66" s="4">
        <v>1</v>
      </c>
      <c r="AN66" s="4">
        <v>0</v>
      </c>
      <c r="AO66" s="4">
        <v>1</v>
      </c>
      <c r="AP66" s="4"/>
      <c r="AQ66" s="4">
        <v>0</v>
      </c>
      <c r="AR66" s="4">
        <v>1</v>
      </c>
      <c r="AS66" s="4">
        <f t="shared" si="1"/>
        <v>13</v>
      </c>
      <c r="AT66" s="9" t="s">
        <v>332</v>
      </c>
    </row>
    <row r="67" spans="1:46" x14ac:dyDescent="0.2">
      <c r="A67" s="4">
        <v>1538</v>
      </c>
      <c r="B67" s="4" t="s">
        <v>22</v>
      </c>
      <c r="C67" s="5" t="s">
        <v>385</v>
      </c>
      <c r="D67" s="5" t="s">
        <v>386</v>
      </c>
      <c r="E67" s="5" t="s">
        <v>330</v>
      </c>
      <c r="F67" s="5" t="s">
        <v>331</v>
      </c>
      <c r="G67" s="13">
        <v>46269</v>
      </c>
      <c r="H67" s="13">
        <v>46269</v>
      </c>
      <c r="I67" s="9">
        <f t="shared" si="2"/>
        <v>1</v>
      </c>
      <c r="J67" s="5" t="s">
        <v>1651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4">
        <v>2</v>
      </c>
      <c r="AH67" s="4">
        <v>1</v>
      </c>
      <c r="AI67" s="4">
        <v>1</v>
      </c>
      <c r="AJ67" s="4">
        <v>2</v>
      </c>
      <c r="AK67" s="4">
        <v>3</v>
      </c>
      <c r="AL67" s="4">
        <v>2</v>
      </c>
      <c r="AM67" s="4">
        <v>1</v>
      </c>
      <c r="AN67" s="4">
        <v>0</v>
      </c>
      <c r="AO67" s="4">
        <v>1</v>
      </c>
      <c r="AP67" s="4"/>
      <c r="AQ67" s="4">
        <v>0</v>
      </c>
      <c r="AR67" s="4">
        <v>1</v>
      </c>
      <c r="AS67" s="4">
        <f t="shared" ref="AS67:AS130" si="3">SUM(AG67:AQ67)</f>
        <v>13</v>
      </c>
      <c r="AT67" s="9" t="s">
        <v>335</v>
      </c>
    </row>
    <row r="68" spans="1:46" x14ac:dyDescent="0.2">
      <c r="A68" s="4">
        <v>1548</v>
      </c>
      <c r="B68" s="4" t="s">
        <v>22</v>
      </c>
      <c r="C68" s="5" t="s">
        <v>399</v>
      </c>
      <c r="D68" s="5" t="s">
        <v>400</v>
      </c>
      <c r="E68" s="5" t="s">
        <v>330</v>
      </c>
      <c r="F68" s="5" t="s">
        <v>331</v>
      </c>
      <c r="G68" s="13">
        <v>46269</v>
      </c>
      <c r="H68" s="13">
        <v>46269</v>
      </c>
      <c r="I68" s="9">
        <f t="shared" si="2"/>
        <v>1</v>
      </c>
      <c r="J68" s="5" t="s">
        <v>1651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4">
        <v>2</v>
      </c>
      <c r="AH68" s="4">
        <v>2</v>
      </c>
      <c r="AI68" s="4">
        <v>1</v>
      </c>
      <c r="AJ68" s="4">
        <v>2</v>
      </c>
      <c r="AK68" s="4">
        <v>4</v>
      </c>
      <c r="AL68" s="4">
        <v>2</v>
      </c>
      <c r="AM68" s="4">
        <v>1</v>
      </c>
      <c r="AN68" s="4">
        <v>0</v>
      </c>
      <c r="AO68" s="4">
        <v>1</v>
      </c>
      <c r="AP68" s="4"/>
      <c r="AQ68" s="4">
        <v>0</v>
      </c>
      <c r="AR68" s="4">
        <v>1</v>
      </c>
      <c r="AS68" s="4">
        <f t="shared" si="3"/>
        <v>15</v>
      </c>
      <c r="AT68" s="9" t="s">
        <v>364</v>
      </c>
    </row>
    <row r="69" spans="1:46" x14ac:dyDescent="0.2">
      <c r="A69" s="4">
        <v>1570</v>
      </c>
      <c r="B69" s="4" t="s">
        <v>22</v>
      </c>
      <c r="C69" s="5" t="s">
        <v>426</v>
      </c>
      <c r="D69" s="5" t="s">
        <v>427</v>
      </c>
      <c r="E69" s="5" t="s">
        <v>330</v>
      </c>
      <c r="F69" s="5" t="s">
        <v>331</v>
      </c>
      <c r="G69" s="13">
        <v>46269</v>
      </c>
      <c r="H69" s="13">
        <v>46269</v>
      </c>
      <c r="I69" s="9">
        <f t="shared" si="2"/>
        <v>1</v>
      </c>
      <c r="J69" s="5" t="s">
        <v>1651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4">
        <v>4</v>
      </c>
      <c r="AH69" s="4">
        <v>3</v>
      </c>
      <c r="AI69" s="4">
        <v>1</v>
      </c>
      <c r="AJ69" s="4">
        <v>2</v>
      </c>
      <c r="AK69" s="4">
        <v>6</v>
      </c>
      <c r="AL69" s="4">
        <v>3</v>
      </c>
      <c r="AM69" s="4">
        <v>1</v>
      </c>
      <c r="AN69" s="4">
        <v>0</v>
      </c>
      <c r="AO69" s="4">
        <v>1</v>
      </c>
      <c r="AP69" s="4"/>
      <c r="AQ69" s="4">
        <v>0</v>
      </c>
      <c r="AR69" s="4">
        <v>1</v>
      </c>
      <c r="AS69" s="4">
        <f t="shared" si="3"/>
        <v>21</v>
      </c>
      <c r="AT69" s="9" t="s">
        <v>342</v>
      </c>
    </row>
    <row r="70" spans="1:46" x14ac:dyDescent="0.2">
      <c r="A70" s="4">
        <v>1573</v>
      </c>
      <c r="B70" s="4" t="s">
        <v>22</v>
      </c>
      <c r="C70" s="5" t="s">
        <v>432</v>
      </c>
      <c r="D70" s="5" t="s">
        <v>433</v>
      </c>
      <c r="E70" s="5" t="s">
        <v>330</v>
      </c>
      <c r="F70" s="5" t="s">
        <v>331</v>
      </c>
      <c r="G70" s="13">
        <v>46269</v>
      </c>
      <c r="H70" s="13">
        <v>46269</v>
      </c>
      <c r="I70" s="9">
        <f t="shared" si="2"/>
        <v>1</v>
      </c>
      <c r="J70" s="5" t="s">
        <v>1651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4">
        <v>4</v>
      </c>
      <c r="AH70" s="4">
        <v>4</v>
      </c>
      <c r="AI70" s="4">
        <v>1</v>
      </c>
      <c r="AJ70" s="4">
        <v>2</v>
      </c>
      <c r="AK70" s="4">
        <v>8</v>
      </c>
      <c r="AL70" s="4">
        <v>3</v>
      </c>
      <c r="AM70" s="4">
        <v>1</v>
      </c>
      <c r="AN70" s="4">
        <v>0</v>
      </c>
      <c r="AO70" s="4">
        <v>1</v>
      </c>
      <c r="AP70" s="4"/>
      <c r="AQ70" s="4">
        <v>0</v>
      </c>
      <c r="AR70" s="4">
        <v>1</v>
      </c>
      <c r="AS70" s="4">
        <f t="shared" si="3"/>
        <v>24</v>
      </c>
      <c r="AT70" s="9" t="s">
        <v>77</v>
      </c>
    </row>
    <row r="71" spans="1:46" x14ac:dyDescent="0.2">
      <c r="A71" s="4">
        <v>1634</v>
      </c>
      <c r="B71" s="4" t="s">
        <v>22</v>
      </c>
      <c r="C71" s="5" t="s">
        <v>486</v>
      </c>
      <c r="D71" s="5" t="s">
        <v>487</v>
      </c>
      <c r="E71" s="5" t="s">
        <v>72</v>
      </c>
      <c r="F71" s="5" t="s">
        <v>68</v>
      </c>
      <c r="G71" s="13">
        <v>46269</v>
      </c>
      <c r="H71" s="13">
        <v>46269</v>
      </c>
      <c r="I71" s="9">
        <f t="shared" si="2"/>
        <v>1</v>
      </c>
      <c r="J71" s="5" t="s">
        <v>1651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4">
        <v>2</v>
      </c>
      <c r="AH71" s="4">
        <v>1</v>
      </c>
      <c r="AI71" s="4">
        <v>1</v>
      </c>
      <c r="AJ71" s="4">
        <v>2</v>
      </c>
      <c r="AK71" s="4">
        <v>3</v>
      </c>
      <c r="AL71" s="4">
        <v>2</v>
      </c>
      <c r="AM71" s="4">
        <v>1</v>
      </c>
      <c r="AN71" s="4">
        <v>0</v>
      </c>
      <c r="AO71" s="4">
        <v>1</v>
      </c>
      <c r="AP71" s="4"/>
      <c r="AQ71" s="4">
        <v>0</v>
      </c>
      <c r="AR71" s="4">
        <v>1</v>
      </c>
      <c r="AS71" s="4">
        <f t="shared" si="3"/>
        <v>13</v>
      </c>
      <c r="AT71" s="9" t="s">
        <v>483</v>
      </c>
    </row>
    <row r="72" spans="1:46" x14ac:dyDescent="0.2">
      <c r="A72" s="4">
        <v>2414</v>
      </c>
      <c r="B72" s="4" t="s">
        <v>22</v>
      </c>
      <c r="C72" s="5" t="s">
        <v>624</v>
      </c>
      <c r="D72" s="5" t="s">
        <v>625</v>
      </c>
      <c r="E72" s="5" t="s">
        <v>604</v>
      </c>
      <c r="F72" s="5" t="s">
        <v>68</v>
      </c>
      <c r="G72" s="13">
        <v>46269</v>
      </c>
      <c r="H72" s="13">
        <v>46269</v>
      </c>
      <c r="I72" s="9">
        <f t="shared" si="2"/>
        <v>1</v>
      </c>
      <c r="J72" s="5" t="s">
        <v>1651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4">
        <v>3</v>
      </c>
      <c r="AH72" s="4">
        <v>4</v>
      </c>
      <c r="AI72" s="4">
        <v>1</v>
      </c>
      <c r="AJ72" s="4">
        <v>2</v>
      </c>
      <c r="AK72" s="4">
        <v>8</v>
      </c>
      <c r="AL72" s="4">
        <v>2</v>
      </c>
      <c r="AM72" s="4">
        <v>1</v>
      </c>
      <c r="AN72" s="4">
        <v>0</v>
      </c>
      <c r="AO72" s="4">
        <v>1</v>
      </c>
      <c r="AP72" s="4"/>
      <c r="AQ72" s="4">
        <v>0</v>
      </c>
      <c r="AR72" s="4">
        <v>1</v>
      </c>
      <c r="AS72" s="4">
        <f t="shared" si="3"/>
        <v>22</v>
      </c>
      <c r="AT72" s="9" t="s">
        <v>626</v>
      </c>
    </row>
    <row r="73" spans="1:46" x14ac:dyDescent="0.2">
      <c r="A73" s="4">
        <v>2470</v>
      </c>
      <c r="B73" s="4" t="s">
        <v>22</v>
      </c>
      <c r="C73" s="5" t="s">
        <v>657</v>
      </c>
      <c r="D73" s="5" t="s">
        <v>658</v>
      </c>
      <c r="E73" s="5" t="s">
        <v>604</v>
      </c>
      <c r="F73" s="5" t="s">
        <v>68</v>
      </c>
      <c r="G73" s="13">
        <v>46269</v>
      </c>
      <c r="H73" s="13">
        <v>46269</v>
      </c>
      <c r="I73" s="9">
        <f t="shared" si="2"/>
        <v>1</v>
      </c>
      <c r="J73" s="5" t="s">
        <v>1651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4">
        <v>2</v>
      </c>
      <c r="AH73" s="4">
        <v>1</v>
      </c>
      <c r="AI73" s="4">
        <v>1</v>
      </c>
      <c r="AJ73" s="4">
        <v>2</v>
      </c>
      <c r="AK73" s="4">
        <v>3</v>
      </c>
      <c r="AL73" s="4">
        <v>2</v>
      </c>
      <c r="AM73" s="4">
        <v>1</v>
      </c>
      <c r="AN73" s="4">
        <v>0</v>
      </c>
      <c r="AO73" s="4">
        <v>1</v>
      </c>
      <c r="AP73" s="4"/>
      <c r="AQ73" s="4">
        <v>0</v>
      </c>
      <c r="AR73" s="4">
        <v>1</v>
      </c>
      <c r="AS73" s="4">
        <f t="shared" si="3"/>
        <v>13</v>
      </c>
      <c r="AT73" s="9" t="s">
        <v>651</v>
      </c>
    </row>
    <row r="74" spans="1:46" x14ac:dyDescent="0.2">
      <c r="A74" s="4">
        <v>3925</v>
      </c>
      <c r="B74" s="4" t="s">
        <v>22</v>
      </c>
      <c r="C74" s="5" t="s">
        <v>910</v>
      </c>
      <c r="D74" s="5" t="s">
        <v>911</v>
      </c>
      <c r="E74" s="5" t="s">
        <v>873</v>
      </c>
      <c r="F74" s="5" t="s">
        <v>574</v>
      </c>
      <c r="G74" s="13">
        <v>46269</v>
      </c>
      <c r="H74" s="13">
        <v>46269</v>
      </c>
      <c r="I74" s="9">
        <f t="shared" si="2"/>
        <v>1</v>
      </c>
      <c r="J74" s="5" t="s">
        <v>1651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4">
        <v>3</v>
      </c>
      <c r="AH74" s="4">
        <v>3</v>
      </c>
      <c r="AI74" s="4">
        <v>1</v>
      </c>
      <c r="AJ74" s="4">
        <v>2</v>
      </c>
      <c r="AK74" s="4">
        <v>6</v>
      </c>
      <c r="AL74" s="4">
        <v>2</v>
      </c>
      <c r="AM74" s="4">
        <v>1</v>
      </c>
      <c r="AN74" s="4">
        <v>0</v>
      </c>
      <c r="AO74" s="4">
        <v>1</v>
      </c>
      <c r="AP74" s="4"/>
      <c r="AQ74" s="4">
        <v>0</v>
      </c>
      <c r="AR74" s="4">
        <v>1</v>
      </c>
      <c r="AS74" s="4">
        <f t="shared" si="3"/>
        <v>19</v>
      </c>
      <c r="AT74" s="9" t="s">
        <v>874</v>
      </c>
    </row>
    <row r="75" spans="1:46" x14ac:dyDescent="0.2">
      <c r="A75" s="4">
        <v>4503</v>
      </c>
      <c r="B75" s="4" t="s">
        <v>22</v>
      </c>
      <c r="C75" s="5" t="s">
        <v>983</v>
      </c>
      <c r="D75" s="5" t="s">
        <v>984</v>
      </c>
      <c r="E75" s="5" t="s">
        <v>981</v>
      </c>
      <c r="F75" s="5" t="s">
        <v>26</v>
      </c>
      <c r="G75" s="13">
        <v>46269</v>
      </c>
      <c r="H75" s="13">
        <v>46269</v>
      </c>
      <c r="I75" s="9">
        <f t="shared" si="2"/>
        <v>1</v>
      </c>
      <c r="J75" s="5" t="s">
        <v>1651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4">
        <v>4</v>
      </c>
      <c r="AH75" s="4">
        <v>6</v>
      </c>
      <c r="AI75" s="4">
        <v>1</v>
      </c>
      <c r="AJ75" s="4">
        <v>3</v>
      </c>
      <c r="AK75" s="4">
        <v>9</v>
      </c>
      <c r="AL75" s="4">
        <v>4</v>
      </c>
      <c r="AM75" s="4">
        <v>2</v>
      </c>
      <c r="AN75" s="4">
        <v>0</v>
      </c>
      <c r="AO75" s="4">
        <v>2</v>
      </c>
      <c r="AP75" s="4"/>
      <c r="AQ75" s="4">
        <v>0</v>
      </c>
      <c r="AR75" s="4">
        <v>1</v>
      </c>
      <c r="AS75" s="4">
        <f t="shared" si="3"/>
        <v>31</v>
      </c>
      <c r="AT75" s="9" t="s">
        <v>985</v>
      </c>
    </row>
    <row r="76" spans="1:46" x14ac:dyDescent="0.2">
      <c r="A76" s="4">
        <v>4818</v>
      </c>
      <c r="B76" s="4" t="s">
        <v>22</v>
      </c>
      <c r="C76" s="5" t="s">
        <v>1049</v>
      </c>
      <c r="D76" s="5" t="s">
        <v>1050</v>
      </c>
      <c r="E76" s="5" t="s">
        <v>286</v>
      </c>
      <c r="F76" s="5" t="s">
        <v>546</v>
      </c>
      <c r="G76" s="13">
        <v>46269</v>
      </c>
      <c r="H76" s="13">
        <v>46269</v>
      </c>
      <c r="I76" s="9">
        <f t="shared" si="2"/>
        <v>1</v>
      </c>
      <c r="J76" s="5" t="s">
        <v>1651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4">
        <v>2</v>
      </c>
      <c r="AH76" s="4">
        <v>2</v>
      </c>
      <c r="AI76" s="4">
        <v>1</v>
      </c>
      <c r="AJ76" s="4">
        <v>2</v>
      </c>
      <c r="AK76" s="4">
        <v>4</v>
      </c>
      <c r="AL76" s="4">
        <v>2</v>
      </c>
      <c r="AM76" s="4">
        <v>1</v>
      </c>
      <c r="AN76" s="4">
        <v>0</v>
      </c>
      <c r="AO76" s="4">
        <v>1</v>
      </c>
      <c r="AP76" s="4"/>
      <c r="AQ76" s="4">
        <v>0</v>
      </c>
      <c r="AR76" s="4">
        <v>1</v>
      </c>
      <c r="AS76" s="4">
        <f t="shared" si="3"/>
        <v>15</v>
      </c>
      <c r="AT76" s="9" t="s">
        <v>1034</v>
      </c>
    </row>
    <row r="77" spans="1:46" x14ac:dyDescent="0.2">
      <c r="A77" s="4">
        <v>6605</v>
      </c>
      <c r="B77" s="4" t="s">
        <v>22</v>
      </c>
      <c r="C77" s="5" t="s">
        <v>1347</v>
      </c>
      <c r="D77" s="5" t="s">
        <v>1348</v>
      </c>
      <c r="E77" s="5" t="s">
        <v>1346</v>
      </c>
      <c r="F77" s="5" t="s">
        <v>574</v>
      </c>
      <c r="G77" s="13">
        <v>46269</v>
      </c>
      <c r="H77" s="13">
        <v>46269</v>
      </c>
      <c r="I77" s="9">
        <f t="shared" si="2"/>
        <v>1</v>
      </c>
      <c r="J77" s="5" t="s">
        <v>1651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4">
        <v>3</v>
      </c>
      <c r="AH77" s="4">
        <v>1</v>
      </c>
      <c r="AI77" s="4">
        <v>1</v>
      </c>
      <c r="AJ77" s="4">
        <v>2</v>
      </c>
      <c r="AK77" s="4">
        <v>4</v>
      </c>
      <c r="AL77" s="4">
        <v>2</v>
      </c>
      <c r="AM77" s="4">
        <v>1</v>
      </c>
      <c r="AN77" s="4">
        <v>0</v>
      </c>
      <c r="AO77" s="4">
        <v>1</v>
      </c>
      <c r="AP77" s="4"/>
      <c r="AQ77" s="4">
        <v>0</v>
      </c>
      <c r="AR77" s="4">
        <v>1</v>
      </c>
      <c r="AS77" s="4">
        <f t="shared" si="3"/>
        <v>15</v>
      </c>
      <c r="AT77" s="9" t="s">
        <v>1349</v>
      </c>
    </row>
    <row r="78" spans="1:46" x14ac:dyDescent="0.2">
      <c r="A78" s="4">
        <v>6609</v>
      </c>
      <c r="B78" s="4" t="s">
        <v>22</v>
      </c>
      <c r="C78" s="5" t="s">
        <v>1357</v>
      </c>
      <c r="D78" s="5" t="s">
        <v>1358</v>
      </c>
      <c r="E78" s="5" t="s">
        <v>1346</v>
      </c>
      <c r="F78" s="5" t="s">
        <v>574</v>
      </c>
      <c r="G78" s="13">
        <v>46269</v>
      </c>
      <c r="H78" s="13">
        <v>46269</v>
      </c>
      <c r="I78" s="9">
        <f t="shared" si="2"/>
        <v>1</v>
      </c>
      <c r="J78" s="5" t="s">
        <v>1651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4">
        <v>3</v>
      </c>
      <c r="AH78" s="4">
        <v>2</v>
      </c>
      <c r="AI78" s="4">
        <v>1</v>
      </c>
      <c r="AJ78" s="4">
        <v>2</v>
      </c>
      <c r="AK78" s="4">
        <v>5</v>
      </c>
      <c r="AL78" s="4">
        <v>3</v>
      </c>
      <c r="AM78" s="4">
        <v>1</v>
      </c>
      <c r="AN78" s="4">
        <v>0</v>
      </c>
      <c r="AO78" s="4">
        <v>1</v>
      </c>
      <c r="AP78" s="4"/>
      <c r="AQ78" s="4">
        <v>0</v>
      </c>
      <c r="AR78" s="4">
        <v>1</v>
      </c>
      <c r="AS78" s="4">
        <f t="shared" si="3"/>
        <v>18</v>
      </c>
      <c r="AT78" s="9" t="s">
        <v>1359</v>
      </c>
    </row>
    <row r="79" spans="1:46" x14ac:dyDescent="0.2">
      <c r="A79" s="4">
        <v>6653</v>
      </c>
      <c r="B79" s="4" t="s">
        <v>22</v>
      </c>
      <c r="C79" s="5" t="s">
        <v>166</v>
      </c>
      <c r="D79" s="5" t="s">
        <v>167</v>
      </c>
      <c r="E79" s="5" t="s">
        <v>1346</v>
      </c>
      <c r="F79" s="5" t="s">
        <v>574</v>
      </c>
      <c r="G79" s="13">
        <v>46269</v>
      </c>
      <c r="H79" s="13">
        <v>46269</v>
      </c>
      <c r="I79" s="9">
        <f t="shared" si="2"/>
        <v>1</v>
      </c>
      <c r="J79" s="5" t="s">
        <v>1651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4">
        <v>3</v>
      </c>
      <c r="AH79" s="4">
        <v>1</v>
      </c>
      <c r="AI79" s="4">
        <v>1</v>
      </c>
      <c r="AJ79" s="4">
        <v>2</v>
      </c>
      <c r="AK79" s="4">
        <v>3</v>
      </c>
      <c r="AL79" s="4">
        <v>3</v>
      </c>
      <c r="AM79" s="4">
        <v>1</v>
      </c>
      <c r="AN79" s="4">
        <v>0</v>
      </c>
      <c r="AO79" s="4">
        <v>1</v>
      </c>
      <c r="AP79" s="4"/>
      <c r="AQ79" s="4">
        <v>0</v>
      </c>
      <c r="AR79" s="4">
        <v>1</v>
      </c>
      <c r="AS79" s="4">
        <f t="shared" si="3"/>
        <v>15</v>
      </c>
      <c r="AT79" s="9" t="s">
        <v>1367</v>
      </c>
    </row>
    <row r="80" spans="1:46" x14ac:dyDescent="0.2">
      <c r="A80" s="4">
        <v>1320</v>
      </c>
      <c r="B80" s="4" t="s">
        <v>22</v>
      </c>
      <c r="C80" s="5" t="s">
        <v>140</v>
      </c>
      <c r="D80" s="5" t="s">
        <v>141</v>
      </c>
      <c r="E80" s="5" t="s">
        <v>118</v>
      </c>
      <c r="F80" s="5" t="s">
        <v>119</v>
      </c>
      <c r="G80" s="13">
        <v>46272</v>
      </c>
      <c r="H80" s="13">
        <v>46272</v>
      </c>
      <c r="I80" s="9">
        <f t="shared" si="2"/>
        <v>1</v>
      </c>
      <c r="J80" s="5" t="s">
        <v>1651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4">
        <v>4</v>
      </c>
      <c r="AH80" s="4">
        <v>4</v>
      </c>
      <c r="AI80" s="4">
        <v>1</v>
      </c>
      <c r="AJ80" s="4">
        <v>3</v>
      </c>
      <c r="AK80" s="4">
        <v>8</v>
      </c>
      <c r="AL80" s="4">
        <v>3</v>
      </c>
      <c r="AM80" s="4">
        <v>2</v>
      </c>
      <c r="AN80" s="4">
        <v>0</v>
      </c>
      <c r="AO80" s="4">
        <v>1</v>
      </c>
      <c r="AP80" s="4"/>
      <c r="AQ80" s="4">
        <v>0</v>
      </c>
      <c r="AR80" s="4">
        <v>1</v>
      </c>
      <c r="AS80" s="4">
        <f t="shared" si="3"/>
        <v>26</v>
      </c>
      <c r="AT80" s="4" t="s">
        <v>137</v>
      </c>
    </row>
    <row r="81" spans="1:46" x14ac:dyDescent="0.2">
      <c r="A81" s="4">
        <v>1370</v>
      </c>
      <c r="B81" s="4" t="s">
        <v>22</v>
      </c>
      <c r="C81" s="5" t="s">
        <v>206</v>
      </c>
      <c r="D81" s="5" t="s">
        <v>207</v>
      </c>
      <c r="E81" s="5" t="s">
        <v>118</v>
      </c>
      <c r="F81" s="5" t="s">
        <v>119</v>
      </c>
      <c r="G81" s="13">
        <v>46272</v>
      </c>
      <c r="H81" s="13">
        <v>46272</v>
      </c>
      <c r="I81" s="9">
        <f t="shared" si="2"/>
        <v>1</v>
      </c>
      <c r="J81" s="5" t="s">
        <v>1651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4">
        <v>5</v>
      </c>
      <c r="AH81" s="4">
        <v>4</v>
      </c>
      <c r="AI81" s="4">
        <v>1</v>
      </c>
      <c r="AJ81" s="4">
        <v>3</v>
      </c>
      <c r="AK81" s="4">
        <v>8</v>
      </c>
      <c r="AL81" s="4">
        <v>4</v>
      </c>
      <c r="AM81" s="4">
        <v>2</v>
      </c>
      <c r="AN81" s="4">
        <v>0</v>
      </c>
      <c r="AO81" s="4">
        <v>2</v>
      </c>
      <c r="AP81" s="4"/>
      <c r="AQ81" s="4">
        <v>0</v>
      </c>
      <c r="AR81" s="4">
        <v>1</v>
      </c>
      <c r="AS81" s="4">
        <f t="shared" si="3"/>
        <v>29</v>
      </c>
      <c r="AT81" s="4" t="s">
        <v>120</v>
      </c>
    </row>
    <row r="82" spans="1:46" x14ac:dyDescent="0.2">
      <c r="A82" s="4">
        <v>1534</v>
      </c>
      <c r="B82" s="4" t="s">
        <v>22</v>
      </c>
      <c r="C82" s="5" t="s">
        <v>379</v>
      </c>
      <c r="D82" s="5" t="s">
        <v>380</v>
      </c>
      <c r="E82" s="5" t="s">
        <v>330</v>
      </c>
      <c r="F82" s="5" t="s">
        <v>331</v>
      </c>
      <c r="G82" s="13">
        <v>46272</v>
      </c>
      <c r="H82" s="13">
        <v>46273</v>
      </c>
      <c r="I82" s="9">
        <f t="shared" si="2"/>
        <v>2</v>
      </c>
      <c r="J82" s="5" t="s">
        <v>1651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4">
        <v>6</v>
      </c>
      <c r="AH82" s="4">
        <v>7</v>
      </c>
      <c r="AI82" s="4">
        <v>1</v>
      </c>
      <c r="AJ82" s="4">
        <v>3</v>
      </c>
      <c r="AK82" s="4">
        <v>11</v>
      </c>
      <c r="AL82" s="4">
        <v>4</v>
      </c>
      <c r="AM82" s="4">
        <v>2</v>
      </c>
      <c r="AN82" s="4">
        <v>1</v>
      </c>
      <c r="AO82" s="4">
        <v>2</v>
      </c>
      <c r="AP82" s="4"/>
      <c r="AQ82" s="4">
        <v>1</v>
      </c>
      <c r="AR82" s="4">
        <v>1</v>
      </c>
      <c r="AS82" s="4">
        <f t="shared" si="3"/>
        <v>38</v>
      </c>
      <c r="AT82" s="9" t="s">
        <v>332</v>
      </c>
    </row>
    <row r="83" spans="1:46" x14ac:dyDescent="0.2">
      <c r="A83" s="4">
        <v>1536</v>
      </c>
      <c r="B83" s="4" t="s">
        <v>22</v>
      </c>
      <c r="C83" s="5" t="s">
        <v>383</v>
      </c>
      <c r="D83" s="5" t="s">
        <v>384</v>
      </c>
      <c r="E83" s="5" t="s">
        <v>330</v>
      </c>
      <c r="F83" s="5" t="s">
        <v>331</v>
      </c>
      <c r="G83" s="13">
        <v>46272</v>
      </c>
      <c r="H83" s="13">
        <v>46273</v>
      </c>
      <c r="I83" s="9">
        <f t="shared" si="2"/>
        <v>2</v>
      </c>
      <c r="J83" s="5" t="s">
        <v>1651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4">
        <v>5</v>
      </c>
      <c r="AH83" s="4">
        <v>4</v>
      </c>
      <c r="AI83" s="4">
        <v>1</v>
      </c>
      <c r="AJ83" s="4">
        <v>3</v>
      </c>
      <c r="AK83" s="4">
        <v>11</v>
      </c>
      <c r="AL83" s="4">
        <v>5</v>
      </c>
      <c r="AM83" s="4">
        <v>2</v>
      </c>
      <c r="AN83" s="4">
        <v>0</v>
      </c>
      <c r="AO83" s="4">
        <v>2</v>
      </c>
      <c r="AP83" s="4"/>
      <c r="AQ83" s="4">
        <v>0</v>
      </c>
      <c r="AR83" s="4">
        <v>1</v>
      </c>
      <c r="AS83" s="4">
        <f t="shared" si="3"/>
        <v>33</v>
      </c>
      <c r="AT83" s="9" t="s">
        <v>335</v>
      </c>
    </row>
    <row r="84" spans="1:46" x14ac:dyDescent="0.2">
      <c r="A84" s="4">
        <v>1579</v>
      </c>
      <c r="B84" s="4" t="s">
        <v>22</v>
      </c>
      <c r="C84" s="5" t="s">
        <v>445</v>
      </c>
      <c r="D84" s="5" t="s">
        <v>446</v>
      </c>
      <c r="E84" s="5" t="s">
        <v>330</v>
      </c>
      <c r="F84" s="5" t="s">
        <v>331</v>
      </c>
      <c r="G84" s="13">
        <v>46272</v>
      </c>
      <c r="H84" s="13">
        <v>46273</v>
      </c>
      <c r="I84" s="9">
        <f t="shared" si="2"/>
        <v>2</v>
      </c>
      <c r="J84" s="5" t="s">
        <v>1651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4">
        <v>2</v>
      </c>
      <c r="AH84" s="4">
        <v>1</v>
      </c>
      <c r="AI84" s="4">
        <v>1</v>
      </c>
      <c r="AJ84" s="4">
        <v>2</v>
      </c>
      <c r="AK84" s="4">
        <v>3</v>
      </c>
      <c r="AL84" s="4">
        <v>2</v>
      </c>
      <c r="AM84" s="4">
        <v>1</v>
      </c>
      <c r="AN84" s="4">
        <v>0</v>
      </c>
      <c r="AO84" s="4">
        <v>1</v>
      </c>
      <c r="AP84" s="4"/>
      <c r="AQ84" s="4">
        <v>0</v>
      </c>
      <c r="AR84" s="4">
        <v>1</v>
      </c>
      <c r="AS84" s="4">
        <f t="shared" si="3"/>
        <v>13</v>
      </c>
      <c r="AT84" s="9" t="s">
        <v>77</v>
      </c>
    </row>
    <row r="85" spans="1:46" x14ac:dyDescent="0.2">
      <c r="A85" s="4">
        <v>1584</v>
      </c>
      <c r="B85" s="4" t="s">
        <v>22</v>
      </c>
      <c r="C85" s="5" t="s">
        <v>453</v>
      </c>
      <c r="D85" s="5" t="s">
        <v>454</v>
      </c>
      <c r="E85" s="5" t="s">
        <v>330</v>
      </c>
      <c r="F85" s="5" t="s">
        <v>331</v>
      </c>
      <c r="G85" s="13">
        <v>46272</v>
      </c>
      <c r="H85" s="13">
        <v>46273</v>
      </c>
      <c r="I85" s="9">
        <f t="shared" si="2"/>
        <v>2</v>
      </c>
      <c r="J85" s="5" t="s">
        <v>1651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4">
        <v>3</v>
      </c>
      <c r="AH85" s="4">
        <v>2</v>
      </c>
      <c r="AI85" s="4">
        <v>1</v>
      </c>
      <c r="AJ85" s="4">
        <v>2</v>
      </c>
      <c r="AK85" s="4">
        <v>7</v>
      </c>
      <c r="AL85" s="4">
        <v>3</v>
      </c>
      <c r="AM85" s="4">
        <v>1</v>
      </c>
      <c r="AN85" s="4">
        <v>0</v>
      </c>
      <c r="AO85" s="4">
        <v>1</v>
      </c>
      <c r="AP85" s="4"/>
      <c r="AQ85" s="4">
        <v>0</v>
      </c>
      <c r="AR85" s="4">
        <v>1</v>
      </c>
      <c r="AS85" s="4">
        <f t="shared" si="3"/>
        <v>20</v>
      </c>
      <c r="AT85" s="9" t="s">
        <v>364</v>
      </c>
    </row>
    <row r="86" spans="1:46" x14ac:dyDescent="0.2">
      <c r="A86" s="4">
        <v>2440</v>
      </c>
      <c r="B86" s="4" t="s">
        <v>22</v>
      </c>
      <c r="C86" s="5" t="s">
        <v>643</v>
      </c>
      <c r="D86" s="5" t="s">
        <v>644</v>
      </c>
      <c r="E86" s="5" t="s">
        <v>604</v>
      </c>
      <c r="F86" s="5" t="s">
        <v>68</v>
      </c>
      <c r="G86" s="13">
        <v>46272</v>
      </c>
      <c r="H86" s="13">
        <v>46272</v>
      </c>
      <c r="I86" s="9">
        <f t="shared" si="2"/>
        <v>1</v>
      </c>
      <c r="J86" s="5" t="s">
        <v>1651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4">
        <v>2</v>
      </c>
      <c r="AH86" s="4">
        <v>1</v>
      </c>
      <c r="AI86" s="4">
        <v>1</v>
      </c>
      <c r="AJ86" s="4">
        <v>2</v>
      </c>
      <c r="AK86" s="4">
        <v>3</v>
      </c>
      <c r="AL86" s="4">
        <v>2</v>
      </c>
      <c r="AM86" s="4">
        <v>1</v>
      </c>
      <c r="AN86" s="4">
        <v>0</v>
      </c>
      <c r="AO86" s="4">
        <v>1</v>
      </c>
      <c r="AP86" s="4"/>
      <c r="AQ86" s="4">
        <v>0</v>
      </c>
      <c r="AR86" s="4">
        <v>1</v>
      </c>
      <c r="AS86" s="4">
        <f t="shared" si="3"/>
        <v>13</v>
      </c>
      <c r="AT86" s="9" t="s">
        <v>616</v>
      </c>
    </row>
    <row r="87" spans="1:46" x14ac:dyDescent="0.2">
      <c r="A87" s="4">
        <v>2455</v>
      </c>
      <c r="B87" s="4" t="s">
        <v>22</v>
      </c>
      <c r="C87" s="5" t="s">
        <v>649</v>
      </c>
      <c r="D87" s="5" t="s">
        <v>650</v>
      </c>
      <c r="E87" s="5" t="s">
        <v>604</v>
      </c>
      <c r="F87" s="5" t="s">
        <v>68</v>
      </c>
      <c r="G87" s="13">
        <v>46272</v>
      </c>
      <c r="H87" s="13">
        <v>46272</v>
      </c>
      <c r="I87" s="9">
        <f t="shared" si="2"/>
        <v>1</v>
      </c>
      <c r="J87" s="5" t="s">
        <v>1651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4">
        <v>2</v>
      </c>
      <c r="AH87" s="4">
        <v>3</v>
      </c>
      <c r="AI87" s="4">
        <v>1</v>
      </c>
      <c r="AJ87" s="4">
        <v>2</v>
      </c>
      <c r="AK87" s="4">
        <v>5</v>
      </c>
      <c r="AL87" s="4">
        <v>2</v>
      </c>
      <c r="AM87" s="4">
        <v>1</v>
      </c>
      <c r="AN87" s="4">
        <v>0</v>
      </c>
      <c r="AO87" s="4">
        <v>1</v>
      </c>
      <c r="AP87" s="4"/>
      <c r="AQ87" s="4">
        <v>0</v>
      </c>
      <c r="AR87" s="4">
        <v>1</v>
      </c>
      <c r="AS87" s="4">
        <f t="shared" si="3"/>
        <v>17</v>
      </c>
      <c r="AT87" s="9" t="s">
        <v>651</v>
      </c>
    </row>
    <row r="88" spans="1:46" x14ac:dyDescent="0.2">
      <c r="A88" s="4">
        <v>2719</v>
      </c>
      <c r="B88" s="4" t="s">
        <v>22</v>
      </c>
      <c r="C88" s="5" t="s">
        <v>671</v>
      </c>
      <c r="D88" s="5" t="s">
        <v>672</v>
      </c>
      <c r="E88" s="5" t="s">
        <v>661</v>
      </c>
      <c r="F88" s="5" t="s">
        <v>68</v>
      </c>
      <c r="G88" s="13">
        <v>46272</v>
      </c>
      <c r="H88" s="13">
        <v>46272</v>
      </c>
      <c r="I88" s="9">
        <f t="shared" si="2"/>
        <v>1</v>
      </c>
      <c r="J88" s="5" t="s">
        <v>1651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4">
        <v>3</v>
      </c>
      <c r="AH88" s="4">
        <v>3</v>
      </c>
      <c r="AI88" s="4">
        <v>1</v>
      </c>
      <c r="AJ88" s="4">
        <v>2</v>
      </c>
      <c r="AK88" s="4">
        <v>6</v>
      </c>
      <c r="AL88" s="4">
        <v>3</v>
      </c>
      <c r="AM88" s="4">
        <v>1</v>
      </c>
      <c r="AN88" s="4">
        <v>0</v>
      </c>
      <c r="AO88" s="4">
        <v>1</v>
      </c>
      <c r="AP88" s="4"/>
      <c r="AQ88" s="4">
        <v>0</v>
      </c>
      <c r="AR88" s="4">
        <v>1</v>
      </c>
      <c r="AS88" s="4">
        <f t="shared" si="3"/>
        <v>20</v>
      </c>
      <c r="AT88" s="9" t="s">
        <v>69</v>
      </c>
    </row>
    <row r="89" spans="1:46" x14ac:dyDescent="0.2">
      <c r="A89" s="4">
        <v>3139</v>
      </c>
      <c r="B89" s="4" t="s">
        <v>22</v>
      </c>
      <c r="C89" s="5" t="s">
        <v>767</v>
      </c>
      <c r="D89" s="5" t="s">
        <v>768</v>
      </c>
      <c r="E89" s="5" t="s">
        <v>36</v>
      </c>
      <c r="F89" s="5" t="s">
        <v>26</v>
      </c>
      <c r="G89" s="13">
        <v>46272</v>
      </c>
      <c r="H89" s="13">
        <v>46272</v>
      </c>
      <c r="I89" s="9">
        <f t="shared" si="2"/>
        <v>1</v>
      </c>
      <c r="J89" s="5" t="s">
        <v>1651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4">
        <v>2</v>
      </c>
      <c r="AH89" s="4">
        <v>2</v>
      </c>
      <c r="AI89" s="4">
        <v>1</v>
      </c>
      <c r="AJ89" s="4">
        <v>2</v>
      </c>
      <c r="AK89" s="4">
        <v>4</v>
      </c>
      <c r="AL89" s="4">
        <v>2</v>
      </c>
      <c r="AM89" s="4">
        <v>1</v>
      </c>
      <c r="AN89" s="4">
        <v>0</v>
      </c>
      <c r="AO89" s="4">
        <v>1</v>
      </c>
      <c r="AP89" s="4"/>
      <c r="AQ89" s="4">
        <v>0</v>
      </c>
      <c r="AR89" s="4">
        <v>1</v>
      </c>
      <c r="AS89" s="4">
        <f t="shared" si="3"/>
        <v>15</v>
      </c>
      <c r="AT89" s="9" t="s">
        <v>44</v>
      </c>
    </row>
    <row r="90" spans="1:46" x14ac:dyDescent="0.2">
      <c r="A90" s="4">
        <v>3141</v>
      </c>
      <c r="B90" s="4" t="s">
        <v>22</v>
      </c>
      <c r="C90" s="5" t="s">
        <v>771</v>
      </c>
      <c r="D90" s="5" t="s">
        <v>772</v>
      </c>
      <c r="E90" s="5" t="s">
        <v>36</v>
      </c>
      <c r="F90" s="5" t="s">
        <v>26</v>
      </c>
      <c r="G90" s="13">
        <v>46272</v>
      </c>
      <c r="H90" s="13">
        <v>46272</v>
      </c>
      <c r="I90" s="9">
        <f t="shared" si="2"/>
        <v>1</v>
      </c>
      <c r="J90" s="5" t="s">
        <v>1651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4">
        <v>2</v>
      </c>
      <c r="AH90" s="4">
        <v>2</v>
      </c>
      <c r="AI90" s="4">
        <v>1</v>
      </c>
      <c r="AJ90" s="4">
        <v>2</v>
      </c>
      <c r="AK90" s="4">
        <v>5</v>
      </c>
      <c r="AL90" s="4">
        <v>2</v>
      </c>
      <c r="AM90" s="4">
        <v>1</v>
      </c>
      <c r="AN90" s="4">
        <v>0</v>
      </c>
      <c r="AO90" s="4">
        <v>1</v>
      </c>
      <c r="AP90" s="4"/>
      <c r="AQ90" s="4">
        <v>0</v>
      </c>
      <c r="AR90" s="4">
        <v>1</v>
      </c>
      <c r="AS90" s="4">
        <f t="shared" si="3"/>
        <v>16</v>
      </c>
      <c r="AT90" s="9" t="s">
        <v>37</v>
      </c>
    </row>
    <row r="91" spans="1:46" x14ac:dyDescent="0.2">
      <c r="A91" s="4">
        <v>3143</v>
      </c>
      <c r="B91" s="4" t="s">
        <v>22</v>
      </c>
      <c r="C91" s="5" t="s">
        <v>775</v>
      </c>
      <c r="D91" s="5" t="s">
        <v>776</v>
      </c>
      <c r="E91" s="5" t="s">
        <v>36</v>
      </c>
      <c r="F91" s="5" t="s">
        <v>26</v>
      </c>
      <c r="G91" s="13">
        <v>46272</v>
      </c>
      <c r="H91" s="13">
        <v>46272</v>
      </c>
      <c r="I91" s="9">
        <f t="shared" si="2"/>
        <v>1</v>
      </c>
      <c r="J91" s="5" t="s">
        <v>1651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4">
        <v>3</v>
      </c>
      <c r="AH91" s="4">
        <v>2</v>
      </c>
      <c r="AI91" s="4">
        <v>1</v>
      </c>
      <c r="AJ91" s="4">
        <v>2</v>
      </c>
      <c r="AK91" s="4">
        <v>4</v>
      </c>
      <c r="AL91" s="4">
        <v>3</v>
      </c>
      <c r="AM91" s="4">
        <v>1</v>
      </c>
      <c r="AN91" s="4">
        <v>0</v>
      </c>
      <c r="AO91" s="4">
        <v>1</v>
      </c>
      <c r="AP91" s="4"/>
      <c r="AQ91" s="4">
        <v>1</v>
      </c>
      <c r="AR91" s="4">
        <v>1</v>
      </c>
      <c r="AS91" s="4">
        <f t="shared" si="3"/>
        <v>18</v>
      </c>
      <c r="AT91" s="9" t="s">
        <v>51</v>
      </c>
    </row>
    <row r="92" spans="1:46" x14ac:dyDescent="0.2">
      <c r="A92" s="4">
        <v>3147</v>
      </c>
      <c r="B92" s="4" t="s">
        <v>22</v>
      </c>
      <c r="C92" s="5" t="s">
        <v>781</v>
      </c>
      <c r="D92" s="5" t="s">
        <v>782</v>
      </c>
      <c r="E92" s="5" t="s">
        <v>36</v>
      </c>
      <c r="F92" s="5" t="s">
        <v>26</v>
      </c>
      <c r="G92" s="13">
        <v>46272</v>
      </c>
      <c r="H92" s="13">
        <v>46272</v>
      </c>
      <c r="I92" s="9">
        <f t="shared" si="2"/>
        <v>1</v>
      </c>
      <c r="J92" s="5" t="s">
        <v>1651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4">
        <v>2</v>
      </c>
      <c r="AH92" s="4">
        <v>1</v>
      </c>
      <c r="AI92" s="4">
        <v>1</v>
      </c>
      <c r="AJ92" s="4">
        <v>2</v>
      </c>
      <c r="AK92" s="4">
        <v>3</v>
      </c>
      <c r="AL92" s="4">
        <v>2</v>
      </c>
      <c r="AM92" s="4">
        <v>1</v>
      </c>
      <c r="AN92" s="4">
        <v>0</v>
      </c>
      <c r="AO92" s="4">
        <v>1</v>
      </c>
      <c r="AP92" s="4"/>
      <c r="AQ92" s="4">
        <v>0</v>
      </c>
      <c r="AR92" s="4">
        <v>1</v>
      </c>
      <c r="AS92" s="4">
        <f t="shared" si="3"/>
        <v>13</v>
      </c>
      <c r="AT92" s="9" t="s">
        <v>64</v>
      </c>
    </row>
    <row r="93" spans="1:46" x14ac:dyDescent="0.2">
      <c r="A93" s="4">
        <v>3914</v>
      </c>
      <c r="B93" s="4" t="s">
        <v>22</v>
      </c>
      <c r="C93" s="5" t="s">
        <v>897</v>
      </c>
      <c r="D93" s="5" t="s">
        <v>898</v>
      </c>
      <c r="E93" s="5" t="s">
        <v>873</v>
      </c>
      <c r="F93" s="5" t="s">
        <v>574</v>
      </c>
      <c r="G93" s="13">
        <v>46272</v>
      </c>
      <c r="H93" s="13">
        <v>46272</v>
      </c>
      <c r="I93" s="9">
        <f t="shared" si="2"/>
        <v>1</v>
      </c>
      <c r="J93" s="5" t="s">
        <v>1651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4">
        <v>4</v>
      </c>
      <c r="AH93" s="4">
        <v>3</v>
      </c>
      <c r="AI93" s="4">
        <v>1</v>
      </c>
      <c r="AJ93" s="4">
        <v>2</v>
      </c>
      <c r="AK93" s="4">
        <v>7</v>
      </c>
      <c r="AL93" s="4">
        <v>3</v>
      </c>
      <c r="AM93" s="4">
        <v>1</v>
      </c>
      <c r="AN93" s="4">
        <v>0</v>
      </c>
      <c r="AO93" s="4">
        <v>1</v>
      </c>
      <c r="AP93" s="4"/>
      <c r="AQ93" s="4">
        <v>0</v>
      </c>
      <c r="AR93" s="4">
        <v>1</v>
      </c>
      <c r="AS93" s="4">
        <f t="shared" si="3"/>
        <v>22</v>
      </c>
      <c r="AT93" s="9" t="s">
        <v>874</v>
      </c>
    </row>
    <row r="94" spans="1:46" x14ac:dyDescent="0.2">
      <c r="A94" s="4">
        <v>3937</v>
      </c>
      <c r="B94" s="4" t="s">
        <v>22</v>
      </c>
      <c r="C94" s="5" t="s">
        <v>922</v>
      </c>
      <c r="D94" s="5" t="s">
        <v>923</v>
      </c>
      <c r="E94" s="5" t="s">
        <v>873</v>
      </c>
      <c r="F94" s="5" t="s">
        <v>574</v>
      </c>
      <c r="G94" s="13">
        <v>46272</v>
      </c>
      <c r="H94" s="13">
        <v>46272</v>
      </c>
      <c r="I94" s="9">
        <f t="shared" si="2"/>
        <v>1</v>
      </c>
      <c r="J94" s="5" t="s">
        <v>1651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4">
        <v>5</v>
      </c>
      <c r="AH94" s="4">
        <v>3</v>
      </c>
      <c r="AI94" s="4">
        <v>1</v>
      </c>
      <c r="AJ94" s="4">
        <v>2</v>
      </c>
      <c r="AK94" s="4">
        <v>8</v>
      </c>
      <c r="AL94" s="4">
        <v>3</v>
      </c>
      <c r="AM94" s="4">
        <v>1</v>
      </c>
      <c r="AN94" s="4">
        <v>0</v>
      </c>
      <c r="AO94" s="4">
        <v>2</v>
      </c>
      <c r="AP94" s="4"/>
      <c r="AQ94" s="4">
        <v>0</v>
      </c>
      <c r="AR94" s="4">
        <v>1</v>
      </c>
      <c r="AS94" s="4">
        <f t="shared" si="3"/>
        <v>25</v>
      </c>
      <c r="AT94" s="9" t="s">
        <v>874</v>
      </c>
    </row>
    <row r="95" spans="1:46" x14ac:dyDescent="0.2">
      <c r="A95" s="4">
        <v>4510</v>
      </c>
      <c r="B95" s="4" t="s">
        <v>22</v>
      </c>
      <c r="C95" s="5" t="s">
        <v>993</v>
      </c>
      <c r="D95" s="5" t="s">
        <v>994</v>
      </c>
      <c r="E95" s="5" t="s">
        <v>981</v>
      </c>
      <c r="F95" s="5" t="s">
        <v>26</v>
      </c>
      <c r="G95" s="13">
        <v>46272</v>
      </c>
      <c r="H95" s="13">
        <v>46272</v>
      </c>
      <c r="I95" s="9">
        <f t="shared" si="2"/>
        <v>1</v>
      </c>
      <c r="J95" s="5" t="s">
        <v>1651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4">
        <v>2</v>
      </c>
      <c r="AH95" s="4">
        <v>1</v>
      </c>
      <c r="AI95" s="4">
        <v>1</v>
      </c>
      <c r="AJ95" s="4">
        <v>2</v>
      </c>
      <c r="AK95" s="4">
        <v>3</v>
      </c>
      <c r="AL95" s="4">
        <v>2</v>
      </c>
      <c r="AM95" s="4">
        <v>1</v>
      </c>
      <c r="AN95" s="4">
        <v>0</v>
      </c>
      <c r="AO95" s="4">
        <v>1</v>
      </c>
      <c r="AP95" s="4"/>
      <c r="AQ95" s="4">
        <v>0</v>
      </c>
      <c r="AR95" s="4">
        <v>1</v>
      </c>
      <c r="AS95" s="4">
        <f t="shared" si="3"/>
        <v>13</v>
      </c>
      <c r="AT95" s="9" t="s">
        <v>990</v>
      </c>
    </row>
    <row r="96" spans="1:46" x14ac:dyDescent="0.2">
      <c r="A96" s="4">
        <v>4832</v>
      </c>
      <c r="B96" s="4" t="s">
        <v>22</v>
      </c>
      <c r="C96" s="5" t="s">
        <v>1062</v>
      </c>
      <c r="D96" s="5" t="s">
        <v>1063</v>
      </c>
      <c r="E96" s="5" t="s">
        <v>286</v>
      </c>
      <c r="F96" s="5" t="s">
        <v>546</v>
      </c>
      <c r="G96" s="13">
        <v>46272</v>
      </c>
      <c r="H96" s="13">
        <v>46272</v>
      </c>
      <c r="I96" s="9">
        <f t="shared" si="2"/>
        <v>1</v>
      </c>
      <c r="J96" s="5" t="s">
        <v>1651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4">
        <v>2</v>
      </c>
      <c r="AH96" s="4">
        <v>1</v>
      </c>
      <c r="AI96" s="4">
        <v>1</v>
      </c>
      <c r="AJ96" s="4">
        <v>2</v>
      </c>
      <c r="AK96" s="4">
        <v>3</v>
      </c>
      <c r="AL96" s="4">
        <v>2</v>
      </c>
      <c r="AM96" s="4">
        <v>1</v>
      </c>
      <c r="AN96" s="4">
        <v>0</v>
      </c>
      <c r="AO96" s="4">
        <v>1</v>
      </c>
      <c r="AP96" s="4"/>
      <c r="AQ96" s="4">
        <v>0</v>
      </c>
      <c r="AR96" s="4">
        <v>1</v>
      </c>
      <c r="AS96" s="4">
        <f t="shared" si="3"/>
        <v>13</v>
      </c>
      <c r="AT96" s="9" t="s">
        <v>1034</v>
      </c>
    </row>
    <row r="97" spans="1:46" x14ac:dyDescent="0.2">
      <c r="A97" s="4">
        <v>6380</v>
      </c>
      <c r="B97" s="4" t="s">
        <v>22</v>
      </c>
      <c r="C97" s="5" t="s">
        <v>1340</v>
      </c>
      <c r="D97" s="5" t="s">
        <v>1341</v>
      </c>
      <c r="E97" s="5" t="s">
        <v>1301</v>
      </c>
      <c r="F97" s="5" t="s">
        <v>68</v>
      </c>
      <c r="G97" s="13">
        <v>46272</v>
      </c>
      <c r="H97" s="13">
        <v>46272</v>
      </c>
      <c r="I97" s="9">
        <f t="shared" si="2"/>
        <v>1</v>
      </c>
      <c r="J97" s="5" t="s">
        <v>1651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4">
        <v>3</v>
      </c>
      <c r="AH97" s="4">
        <v>2</v>
      </c>
      <c r="AI97" s="4">
        <v>1</v>
      </c>
      <c r="AJ97" s="4">
        <v>2</v>
      </c>
      <c r="AK97" s="4">
        <v>6</v>
      </c>
      <c r="AL97" s="4">
        <v>2</v>
      </c>
      <c r="AM97" s="4">
        <v>1</v>
      </c>
      <c r="AN97" s="4">
        <v>0</v>
      </c>
      <c r="AO97" s="4">
        <v>1</v>
      </c>
      <c r="AP97" s="4"/>
      <c r="AQ97" s="4">
        <v>0</v>
      </c>
      <c r="AR97" s="4">
        <v>1</v>
      </c>
      <c r="AS97" s="4">
        <f t="shared" si="3"/>
        <v>18</v>
      </c>
      <c r="AT97" s="9" t="s">
        <v>675</v>
      </c>
    </row>
    <row r="98" spans="1:46" x14ac:dyDescent="0.2">
      <c r="A98" s="4">
        <v>6617</v>
      </c>
      <c r="B98" s="4" t="s">
        <v>22</v>
      </c>
      <c r="C98" s="5" t="s">
        <v>1368</v>
      </c>
      <c r="D98" s="5" t="s">
        <v>1369</v>
      </c>
      <c r="E98" s="5" t="s">
        <v>1346</v>
      </c>
      <c r="F98" s="5" t="s">
        <v>574</v>
      </c>
      <c r="G98" s="13">
        <v>46272</v>
      </c>
      <c r="H98" s="13">
        <v>46272</v>
      </c>
      <c r="I98" s="9">
        <f t="shared" si="2"/>
        <v>1</v>
      </c>
      <c r="J98" s="5" t="s">
        <v>1651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4">
        <v>4</v>
      </c>
      <c r="AH98" s="4">
        <v>3</v>
      </c>
      <c r="AI98" s="4">
        <v>1</v>
      </c>
      <c r="AJ98" s="4">
        <v>2</v>
      </c>
      <c r="AK98" s="4">
        <v>8</v>
      </c>
      <c r="AL98" s="4">
        <v>3</v>
      </c>
      <c r="AM98" s="4">
        <v>2</v>
      </c>
      <c r="AN98" s="4">
        <v>0</v>
      </c>
      <c r="AO98" s="4">
        <v>1</v>
      </c>
      <c r="AP98" s="4"/>
      <c r="AQ98" s="4">
        <v>1</v>
      </c>
      <c r="AR98" s="4">
        <v>1</v>
      </c>
      <c r="AS98" s="4">
        <f t="shared" si="3"/>
        <v>25</v>
      </c>
      <c r="AT98" s="9" t="s">
        <v>1354</v>
      </c>
    </row>
    <row r="99" spans="1:46" x14ac:dyDescent="0.2">
      <c r="A99" s="4">
        <v>7360</v>
      </c>
      <c r="B99" s="4" t="s">
        <v>22</v>
      </c>
      <c r="C99" s="5" t="s">
        <v>1553</v>
      </c>
      <c r="D99" s="5" t="s">
        <v>1554</v>
      </c>
      <c r="E99" s="5" t="s">
        <v>1519</v>
      </c>
      <c r="F99" s="5" t="s">
        <v>26</v>
      </c>
      <c r="G99" s="13">
        <v>46272</v>
      </c>
      <c r="H99" s="13">
        <v>46273</v>
      </c>
      <c r="I99" s="9">
        <f t="shared" si="2"/>
        <v>2</v>
      </c>
      <c r="J99" s="5" t="s">
        <v>1651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4">
        <v>6</v>
      </c>
      <c r="AH99" s="4">
        <v>6</v>
      </c>
      <c r="AI99" s="4">
        <v>1</v>
      </c>
      <c r="AJ99" s="4">
        <v>4</v>
      </c>
      <c r="AK99" s="4">
        <v>10</v>
      </c>
      <c r="AL99" s="4">
        <v>6</v>
      </c>
      <c r="AM99" s="4">
        <v>3</v>
      </c>
      <c r="AN99" s="4">
        <v>0</v>
      </c>
      <c r="AO99" s="4">
        <v>2</v>
      </c>
      <c r="AP99" s="4"/>
      <c r="AQ99" s="4">
        <v>0</v>
      </c>
      <c r="AR99" s="4">
        <v>1</v>
      </c>
      <c r="AS99" s="4">
        <f t="shared" si="3"/>
        <v>38</v>
      </c>
      <c r="AT99" s="9" t="s">
        <v>1520</v>
      </c>
    </row>
    <row r="100" spans="1:46" x14ac:dyDescent="0.2">
      <c r="A100" s="4">
        <v>8601</v>
      </c>
      <c r="B100" s="4" t="s">
        <v>22</v>
      </c>
      <c r="C100" s="5" t="s">
        <v>1598</v>
      </c>
      <c r="D100" s="5" t="s">
        <v>1599</v>
      </c>
      <c r="E100" s="5" t="s">
        <v>1600</v>
      </c>
      <c r="F100" s="5" t="s">
        <v>331</v>
      </c>
      <c r="G100" s="13">
        <v>46272</v>
      </c>
      <c r="H100" s="13">
        <v>46273</v>
      </c>
      <c r="I100" s="9">
        <f t="shared" si="2"/>
        <v>2</v>
      </c>
      <c r="J100" s="5" t="s">
        <v>1651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4">
        <v>4</v>
      </c>
      <c r="AH100" s="4">
        <v>3</v>
      </c>
      <c r="AI100" s="4">
        <v>1</v>
      </c>
      <c r="AJ100" s="4">
        <v>2</v>
      </c>
      <c r="AK100" s="4">
        <v>8</v>
      </c>
      <c r="AL100" s="4">
        <v>3</v>
      </c>
      <c r="AM100" s="4">
        <v>1</v>
      </c>
      <c r="AN100" s="4">
        <v>0</v>
      </c>
      <c r="AO100" s="4">
        <v>1</v>
      </c>
      <c r="AP100" s="4"/>
      <c r="AQ100" s="4">
        <v>0</v>
      </c>
      <c r="AR100" s="4">
        <v>1</v>
      </c>
      <c r="AS100" s="4">
        <f t="shared" si="3"/>
        <v>23</v>
      </c>
      <c r="AT100" s="9" t="s">
        <v>1601</v>
      </c>
    </row>
    <row r="101" spans="1:46" x14ac:dyDescent="0.2">
      <c r="A101" s="5">
        <v>1300</v>
      </c>
      <c r="B101" s="5" t="s">
        <v>1628</v>
      </c>
      <c r="C101" s="5" t="s">
        <v>1629</v>
      </c>
      <c r="D101" s="5" t="s">
        <v>1630</v>
      </c>
      <c r="E101" s="5"/>
      <c r="F101" s="5" t="s">
        <v>119</v>
      </c>
      <c r="G101" s="13">
        <v>46272</v>
      </c>
      <c r="H101" s="13">
        <v>46367</v>
      </c>
      <c r="I101" s="9">
        <f t="shared" si="2"/>
        <v>70</v>
      </c>
      <c r="J101" s="5" t="s">
        <v>1651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4">
        <v>29</v>
      </c>
      <c r="AH101" s="4">
        <v>119</v>
      </c>
      <c r="AI101" s="4">
        <v>2</v>
      </c>
      <c r="AJ101" s="4">
        <v>15</v>
      </c>
      <c r="AK101" s="4"/>
      <c r="AL101" s="4"/>
      <c r="AM101" s="4">
        <v>2</v>
      </c>
      <c r="AN101" s="4">
        <v>12</v>
      </c>
      <c r="AO101" s="4"/>
      <c r="AP101" s="4"/>
      <c r="AQ101" s="4">
        <v>2</v>
      </c>
      <c r="AR101" s="4">
        <v>2</v>
      </c>
      <c r="AS101" s="4">
        <f t="shared" si="3"/>
        <v>181</v>
      </c>
      <c r="AT101" s="9" t="s">
        <v>1631</v>
      </c>
    </row>
    <row r="102" spans="1:46" x14ac:dyDescent="0.2">
      <c r="A102" s="5">
        <v>1500</v>
      </c>
      <c r="B102" s="5" t="s">
        <v>1628</v>
      </c>
      <c r="C102" s="5" t="s">
        <v>1632</v>
      </c>
      <c r="D102" s="5"/>
      <c r="E102" s="5"/>
      <c r="F102" s="5" t="s">
        <v>26</v>
      </c>
      <c r="G102" s="13">
        <v>46272</v>
      </c>
      <c r="H102" s="13">
        <v>46367</v>
      </c>
      <c r="I102" s="9">
        <f t="shared" si="2"/>
        <v>70</v>
      </c>
      <c r="J102" s="5" t="s">
        <v>1651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4">
        <v>25</v>
      </c>
      <c r="AH102" s="4">
        <v>81</v>
      </c>
      <c r="AI102" s="4">
        <v>1</v>
      </c>
      <c r="AJ102" s="4">
        <v>4</v>
      </c>
      <c r="AK102" s="4"/>
      <c r="AL102" s="4"/>
      <c r="AM102" s="4"/>
      <c r="AN102" s="4">
        <v>32</v>
      </c>
      <c r="AO102" s="4"/>
      <c r="AP102" s="4"/>
      <c r="AQ102" s="4">
        <v>3</v>
      </c>
      <c r="AR102" s="4">
        <v>1</v>
      </c>
      <c r="AS102" s="4">
        <f t="shared" si="3"/>
        <v>146</v>
      </c>
      <c r="AT102" s="9" t="s">
        <v>1633</v>
      </c>
    </row>
    <row r="103" spans="1:46" x14ac:dyDescent="0.2">
      <c r="A103" s="5">
        <v>1600</v>
      </c>
      <c r="B103" s="5" t="s">
        <v>1628</v>
      </c>
      <c r="C103" s="5" t="s">
        <v>1634</v>
      </c>
      <c r="D103" s="5"/>
      <c r="E103" s="5"/>
      <c r="F103" s="5" t="s">
        <v>500</v>
      </c>
      <c r="G103" s="13">
        <v>46272</v>
      </c>
      <c r="H103" s="13">
        <v>46367</v>
      </c>
      <c r="I103" s="9">
        <f t="shared" si="2"/>
        <v>70</v>
      </c>
      <c r="J103" s="5" t="s">
        <v>1651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4">
        <v>29</v>
      </c>
      <c r="AH103" s="4">
        <v>92</v>
      </c>
      <c r="AI103" s="4">
        <v>2</v>
      </c>
      <c r="AJ103" s="4">
        <v>10</v>
      </c>
      <c r="AK103" s="4"/>
      <c r="AL103" s="4"/>
      <c r="AM103" s="4"/>
      <c r="AN103" s="4">
        <v>4</v>
      </c>
      <c r="AO103" s="4"/>
      <c r="AP103" s="4"/>
      <c r="AQ103" s="4">
        <v>1</v>
      </c>
      <c r="AR103" s="4">
        <v>3</v>
      </c>
      <c r="AS103" s="4">
        <f t="shared" si="3"/>
        <v>138</v>
      </c>
      <c r="AT103" s="9" t="str">
        <f>UPPER("Diego Alejandro Hernández Orozco")</f>
        <v>DIEGO ALEJANDRO HERNÁNDEZ OROZCO</v>
      </c>
    </row>
    <row r="104" spans="1:46" x14ac:dyDescent="0.2">
      <c r="A104" s="5">
        <v>1800</v>
      </c>
      <c r="B104" s="5" t="s">
        <v>1628</v>
      </c>
      <c r="C104" s="5" t="s">
        <v>1635</v>
      </c>
      <c r="D104" s="5"/>
      <c r="E104" s="5"/>
      <c r="F104" s="5" t="s">
        <v>68</v>
      </c>
      <c r="G104" s="13">
        <v>46272</v>
      </c>
      <c r="H104" s="13">
        <v>46367</v>
      </c>
      <c r="I104" s="9">
        <f t="shared" si="2"/>
        <v>70</v>
      </c>
      <c r="J104" s="5" t="s">
        <v>1651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4">
        <v>22</v>
      </c>
      <c r="AH104" s="4">
        <v>61</v>
      </c>
      <c r="AI104" s="4">
        <v>1</v>
      </c>
      <c r="AJ104" s="4">
        <v>2</v>
      </c>
      <c r="AK104" s="4"/>
      <c r="AL104" s="4"/>
      <c r="AM104" s="4"/>
      <c r="AN104" s="4">
        <v>4</v>
      </c>
      <c r="AO104" s="4"/>
      <c r="AP104" s="4"/>
      <c r="AQ104" s="4">
        <v>2</v>
      </c>
      <c r="AR104" s="4">
        <v>1</v>
      </c>
      <c r="AS104" s="4">
        <f t="shared" si="3"/>
        <v>92</v>
      </c>
      <c r="AT104" s="9" t="str">
        <f>UPPER("José Contreras Valera")</f>
        <v>JOSÉ CONTRERAS VALERA</v>
      </c>
    </row>
    <row r="105" spans="1:46" x14ac:dyDescent="0.2">
      <c r="A105" s="5">
        <v>3000</v>
      </c>
      <c r="B105" s="5" t="s">
        <v>1628</v>
      </c>
      <c r="C105" s="5" t="s">
        <v>1636</v>
      </c>
      <c r="D105" s="5"/>
      <c r="E105" s="5"/>
      <c r="F105" s="5" t="s">
        <v>546</v>
      </c>
      <c r="G105" s="13">
        <v>46272</v>
      </c>
      <c r="H105" s="13">
        <v>46367</v>
      </c>
      <c r="I105" s="9">
        <f t="shared" si="2"/>
        <v>70</v>
      </c>
      <c r="J105" s="5" t="s">
        <v>1651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4">
        <v>33</v>
      </c>
      <c r="AH105" s="4">
        <v>75</v>
      </c>
      <c r="AI105" s="4">
        <v>2</v>
      </c>
      <c r="AJ105" s="4"/>
      <c r="AK105" s="4"/>
      <c r="AL105" s="4">
        <v>1</v>
      </c>
      <c r="AM105" s="4"/>
      <c r="AN105" s="4">
        <v>4</v>
      </c>
      <c r="AO105" s="4"/>
      <c r="AP105" s="4"/>
      <c r="AQ105" s="4">
        <v>4</v>
      </c>
      <c r="AR105" s="4">
        <v>1</v>
      </c>
      <c r="AS105" s="4">
        <f t="shared" si="3"/>
        <v>119</v>
      </c>
      <c r="AT105" s="9" t="str">
        <f>UPPER("Carlos Andres Bravo Martinez")</f>
        <v>CARLOS ANDRES BRAVO MARTINEZ</v>
      </c>
    </row>
    <row r="106" spans="1:46" x14ac:dyDescent="0.2">
      <c r="A106" s="5">
        <v>3900</v>
      </c>
      <c r="B106" s="5" t="s">
        <v>1628</v>
      </c>
      <c r="C106" s="5" t="s">
        <v>1637</v>
      </c>
      <c r="D106" s="5"/>
      <c r="E106" s="5"/>
      <c r="F106" s="5" t="s">
        <v>331</v>
      </c>
      <c r="G106" s="13">
        <v>46272</v>
      </c>
      <c r="H106" s="13">
        <v>46367</v>
      </c>
      <c r="I106" s="9">
        <f t="shared" si="2"/>
        <v>70</v>
      </c>
      <c r="J106" s="5" t="s">
        <v>1651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4">
        <v>31</v>
      </c>
      <c r="AH106" s="4">
        <v>95</v>
      </c>
      <c r="AI106" s="4">
        <v>2</v>
      </c>
      <c r="AJ106" s="4">
        <v>1</v>
      </c>
      <c r="AK106" s="4"/>
      <c r="AL106" s="4"/>
      <c r="AM106" s="4"/>
      <c r="AN106" s="4">
        <v>7</v>
      </c>
      <c r="AO106" s="4"/>
      <c r="AP106" s="4"/>
      <c r="AQ106" s="4">
        <v>1</v>
      </c>
      <c r="AR106" s="4">
        <v>2</v>
      </c>
      <c r="AS106" s="4">
        <f t="shared" si="3"/>
        <v>137</v>
      </c>
      <c r="AT106" s="9" t="str">
        <f>UPPER("Carlos Enrique Cuchivaguen Forero")</f>
        <v>CARLOS ENRIQUE CUCHIVAGUEN FORERO</v>
      </c>
    </row>
    <row r="107" spans="1:46" x14ac:dyDescent="0.2">
      <c r="A107" s="5">
        <v>6000</v>
      </c>
      <c r="B107" s="5" t="s">
        <v>1628</v>
      </c>
      <c r="C107" s="5" t="s">
        <v>1638</v>
      </c>
      <c r="D107" s="5"/>
      <c r="E107" s="5"/>
      <c r="F107" s="5" t="s">
        <v>98</v>
      </c>
      <c r="G107" s="13">
        <v>46272</v>
      </c>
      <c r="H107" s="13">
        <v>46367</v>
      </c>
      <c r="I107" s="9">
        <f t="shared" si="2"/>
        <v>70</v>
      </c>
      <c r="J107" s="5" t="s">
        <v>1651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4">
        <v>28</v>
      </c>
      <c r="AH107" s="4">
        <v>73</v>
      </c>
      <c r="AI107" s="4">
        <v>1</v>
      </c>
      <c r="AJ107" s="4">
        <v>5</v>
      </c>
      <c r="AK107" s="4"/>
      <c r="AL107" s="4"/>
      <c r="AM107" s="4"/>
      <c r="AN107" s="4">
        <v>1</v>
      </c>
      <c r="AO107" s="4"/>
      <c r="AP107" s="4"/>
      <c r="AQ107" s="4">
        <v>1</v>
      </c>
      <c r="AR107" s="4">
        <v>2</v>
      </c>
      <c r="AS107" s="4">
        <f t="shared" si="3"/>
        <v>109</v>
      </c>
      <c r="AT107" s="9" t="str">
        <f>UPPER("Carlos Miguel Jimenez")</f>
        <v>CARLOS MIGUEL JIMENEZ</v>
      </c>
    </row>
    <row r="108" spans="1:46" x14ac:dyDescent="0.2">
      <c r="A108" s="5">
        <v>6900</v>
      </c>
      <c r="B108" s="5" t="s">
        <v>1628</v>
      </c>
      <c r="C108" s="5" t="s">
        <v>1639</v>
      </c>
      <c r="D108" s="5"/>
      <c r="E108" s="5"/>
      <c r="F108" s="5" t="s">
        <v>574</v>
      </c>
      <c r="G108" s="13">
        <v>46272</v>
      </c>
      <c r="H108" s="13">
        <v>46367</v>
      </c>
      <c r="I108" s="9">
        <f t="shared" si="2"/>
        <v>70</v>
      </c>
      <c r="J108" s="5" t="s">
        <v>1651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4">
        <v>22</v>
      </c>
      <c r="AH108" s="4">
        <v>90</v>
      </c>
      <c r="AI108" s="4">
        <v>3</v>
      </c>
      <c r="AJ108" s="4">
        <v>10</v>
      </c>
      <c r="AK108" s="4"/>
      <c r="AL108" s="4"/>
      <c r="AM108" s="4"/>
      <c r="AN108" s="4"/>
      <c r="AO108" s="4"/>
      <c r="AP108" s="4"/>
      <c r="AQ108" s="4">
        <v>1</v>
      </c>
      <c r="AR108" s="4">
        <v>2</v>
      </c>
      <c r="AS108" s="4">
        <f t="shared" si="3"/>
        <v>126</v>
      </c>
      <c r="AT108" s="9" t="str">
        <f>UPPER("William Fernando Aldana Niño")</f>
        <v>WILLIAM FERNANDO ALDANA NIÑO</v>
      </c>
    </row>
    <row r="109" spans="1:46" x14ac:dyDescent="0.2">
      <c r="A109" s="4">
        <v>290</v>
      </c>
      <c r="B109" s="4" t="s">
        <v>22</v>
      </c>
      <c r="C109" s="5" t="s">
        <v>34</v>
      </c>
      <c r="D109" s="5" t="s">
        <v>35</v>
      </c>
      <c r="E109" s="5" t="s">
        <v>36</v>
      </c>
      <c r="F109" s="5" t="s">
        <v>26</v>
      </c>
      <c r="G109" s="13">
        <v>46273</v>
      </c>
      <c r="H109" s="13">
        <v>46273</v>
      </c>
      <c r="I109" s="9">
        <f t="shared" si="2"/>
        <v>1</v>
      </c>
      <c r="J109" s="5" t="s">
        <v>1651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4">
        <v>5</v>
      </c>
      <c r="AH109" s="4">
        <v>7</v>
      </c>
      <c r="AI109" s="4">
        <v>1</v>
      </c>
      <c r="AJ109" s="4">
        <v>3</v>
      </c>
      <c r="AK109" s="4">
        <v>12</v>
      </c>
      <c r="AL109" s="4">
        <v>4</v>
      </c>
      <c r="AM109" s="4">
        <v>2</v>
      </c>
      <c r="AN109" s="4">
        <v>0</v>
      </c>
      <c r="AO109" s="4">
        <v>2</v>
      </c>
      <c r="AP109" s="4"/>
      <c r="AQ109" s="4">
        <v>0</v>
      </c>
      <c r="AR109" s="4">
        <v>1</v>
      </c>
      <c r="AS109" s="4">
        <f t="shared" si="3"/>
        <v>36</v>
      </c>
      <c r="AT109" s="5" t="s">
        <v>37</v>
      </c>
    </row>
    <row r="110" spans="1:46" x14ac:dyDescent="0.2">
      <c r="A110" s="4">
        <v>1255</v>
      </c>
      <c r="B110" s="4" t="s">
        <v>22</v>
      </c>
      <c r="C110" s="5" t="s">
        <v>104</v>
      </c>
      <c r="D110" s="5" t="s">
        <v>105</v>
      </c>
      <c r="E110" s="5" t="s">
        <v>67</v>
      </c>
      <c r="F110" s="5" t="s">
        <v>98</v>
      </c>
      <c r="G110" s="13">
        <v>46273</v>
      </c>
      <c r="H110" s="13">
        <v>46273</v>
      </c>
      <c r="I110" s="9">
        <f t="shared" si="2"/>
        <v>1</v>
      </c>
      <c r="J110" s="5" t="s">
        <v>1651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4">
        <v>5</v>
      </c>
      <c r="AH110" s="4">
        <v>3</v>
      </c>
      <c r="AI110" s="4">
        <v>1</v>
      </c>
      <c r="AJ110" s="4">
        <v>3</v>
      </c>
      <c r="AK110" s="4">
        <v>8</v>
      </c>
      <c r="AL110" s="4">
        <v>4</v>
      </c>
      <c r="AM110" s="4">
        <v>2</v>
      </c>
      <c r="AN110" s="4">
        <v>0</v>
      </c>
      <c r="AO110" s="4">
        <v>1</v>
      </c>
      <c r="AP110" s="4"/>
      <c r="AQ110" s="4">
        <v>0</v>
      </c>
      <c r="AR110" s="4">
        <v>1</v>
      </c>
      <c r="AS110" s="4">
        <f t="shared" si="3"/>
        <v>27</v>
      </c>
      <c r="AT110" s="5" t="s">
        <v>99</v>
      </c>
    </row>
    <row r="111" spans="1:46" x14ac:dyDescent="0.2">
      <c r="A111" s="4">
        <v>1354</v>
      </c>
      <c r="B111" s="4" t="s">
        <v>22</v>
      </c>
      <c r="C111" s="5" t="s">
        <v>182</v>
      </c>
      <c r="D111" s="5" t="s">
        <v>183</v>
      </c>
      <c r="E111" s="5" t="s">
        <v>118</v>
      </c>
      <c r="F111" s="5" t="s">
        <v>119</v>
      </c>
      <c r="G111" s="13">
        <v>46273</v>
      </c>
      <c r="H111" s="13">
        <v>46273</v>
      </c>
      <c r="I111" s="9">
        <f t="shared" si="2"/>
        <v>1</v>
      </c>
      <c r="J111" s="5" t="s">
        <v>1651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4">
        <v>3</v>
      </c>
      <c r="AH111" s="4">
        <v>2</v>
      </c>
      <c r="AI111" s="4">
        <v>1</v>
      </c>
      <c r="AJ111" s="4">
        <v>2</v>
      </c>
      <c r="AK111" s="4">
        <v>5</v>
      </c>
      <c r="AL111" s="4">
        <v>3</v>
      </c>
      <c r="AM111" s="4">
        <v>1</v>
      </c>
      <c r="AN111" s="4">
        <v>0</v>
      </c>
      <c r="AO111" s="4">
        <v>1</v>
      </c>
      <c r="AP111" s="4"/>
      <c r="AQ111" s="4">
        <v>1</v>
      </c>
      <c r="AR111" s="4">
        <v>1</v>
      </c>
      <c r="AS111" s="4">
        <f t="shared" si="3"/>
        <v>19</v>
      </c>
      <c r="AT111" s="4" t="s">
        <v>120</v>
      </c>
    </row>
    <row r="112" spans="1:46" x14ac:dyDescent="0.2">
      <c r="A112" s="4">
        <v>1399</v>
      </c>
      <c r="B112" s="4" t="s">
        <v>22</v>
      </c>
      <c r="C112" s="5" t="s">
        <v>257</v>
      </c>
      <c r="D112" s="5" t="s">
        <v>258</v>
      </c>
      <c r="E112" s="5" t="s">
        <v>118</v>
      </c>
      <c r="F112" s="5" t="s">
        <v>119</v>
      </c>
      <c r="G112" s="13">
        <v>46273</v>
      </c>
      <c r="H112" s="13">
        <v>46273</v>
      </c>
      <c r="I112" s="9">
        <f t="shared" si="2"/>
        <v>1</v>
      </c>
      <c r="J112" s="5" t="s">
        <v>1651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4">
        <v>3</v>
      </c>
      <c r="AH112" s="4">
        <v>2</v>
      </c>
      <c r="AI112" s="4">
        <v>1</v>
      </c>
      <c r="AJ112" s="4">
        <v>3</v>
      </c>
      <c r="AK112" s="4">
        <v>5</v>
      </c>
      <c r="AL112" s="4">
        <v>3</v>
      </c>
      <c r="AM112" s="4">
        <v>2</v>
      </c>
      <c r="AN112" s="4">
        <v>0</v>
      </c>
      <c r="AO112" s="4">
        <v>1</v>
      </c>
      <c r="AP112" s="4"/>
      <c r="AQ112" s="4">
        <v>0</v>
      </c>
      <c r="AR112" s="4">
        <v>1</v>
      </c>
      <c r="AS112" s="4">
        <f t="shared" si="3"/>
        <v>20</v>
      </c>
      <c r="AT112" s="4" t="s">
        <v>137</v>
      </c>
    </row>
    <row r="113" spans="1:46" x14ac:dyDescent="0.2">
      <c r="A113" s="4">
        <v>1512</v>
      </c>
      <c r="B113" s="4" t="s">
        <v>22</v>
      </c>
      <c r="C113" s="5" t="s">
        <v>354</v>
      </c>
      <c r="D113" s="5" t="s">
        <v>355</v>
      </c>
      <c r="E113" s="5" t="s">
        <v>330</v>
      </c>
      <c r="F113" s="5" t="s">
        <v>331</v>
      </c>
      <c r="G113" s="13">
        <v>46273</v>
      </c>
      <c r="H113" s="13">
        <v>46274</v>
      </c>
      <c r="I113" s="9">
        <f t="shared" si="2"/>
        <v>2</v>
      </c>
      <c r="J113" s="5" t="s">
        <v>1651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4">
        <v>2</v>
      </c>
      <c r="AH113" s="4">
        <v>1</v>
      </c>
      <c r="AI113" s="4">
        <v>1</v>
      </c>
      <c r="AJ113" s="4">
        <v>2</v>
      </c>
      <c r="AK113" s="4">
        <v>3</v>
      </c>
      <c r="AL113" s="4">
        <v>2</v>
      </c>
      <c r="AM113" s="4">
        <v>1</v>
      </c>
      <c r="AN113" s="4">
        <v>0</v>
      </c>
      <c r="AO113" s="4">
        <v>1</v>
      </c>
      <c r="AP113" s="4"/>
      <c r="AQ113" s="4">
        <v>0</v>
      </c>
      <c r="AR113" s="4">
        <v>1</v>
      </c>
      <c r="AS113" s="4">
        <f t="shared" si="3"/>
        <v>13</v>
      </c>
      <c r="AT113" s="9" t="s">
        <v>77</v>
      </c>
    </row>
    <row r="114" spans="1:46" x14ac:dyDescent="0.2">
      <c r="A114" s="4">
        <v>1585</v>
      </c>
      <c r="B114" s="4" t="s">
        <v>22</v>
      </c>
      <c r="C114" s="5" t="s">
        <v>455</v>
      </c>
      <c r="D114" s="5" t="s">
        <v>456</v>
      </c>
      <c r="E114" s="5" t="s">
        <v>330</v>
      </c>
      <c r="F114" s="5" t="s">
        <v>331</v>
      </c>
      <c r="G114" s="13">
        <v>46273</v>
      </c>
      <c r="H114" s="13">
        <v>46274</v>
      </c>
      <c r="I114" s="9">
        <f t="shared" si="2"/>
        <v>2</v>
      </c>
      <c r="J114" s="5" t="s">
        <v>1651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4">
        <v>4</v>
      </c>
      <c r="AH114" s="4">
        <v>1</v>
      </c>
      <c r="AI114" s="4">
        <v>1</v>
      </c>
      <c r="AJ114" s="4">
        <v>2</v>
      </c>
      <c r="AK114" s="4">
        <v>5</v>
      </c>
      <c r="AL114" s="4">
        <v>4</v>
      </c>
      <c r="AM114" s="4">
        <v>1</v>
      </c>
      <c r="AN114" s="4">
        <v>1</v>
      </c>
      <c r="AO114" s="4">
        <v>1</v>
      </c>
      <c r="AP114" s="4"/>
      <c r="AQ114" s="4">
        <v>0</v>
      </c>
      <c r="AR114" s="4">
        <v>1</v>
      </c>
      <c r="AS114" s="4">
        <f t="shared" si="3"/>
        <v>20</v>
      </c>
      <c r="AT114" s="9" t="s">
        <v>364</v>
      </c>
    </row>
    <row r="115" spans="1:46" x14ac:dyDescent="0.2">
      <c r="A115" s="4">
        <v>2134</v>
      </c>
      <c r="B115" s="4" t="s">
        <v>22</v>
      </c>
      <c r="C115" s="5" t="s">
        <v>583</v>
      </c>
      <c r="D115" s="5" t="s">
        <v>584</v>
      </c>
      <c r="E115" s="5" t="s">
        <v>545</v>
      </c>
      <c r="F115" s="5" t="s">
        <v>546</v>
      </c>
      <c r="G115" s="13">
        <v>46273</v>
      </c>
      <c r="H115" s="13">
        <v>46273</v>
      </c>
      <c r="I115" s="9">
        <f t="shared" si="2"/>
        <v>1</v>
      </c>
      <c r="J115" s="5" t="s">
        <v>1651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4">
        <v>2</v>
      </c>
      <c r="AH115" s="4">
        <v>1</v>
      </c>
      <c r="AI115" s="4">
        <v>1</v>
      </c>
      <c r="AJ115" s="4">
        <v>2</v>
      </c>
      <c r="AK115" s="4">
        <v>3</v>
      </c>
      <c r="AL115" s="4">
        <v>2</v>
      </c>
      <c r="AM115" s="4">
        <v>1</v>
      </c>
      <c r="AN115" s="4">
        <v>0</v>
      </c>
      <c r="AO115" s="4">
        <v>1</v>
      </c>
      <c r="AP115" s="4"/>
      <c r="AQ115" s="4">
        <v>0</v>
      </c>
      <c r="AR115" s="4">
        <v>1</v>
      </c>
      <c r="AS115" s="4">
        <f t="shared" si="3"/>
        <v>13</v>
      </c>
      <c r="AT115" s="9" t="s">
        <v>547</v>
      </c>
    </row>
    <row r="116" spans="1:46" x14ac:dyDescent="0.2">
      <c r="A116" s="4">
        <v>2412</v>
      </c>
      <c r="B116" s="4" t="s">
        <v>22</v>
      </c>
      <c r="C116" s="5" t="s">
        <v>618</v>
      </c>
      <c r="D116" s="5" t="s">
        <v>619</v>
      </c>
      <c r="E116" s="5" t="s">
        <v>604</v>
      </c>
      <c r="F116" s="5" t="s">
        <v>68</v>
      </c>
      <c r="G116" s="13">
        <v>46273</v>
      </c>
      <c r="H116" s="13">
        <v>46273</v>
      </c>
      <c r="I116" s="9">
        <f t="shared" si="2"/>
        <v>1</v>
      </c>
      <c r="J116" s="5" t="s">
        <v>1651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4">
        <v>2</v>
      </c>
      <c r="AH116" s="4">
        <v>2</v>
      </c>
      <c r="AI116" s="4">
        <v>1</v>
      </c>
      <c r="AJ116" s="4">
        <v>2</v>
      </c>
      <c r="AK116" s="4">
        <v>4</v>
      </c>
      <c r="AL116" s="4">
        <v>2</v>
      </c>
      <c r="AM116" s="4">
        <v>1</v>
      </c>
      <c r="AN116" s="4">
        <v>0</v>
      </c>
      <c r="AO116" s="4">
        <v>1</v>
      </c>
      <c r="AP116" s="4"/>
      <c r="AQ116" s="4">
        <v>0</v>
      </c>
      <c r="AR116" s="4">
        <v>1</v>
      </c>
      <c r="AS116" s="4">
        <f t="shared" si="3"/>
        <v>15</v>
      </c>
      <c r="AT116" s="9" t="s">
        <v>616</v>
      </c>
    </row>
    <row r="117" spans="1:46" x14ac:dyDescent="0.2">
      <c r="A117" s="4">
        <v>2754</v>
      </c>
      <c r="B117" s="4" t="s">
        <v>22</v>
      </c>
      <c r="C117" s="5" t="s">
        <v>684</v>
      </c>
      <c r="D117" s="5" t="s">
        <v>685</v>
      </c>
      <c r="E117" s="5" t="s">
        <v>661</v>
      </c>
      <c r="F117" s="5" t="s">
        <v>68</v>
      </c>
      <c r="G117" s="13">
        <v>46273</v>
      </c>
      <c r="H117" s="13">
        <v>46273</v>
      </c>
      <c r="I117" s="9">
        <f t="shared" si="2"/>
        <v>1</v>
      </c>
      <c r="J117" s="5" t="s">
        <v>1651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4">
        <v>2</v>
      </c>
      <c r="AH117" s="4">
        <v>1</v>
      </c>
      <c r="AI117" s="4">
        <v>1</v>
      </c>
      <c r="AJ117" s="4">
        <v>2</v>
      </c>
      <c r="AK117" s="4">
        <v>3</v>
      </c>
      <c r="AL117" s="4">
        <v>2</v>
      </c>
      <c r="AM117" s="4">
        <v>1</v>
      </c>
      <c r="AN117" s="4">
        <v>0</v>
      </c>
      <c r="AO117" s="4">
        <v>1</v>
      </c>
      <c r="AP117" s="4"/>
      <c r="AQ117" s="4">
        <v>0</v>
      </c>
      <c r="AR117" s="4">
        <v>1</v>
      </c>
      <c r="AS117" s="4">
        <f t="shared" si="3"/>
        <v>13</v>
      </c>
      <c r="AT117" s="9" t="s">
        <v>675</v>
      </c>
    </row>
    <row r="118" spans="1:46" x14ac:dyDescent="0.2">
      <c r="A118" s="4">
        <v>2772</v>
      </c>
      <c r="B118" s="4" t="s">
        <v>22</v>
      </c>
      <c r="C118" s="5" t="s">
        <v>699</v>
      </c>
      <c r="D118" s="5" t="s">
        <v>700</v>
      </c>
      <c r="E118" s="5" t="s">
        <v>661</v>
      </c>
      <c r="F118" s="5" t="s">
        <v>68</v>
      </c>
      <c r="G118" s="13">
        <v>46273</v>
      </c>
      <c r="H118" s="13">
        <v>46273</v>
      </c>
      <c r="I118" s="9">
        <f t="shared" si="2"/>
        <v>1</v>
      </c>
      <c r="J118" s="5" t="s">
        <v>1651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4">
        <v>3</v>
      </c>
      <c r="AH118" s="4">
        <v>3</v>
      </c>
      <c r="AI118" s="4">
        <v>1</v>
      </c>
      <c r="AJ118" s="4">
        <v>2</v>
      </c>
      <c r="AK118" s="4">
        <v>7</v>
      </c>
      <c r="AL118" s="4">
        <v>2</v>
      </c>
      <c r="AM118" s="4">
        <v>1</v>
      </c>
      <c r="AN118" s="4">
        <v>0</v>
      </c>
      <c r="AO118" s="4">
        <v>1</v>
      </c>
      <c r="AP118" s="7"/>
      <c r="AQ118" s="4">
        <v>0</v>
      </c>
      <c r="AR118" s="4">
        <v>1</v>
      </c>
      <c r="AS118" s="4">
        <f t="shared" si="3"/>
        <v>20</v>
      </c>
      <c r="AT118" s="9" t="s">
        <v>69</v>
      </c>
    </row>
    <row r="119" spans="1:46" x14ac:dyDescent="0.2">
      <c r="A119" s="4">
        <v>3126</v>
      </c>
      <c r="B119" s="4" t="s">
        <v>22</v>
      </c>
      <c r="C119" s="5" t="s">
        <v>749</v>
      </c>
      <c r="D119" s="5" t="s">
        <v>750</v>
      </c>
      <c r="E119" s="5" t="s">
        <v>36</v>
      </c>
      <c r="F119" s="5" t="s">
        <v>26</v>
      </c>
      <c r="G119" s="13">
        <v>46273</v>
      </c>
      <c r="H119" s="13">
        <v>46273</v>
      </c>
      <c r="I119" s="9">
        <f t="shared" si="2"/>
        <v>1</v>
      </c>
      <c r="J119" s="5" t="s">
        <v>1651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4">
        <v>2</v>
      </c>
      <c r="AH119" s="4">
        <v>2</v>
      </c>
      <c r="AI119" s="4">
        <v>1</v>
      </c>
      <c r="AJ119" s="4">
        <v>2</v>
      </c>
      <c r="AK119" s="4">
        <v>4</v>
      </c>
      <c r="AL119" s="4">
        <v>2</v>
      </c>
      <c r="AM119" s="4">
        <v>1</v>
      </c>
      <c r="AN119" s="4">
        <v>0</v>
      </c>
      <c r="AO119" s="4">
        <v>1</v>
      </c>
      <c r="AP119" s="4"/>
      <c r="AQ119" s="4">
        <v>0</v>
      </c>
      <c r="AR119" s="4">
        <v>1</v>
      </c>
      <c r="AS119" s="4">
        <f t="shared" si="3"/>
        <v>15</v>
      </c>
      <c r="AT119" s="9" t="s">
        <v>44</v>
      </c>
    </row>
    <row r="120" spans="1:46" x14ac:dyDescent="0.2">
      <c r="A120" s="4">
        <v>3146</v>
      </c>
      <c r="B120" s="4" t="s">
        <v>22</v>
      </c>
      <c r="C120" s="5" t="s">
        <v>779</v>
      </c>
      <c r="D120" s="5" t="s">
        <v>780</v>
      </c>
      <c r="E120" s="5" t="s">
        <v>36</v>
      </c>
      <c r="F120" s="5" t="s">
        <v>26</v>
      </c>
      <c r="G120" s="13">
        <v>46273</v>
      </c>
      <c r="H120" s="13">
        <v>46273</v>
      </c>
      <c r="I120" s="9">
        <f t="shared" si="2"/>
        <v>1</v>
      </c>
      <c r="J120" s="5" t="s">
        <v>1651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4">
        <v>2</v>
      </c>
      <c r="AH120" s="4">
        <v>2</v>
      </c>
      <c r="AI120" s="4">
        <v>1</v>
      </c>
      <c r="AJ120" s="4">
        <v>2</v>
      </c>
      <c r="AK120" s="4">
        <v>4</v>
      </c>
      <c r="AL120" s="4">
        <v>2</v>
      </c>
      <c r="AM120" s="4">
        <v>1</v>
      </c>
      <c r="AN120" s="4">
        <v>0</v>
      </c>
      <c r="AO120" s="4">
        <v>1</v>
      </c>
      <c r="AP120" s="4"/>
      <c r="AQ120" s="4">
        <v>0</v>
      </c>
      <c r="AR120" s="4">
        <v>1</v>
      </c>
      <c r="AS120" s="4">
        <f t="shared" si="3"/>
        <v>15</v>
      </c>
      <c r="AT120" s="9" t="s">
        <v>64</v>
      </c>
    </row>
    <row r="121" spans="1:46" x14ac:dyDescent="0.2">
      <c r="A121" s="4">
        <v>3190</v>
      </c>
      <c r="B121" s="4" t="s">
        <v>22</v>
      </c>
      <c r="C121" s="5" t="s">
        <v>835</v>
      </c>
      <c r="D121" s="5" t="s">
        <v>836</v>
      </c>
      <c r="E121" s="5" t="s">
        <v>36</v>
      </c>
      <c r="F121" s="5" t="s">
        <v>26</v>
      </c>
      <c r="G121" s="13">
        <v>46273</v>
      </c>
      <c r="H121" s="13">
        <v>46273</v>
      </c>
      <c r="I121" s="9">
        <f t="shared" si="2"/>
        <v>1</v>
      </c>
      <c r="J121" s="5" t="s">
        <v>1651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4">
        <v>3</v>
      </c>
      <c r="AH121" s="4">
        <v>3</v>
      </c>
      <c r="AI121" s="4">
        <v>1</v>
      </c>
      <c r="AJ121" s="4">
        <v>2</v>
      </c>
      <c r="AK121" s="4">
        <v>6</v>
      </c>
      <c r="AL121" s="4">
        <v>3</v>
      </c>
      <c r="AM121" s="4">
        <v>1</v>
      </c>
      <c r="AN121" s="4">
        <v>0</v>
      </c>
      <c r="AO121" s="4">
        <v>2</v>
      </c>
      <c r="AP121" s="4"/>
      <c r="AQ121" s="4">
        <v>0</v>
      </c>
      <c r="AR121" s="4">
        <v>1</v>
      </c>
      <c r="AS121" s="4">
        <f t="shared" si="3"/>
        <v>21</v>
      </c>
      <c r="AT121" s="9" t="s">
        <v>51</v>
      </c>
    </row>
    <row r="122" spans="1:46" x14ac:dyDescent="0.2">
      <c r="A122" s="4">
        <v>3930</v>
      </c>
      <c r="B122" s="4" t="s">
        <v>22</v>
      </c>
      <c r="C122" s="5" t="s">
        <v>916</v>
      </c>
      <c r="D122" s="5" t="s">
        <v>917</v>
      </c>
      <c r="E122" s="5" t="s">
        <v>873</v>
      </c>
      <c r="F122" s="5" t="s">
        <v>574</v>
      </c>
      <c r="G122" s="13">
        <v>46273</v>
      </c>
      <c r="H122" s="13">
        <v>46273</v>
      </c>
      <c r="I122" s="9">
        <f t="shared" si="2"/>
        <v>1</v>
      </c>
      <c r="J122" s="5" t="s">
        <v>1651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4">
        <v>4</v>
      </c>
      <c r="AH122" s="4">
        <v>2</v>
      </c>
      <c r="AI122" s="4">
        <v>1</v>
      </c>
      <c r="AJ122" s="4">
        <v>2</v>
      </c>
      <c r="AK122" s="4">
        <v>6</v>
      </c>
      <c r="AL122" s="4">
        <v>3</v>
      </c>
      <c r="AM122" s="4">
        <v>1</v>
      </c>
      <c r="AN122" s="4">
        <v>0</v>
      </c>
      <c r="AO122" s="4">
        <v>1</v>
      </c>
      <c r="AP122" s="4"/>
      <c r="AQ122" s="4">
        <v>0</v>
      </c>
      <c r="AR122" s="4">
        <v>1</v>
      </c>
      <c r="AS122" s="4">
        <f t="shared" si="3"/>
        <v>20</v>
      </c>
      <c r="AT122" s="9" t="s">
        <v>874</v>
      </c>
    </row>
    <row r="123" spans="1:46" x14ac:dyDescent="0.2">
      <c r="A123" s="4">
        <v>3960</v>
      </c>
      <c r="B123" s="4" t="s">
        <v>22</v>
      </c>
      <c r="C123" s="5" t="s">
        <v>952</v>
      </c>
      <c r="D123" s="5" t="s">
        <v>953</v>
      </c>
      <c r="E123" s="5" t="s">
        <v>873</v>
      </c>
      <c r="F123" s="5" t="s">
        <v>574</v>
      </c>
      <c r="G123" s="13">
        <v>46273</v>
      </c>
      <c r="H123" s="13">
        <v>46274</v>
      </c>
      <c r="I123" s="9">
        <f t="shared" si="2"/>
        <v>2</v>
      </c>
      <c r="J123" s="5" t="s">
        <v>1651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4">
        <v>3</v>
      </c>
      <c r="AH123" s="4">
        <v>1</v>
      </c>
      <c r="AI123" s="4">
        <v>1</v>
      </c>
      <c r="AJ123" s="4">
        <v>2</v>
      </c>
      <c r="AK123" s="4">
        <v>4</v>
      </c>
      <c r="AL123" s="4">
        <v>3</v>
      </c>
      <c r="AM123" s="4">
        <v>1</v>
      </c>
      <c r="AN123" s="4">
        <v>0</v>
      </c>
      <c r="AO123" s="4">
        <v>1</v>
      </c>
      <c r="AP123" s="4"/>
      <c r="AQ123" s="4">
        <v>0</v>
      </c>
      <c r="AR123" s="4">
        <v>1</v>
      </c>
      <c r="AS123" s="4">
        <f t="shared" si="3"/>
        <v>16</v>
      </c>
      <c r="AT123" s="9" t="s">
        <v>888</v>
      </c>
    </row>
    <row r="124" spans="1:46" x14ac:dyDescent="0.2">
      <c r="A124" s="4">
        <v>4550</v>
      </c>
      <c r="B124" s="4" t="s">
        <v>22</v>
      </c>
      <c r="C124" s="5" t="s">
        <v>1027</v>
      </c>
      <c r="D124" s="5" t="s">
        <v>1028</v>
      </c>
      <c r="E124" s="5" t="s">
        <v>981</v>
      </c>
      <c r="F124" s="5" t="s">
        <v>26</v>
      </c>
      <c r="G124" s="13">
        <v>46273</v>
      </c>
      <c r="H124" s="13">
        <v>46273</v>
      </c>
      <c r="I124" s="9">
        <f t="shared" si="2"/>
        <v>1</v>
      </c>
      <c r="J124" s="5" t="s">
        <v>1651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4">
        <v>3</v>
      </c>
      <c r="AH124" s="4">
        <v>2</v>
      </c>
      <c r="AI124" s="4">
        <v>1</v>
      </c>
      <c r="AJ124" s="4">
        <v>2</v>
      </c>
      <c r="AK124" s="4">
        <v>5</v>
      </c>
      <c r="AL124" s="4">
        <v>3</v>
      </c>
      <c r="AM124" s="4">
        <v>1</v>
      </c>
      <c r="AN124" s="4">
        <v>0</v>
      </c>
      <c r="AO124" s="4">
        <v>1</v>
      </c>
      <c r="AP124" s="4"/>
      <c r="AQ124" s="4">
        <v>0</v>
      </c>
      <c r="AR124" s="4">
        <v>1</v>
      </c>
      <c r="AS124" s="4">
        <f t="shared" si="3"/>
        <v>18</v>
      </c>
      <c r="AT124" s="9" t="s">
        <v>985</v>
      </c>
    </row>
    <row r="125" spans="1:46" x14ac:dyDescent="0.2">
      <c r="A125" s="4">
        <v>4838</v>
      </c>
      <c r="B125" s="4" t="s">
        <v>22</v>
      </c>
      <c r="C125" s="5" t="s">
        <v>1066</v>
      </c>
      <c r="D125" s="5" t="s">
        <v>1067</v>
      </c>
      <c r="E125" s="5" t="s">
        <v>286</v>
      </c>
      <c r="F125" s="5" t="s">
        <v>546</v>
      </c>
      <c r="G125" s="13">
        <v>46273</v>
      </c>
      <c r="H125" s="13">
        <v>46273</v>
      </c>
      <c r="I125" s="9">
        <f t="shared" si="2"/>
        <v>1</v>
      </c>
      <c r="J125" s="5" t="s">
        <v>1651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4">
        <v>2</v>
      </c>
      <c r="AH125" s="4">
        <v>1</v>
      </c>
      <c r="AI125" s="4">
        <v>1</v>
      </c>
      <c r="AJ125" s="4">
        <v>2</v>
      </c>
      <c r="AK125" s="4">
        <v>3</v>
      </c>
      <c r="AL125" s="4">
        <v>2</v>
      </c>
      <c r="AM125" s="4">
        <v>1</v>
      </c>
      <c r="AN125" s="4">
        <v>0</v>
      </c>
      <c r="AO125" s="4">
        <v>1</v>
      </c>
      <c r="AP125" s="7"/>
      <c r="AQ125" s="4">
        <v>0</v>
      </c>
      <c r="AR125" s="4">
        <v>1</v>
      </c>
      <c r="AS125" s="4">
        <f t="shared" si="3"/>
        <v>13</v>
      </c>
      <c r="AT125" s="9" t="s">
        <v>1034</v>
      </c>
    </row>
    <row r="126" spans="1:46" x14ac:dyDescent="0.2">
      <c r="A126" s="4">
        <v>5105</v>
      </c>
      <c r="B126" s="4" t="s">
        <v>22</v>
      </c>
      <c r="C126" s="5" t="s">
        <v>1109</v>
      </c>
      <c r="D126" s="5" t="s">
        <v>1110</v>
      </c>
      <c r="E126" s="5" t="s">
        <v>1107</v>
      </c>
      <c r="F126" s="5" t="s">
        <v>98</v>
      </c>
      <c r="G126" s="13">
        <v>46273</v>
      </c>
      <c r="H126" s="13">
        <v>46273</v>
      </c>
      <c r="I126" s="9">
        <f t="shared" si="2"/>
        <v>1</v>
      </c>
      <c r="J126" s="5" t="s">
        <v>1651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4">
        <v>3</v>
      </c>
      <c r="AH126" s="4">
        <v>1</v>
      </c>
      <c r="AI126" s="4">
        <v>1</v>
      </c>
      <c r="AJ126" s="4">
        <v>2</v>
      </c>
      <c r="AK126" s="4">
        <v>4</v>
      </c>
      <c r="AL126" s="4">
        <v>2</v>
      </c>
      <c r="AM126" s="4">
        <v>1</v>
      </c>
      <c r="AN126" s="4">
        <v>0</v>
      </c>
      <c r="AO126" s="4">
        <v>1</v>
      </c>
      <c r="AP126" s="4"/>
      <c r="AQ126" s="4">
        <v>0</v>
      </c>
      <c r="AR126" s="4">
        <v>1</v>
      </c>
      <c r="AS126" s="4">
        <f t="shared" si="3"/>
        <v>15</v>
      </c>
      <c r="AT126" s="9" t="s">
        <v>1111</v>
      </c>
    </row>
    <row r="127" spans="1:46" x14ac:dyDescent="0.2">
      <c r="A127" s="4">
        <v>5120</v>
      </c>
      <c r="B127" s="4" t="s">
        <v>22</v>
      </c>
      <c r="C127" s="5" t="s">
        <v>1134</v>
      </c>
      <c r="D127" s="5" t="s">
        <v>1135</v>
      </c>
      <c r="E127" s="5" t="s">
        <v>1107</v>
      </c>
      <c r="F127" s="5" t="s">
        <v>98</v>
      </c>
      <c r="G127" s="13">
        <v>46273</v>
      </c>
      <c r="H127" s="13">
        <v>46276</v>
      </c>
      <c r="I127" s="9">
        <f t="shared" si="2"/>
        <v>4</v>
      </c>
      <c r="J127" s="5" t="s">
        <v>1651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4">
        <v>8</v>
      </c>
      <c r="AH127" s="4">
        <v>7</v>
      </c>
      <c r="AI127" s="4">
        <v>1</v>
      </c>
      <c r="AJ127" s="4">
        <v>4</v>
      </c>
      <c r="AK127" s="4">
        <v>13</v>
      </c>
      <c r="AL127" s="4">
        <v>6</v>
      </c>
      <c r="AM127" s="4">
        <v>3</v>
      </c>
      <c r="AN127" s="4">
        <v>0</v>
      </c>
      <c r="AO127" s="4">
        <v>2</v>
      </c>
      <c r="AP127" s="4"/>
      <c r="AQ127" s="4">
        <v>1</v>
      </c>
      <c r="AR127" s="4">
        <v>1</v>
      </c>
      <c r="AS127" s="4">
        <f t="shared" si="3"/>
        <v>45</v>
      </c>
      <c r="AT127" s="9" t="s">
        <v>1114</v>
      </c>
    </row>
    <row r="128" spans="1:46" x14ac:dyDescent="0.2">
      <c r="A128" s="4">
        <v>6670</v>
      </c>
      <c r="B128" s="4" t="s">
        <v>22</v>
      </c>
      <c r="C128" s="5" t="s">
        <v>1434</v>
      </c>
      <c r="D128" s="5" t="s">
        <v>1435</v>
      </c>
      <c r="E128" s="5" t="s">
        <v>1346</v>
      </c>
      <c r="F128" s="5" t="s">
        <v>574</v>
      </c>
      <c r="G128" s="13">
        <v>46273</v>
      </c>
      <c r="H128" s="13">
        <v>46273</v>
      </c>
      <c r="I128" s="9">
        <f t="shared" si="2"/>
        <v>1</v>
      </c>
      <c r="J128" s="5" t="s">
        <v>1651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4">
        <v>4</v>
      </c>
      <c r="AH128" s="4">
        <v>3</v>
      </c>
      <c r="AI128" s="4">
        <v>1</v>
      </c>
      <c r="AJ128" s="4">
        <v>2</v>
      </c>
      <c r="AK128" s="4">
        <v>8</v>
      </c>
      <c r="AL128" s="4">
        <v>3</v>
      </c>
      <c r="AM128" s="4">
        <v>1</v>
      </c>
      <c r="AN128" s="4">
        <v>0</v>
      </c>
      <c r="AO128" s="4">
        <v>1</v>
      </c>
      <c r="AP128" s="4"/>
      <c r="AQ128" s="4">
        <v>1</v>
      </c>
      <c r="AR128" s="4">
        <v>1</v>
      </c>
      <c r="AS128" s="4">
        <f t="shared" si="3"/>
        <v>24</v>
      </c>
      <c r="AT128" s="9" t="s">
        <v>1349</v>
      </c>
    </row>
    <row r="129" spans="1:46" x14ac:dyDescent="0.2">
      <c r="A129" s="4">
        <v>6917</v>
      </c>
      <c r="B129" s="4" t="s">
        <v>22</v>
      </c>
      <c r="C129" s="5" t="s">
        <v>1450</v>
      </c>
      <c r="D129" s="5" t="s">
        <v>1451</v>
      </c>
      <c r="E129" s="5" t="s">
        <v>545</v>
      </c>
      <c r="F129" s="5" t="s">
        <v>546</v>
      </c>
      <c r="G129" s="13">
        <v>46273</v>
      </c>
      <c r="H129" s="13">
        <v>46274</v>
      </c>
      <c r="I129" s="9">
        <f t="shared" si="2"/>
        <v>2</v>
      </c>
      <c r="J129" s="5" t="s">
        <v>1651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4">
        <v>6</v>
      </c>
      <c r="AH129" s="4">
        <v>5</v>
      </c>
      <c r="AI129" s="4">
        <v>1</v>
      </c>
      <c r="AJ129" s="4">
        <v>3</v>
      </c>
      <c r="AK129" s="4">
        <v>11</v>
      </c>
      <c r="AL129" s="4">
        <v>5</v>
      </c>
      <c r="AM129" s="4">
        <v>2</v>
      </c>
      <c r="AN129" s="4">
        <v>0</v>
      </c>
      <c r="AO129" s="4">
        <v>2</v>
      </c>
      <c r="AP129" s="4"/>
      <c r="AQ129" s="4">
        <v>0</v>
      </c>
      <c r="AR129" s="4">
        <v>1</v>
      </c>
      <c r="AS129" s="4">
        <f t="shared" si="3"/>
        <v>35</v>
      </c>
      <c r="AT129" s="9" t="s">
        <v>547</v>
      </c>
    </row>
    <row r="130" spans="1:46" x14ac:dyDescent="0.2">
      <c r="A130" s="4">
        <v>7935</v>
      </c>
      <c r="B130" s="4" t="s">
        <v>22</v>
      </c>
      <c r="C130" s="5" t="s">
        <v>1510</v>
      </c>
      <c r="D130" s="5" t="s">
        <v>1511</v>
      </c>
      <c r="E130" s="5" t="s">
        <v>1512</v>
      </c>
      <c r="F130" s="5" t="s">
        <v>574</v>
      </c>
      <c r="G130" s="13">
        <v>46273</v>
      </c>
      <c r="H130" s="13">
        <v>46273</v>
      </c>
      <c r="I130" s="9">
        <f t="shared" ref="I130:I193" si="4">NETWORKDAYS(G130,H130)</f>
        <v>1</v>
      </c>
      <c r="J130" s="5" t="s">
        <v>1651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4">
        <v>4</v>
      </c>
      <c r="AH130" s="4">
        <v>1</v>
      </c>
      <c r="AI130" s="4">
        <v>1</v>
      </c>
      <c r="AJ130" s="4">
        <v>3</v>
      </c>
      <c r="AK130" s="4">
        <v>5</v>
      </c>
      <c r="AL130" s="4">
        <v>3</v>
      </c>
      <c r="AM130" s="4">
        <v>2</v>
      </c>
      <c r="AN130" s="4">
        <v>0</v>
      </c>
      <c r="AO130" s="4">
        <v>1</v>
      </c>
      <c r="AP130" s="4"/>
      <c r="AQ130" s="4">
        <v>0</v>
      </c>
      <c r="AR130" s="4">
        <v>1</v>
      </c>
      <c r="AS130" s="4">
        <f t="shared" si="3"/>
        <v>20</v>
      </c>
      <c r="AT130" s="9" t="s">
        <v>1513</v>
      </c>
    </row>
    <row r="131" spans="1:46" x14ac:dyDescent="0.2">
      <c r="A131" s="4">
        <v>730</v>
      </c>
      <c r="B131" s="4" t="s">
        <v>22</v>
      </c>
      <c r="C131" s="5" t="s">
        <v>42</v>
      </c>
      <c r="D131" s="5" t="s">
        <v>43</v>
      </c>
      <c r="E131" s="5" t="s">
        <v>36</v>
      </c>
      <c r="F131" s="5" t="s">
        <v>26</v>
      </c>
      <c r="G131" s="13">
        <v>46274</v>
      </c>
      <c r="H131" s="13">
        <v>46274</v>
      </c>
      <c r="I131" s="9">
        <f t="shared" si="4"/>
        <v>1</v>
      </c>
      <c r="J131" s="5" t="s">
        <v>1651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4">
        <v>2</v>
      </c>
      <c r="AH131" s="4">
        <v>2</v>
      </c>
      <c r="AI131" s="4">
        <v>1</v>
      </c>
      <c r="AJ131" s="4">
        <v>2</v>
      </c>
      <c r="AK131" s="4">
        <v>4</v>
      </c>
      <c r="AL131" s="4">
        <v>2</v>
      </c>
      <c r="AM131" s="4">
        <v>1</v>
      </c>
      <c r="AN131" s="4">
        <v>0</v>
      </c>
      <c r="AO131" s="4">
        <v>1</v>
      </c>
      <c r="AP131" s="4"/>
      <c r="AQ131" s="4">
        <v>0</v>
      </c>
      <c r="AR131" s="4">
        <v>1</v>
      </c>
      <c r="AS131" s="4">
        <f t="shared" ref="AS131:AS194" si="5">SUM(AG131:AQ131)</f>
        <v>15</v>
      </c>
      <c r="AT131" s="5" t="s">
        <v>44</v>
      </c>
    </row>
    <row r="132" spans="1:46" x14ac:dyDescent="0.2">
      <c r="A132" s="4">
        <v>1270</v>
      </c>
      <c r="B132" s="4" t="s">
        <v>22</v>
      </c>
      <c r="C132" s="5" t="s">
        <v>114</v>
      </c>
      <c r="D132" s="5" t="s">
        <v>115</v>
      </c>
      <c r="E132" s="5" t="s">
        <v>67</v>
      </c>
      <c r="F132" s="5" t="s">
        <v>98</v>
      </c>
      <c r="G132" s="13">
        <v>46274</v>
      </c>
      <c r="H132" s="13">
        <v>46274</v>
      </c>
      <c r="I132" s="9">
        <f t="shared" si="4"/>
        <v>1</v>
      </c>
      <c r="J132" s="5" t="s">
        <v>1651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4">
        <v>6</v>
      </c>
      <c r="AH132" s="4">
        <v>5</v>
      </c>
      <c r="AI132" s="4">
        <v>1</v>
      </c>
      <c r="AJ132" s="4">
        <v>4</v>
      </c>
      <c r="AK132" s="4">
        <v>11</v>
      </c>
      <c r="AL132" s="4">
        <v>5</v>
      </c>
      <c r="AM132" s="4">
        <v>3</v>
      </c>
      <c r="AN132" s="4">
        <v>0</v>
      </c>
      <c r="AO132" s="4">
        <v>2</v>
      </c>
      <c r="AP132" s="4"/>
      <c r="AQ132" s="4">
        <v>0</v>
      </c>
      <c r="AR132" s="4">
        <v>1</v>
      </c>
      <c r="AS132" s="4">
        <f t="shared" si="5"/>
        <v>37</v>
      </c>
      <c r="AT132" s="5" t="s">
        <v>99</v>
      </c>
    </row>
    <row r="133" spans="1:46" x14ac:dyDescent="0.2">
      <c r="A133" s="4">
        <v>1334</v>
      </c>
      <c r="B133" s="4" t="s">
        <v>22</v>
      </c>
      <c r="C133" s="5" t="s">
        <v>156</v>
      </c>
      <c r="D133" s="5" t="s">
        <v>157</v>
      </c>
      <c r="E133" s="5" t="s">
        <v>118</v>
      </c>
      <c r="F133" s="5" t="s">
        <v>119</v>
      </c>
      <c r="G133" s="13">
        <v>46274</v>
      </c>
      <c r="H133" s="13">
        <v>46274</v>
      </c>
      <c r="I133" s="9">
        <f t="shared" si="4"/>
        <v>1</v>
      </c>
      <c r="J133" s="5" t="s">
        <v>1651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4">
        <v>3</v>
      </c>
      <c r="AH133" s="4">
        <v>1</v>
      </c>
      <c r="AI133" s="4">
        <v>1</v>
      </c>
      <c r="AJ133" s="4">
        <v>2</v>
      </c>
      <c r="AK133" s="4">
        <v>5</v>
      </c>
      <c r="AL133" s="4">
        <v>3</v>
      </c>
      <c r="AM133" s="4">
        <v>1</v>
      </c>
      <c r="AN133" s="4">
        <v>0</v>
      </c>
      <c r="AO133" s="4">
        <v>1</v>
      </c>
      <c r="AP133" s="7"/>
      <c r="AQ133" s="4">
        <v>1</v>
      </c>
      <c r="AR133" s="4">
        <v>1</v>
      </c>
      <c r="AS133" s="4">
        <f t="shared" si="5"/>
        <v>18</v>
      </c>
      <c r="AT133" s="4" t="s">
        <v>120</v>
      </c>
    </row>
    <row r="134" spans="1:46" x14ac:dyDescent="0.2">
      <c r="A134" s="4">
        <v>1359</v>
      </c>
      <c r="B134" s="4" t="s">
        <v>22</v>
      </c>
      <c r="C134" s="5" t="s">
        <v>190</v>
      </c>
      <c r="D134" s="5" t="s">
        <v>191</v>
      </c>
      <c r="E134" s="5" t="s">
        <v>118</v>
      </c>
      <c r="F134" s="5" t="s">
        <v>119</v>
      </c>
      <c r="G134" s="13">
        <v>46274</v>
      </c>
      <c r="H134" s="13">
        <v>46276</v>
      </c>
      <c r="I134" s="9">
        <f t="shared" si="4"/>
        <v>3</v>
      </c>
      <c r="J134" s="5" t="s">
        <v>1651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4">
        <v>6</v>
      </c>
      <c r="AH134" s="4">
        <v>4</v>
      </c>
      <c r="AI134" s="4">
        <v>1</v>
      </c>
      <c r="AJ134" s="4">
        <v>3</v>
      </c>
      <c r="AK134" s="4">
        <v>10</v>
      </c>
      <c r="AL134" s="4">
        <v>5</v>
      </c>
      <c r="AM134" s="4">
        <v>2</v>
      </c>
      <c r="AN134" s="4">
        <v>0</v>
      </c>
      <c r="AO134" s="4">
        <v>1</v>
      </c>
      <c r="AP134" s="4"/>
      <c r="AQ134" s="4">
        <v>0</v>
      </c>
      <c r="AR134" s="4">
        <v>1</v>
      </c>
      <c r="AS134" s="4">
        <f t="shared" si="5"/>
        <v>32</v>
      </c>
      <c r="AT134" s="4" t="s">
        <v>125</v>
      </c>
    </row>
    <row r="135" spans="1:46" x14ac:dyDescent="0.2">
      <c r="A135" s="4">
        <v>1395</v>
      </c>
      <c r="B135" s="4" t="s">
        <v>22</v>
      </c>
      <c r="C135" s="5" t="s">
        <v>249</v>
      </c>
      <c r="D135" s="5" t="s">
        <v>250</v>
      </c>
      <c r="E135" s="5" t="s">
        <v>118</v>
      </c>
      <c r="F135" s="5" t="s">
        <v>119</v>
      </c>
      <c r="G135" s="13">
        <v>46274</v>
      </c>
      <c r="H135" s="13">
        <v>46274</v>
      </c>
      <c r="I135" s="9">
        <f t="shared" si="4"/>
        <v>1</v>
      </c>
      <c r="J135" s="5" t="s">
        <v>1651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4">
        <v>4</v>
      </c>
      <c r="AH135" s="4">
        <v>2</v>
      </c>
      <c r="AI135" s="4">
        <v>1</v>
      </c>
      <c r="AJ135" s="4">
        <v>2</v>
      </c>
      <c r="AK135" s="4">
        <v>6</v>
      </c>
      <c r="AL135" s="4">
        <v>3</v>
      </c>
      <c r="AM135" s="4">
        <v>1</v>
      </c>
      <c r="AN135" s="4">
        <v>0</v>
      </c>
      <c r="AO135" s="4">
        <v>1</v>
      </c>
      <c r="AP135" s="4"/>
      <c r="AQ135" s="4">
        <v>0</v>
      </c>
      <c r="AR135" s="4">
        <v>1</v>
      </c>
      <c r="AS135" s="4">
        <f t="shared" si="5"/>
        <v>20</v>
      </c>
      <c r="AT135" s="4" t="s">
        <v>120</v>
      </c>
    </row>
    <row r="136" spans="1:46" x14ac:dyDescent="0.2">
      <c r="A136" s="4">
        <v>1509</v>
      </c>
      <c r="B136" s="4" t="s">
        <v>22</v>
      </c>
      <c r="C136" s="5" t="s">
        <v>347</v>
      </c>
      <c r="D136" s="5" t="s">
        <v>348</v>
      </c>
      <c r="E136" s="5" t="s">
        <v>330</v>
      </c>
      <c r="F136" s="5" t="s">
        <v>331</v>
      </c>
      <c r="G136" s="13">
        <v>46274</v>
      </c>
      <c r="H136" s="13">
        <v>46275</v>
      </c>
      <c r="I136" s="9">
        <f t="shared" si="4"/>
        <v>2</v>
      </c>
      <c r="J136" s="5" t="s">
        <v>1651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4">
        <v>2</v>
      </c>
      <c r="AH136" s="4">
        <v>1</v>
      </c>
      <c r="AI136" s="4">
        <v>1</v>
      </c>
      <c r="AJ136" s="4">
        <v>2</v>
      </c>
      <c r="AK136" s="4">
        <v>3</v>
      </c>
      <c r="AL136" s="4">
        <v>2</v>
      </c>
      <c r="AM136" s="4">
        <v>1</v>
      </c>
      <c r="AN136" s="4">
        <v>0</v>
      </c>
      <c r="AO136" s="4">
        <v>1</v>
      </c>
      <c r="AP136" s="4"/>
      <c r="AQ136" s="4">
        <v>0</v>
      </c>
      <c r="AR136" s="4">
        <v>1</v>
      </c>
      <c r="AS136" s="4">
        <f t="shared" si="5"/>
        <v>13</v>
      </c>
      <c r="AT136" s="9" t="s">
        <v>77</v>
      </c>
    </row>
    <row r="137" spans="1:46" x14ac:dyDescent="0.2">
      <c r="A137" s="4">
        <v>1535</v>
      </c>
      <c r="B137" s="4" t="s">
        <v>22</v>
      </c>
      <c r="C137" s="5" t="s">
        <v>381</v>
      </c>
      <c r="D137" s="5" t="s">
        <v>382</v>
      </c>
      <c r="E137" s="5" t="s">
        <v>330</v>
      </c>
      <c r="F137" s="5" t="s">
        <v>331</v>
      </c>
      <c r="G137" s="13">
        <v>46274</v>
      </c>
      <c r="H137" s="13">
        <v>46275</v>
      </c>
      <c r="I137" s="9">
        <f t="shared" si="4"/>
        <v>2</v>
      </c>
      <c r="J137" s="5" t="s">
        <v>1651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4">
        <v>3</v>
      </c>
      <c r="AH137" s="4">
        <v>1</v>
      </c>
      <c r="AI137" s="4">
        <v>1</v>
      </c>
      <c r="AJ137" s="4">
        <v>2</v>
      </c>
      <c r="AK137" s="4">
        <v>3</v>
      </c>
      <c r="AL137" s="4">
        <v>3</v>
      </c>
      <c r="AM137" s="4">
        <v>1</v>
      </c>
      <c r="AN137" s="4">
        <v>1</v>
      </c>
      <c r="AO137" s="4">
        <v>1</v>
      </c>
      <c r="AP137" s="4"/>
      <c r="AQ137" s="4">
        <v>1</v>
      </c>
      <c r="AR137" s="4">
        <v>1</v>
      </c>
      <c r="AS137" s="4">
        <f t="shared" si="5"/>
        <v>17</v>
      </c>
      <c r="AT137" s="9" t="s">
        <v>335</v>
      </c>
    </row>
    <row r="138" spans="1:46" x14ac:dyDescent="0.2">
      <c r="A138" s="4">
        <v>1550</v>
      </c>
      <c r="B138" s="4" t="s">
        <v>22</v>
      </c>
      <c r="C138" s="5" t="s">
        <v>401</v>
      </c>
      <c r="D138" s="5" t="s">
        <v>402</v>
      </c>
      <c r="E138" s="5" t="s">
        <v>330</v>
      </c>
      <c r="F138" s="5" t="s">
        <v>331</v>
      </c>
      <c r="G138" s="13">
        <v>46274</v>
      </c>
      <c r="H138" s="13">
        <v>46275</v>
      </c>
      <c r="I138" s="9">
        <f t="shared" si="4"/>
        <v>2</v>
      </c>
      <c r="J138" s="5" t="s">
        <v>1651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4">
        <v>4</v>
      </c>
      <c r="AH138" s="4">
        <v>3</v>
      </c>
      <c r="AI138" s="4">
        <v>1</v>
      </c>
      <c r="AJ138" s="4">
        <v>2</v>
      </c>
      <c r="AK138" s="4">
        <v>8</v>
      </c>
      <c r="AL138" s="4">
        <v>3</v>
      </c>
      <c r="AM138" s="4">
        <v>1</v>
      </c>
      <c r="AN138" s="4">
        <v>1</v>
      </c>
      <c r="AO138" s="4">
        <v>1</v>
      </c>
      <c r="AP138" s="4"/>
      <c r="AQ138" s="4">
        <v>1</v>
      </c>
      <c r="AR138" s="4">
        <v>1</v>
      </c>
      <c r="AS138" s="4">
        <f t="shared" si="5"/>
        <v>25</v>
      </c>
      <c r="AT138" s="9" t="s">
        <v>332</v>
      </c>
    </row>
    <row r="139" spans="1:46" x14ac:dyDescent="0.2">
      <c r="A139" s="4">
        <v>1563</v>
      </c>
      <c r="B139" s="4" t="s">
        <v>22</v>
      </c>
      <c r="C139" s="5" t="s">
        <v>418</v>
      </c>
      <c r="D139" s="5" t="s">
        <v>419</v>
      </c>
      <c r="E139" s="5" t="s">
        <v>330</v>
      </c>
      <c r="F139" s="5" t="s">
        <v>331</v>
      </c>
      <c r="G139" s="13">
        <v>46274</v>
      </c>
      <c r="H139" s="13">
        <v>46275</v>
      </c>
      <c r="I139" s="9">
        <f t="shared" si="4"/>
        <v>2</v>
      </c>
      <c r="J139" s="5" t="s">
        <v>1651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4">
        <v>6</v>
      </c>
      <c r="AH139" s="4">
        <v>3</v>
      </c>
      <c r="AI139" s="4">
        <v>1</v>
      </c>
      <c r="AJ139" s="4">
        <v>3</v>
      </c>
      <c r="AK139" s="4">
        <v>10</v>
      </c>
      <c r="AL139" s="4">
        <v>4</v>
      </c>
      <c r="AM139" s="4">
        <v>2</v>
      </c>
      <c r="AN139" s="4">
        <v>0</v>
      </c>
      <c r="AO139" s="4">
        <v>2</v>
      </c>
      <c r="AP139" s="4"/>
      <c r="AQ139" s="4">
        <v>0</v>
      </c>
      <c r="AR139" s="4">
        <v>1</v>
      </c>
      <c r="AS139" s="4">
        <f t="shared" si="5"/>
        <v>31</v>
      </c>
      <c r="AT139" s="9" t="s">
        <v>364</v>
      </c>
    </row>
    <row r="140" spans="1:46" x14ac:dyDescent="0.2">
      <c r="A140" s="4">
        <v>2420</v>
      </c>
      <c r="B140" s="4" t="s">
        <v>22</v>
      </c>
      <c r="C140" s="5" t="s">
        <v>629</v>
      </c>
      <c r="D140" s="5" t="s">
        <v>630</v>
      </c>
      <c r="E140" s="5" t="s">
        <v>604</v>
      </c>
      <c r="F140" s="5" t="s">
        <v>68</v>
      </c>
      <c r="G140" s="13">
        <v>46274</v>
      </c>
      <c r="H140" s="13">
        <v>46274</v>
      </c>
      <c r="I140" s="9">
        <f t="shared" si="4"/>
        <v>1</v>
      </c>
      <c r="J140" s="5" t="s">
        <v>1651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4">
        <v>2</v>
      </c>
      <c r="AH140" s="4">
        <v>1</v>
      </c>
      <c r="AI140" s="4">
        <v>1</v>
      </c>
      <c r="AJ140" s="4">
        <v>2</v>
      </c>
      <c r="AK140" s="4">
        <v>3</v>
      </c>
      <c r="AL140" s="4">
        <v>2</v>
      </c>
      <c r="AM140" s="4">
        <v>1</v>
      </c>
      <c r="AN140" s="4">
        <v>0</v>
      </c>
      <c r="AO140" s="4">
        <v>1</v>
      </c>
      <c r="AP140" s="4"/>
      <c r="AQ140" s="4">
        <v>0</v>
      </c>
      <c r="AR140" s="4">
        <v>1</v>
      </c>
      <c r="AS140" s="4">
        <f t="shared" si="5"/>
        <v>13</v>
      </c>
      <c r="AT140" s="9" t="s">
        <v>616</v>
      </c>
    </row>
    <row r="141" spans="1:46" x14ac:dyDescent="0.2">
      <c r="A141" s="4">
        <v>2730</v>
      </c>
      <c r="B141" s="4" t="s">
        <v>22</v>
      </c>
      <c r="C141" s="5" t="s">
        <v>251</v>
      </c>
      <c r="D141" s="5" t="s">
        <v>252</v>
      </c>
      <c r="E141" s="5" t="s">
        <v>661</v>
      </c>
      <c r="F141" s="5" t="s">
        <v>68</v>
      </c>
      <c r="G141" s="13">
        <v>46274</v>
      </c>
      <c r="H141" s="13">
        <v>46274</v>
      </c>
      <c r="I141" s="9">
        <f t="shared" si="4"/>
        <v>1</v>
      </c>
      <c r="J141" s="5" t="s">
        <v>1651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4">
        <v>2</v>
      </c>
      <c r="AH141" s="4">
        <v>1</v>
      </c>
      <c r="AI141" s="4">
        <v>1</v>
      </c>
      <c r="AJ141" s="4">
        <v>2</v>
      </c>
      <c r="AK141" s="4">
        <v>3</v>
      </c>
      <c r="AL141" s="4">
        <v>2</v>
      </c>
      <c r="AM141" s="4">
        <v>1</v>
      </c>
      <c r="AN141" s="4">
        <v>0</v>
      </c>
      <c r="AO141" s="4">
        <v>1</v>
      </c>
      <c r="AP141" s="4"/>
      <c r="AQ141" s="4">
        <v>0</v>
      </c>
      <c r="AR141" s="4">
        <v>1</v>
      </c>
      <c r="AS141" s="4">
        <f t="shared" si="5"/>
        <v>13</v>
      </c>
      <c r="AT141" s="9" t="s">
        <v>69</v>
      </c>
    </row>
    <row r="142" spans="1:46" x14ac:dyDescent="0.2">
      <c r="A142" s="4">
        <v>2750</v>
      </c>
      <c r="B142" s="4" t="s">
        <v>22</v>
      </c>
      <c r="C142" s="5" t="s">
        <v>680</v>
      </c>
      <c r="D142" s="5" t="s">
        <v>681</v>
      </c>
      <c r="E142" s="5" t="s">
        <v>661</v>
      </c>
      <c r="F142" s="5" t="s">
        <v>68</v>
      </c>
      <c r="G142" s="13">
        <v>46274</v>
      </c>
      <c r="H142" s="13">
        <v>46274</v>
      </c>
      <c r="I142" s="9">
        <f t="shared" si="4"/>
        <v>1</v>
      </c>
      <c r="J142" s="5" t="s">
        <v>1651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4">
        <v>2</v>
      </c>
      <c r="AH142" s="4">
        <v>1</v>
      </c>
      <c r="AI142" s="4">
        <v>1</v>
      </c>
      <c r="AJ142" s="4">
        <v>2</v>
      </c>
      <c r="AK142" s="4">
        <v>3</v>
      </c>
      <c r="AL142" s="4">
        <v>2</v>
      </c>
      <c r="AM142" s="4">
        <v>1</v>
      </c>
      <c r="AN142" s="4">
        <v>0</v>
      </c>
      <c r="AO142" s="4">
        <v>1</v>
      </c>
      <c r="AP142" s="4"/>
      <c r="AQ142" s="4">
        <v>0</v>
      </c>
      <c r="AR142" s="4">
        <v>1</v>
      </c>
      <c r="AS142" s="4">
        <f t="shared" si="5"/>
        <v>13</v>
      </c>
      <c r="AT142" s="9" t="s">
        <v>675</v>
      </c>
    </row>
    <row r="143" spans="1:46" x14ac:dyDescent="0.2">
      <c r="A143" s="4">
        <v>3118</v>
      </c>
      <c r="B143" s="4" t="s">
        <v>22</v>
      </c>
      <c r="C143" s="5" t="s">
        <v>737</v>
      </c>
      <c r="D143" s="5" t="s">
        <v>738</v>
      </c>
      <c r="E143" s="5" t="s">
        <v>36</v>
      </c>
      <c r="F143" s="5" t="s">
        <v>26</v>
      </c>
      <c r="G143" s="13">
        <v>46274</v>
      </c>
      <c r="H143" s="13">
        <v>46275</v>
      </c>
      <c r="I143" s="9">
        <f t="shared" si="4"/>
        <v>2</v>
      </c>
      <c r="J143" s="5" t="s">
        <v>1651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4">
        <v>6</v>
      </c>
      <c r="AH143" s="4">
        <v>6</v>
      </c>
      <c r="AI143" s="4">
        <v>1</v>
      </c>
      <c r="AJ143" s="4">
        <v>3</v>
      </c>
      <c r="AK143" s="4">
        <v>10</v>
      </c>
      <c r="AL143" s="4">
        <v>4</v>
      </c>
      <c r="AM143" s="4">
        <v>2</v>
      </c>
      <c r="AN143" s="4">
        <v>0</v>
      </c>
      <c r="AO143" s="4">
        <v>2</v>
      </c>
      <c r="AP143" s="4"/>
      <c r="AQ143" s="4">
        <v>1</v>
      </c>
      <c r="AR143" s="4">
        <v>1</v>
      </c>
      <c r="AS143" s="4">
        <f t="shared" si="5"/>
        <v>35</v>
      </c>
      <c r="AT143" s="9" t="s">
        <v>64</v>
      </c>
    </row>
    <row r="144" spans="1:46" x14ac:dyDescent="0.2">
      <c r="A144" s="4">
        <v>3127</v>
      </c>
      <c r="B144" s="4" t="s">
        <v>22</v>
      </c>
      <c r="C144" s="5" t="s">
        <v>751</v>
      </c>
      <c r="D144" s="5" t="s">
        <v>752</v>
      </c>
      <c r="E144" s="5" t="s">
        <v>36</v>
      </c>
      <c r="F144" s="5" t="s">
        <v>26</v>
      </c>
      <c r="G144" s="13">
        <v>46274</v>
      </c>
      <c r="H144" s="13">
        <v>46274</v>
      </c>
      <c r="I144" s="9">
        <f t="shared" si="4"/>
        <v>1</v>
      </c>
      <c r="J144" s="5" t="s">
        <v>1651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4">
        <v>3</v>
      </c>
      <c r="AH144" s="4">
        <v>2</v>
      </c>
      <c r="AI144" s="4">
        <v>1</v>
      </c>
      <c r="AJ144" s="4">
        <v>2</v>
      </c>
      <c r="AK144" s="4">
        <v>5</v>
      </c>
      <c r="AL144" s="4">
        <v>3</v>
      </c>
      <c r="AM144" s="4">
        <v>1</v>
      </c>
      <c r="AN144" s="4">
        <v>0</v>
      </c>
      <c r="AO144" s="4">
        <v>1</v>
      </c>
      <c r="AP144" s="4"/>
      <c r="AQ144" s="4">
        <v>0</v>
      </c>
      <c r="AR144" s="4">
        <v>1</v>
      </c>
      <c r="AS144" s="4">
        <f t="shared" si="5"/>
        <v>18</v>
      </c>
      <c r="AT144" s="9" t="s">
        <v>37</v>
      </c>
    </row>
    <row r="145" spans="1:46" x14ac:dyDescent="0.2">
      <c r="A145" s="4">
        <v>3172</v>
      </c>
      <c r="B145" s="4" t="s">
        <v>22</v>
      </c>
      <c r="C145" s="5" t="s">
        <v>823</v>
      </c>
      <c r="D145" s="5" t="s">
        <v>824</v>
      </c>
      <c r="E145" s="5" t="s">
        <v>36</v>
      </c>
      <c r="F145" s="5" t="s">
        <v>26</v>
      </c>
      <c r="G145" s="13">
        <v>46274</v>
      </c>
      <c r="H145" s="13">
        <v>46274</v>
      </c>
      <c r="I145" s="9">
        <f t="shared" si="4"/>
        <v>1</v>
      </c>
      <c r="J145" s="5" t="s">
        <v>1651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4">
        <v>2</v>
      </c>
      <c r="AH145" s="4">
        <v>1</v>
      </c>
      <c r="AI145" s="4">
        <v>1</v>
      </c>
      <c r="AJ145" s="4">
        <v>2</v>
      </c>
      <c r="AK145" s="4">
        <v>3</v>
      </c>
      <c r="AL145" s="4">
        <v>2</v>
      </c>
      <c r="AM145" s="4">
        <v>1</v>
      </c>
      <c r="AN145" s="4">
        <v>0</v>
      </c>
      <c r="AO145" s="4">
        <v>1</v>
      </c>
      <c r="AP145" s="4"/>
      <c r="AQ145" s="4">
        <v>0</v>
      </c>
      <c r="AR145" s="4">
        <v>1</v>
      </c>
      <c r="AS145" s="4">
        <f t="shared" si="5"/>
        <v>13</v>
      </c>
      <c r="AT145" s="9" t="s">
        <v>51</v>
      </c>
    </row>
    <row r="146" spans="1:46" x14ac:dyDescent="0.2">
      <c r="A146" s="4">
        <v>3922</v>
      </c>
      <c r="B146" s="4" t="s">
        <v>22</v>
      </c>
      <c r="C146" s="5" t="s">
        <v>906</v>
      </c>
      <c r="D146" s="5" t="s">
        <v>907</v>
      </c>
      <c r="E146" s="5" t="s">
        <v>873</v>
      </c>
      <c r="F146" s="5" t="s">
        <v>574</v>
      </c>
      <c r="G146" s="13">
        <v>46274</v>
      </c>
      <c r="H146" s="13">
        <v>46274</v>
      </c>
      <c r="I146" s="9">
        <f t="shared" si="4"/>
        <v>1</v>
      </c>
      <c r="J146" s="5" t="s">
        <v>1651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4">
        <v>3</v>
      </c>
      <c r="AH146" s="4">
        <v>1</v>
      </c>
      <c r="AI146" s="4">
        <v>1</v>
      </c>
      <c r="AJ146" s="4">
        <v>2</v>
      </c>
      <c r="AK146" s="4">
        <v>4</v>
      </c>
      <c r="AL146" s="4">
        <v>3</v>
      </c>
      <c r="AM146" s="4">
        <v>1</v>
      </c>
      <c r="AN146" s="4">
        <v>0</v>
      </c>
      <c r="AO146" s="4">
        <v>1</v>
      </c>
      <c r="AP146" s="4"/>
      <c r="AQ146" s="4">
        <v>0</v>
      </c>
      <c r="AR146" s="4">
        <v>1</v>
      </c>
      <c r="AS146" s="4">
        <f t="shared" si="5"/>
        <v>16</v>
      </c>
      <c r="AT146" s="9" t="s">
        <v>874</v>
      </c>
    </row>
    <row r="147" spans="1:46" x14ac:dyDescent="0.2">
      <c r="A147" s="4">
        <v>4530</v>
      </c>
      <c r="B147" s="4" t="s">
        <v>22</v>
      </c>
      <c r="C147" s="5" t="s">
        <v>1015</v>
      </c>
      <c r="D147" s="5" t="s">
        <v>1016</v>
      </c>
      <c r="E147" s="5" t="s">
        <v>981</v>
      </c>
      <c r="F147" s="5" t="s">
        <v>26</v>
      </c>
      <c r="G147" s="13">
        <v>46274</v>
      </c>
      <c r="H147" s="13">
        <v>46274</v>
      </c>
      <c r="I147" s="9">
        <f t="shared" si="4"/>
        <v>1</v>
      </c>
      <c r="J147" s="5" t="s">
        <v>1651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4">
        <v>3</v>
      </c>
      <c r="AH147" s="4">
        <v>5</v>
      </c>
      <c r="AI147" s="4">
        <v>1</v>
      </c>
      <c r="AJ147" s="4">
        <v>2</v>
      </c>
      <c r="AK147" s="4">
        <v>7</v>
      </c>
      <c r="AL147" s="4">
        <v>3</v>
      </c>
      <c r="AM147" s="4">
        <v>1</v>
      </c>
      <c r="AN147" s="4">
        <v>0</v>
      </c>
      <c r="AO147" s="4">
        <v>1</v>
      </c>
      <c r="AP147" s="4"/>
      <c r="AQ147" s="4">
        <v>0</v>
      </c>
      <c r="AR147" s="4">
        <v>1</v>
      </c>
      <c r="AS147" s="4">
        <f t="shared" si="5"/>
        <v>23</v>
      </c>
      <c r="AT147" s="9" t="s">
        <v>990</v>
      </c>
    </row>
    <row r="148" spans="1:46" x14ac:dyDescent="0.2">
      <c r="A148" s="4">
        <v>4532</v>
      </c>
      <c r="B148" s="4" t="s">
        <v>22</v>
      </c>
      <c r="C148" s="5" t="s">
        <v>1017</v>
      </c>
      <c r="D148" s="5" t="s">
        <v>1018</v>
      </c>
      <c r="E148" s="5" t="s">
        <v>981</v>
      </c>
      <c r="F148" s="5" t="s">
        <v>26</v>
      </c>
      <c r="G148" s="13">
        <v>46274</v>
      </c>
      <c r="H148" s="13">
        <v>46274</v>
      </c>
      <c r="I148" s="9">
        <f t="shared" si="4"/>
        <v>1</v>
      </c>
      <c r="J148" s="5" t="s">
        <v>1651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4">
        <v>2</v>
      </c>
      <c r="AH148" s="4">
        <v>1</v>
      </c>
      <c r="AI148" s="4">
        <v>1</v>
      </c>
      <c r="AJ148" s="4">
        <v>2</v>
      </c>
      <c r="AK148" s="4">
        <v>3</v>
      </c>
      <c r="AL148" s="4">
        <v>2</v>
      </c>
      <c r="AM148" s="4">
        <v>1</v>
      </c>
      <c r="AN148" s="4">
        <v>0</v>
      </c>
      <c r="AO148" s="4">
        <v>1</v>
      </c>
      <c r="AP148" s="4"/>
      <c r="AQ148" s="4">
        <v>0</v>
      </c>
      <c r="AR148" s="4">
        <v>1</v>
      </c>
      <c r="AS148" s="4">
        <f t="shared" si="5"/>
        <v>13</v>
      </c>
      <c r="AT148" s="9" t="s">
        <v>985</v>
      </c>
    </row>
    <row r="149" spans="1:46" x14ac:dyDescent="0.2">
      <c r="A149" s="4">
        <v>4812</v>
      </c>
      <c r="B149" s="4" t="s">
        <v>22</v>
      </c>
      <c r="C149" s="5" t="s">
        <v>1043</v>
      </c>
      <c r="D149" s="5" t="s">
        <v>1044</v>
      </c>
      <c r="E149" s="5" t="s">
        <v>286</v>
      </c>
      <c r="F149" s="5" t="s">
        <v>546</v>
      </c>
      <c r="G149" s="13">
        <v>46274</v>
      </c>
      <c r="H149" s="13">
        <v>46274</v>
      </c>
      <c r="I149" s="9">
        <f t="shared" si="4"/>
        <v>1</v>
      </c>
      <c r="J149" s="5" t="s">
        <v>1651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4">
        <v>5</v>
      </c>
      <c r="AH149" s="4">
        <v>3</v>
      </c>
      <c r="AI149" s="4">
        <v>1</v>
      </c>
      <c r="AJ149" s="4">
        <v>3</v>
      </c>
      <c r="AK149" s="4">
        <v>8</v>
      </c>
      <c r="AL149" s="4">
        <v>4</v>
      </c>
      <c r="AM149" s="4">
        <v>2</v>
      </c>
      <c r="AN149" s="4">
        <v>0</v>
      </c>
      <c r="AO149" s="4">
        <v>1</v>
      </c>
      <c r="AP149" s="4"/>
      <c r="AQ149" s="4">
        <v>0</v>
      </c>
      <c r="AR149" s="4">
        <v>1</v>
      </c>
      <c r="AS149" s="4">
        <f t="shared" si="5"/>
        <v>27</v>
      </c>
      <c r="AT149" s="9" t="s">
        <v>1034</v>
      </c>
    </row>
    <row r="150" spans="1:46" x14ac:dyDescent="0.2">
      <c r="A150" s="4">
        <v>5110</v>
      </c>
      <c r="B150" s="4" t="s">
        <v>22</v>
      </c>
      <c r="C150" s="5" t="s">
        <v>1115</v>
      </c>
      <c r="D150" s="5" t="s">
        <v>1116</v>
      </c>
      <c r="E150" s="5" t="s">
        <v>1107</v>
      </c>
      <c r="F150" s="5" t="s">
        <v>98</v>
      </c>
      <c r="G150" s="13">
        <v>46274</v>
      </c>
      <c r="H150" s="13">
        <v>46276</v>
      </c>
      <c r="I150" s="9">
        <f t="shared" si="4"/>
        <v>3</v>
      </c>
      <c r="J150" s="5" t="s">
        <v>1651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4">
        <v>4</v>
      </c>
      <c r="AH150" s="4">
        <v>5</v>
      </c>
      <c r="AI150" s="4">
        <v>1</v>
      </c>
      <c r="AJ150" s="4">
        <v>3</v>
      </c>
      <c r="AK150" s="4">
        <v>10</v>
      </c>
      <c r="AL150" s="4">
        <v>3</v>
      </c>
      <c r="AM150" s="4">
        <v>2</v>
      </c>
      <c r="AN150" s="4">
        <v>0</v>
      </c>
      <c r="AO150" s="4">
        <v>1</v>
      </c>
      <c r="AP150" s="4"/>
      <c r="AQ150" s="4">
        <v>0</v>
      </c>
      <c r="AR150" s="4">
        <v>1</v>
      </c>
      <c r="AS150" s="4">
        <f t="shared" si="5"/>
        <v>29</v>
      </c>
      <c r="AT150" s="9" t="s">
        <v>1111</v>
      </c>
    </row>
    <row r="151" spans="1:46" x14ac:dyDescent="0.2">
      <c r="A151" s="4">
        <v>6613</v>
      </c>
      <c r="B151" s="4" t="s">
        <v>22</v>
      </c>
      <c r="C151" s="5" t="s">
        <v>1362</v>
      </c>
      <c r="D151" s="5" t="s">
        <v>1363</v>
      </c>
      <c r="E151" s="5" t="s">
        <v>1346</v>
      </c>
      <c r="F151" s="5" t="s">
        <v>574</v>
      </c>
      <c r="G151" s="13">
        <v>46274</v>
      </c>
      <c r="H151" s="13">
        <v>46275</v>
      </c>
      <c r="I151" s="9">
        <f t="shared" si="4"/>
        <v>2</v>
      </c>
      <c r="J151" s="5" t="s">
        <v>1651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4">
        <v>4</v>
      </c>
      <c r="AH151" s="4">
        <v>4</v>
      </c>
      <c r="AI151" s="4">
        <v>1</v>
      </c>
      <c r="AJ151" s="4">
        <v>2</v>
      </c>
      <c r="AK151" s="4">
        <v>9</v>
      </c>
      <c r="AL151" s="4">
        <v>3</v>
      </c>
      <c r="AM151" s="4">
        <v>1</v>
      </c>
      <c r="AN151" s="4">
        <v>0</v>
      </c>
      <c r="AO151" s="4">
        <v>1</v>
      </c>
      <c r="AP151" s="4"/>
      <c r="AQ151" s="4">
        <v>1</v>
      </c>
      <c r="AR151" s="4">
        <v>1</v>
      </c>
      <c r="AS151" s="4">
        <f t="shared" si="5"/>
        <v>26</v>
      </c>
      <c r="AT151" s="9" t="s">
        <v>1364</v>
      </c>
    </row>
    <row r="152" spans="1:46" x14ac:dyDescent="0.2">
      <c r="A152" s="4">
        <v>6621</v>
      </c>
      <c r="B152" s="4" t="s">
        <v>22</v>
      </c>
      <c r="C152" s="5" t="s">
        <v>1374</v>
      </c>
      <c r="D152" s="5" t="s">
        <v>1375</v>
      </c>
      <c r="E152" s="5" t="s">
        <v>1346</v>
      </c>
      <c r="F152" s="5" t="s">
        <v>574</v>
      </c>
      <c r="G152" s="13">
        <v>46274</v>
      </c>
      <c r="H152" s="13">
        <v>46275</v>
      </c>
      <c r="I152" s="9">
        <f t="shared" si="4"/>
        <v>2</v>
      </c>
      <c r="J152" s="5" t="s">
        <v>1651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4">
        <v>5</v>
      </c>
      <c r="AH152" s="4">
        <v>2</v>
      </c>
      <c r="AI152" s="4">
        <v>1</v>
      </c>
      <c r="AJ152" s="4">
        <v>2</v>
      </c>
      <c r="AK152" s="4">
        <v>7</v>
      </c>
      <c r="AL152" s="4">
        <v>3</v>
      </c>
      <c r="AM152" s="4">
        <v>1</v>
      </c>
      <c r="AN152" s="4">
        <v>0</v>
      </c>
      <c r="AO152" s="4">
        <v>2</v>
      </c>
      <c r="AP152" s="4"/>
      <c r="AQ152" s="4">
        <v>0</v>
      </c>
      <c r="AR152" s="4">
        <v>1</v>
      </c>
      <c r="AS152" s="4">
        <f t="shared" si="5"/>
        <v>23</v>
      </c>
      <c r="AT152" s="9" t="s">
        <v>1354</v>
      </c>
    </row>
    <row r="153" spans="1:46" x14ac:dyDescent="0.2">
      <c r="A153" s="4">
        <v>3980</v>
      </c>
      <c r="B153" s="4" t="s">
        <v>22</v>
      </c>
      <c r="C153" s="5" t="s">
        <v>1508</v>
      </c>
      <c r="D153" s="5" t="s">
        <v>1509</v>
      </c>
      <c r="E153" s="5" t="s">
        <v>873</v>
      </c>
      <c r="F153" s="5" t="s">
        <v>574</v>
      </c>
      <c r="G153" s="13">
        <v>46274</v>
      </c>
      <c r="H153" s="13">
        <v>46275</v>
      </c>
      <c r="I153" s="9">
        <f t="shared" si="4"/>
        <v>2</v>
      </c>
      <c r="J153" s="5" t="s">
        <v>1651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4">
        <v>2</v>
      </c>
      <c r="AH153" s="4">
        <v>1</v>
      </c>
      <c r="AI153" s="4">
        <v>1</v>
      </c>
      <c r="AJ153" s="4">
        <v>2</v>
      </c>
      <c r="AK153" s="4">
        <v>3</v>
      </c>
      <c r="AL153" s="4">
        <v>2</v>
      </c>
      <c r="AM153" s="4">
        <v>1</v>
      </c>
      <c r="AN153" s="4">
        <v>0</v>
      </c>
      <c r="AO153" s="4">
        <v>1</v>
      </c>
      <c r="AP153" s="4"/>
      <c r="AQ153" s="4">
        <v>0</v>
      </c>
      <c r="AR153" s="4">
        <v>1</v>
      </c>
      <c r="AS153" s="4">
        <f t="shared" si="5"/>
        <v>13</v>
      </c>
      <c r="AT153" s="9" t="s">
        <v>888</v>
      </c>
    </row>
    <row r="154" spans="1:46" x14ac:dyDescent="0.2">
      <c r="A154" s="4">
        <v>7940</v>
      </c>
      <c r="B154" s="4" t="s">
        <v>22</v>
      </c>
      <c r="C154" s="5" t="s">
        <v>1564</v>
      </c>
      <c r="D154" s="5" t="s">
        <v>1565</v>
      </c>
      <c r="E154" s="5" t="s">
        <v>1512</v>
      </c>
      <c r="F154" s="5" t="s">
        <v>574</v>
      </c>
      <c r="G154" s="13">
        <v>46274</v>
      </c>
      <c r="H154" s="13">
        <v>46274</v>
      </c>
      <c r="I154" s="9">
        <f t="shared" si="4"/>
        <v>1</v>
      </c>
      <c r="J154" s="5" t="s">
        <v>1651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4">
        <v>4</v>
      </c>
      <c r="AH154" s="4">
        <v>2</v>
      </c>
      <c r="AI154" s="4">
        <v>1</v>
      </c>
      <c r="AJ154" s="4">
        <v>2</v>
      </c>
      <c r="AK154" s="4">
        <v>6</v>
      </c>
      <c r="AL154" s="4">
        <v>3</v>
      </c>
      <c r="AM154" s="4">
        <v>1</v>
      </c>
      <c r="AN154" s="4">
        <v>0</v>
      </c>
      <c r="AO154" s="4">
        <v>1</v>
      </c>
      <c r="AP154" s="4"/>
      <c r="AQ154" s="4">
        <v>0</v>
      </c>
      <c r="AR154" s="4">
        <v>1</v>
      </c>
      <c r="AS154" s="4">
        <f t="shared" si="5"/>
        <v>20</v>
      </c>
      <c r="AT154" s="9" t="s">
        <v>1559</v>
      </c>
    </row>
    <row r="155" spans="1:46" x14ac:dyDescent="0.2">
      <c r="A155" s="4">
        <v>8103</v>
      </c>
      <c r="B155" s="4" t="s">
        <v>22</v>
      </c>
      <c r="C155" s="5" t="s">
        <v>1294</v>
      </c>
      <c r="D155" s="5" t="s">
        <v>1295</v>
      </c>
      <c r="E155" s="5" t="s">
        <v>1569</v>
      </c>
      <c r="F155" s="5" t="s">
        <v>68</v>
      </c>
      <c r="G155" s="13">
        <v>46274</v>
      </c>
      <c r="H155" s="13">
        <v>46275</v>
      </c>
      <c r="I155" s="9">
        <f t="shared" si="4"/>
        <v>2</v>
      </c>
      <c r="J155" s="5" t="s">
        <v>1651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4">
        <v>5</v>
      </c>
      <c r="AH155" s="4">
        <v>4</v>
      </c>
      <c r="AI155" s="4">
        <v>1</v>
      </c>
      <c r="AJ155" s="4">
        <v>3</v>
      </c>
      <c r="AK155" s="4">
        <v>8</v>
      </c>
      <c r="AL155" s="4">
        <v>5</v>
      </c>
      <c r="AM155" s="4">
        <v>2</v>
      </c>
      <c r="AN155" s="4">
        <v>0</v>
      </c>
      <c r="AO155" s="4">
        <v>1</v>
      </c>
      <c r="AP155" s="4"/>
      <c r="AQ155" s="4">
        <v>0</v>
      </c>
      <c r="AR155" s="4">
        <v>1</v>
      </c>
      <c r="AS155" s="4">
        <f t="shared" si="5"/>
        <v>29</v>
      </c>
      <c r="AT155" s="9" t="s">
        <v>1570</v>
      </c>
    </row>
    <row r="156" spans="1:46" x14ac:dyDescent="0.2">
      <c r="A156" s="4">
        <v>8110</v>
      </c>
      <c r="B156" s="4" t="s">
        <v>22</v>
      </c>
      <c r="C156" s="5" t="s">
        <v>1574</v>
      </c>
      <c r="D156" s="5" t="s">
        <v>1575</v>
      </c>
      <c r="E156" s="5" t="s">
        <v>1569</v>
      </c>
      <c r="F156" s="5" t="s">
        <v>68</v>
      </c>
      <c r="G156" s="13">
        <v>46274</v>
      </c>
      <c r="H156" s="13">
        <v>46275</v>
      </c>
      <c r="I156" s="9">
        <f t="shared" si="4"/>
        <v>2</v>
      </c>
      <c r="J156" s="5" t="s">
        <v>1651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4">
        <v>2</v>
      </c>
      <c r="AH156" s="4">
        <v>1</v>
      </c>
      <c r="AI156" s="4">
        <v>1</v>
      </c>
      <c r="AJ156" s="4">
        <v>2</v>
      </c>
      <c r="AK156" s="4">
        <v>3</v>
      </c>
      <c r="AL156" s="4">
        <v>2</v>
      </c>
      <c r="AM156" s="4">
        <v>1</v>
      </c>
      <c r="AN156" s="4">
        <v>0</v>
      </c>
      <c r="AO156" s="4">
        <v>1</v>
      </c>
      <c r="AP156" s="4"/>
      <c r="AQ156" s="4">
        <v>0</v>
      </c>
      <c r="AR156" s="4">
        <v>1</v>
      </c>
      <c r="AS156" s="4">
        <f t="shared" si="5"/>
        <v>13</v>
      </c>
      <c r="AT156" s="9" t="s">
        <v>1576</v>
      </c>
    </row>
    <row r="157" spans="1:46" x14ac:dyDescent="0.2">
      <c r="A157" s="4">
        <v>8623</v>
      </c>
      <c r="B157" s="4" t="s">
        <v>22</v>
      </c>
      <c r="C157" s="5" t="s">
        <v>1610</v>
      </c>
      <c r="D157" s="5" t="s">
        <v>1611</v>
      </c>
      <c r="E157" s="5" t="s">
        <v>1600</v>
      </c>
      <c r="F157" s="5" t="s">
        <v>331</v>
      </c>
      <c r="G157" s="13">
        <v>46274</v>
      </c>
      <c r="H157" s="13">
        <v>46275</v>
      </c>
      <c r="I157" s="9">
        <f t="shared" si="4"/>
        <v>2</v>
      </c>
      <c r="J157" s="5" t="s">
        <v>1651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4">
        <v>2</v>
      </c>
      <c r="AH157" s="4">
        <v>2</v>
      </c>
      <c r="AI157" s="4">
        <v>1</v>
      </c>
      <c r="AJ157" s="4">
        <v>2</v>
      </c>
      <c r="AK157" s="4">
        <v>4</v>
      </c>
      <c r="AL157" s="4">
        <v>2</v>
      </c>
      <c r="AM157" s="4">
        <v>1</v>
      </c>
      <c r="AN157" s="4">
        <v>0</v>
      </c>
      <c r="AO157" s="4">
        <v>1</v>
      </c>
      <c r="AP157" s="4"/>
      <c r="AQ157" s="4">
        <v>0</v>
      </c>
      <c r="AR157" s="4">
        <v>1</v>
      </c>
      <c r="AS157" s="4">
        <f t="shared" si="5"/>
        <v>15</v>
      </c>
      <c r="AT157" s="9" t="s">
        <v>1601</v>
      </c>
    </row>
    <row r="158" spans="1:46" x14ac:dyDescent="0.2">
      <c r="A158" s="4">
        <v>1265</v>
      </c>
      <c r="B158" s="4" t="s">
        <v>22</v>
      </c>
      <c r="C158" s="5" t="s">
        <v>110</v>
      </c>
      <c r="D158" s="5" t="s">
        <v>111</v>
      </c>
      <c r="E158" s="5" t="s">
        <v>67</v>
      </c>
      <c r="F158" s="5" t="s">
        <v>98</v>
      </c>
      <c r="G158" s="13">
        <v>46275</v>
      </c>
      <c r="H158" s="13">
        <v>46275</v>
      </c>
      <c r="I158" s="9">
        <f t="shared" si="4"/>
        <v>1</v>
      </c>
      <c r="J158" s="5" t="s">
        <v>1651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4">
        <v>3</v>
      </c>
      <c r="AH158" s="4">
        <v>2</v>
      </c>
      <c r="AI158" s="4">
        <v>1</v>
      </c>
      <c r="AJ158" s="4">
        <v>2</v>
      </c>
      <c r="AK158" s="4">
        <v>5</v>
      </c>
      <c r="AL158" s="4">
        <v>3</v>
      </c>
      <c r="AM158" s="4">
        <v>1</v>
      </c>
      <c r="AN158" s="4">
        <v>0</v>
      </c>
      <c r="AO158" s="4">
        <v>1</v>
      </c>
      <c r="AP158" s="4"/>
      <c r="AQ158" s="4">
        <v>0</v>
      </c>
      <c r="AR158" s="4">
        <v>1</v>
      </c>
      <c r="AS158" s="4">
        <f t="shared" si="5"/>
        <v>18</v>
      </c>
      <c r="AT158" s="5" t="s">
        <v>99</v>
      </c>
    </row>
    <row r="159" spans="1:46" x14ac:dyDescent="0.2">
      <c r="A159" s="4">
        <v>1341</v>
      </c>
      <c r="B159" s="4" t="s">
        <v>22</v>
      </c>
      <c r="C159" s="5" t="s">
        <v>162</v>
      </c>
      <c r="D159" s="5" t="s">
        <v>163</v>
      </c>
      <c r="E159" s="5" t="s">
        <v>118</v>
      </c>
      <c r="F159" s="5" t="s">
        <v>119</v>
      </c>
      <c r="G159" s="13">
        <v>46275</v>
      </c>
      <c r="H159" s="13">
        <v>46275</v>
      </c>
      <c r="I159" s="9">
        <f t="shared" si="4"/>
        <v>1</v>
      </c>
      <c r="J159" s="5" t="s">
        <v>1651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4">
        <v>2</v>
      </c>
      <c r="AH159" s="4">
        <v>2</v>
      </c>
      <c r="AI159" s="4">
        <v>1</v>
      </c>
      <c r="AJ159" s="4">
        <v>2</v>
      </c>
      <c r="AK159" s="4">
        <v>3</v>
      </c>
      <c r="AL159" s="4">
        <v>2</v>
      </c>
      <c r="AM159" s="4">
        <v>1</v>
      </c>
      <c r="AN159" s="4">
        <v>0</v>
      </c>
      <c r="AO159" s="4">
        <v>1</v>
      </c>
      <c r="AP159" s="4"/>
      <c r="AQ159" s="4">
        <v>0</v>
      </c>
      <c r="AR159" s="4">
        <v>1</v>
      </c>
      <c r="AS159" s="4">
        <f t="shared" si="5"/>
        <v>14</v>
      </c>
      <c r="AT159" s="4" t="s">
        <v>120</v>
      </c>
    </row>
    <row r="160" spans="1:46" x14ac:dyDescent="0.2">
      <c r="A160" s="4">
        <v>1342</v>
      </c>
      <c r="B160" s="4" t="s">
        <v>22</v>
      </c>
      <c r="C160" s="5" t="s">
        <v>164</v>
      </c>
      <c r="D160" s="5" t="s">
        <v>165</v>
      </c>
      <c r="E160" s="5" t="s">
        <v>118</v>
      </c>
      <c r="F160" s="5" t="s">
        <v>119</v>
      </c>
      <c r="G160" s="13">
        <v>46275</v>
      </c>
      <c r="H160" s="13">
        <v>46275</v>
      </c>
      <c r="I160" s="9">
        <f t="shared" si="4"/>
        <v>1</v>
      </c>
      <c r="J160" s="5" t="s">
        <v>1651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4">
        <v>3</v>
      </c>
      <c r="AH160" s="4">
        <v>5</v>
      </c>
      <c r="AI160" s="4">
        <v>1</v>
      </c>
      <c r="AJ160" s="4">
        <v>2</v>
      </c>
      <c r="AK160" s="4">
        <v>8</v>
      </c>
      <c r="AL160" s="4">
        <v>2</v>
      </c>
      <c r="AM160" s="4">
        <v>1</v>
      </c>
      <c r="AN160" s="4">
        <v>0</v>
      </c>
      <c r="AO160" s="4">
        <v>1</v>
      </c>
      <c r="AP160" s="4"/>
      <c r="AQ160" s="4">
        <v>2</v>
      </c>
      <c r="AR160" s="4">
        <v>1</v>
      </c>
      <c r="AS160" s="4">
        <f t="shared" si="5"/>
        <v>25</v>
      </c>
      <c r="AT160" s="4" t="s">
        <v>120</v>
      </c>
    </row>
    <row r="161" spans="1:46" x14ac:dyDescent="0.2">
      <c r="A161" s="4">
        <v>1446</v>
      </c>
      <c r="B161" s="4" t="s">
        <v>22</v>
      </c>
      <c r="C161" s="5" t="s">
        <v>289</v>
      </c>
      <c r="D161" s="5" t="s">
        <v>290</v>
      </c>
      <c r="E161" s="5" t="s">
        <v>118</v>
      </c>
      <c r="F161" s="5" t="s">
        <v>119</v>
      </c>
      <c r="G161" s="13">
        <v>46275</v>
      </c>
      <c r="H161" s="13">
        <v>46275</v>
      </c>
      <c r="I161" s="9">
        <f t="shared" si="4"/>
        <v>1</v>
      </c>
      <c r="J161" s="5" t="s">
        <v>1651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4">
        <v>5</v>
      </c>
      <c r="AH161" s="4">
        <v>3</v>
      </c>
      <c r="AI161" s="4">
        <v>1</v>
      </c>
      <c r="AJ161" s="4">
        <v>3</v>
      </c>
      <c r="AK161" s="4">
        <v>8</v>
      </c>
      <c r="AL161" s="4">
        <v>4</v>
      </c>
      <c r="AM161" s="4">
        <v>2</v>
      </c>
      <c r="AN161" s="4">
        <v>0</v>
      </c>
      <c r="AO161" s="4">
        <v>1</v>
      </c>
      <c r="AP161" s="4"/>
      <c r="AQ161" s="4">
        <v>0</v>
      </c>
      <c r="AR161" s="4">
        <v>1</v>
      </c>
      <c r="AS161" s="4">
        <f t="shared" si="5"/>
        <v>27</v>
      </c>
      <c r="AT161" s="4" t="s">
        <v>137</v>
      </c>
    </row>
    <row r="162" spans="1:46" x14ac:dyDescent="0.2">
      <c r="A162" s="4">
        <v>1505</v>
      </c>
      <c r="B162" s="4" t="s">
        <v>22</v>
      </c>
      <c r="C162" s="5" t="s">
        <v>340</v>
      </c>
      <c r="D162" s="5" t="s">
        <v>341</v>
      </c>
      <c r="E162" s="5" t="s">
        <v>330</v>
      </c>
      <c r="F162" s="5" t="s">
        <v>331</v>
      </c>
      <c r="G162" s="13">
        <v>46275</v>
      </c>
      <c r="H162" s="13">
        <v>46276</v>
      </c>
      <c r="I162" s="9">
        <f t="shared" si="4"/>
        <v>2</v>
      </c>
      <c r="J162" s="5" t="s">
        <v>1651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4">
        <v>2</v>
      </c>
      <c r="AH162" s="4">
        <v>1</v>
      </c>
      <c r="AI162" s="4">
        <v>1</v>
      </c>
      <c r="AJ162" s="4">
        <v>2</v>
      </c>
      <c r="AK162" s="4">
        <v>3</v>
      </c>
      <c r="AL162" s="4">
        <v>2</v>
      </c>
      <c r="AM162" s="4">
        <v>1</v>
      </c>
      <c r="AN162" s="4">
        <v>0</v>
      </c>
      <c r="AO162" s="4">
        <v>1</v>
      </c>
      <c r="AP162" s="4"/>
      <c r="AQ162" s="4">
        <v>1</v>
      </c>
      <c r="AR162" s="4">
        <v>1</v>
      </c>
      <c r="AS162" s="4">
        <f t="shared" si="5"/>
        <v>14</v>
      </c>
      <c r="AT162" s="9" t="s">
        <v>342</v>
      </c>
    </row>
    <row r="163" spans="1:46" x14ac:dyDescent="0.2">
      <c r="A163" s="4">
        <v>1518</v>
      </c>
      <c r="B163" s="4" t="s">
        <v>22</v>
      </c>
      <c r="C163" s="5" t="s">
        <v>362</v>
      </c>
      <c r="D163" s="5" t="s">
        <v>363</v>
      </c>
      <c r="E163" s="5" t="s">
        <v>330</v>
      </c>
      <c r="F163" s="5" t="s">
        <v>331</v>
      </c>
      <c r="G163" s="13">
        <v>46275</v>
      </c>
      <c r="H163" s="13">
        <v>46276</v>
      </c>
      <c r="I163" s="9">
        <f t="shared" si="4"/>
        <v>2</v>
      </c>
      <c r="J163" s="5" t="s">
        <v>1651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4">
        <v>2</v>
      </c>
      <c r="AH163" s="4">
        <v>2</v>
      </c>
      <c r="AI163" s="4">
        <v>1</v>
      </c>
      <c r="AJ163" s="4">
        <v>2</v>
      </c>
      <c r="AK163" s="4">
        <v>5</v>
      </c>
      <c r="AL163" s="4">
        <v>2</v>
      </c>
      <c r="AM163" s="4">
        <v>1</v>
      </c>
      <c r="AN163" s="4">
        <v>0</v>
      </c>
      <c r="AO163" s="4">
        <v>1</v>
      </c>
      <c r="AP163" s="4"/>
      <c r="AQ163" s="4">
        <v>0</v>
      </c>
      <c r="AR163" s="4">
        <v>1</v>
      </c>
      <c r="AS163" s="4">
        <f t="shared" si="5"/>
        <v>16</v>
      </c>
      <c r="AT163" s="9" t="s">
        <v>364</v>
      </c>
    </row>
    <row r="164" spans="1:46" x14ac:dyDescent="0.2">
      <c r="A164" s="4">
        <v>1553</v>
      </c>
      <c r="B164" s="4" t="s">
        <v>22</v>
      </c>
      <c r="C164" s="5" t="s">
        <v>407</v>
      </c>
      <c r="D164" s="5" t="s">
        <v>408</v>
      </c>
      <c r="E164" s="5" t="s">
        <v>330</v>
      </c>
      <c r="F164" s="5" t="s">
        <v>331</v>
      </c>
      <c r="G164" s="13">
        <v>46275</v>
      </c>
      <c r="H164" s="13">
        <v>46276</v>
      </c>
      <c r="I164" s="9">
        <f t="shared" si="4"/>
        <v>2</v>
      </c>
      <c r="J164" s="5" t="s">
        <v>1651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4">
        <v>2</v>
      </c>
      <c r="AH164" s="4">
        <v>1</v>
      </c>
      <c r="AI164" s="4">
        <v>1</v>
      </c>
      <c r="AJ164" s="4">
        <v>2</v>
      </c>
      <c r="AK164" s="4">
        <v>3</v>
      </c>
      <c r="AL164" s="4">
        <v>2</v>
      </c>
      <c r="AM164" s="4">
        <v>1</v>
      </c>
      <c r="AN164" s="4">
        <v>0</v>
      </c>
      <c r="AO164" s="4">
        <v>1</v>
      </c>
      <c r="AP164" s="4"/>
      <c r="AQ164" s="4">
        <v>0</v>
      </c>
      <c r="AR164" s="4">
        <v>1</v>
      </c>
      <c r="AS164" s="4">
        <f t="shared" si="5"/>
        <v>13</v>
      </c>
      <c r="AT164" s="9" t="s">
        <v>77</v>
      </c>
    </row>
    <row r="165" spans="1:46" x14ac:dyDescent="0.2">
      <c r="A165" s="4">
        <v>1577</v>
      </c>
      <c r="B165" s="4" t="s">
        <v>22</v>
      </c>
      <c r="C165" s="5" t="s">
        <v>441</v>
      </c>
      <c r="D165" s="5" t="s">
        <v>442</v>
      </c>
      <c r="E165" s="5" t="s">
        <v>330</v>
      </c>
      <c r="F165" s="5" t="s">
        <v>331</v>
      </c>
      <c r="G165" s="13">
        <v>46275</v>
      </c>
      <c r="H165" s="13">
        <v>46276</v>
      </c>
      <c r="I165" s="9">
        <f t="shared" si="4"/>
        <v>2</v>
      </c>
      <c r="J165" s="5" t="s">
        <v>1651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4">
        <v>2</v>
      </c>
      <c r="AH165" s="4">
        <v>2</v>
      </c>
      <c r="AI165" s="4">
        <v>1</v>
      </c>
      <c r="AJ165" s="4">
        <v>2</v>
      </c>
      <c r="AK165" s="4">
        <v>3</v>
      </c>
      <c r="AL165" s="4">
        <v>2</v>
      </c>
      <c r="AM165" s="4">
        <v>1</v>
      </c>
      <c r="AN165" s="4">
        <v>0</v>
      </c>
      <c r="AO165" s="4">
        <v>1</v>
      </c>
      <c r="AP165" s="4"/>
      <c r="AQ165" s="4">
        <v>0</v>
      </c>
      <c r="AR165" s="4">
        <v>1</v>
      </c>
      <c r="AS165" s="4">
        <f t="shared" si="5"/>
        <v>14</v>
      </c>
      <c r="AT165" s="9" t="s">
        <v>335</v>
      </c>
    </row>
    <row r="166" spans="1:46" x14ac:dyDescent="0.2">
      <c r="A166" s="4">
        <v>1578</v>
      </c>
      <c r="B166" s="4" t="s">
        <v>22</v>
      </c>
      <c r="C166" s="5" t="s">
        <v>443</v>
      </c>
      <c r="D166" s="5" t="s">
        <v>444</v>
      </c>
      <c r="E166" s="5" t="s">
        <v>330</v>
      </c>
      <c r="F166" s="5" t="s">
        <v>331</v>
      </c>
      <c r="G166" s="13">
        <v>46275</v>
      </c>
      <c r="H166" s="13">
        <v>46276</v>
      </c>
      <c r="I166" s="9">
        <f t="shared" si="4"/>
        <v>2</v>
      </c>
      <c r="J166" s="5" t="s">
        <v>1651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4">
        <v>3</v>
      </c>
      <c r="AH166" s="4">
        <v>1</v>
      </c>
      <c r="AI166" s="4">
        <v>1</v>
      </c>
      <c r="AJ166" s="4">
        <v>2</v>
      </c>
      <c r="AK166" s="4">
        <v>4</v>
      </c>
      <c r="AL166" s="4">
        <v>3</v>
      </c>
      <c r="AM166" s="4">
        <v>1</v>
      </c>
      <c r="AN166" s="4">
        <v>0</v>
      </c>
      <c r="AO166" s="4">
        <v>1</v>
      </c>
      <c r="AP166" s="4"/>
      <c r="AQ166" s="4">
        <v>0</v>
      </c>
      <c r="AR166" s="4">
        <v>1</v>
      </c>
      <c r="AS166" s="4">
        <f t="shared" si="5"/>
        <v>16</v>
      </c>
      <c r="AT166" s="9" t="s">
        <v>332</v>
      </c>
    </row>
    <row r="167" spans="1:46" x14ac:dyDescent="0.2">
      <c r="A167" s="4">
        <v>1648</v>
      </c>
      <c r="B167" s="4" t="s">
        <v>22</v>
      </c>
      <c r="C167" s="5" t="s">
        <v>490</v>
      </c>
      <c r="D167" s="5" t="s">
        <v>491</v>
      </c>
      <c r="E167" s="5" t="s">
        <v>72</v>
      </c>
      <c r="F167" s="5" t="s">
        <v>68</v>
      </c>
      <c r="G167" s="13">
        <v>46275</v>
      </c>
      <c r="H167" s="13">
        <v>46275</v>
      </c>
      <c r="I167" s="9">
        <f t="shared" si="4"/>
        <v>1</v>
      </c>
      <c r="J167" s="5" t="s">
        <v>1651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4">
        <v>2</v>
      </c>
      <c r="AH167" s="4">
        <v>1</v>
      </c>
      <c r="AI167" s="4">
        <v>1</v>
      </c>
      <c r="AJ167" s="4">
        <v>2</v>
      </c>
      <c r="AK167" s="4">
        <v>4</v>
      </c>
      <c r="AL167" s="4">
        <v>2</v>
      </c>
      <c r="AM167" s="4">
        <v>1</v>
      </c>
      <c r="AN167" s="4">
        <v>0</v>
      </c>
      <c r="AO167" s="4">
        <v>1</v>
      </c>
      <c r="AP167" s="4"/>
      <c r="AQ167" s="4">
        <v>0</v>
      </c>
      <c r="AR167" s="4">
        <v>1</v>
      </c>
      <c r="AS167" s="4">
        <f t="shared" si="5"/>
        <v>14</v>
      </c>
      <c r="AT167" s="9" t="s">
        <v>480</v>
      </c>
    </row>
    <row r="168" spans="1:46" x14ac:dyDescent="0.2">
      <c r="A168" s="4">
        <v>2171</v>
      </c>
      <c r="B168" s="4" t="s">
        <v>22</v>
      </c>
      <c r="C168" s="5" t="s">
        <v>591</v>
      </c>
      <c r="D168" s="5" t="s">
        <v>592</v>
      </c>
      <c r="E168" s="5" t="s">
        <v>545</v>
      </c>
      <c r="F168" s="5" t="s">
        <v>546</v>
      </c>
      <c r="G168" s="13">
        <v>46275</v>
      </c>
      <c r="H168" s="13">
        <v>46275</v>
      </c>
      <c r="I168" s="9">
        <f t="shared" si="4"/>
        <v>1</v>
      </c>
      <c r="J168" s="5" t="s">
        <v>1651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4">
        <v>2</v>
      </c>
      <c r="AH168" s="4">
        <v>1</v>
      </c>
      <c r="AI168" s="4">
        <v>1</v>
      </c>
      <c r="AJ168" s="4">
        <v>2</v>
      </c>
      <c r="AK168" s="4">
        <v>3</v>
      </c>
      <c r="AL168" s="4">
        <v>2</v>
      </c>
      <c r="AM168" s="4">
        <v>1</v>
      </c>
      <c r="AN168" s="4">
        <v>0</v>
      </c>
      <c r="AO168" s="4">
        <v>1</v>
      </c>
      <c r="AP168" s="4"/>
      <c r="AQ168" s="4">
        <v>0</v>
      </c>
      <c r="AR168" s="4">
        <v>1</v>
      </c>
      <c r="AS168" s="4">
        <f t="shared" si="5"/>
        <v>13</v>
      </c>
      <c r="AT168" s="9" t="s">
        <v>547</v>
      </c>
    </row>
    <row r="169" spans="1:46" x14ac:dyDescent="0.2">
      <c r="A169" s="4">
        <v>2172</v>
      </c>
      <c r="B169" s="4" t="s">
        <v>22</v>
      </c>
      <c r="C169" s="5" t="s">
        <v>593</v>
      </c>
      <c r="D169" s="5" t="s">
        <v>594</v>
      </c>
      <c r="E169" s="5" t="s">
        <v>545</v>
      </c>
      <c r="F169" s="5" t="s">
        <v>546</v>
      </c>
      <c r="G169" s="13">
        <v>46275</v>
      </c>
      <c r="H169" s="13">
        <v>46275</v>
      </c>
      <c r="I169" s="9">
        <f t="shared" si="4"/>
        <v>1</v>
      </c>
      <c r="J169" s="5" t="s">
        <v>1651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4">
        <v>2</v>
      </c>
      <c r="AH169" s="4">
        <v>1</v>
      </c>
      <c r="AI169" s="4">
        <v>1</v>
      </c>
      <c r="AJ169" s="4">
        <v>2</v>
      </c>
      <c r="AK169" s="4">
        <v>3</v>
      </c>
      <c r="AL169" s="4">
        <v>2</v>
      </c>
      <c r="AM169" s="4">
        <v>1</v>
      </c>
      <c r="AN169" s="4">
        <v>0</v>
      </c>
      <c r="AO169" s="4">
        <v>1</v>
      </c>
      <c r="AP169" s="4"/>
      <c r="AQ169" s="4">
        <v>1</v>
      </c>
      <c r="AR169" s="4">
        <v>1</v>
      </c>
      <c r="AS169" s="4">
        <f t="shared" si="5"/>
        <v>14</v>
      </c>
      <c r="AT169" s="9" t="s">
        <v>547</v>
      </c>
    </row>
    <row r="170" spans="1:46" x14ac:dyDescent="0.2">
      <c r="A170" s="4">
        <v>2408</v>
      </c>
      <c r="B170" s="4" t="s">
        <v>22</v>
      </c>
      <c r="C170" s="10" t="s">
        <v>614</v>
      </c>
      <c r="D170" s="5" t="s">
        <v>615</v>
      </c>
      <c r="E170" s="5" t="s">
        <v>604</v>
      </c>
      <c r="F170" s="5" t="s">
        <v>68</v>
      </c>
      <c r="G170" s="13">
        <v>46275</v>
      </c>
      <c r="H170" s="13">
        <v>46275</v>
      </c>
      <c r="I170" s="9">
        <f t="shared" si="4"/>
        <v>1</v>
      </c>
      <c r="J170" s="5" t="s">
        <v>1651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4">
        <v>4</v>
      </c>
      <c r="AH170" s="4">
        <v>5</v>
      </c>
      <c r="AI170" s="4">
        <v>1</v>
      </c>
      <c r="AJ170" s="4">
        <v>3</v>
      </c>
      <c r="AK170" s="4">
        <v>8</v>
      </c>
      <c r="AL170" s="4">
        <v>4</v>
      </c>
      <c r="AM170" s="4">
        <v>2</v>
      </c>
      <c r="AN170" s="4">
        <v>0</v>
      </c>
      <c r="AO170" s="4">
        <v>1</v>
      </c>
      <c r="AP170" s="4"/>
      <c r="AQ170" s="4">
        <v>0</v>
      </c>
      <c r="AR170" s="4">
        <v>1</v>
      </c>
      <c r="AS170" s="4">
        <f t="shared" si="5"/>
        <v>28</v>
      </c>
      <c r="AT170" s="9" t="s">
        <v>616</v>
      </c>
    </row>
    <row r="171" spans="1:46" x14ac:dyDescent="0.2">
      <c r="A171" s="4">
        <v>2715</v>
      </c>
      <c r="B171" s="4" t="s">
        <v>22</v>
      </c>
      <c r="C171" s="5" t="s">
        <v>667</v>
      </c>
      <c r="D171" s="5" t="s">
        <v>668</v>
      </c>
      <c r="E171" s="5" t="s">
        <v>661</v>
      </c>
      <c r="F171" s="5" t="s">
        <v>68</v>
      </c>
      <c r="G171" s="13">
        <v>46275</v>
      </c>
      <c r="H171" s="13">
        <v>46275</v>
      </c>
      <c r="I171" s="9">
        <f t="shared" si="4"/>
        <v>1</v>
      </c>
      <c r="J171" s="5" t="s">
        <v>1651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4">
        <v>5</v>
      </c>
      <c r="AH171" s="4">
        <v>4</v>
      </c>
      <c r="AI171" s="4">
        <v>1</v>
      </c>
      <c r="AJ171" s="4">
        <v>3</v>
      </c>
      <c r="AK171" s="4">
        <v>9</v>
      </c>
      <c r="AL171" s="4">
        <v>4</v>
      </c>
      <c r="AM171" s="4">
        <v>2</v>
      </c>
      <c r="AN171" s="4">
        <v>0</v>
      </c>
      <c r="AO171" s="4">
        <v>1</v>
      </c>
      <c r="AP171" s="4"/>
      <c r="AQ171" s="4">
        <v>0</v>
      </c>
      <c r="AR171" s="4">
        <v>1</v>
      </c>
      <c r="AS171" s="4">
        <f t="shared" si="5"/>
        <v>29</v>
      </c>
      <c r="AT171" s="9" t="s">
        <v>69</v>
      </c>
    </row>
    <row r="172" spans="1:46" x14ac:dyDescent="0.2">
      <c r="A172" s="4">
        <v>2721</v>
      </c>
      <c r="B172" s="4" t="s">
        <v>22</v>
      </c>
      <c r="C172" s="5" t="s">
        <v>673</v>
      </c>
      <c r="D172" s="5" t="s">
        <v>674</v>
      </c>
      <c r="E172" s="5" t="s">
        <v>661</v>
      </c>
      <c r="F172" s="5" t="s">
        <v>68</v>
      </c>
      <c r="G172" s="13">
        <v>46275</v>
      </c>
      <c r="H172" s="13">
        <v>46275</v>
      </c>
      <c r="I172" s="9">
        <f t="shared" si="4"/>
        <v>1</v>
      </c>
      <c r="J172" s="5" t="s">
        <v>1651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4">
        <v>2</v>
      </c>
      <c r="AH172" s="4">
        <v>1</v>
      </c>
      <c r="AI172" s="4">
        <v>1</v>
      </c>
      <c r="AJ172" s="4">
        <v>2</v>
      </c>
      <c r="AK172" s="4">
        <v>4</v>
      </c>
      <c r="AL172" s="4">
        <v>2</v>
      </c>
      <c r="AM172" s="4">
        <v>1</v>
      </c>
      <c r="AN172" s="4">
        <v>0</v>
      </c>
      <c r="AO172" s="4">
        <v>1</v>
      </c>
      <c r="AP172" s="4"/>
      <c r="AQ172" s="4">
        <v>0</v>
      </c>
      <c r="AR172" s="4">
        <v>1</v>
      </c>
      <c r="AS172" s="4">
        <f t="shared" si="5"/>
        <v>14</v>
      </c>
      <c r="AT172" s="9" t="s">
        <v>675</v>
      </c>
    </row>
    <row r="173" spans="1:46" x14ac:dyDescent="0.2">
      <c r="A173" s="4">
        <v>3130</v>
      </c>
      <c r="B173" s="4" t="s">
        <v>22</v>
      </c>
      <c r="C173" s="5" t="s">
        <v>753</v>
      </c>
      <c r="D173" s="5" t="s">
        <v>754</v>
      </c>
      <c r="E173" s="5" t="s">
        <v>36</v>
      </c>
      <c r="F173" s="5" t="s">
        <v>26</v>
      </c>
      <c r="G173" s="13">
        <v>46275</v>
      </c>
      <c r="H173" s="13">
        <v>46275</v>
      </c>
      <c r="I173" s="9">
        <f t="shared" si="4"/>
        <v>1</v>
      </c>
      <c r="J173" s="5" t="s">
        <v>1651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4">
        <v>4</v>
      </c>
      <c r="AH173" s="4">
        <v>4</v>
      </c>
      <c r="AI173" s="4">
        <v>1</v>
      </c>
      <c r="AJ173" s="4">
        <v>2</v>
      </c>
      <c r="AK173" s="4">
        <v>7</v>
      </c>
      <c r="AL173" s="4">
        <v>3</v>
      </c>
      <c r="AM173" s="4">
        <v>1</v>
      </c>
      <c r="AN173" s="4">
        <v>0</v>
      </c>
      <c r="AO173" s="4">
        <v>1</v>
      </c>
      <c r="AP173" s="7"/>
      <c r="AQ173" s="4">
        <v>0</v>
      </c>
      <c r="AR173" s="4">
        <v>1</v>
      </c>
      <c r="AS173" s="4">
        <f t="shared" si="5"/>
        <v>23</v>
      </c>
      <c r="AT173" s="9" t="s">
        <v>44</v>
      </c>
    </row>
    <row r="174" spans="1:46" x14ac:dyDescent="0.2">
      <c r="A174" s="4">
        <v>3152</v>
      </c>
      <c r="B174" s="4" t="s">
        <v>22</v>
      </c>
      <c r="C174" s="5" t="s">
        <v>789</v>
      </c>
      <c r="D174" s="5" t="s">
        <v>790</v>
      </c>
      <c r="E174" s="5" t="s">
        <v>36</v>
      </c>
      <c r="F174" s="5" t="s">
        <v>26</v>
      </c>
      <c r="G174" s="13">
        <v>46275</v>
      </c>
      <c r="H174" s="13">
        <v>46275</v>
      </c>
      <c r="I174" s="9">
        <f t="shared" si="4"/>
        <v>1</v>
      </c>
      <c r="J174" s="5" t="s">
        <v>1651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4">
        <v>2</v>
      </c>
      <c r="AH174" s="4">
        <v>1</v>
      </c>
      <c r="AI174" s="4">
        <v>1</v>
      </c>
      <c r="AJ174" s="4">
        <v>2</v>
      </c>
      <c r="AK174" s="4">
        <v>3</v>
      </c>
      <c r="AL174" s="4">
        <v>2</v>
      </c>
      <c r="AM174" s="4">
        <v>1</v>
      </c>
      <c r="AN174" s="4">
        <v>0</v>
      </c>
      <c r="AO174" s="4">
        <v>1</v>
      </c>
      <c r="AP174" s="4"/>
      <c r="AQ174" s="4">
        <v>0</v>
      </c>
      <c r="AR174" s="4">
        <v>1</v>
      </c>
      <c r="AS174" s="4">
        <f t="shared" si="5"/>
        <v>13</v>
      </c>
      <c r="AT174" s="9" t="s">
        <v>51</v>
      </c>
    </row>
    <row r="175" spans="1:46" x14ac:dyDescent="0.2">
      <c r="A175" s="4">
        <v>3168</v>
      </c>
      <c r="B175" s="4" t="s">
        <v>22</v>
      </c>
      <c r="C175" s="5" t="s">
        <v>821</v>
      </c>
      <c r="D175" s="5" t="s">
        <v>822</v>
      </c>
      <c r="E175" s="5" t="s">
        <v>36</v>
      </c>
      <c r="F175" s="5" t="s">
        <v>26</v>
      </c>
      <c r="G175" s="13">
        <v>46275</v>
      </c>
      <c r="H175" s="13">
        <v>46275</v>
      </c>
      <c r="I175" s="9">
        <f t="shared" si="4"/>
        <v>1</v>
      </c>
      <c r="J175" s="5" t="s">
        <v>1651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4">
        <v>3</v>
      </c>
      <c r="AH175" s="4">
        <v>1</v>
      </c>
      <c r="AI175" s="4">
        <v>1</v>
      </c>
      <c r="AJ175" s="4">
        <v>2</v>
      </c>
      <c r="AK175" s="4">
        <v>5</v>
      </c>
      <c r="AL175" s="4">
        <v>3</v>
      </c>
      <c r="AM175" s="4">
        <v>1</v>
      </c>
      <c r="AN175" s="4">
        <v>0</v>
      </c>
      <c r="AO175" s="4">
        <v>1</v>
      </c>
      <c r="AP175" s="4"/>
      <c r="AQ175" s="4">
        <v>0</v>
      </c>
      <c r="AR175" s="4">
        <v>1</v>
      </c>
      <c r="AS175" s="4">
        <f t="shared" si="5"/>
        <v>17</v>
      </c>
      <c r="AT175" s="9" t="s">
        <v>37</v>
      </c>
    </row>
    <row r="176" spans="1:46" x14ac:dyDescent="0.2">
      <c r="A176" s="4">
        <v>3180</v>
      </c>
      <c r="B176" s="4" t="s">
        <v>22</v>
      </c>
      <c r="C176" s="5" t="s">
        <v>831</v>
      </c>
      <c r="D176" s="5" t="s">
        <v>832</v>
      </c>
      <c r="E176" s="5" t="s">
        <v>36</v>
      </c>
      <c r="F176" s="5" t="s">
        <v>331</v>
      </c>
      <c r="G176" s="13">
        <v>46275</v>
      </c>
      <c r="H176" s="13">
        <v>46276</v>
      </c>
      <c r="I176" s="9">
        <f t="shared" si="4"/>
        <v>2</v>
      </c>
      <c r="J176" s="5" t="s">
        <v>1651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4">
        <v>4</v>
      </c>
      <c r="AH176" s="4">
        <v>4</v>
      </c>
      <c r="AI176" s="4">
        <v>1</v>
      </c>
      <c r="AJ176" s="4">
        <v>2</v>
      </c>
      <c r="AK176" s="4">
        <v>8</v>
      </c>
      <c r="AL176" s="4">
        <v>3</v>
      </c>
      <c r="AM176" s="4">
        <v>1</v>
      </c>
      <c r="AN176" s="4">
        <v>0</v>
      </c>
      <c r="AO176" s="4">
        <v>2</v>
      </c>
      <c r="AP176" s="4"/>
      <c r="AQ176" s="4">
        <v>0</v>
      </c>
      <c r="AR176" s="4">
        <v>1</v>
      </c>
      <c r="AS176" s="4">
        <f t="shared" si="5"/>
        <v>25</v>
      </c>
      <c r="AT176" s="9" t="s">
        <v>64</v>
      </c>
    </row>
    <row r="177" spans="1:46" x14ac:dyDescent="0.2">
      <c r="A177" s="4">
        <v>3908</v>
      </c>
      <c r="B177" s="4" t="s">
        <v>22</v>
      </c>
      <c r="C177" s="5" t="s">
        <v>891</v>
      </c>
      <c r="D177" s="5" t="s">
        <v>892</v>
      </c>
      <c r="E177" s="5" t="s">
        <v>873</v>
      </c>
      <c r="F177" s="5" t="s">
        <v>574</v>
      </c>
      <c r="G177" s="13">
        <v>46275</v>
      </c>
      <c r="H177" s="13">
        <v>46276</v>
      </c>
      <c r="I177" s="9">
        <f t="shared" si="4"/>
        <v>2</v>
      </c>
      <c r="J177" s="5" t="s">
        <v>1651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4">
        <v>3</v>
      </c>
      <c r="AH177" s="4">
        <v>2</v>
      </c>
      <c r="AI177" s="4">
        <v>1</v>
      </c>
      <c r="AJ177" s="4">
        <v>2</v>
      </c>
      <c r="AK177" s="4">
        <v>5</v>
      </c>
      <c r="AL177" s="4">
        <v>2</v>
      </c>
      <c r="AM177" s="4">
        <v>1</v>
      </c>
      <c r="AN177" s="4">
        <v>0</v>
      </c>
      <c r="AO177" s="4">
        <v>1</v>
      </c>
      <c r="AP177" s="4"/>
      <c r="AQ177" s="4">
        <v>0</v>
      </c>
      <c r="AR177" s="4">
        <v>1</v>
      </c>
      <c r="AS177" s="4">
        <f t="shared" si="5"/>
        <v>17</v>
      </c>
      <c r="AT177" s="9" t="s">
        <v>888</v>
      </c>
    </row>
    <row r="178" spans="1:46" x14ac:dyDescent="0.2">
      <c r="A178" s="4">
        <v>3918</v>
      </c>
      <c r="B178" s="4" t="s">
        <v>22</v>
      </c>
      <c r="C178" s="5" t="s">
        <v>902</v>
      </c>
      <c r="D178" s="5" t="s">
        <v>903</v>
      </c>
      <c r="E178" s="5" t="s">
        <v>873</v>
      </c>
      <c r="F178" s="5" t="s">
        <v>574</v>
      </c>
      <c r="G178" s="13">
        <v>46275</v>
      </c>
      <c r="H178" s="13">
        <v>46275</v>
      </c>
      <c r="I178" s="9">
        <f t="shared" si="4"/>
        <v>1</v>
      </c>
      <c r="J178" s="5" t="s">
        <v>1651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4">
        <v>6</v>
      </c>
      <c r="AH178" s="4">
        <v>3</v>
      </c>
      <c r="AI178" s="4">
        <v>1</v>
      </c>
      <c r="AJ178" s="4">
        <v>3</v>
      </c>
      <c r="AK178" s="4">
        <v>9</v>
      </c>
      <c r="AL178" s="4">
        <v>4</v>
      </c>
      <c r="AM178" s="4">
        <v>2</v>
      </c>
      <c r="AN178" s="4">
        <v>0</v>
      </c>
      <c r="AO178" s="4">
        <v>2</v>
      </c>
      <c r="AP178" s="7"/>
      <c r="AQ178" s="4">
        <v>0</v>
      </c>
      <c r="AR178" s="4">
        <v>1</v>
      </c>
      <c r="AS178" s="4">
        <f t="shared" si="5"/>
        <v>30</v>
      </c>
      <c r="AT178" s="9" t="s">
        <v>874</v>
      </c>
    </row>
    <row r="179" spans="1:46" x14ac:dyDescent="0.2">
      <c r="A179" s="4">
        <v>4517</v>
      </c>
      <c r="B179" s="4" t="s">
        <v>22</v>
      </c>
      <c r="C179" s="5" t="s">
        <v>222</v>
      </c>
      <c r="D179" s="5" t="s">
        <v>223</v>
      </c>
      <c r="E179" s="5" t="s">
        <v>981</v>
      </c>
      <c r="F179" s="5" t="s">
        <v>26</v>
      </c>
      <c r="G179" s="13">
        <v>46275</v>
      </c>
      <c r="H179" s="13">
        <v>46275</v>
      </c>
      <c r="I179" s="9">
        <f t="shared" si="4"/>
        <v>1</v>
      </c>
      <c r="J179" s="5" t="s">
        <v>1651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4">
        <v>5</v>
      </c>
      <c r="AH179" s="4">
        <v>9</v>
      </c>
      <c r="AI179" s="4">
        <v>1</v>
      </c>
      <c r="AJ179" s="4">
        <v>3</v>
      </c>
      <c r="AK179" s="4">
        <v>11</v>
      </c>
      <c r="AL179" s="4">
        <v>4</v>
      </c>
      <c r="AM179" s="4">
        <v>2</v>
      </c>
      <c r="AN179" s="4">
        <v>0</v>
      </c>
      <c r="AO179" s="4">
        <v>2</v>
      </c>
      <c r="AP179" s="4"/>
      <c r="AQ179" s="4">
        <v>1</v>
      </c>
      <c r="AR179" s="4">
        <v>1</v>
      </c>
      <c r="AS179" s="4">
        <f t="shared" si="5"/>
        <v>38</v>
      </c>
      <c r="AT179" s="9" t="s">
        <v>985</v>
      </c>
    </row>
    <row r="180" spans="1:46" x14ac:dyDescent="0.2">
      <c r="A180" s="4">
        <v>4525</v>
      </c>
      <c r="B180" s="4" t="s">
        <v>22</v>
      </c>
      <c r="C180" s="5" t="s">
        <v>1013</v>
      </c>
      <c r="D180" s="5" t="s">
        <v>1014</v>
      </c>
      <c r="E180" s="5" t="s">
        <v>981</v>
      </c>
      <c r="F180" s="5" t="s">
        <v>26</v>
      </c>
      <c r="G180" s="13">
        <v>46275</v>
      </c>
      <c r="H180" s="13">
        <v>46275</v>
      </c>
      <c r="I180" s="9">
        <f t="shared" si="4"/>
        <v>1</v>
      </c>
      <c r="J180" s="5" t="s">
        <v>1651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4">
        <v>2</v>
      </c>
      <c r="AH180" s="4">
        <v>1</v>
      </c>
      <c r="AI180" s="4">
        <v>1</v>
      </c>
      <c r="AJ180" s="4">
        <v>2</v>
      </c>
      <c r="AK180" s="4">
        <v>3</v>
      </c>
      <c r="AL180" s="4">
        <v>2</v>
      </c>
      <c r="AM180" s="4">
        <v>1</v>
      </c>
      <c r="AN180" s="4">
        <v>0</v>
      </c>
      <c r="AO180" s="4">
        <v>1</v>
      </c>
      <c r="AP180" s="4"/>
      <c r="AQ180" s="4">
        <v>0</v>
      </c>
      <c r="AR180" s="4">
        <v>1</v>
      </c>
      <c r="AS180" s="4">
        <f t="shared" si="5"/>
        <v>13</v>
      </c>
      <c r="AT180" s="9" t="s">
        <v>990</v>
      </c>
    </row>
    <row r="181" spans="1:46" x14ac:dyDescent="0.2">
      <c r="A181" s="4">
        <v>4806</v>
      </c>
      <c r="B181" s="4" t="s">
        <v>22</v>
      </c>
      <c r="C181" s="5" t="s">
        <v>1035</v>
      </c>
      <c r="D181" s="5" t="s">
        <v>1036</v>
      </c>
      <c r="E181" s="5" t="s">
        <v>286</v>
      </c>
      <c r="F181" s="5" t="s">
        <v>546</v>
      </c>
      <c r="G181" s="13">
        <v>46275</v>
      </c>
      <c r="H181" s="13">
        <v>46275</v>
      </c>
      <c r="I181" s="9">
        <f t="shared" si="4"/>
        <v>1</v>
      </c>
      <c r="J181" s="5" t="s">
        <v>1651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4">
        <v>8</v>
      </c>
      <c r="AH181" s="4">
        <v>12</v>
      </c>
      <c r="AI181" s="4">
        <v>1</v>
      </c>
      <c r="AJ181" s="4">
        <v>4</v>
      </c>
      <c r="AK181" s="4">
        <v>18</v>
      </c>
      <c r="AL181" s="4">
        <v>8</v>
      </c>
      <c r="AM181" s="4">
        <v>3</v>
      </c>
      <c r="AN181" s="4">
        <v>0</v>
      </c>
      <c r="AO181" s="4">
        <v>4</v>
      </c>
      <c r="AP181" s="4"/>
      <c r="AQ181" s="4">
        <v>1</v>
      </c>
      <c r="AR181" s="4">
        <v>1</v>
      </c>
      <c r="AS181" s="4">
        <f t="shared" si="5"/>
        <v>59</v>
      </c>
      <c r="AT181" s="9" t="s">
        <v>1034</v>
      </c>
    </row>
    <row r="182" spans="1:46" x14ac:dyDescent="0.2">
      <c r="A182" s="4">
        <v>6606</v>
      </c>
      <c r="B182" s="4" t="s">
        <v>22</v>
      </c>
      <c r="C182" s="5" t="s">
        <v>1350</v>
      </c>
      <c r="D182" s="5" t="s">
        <v>1351</v>
      </c>
      <c r="E182" s="5" t="s">
        <v>1346</v>
      </c>
      <c r="F182" s="5" t="s">
        <v>574</v>
      </c>
      <c r="G182" s="13">
        <v>46275</v>
      </c>
      <c r="H182" s="13">
        <v>46275</v>
      </c>
      <c r="I182" s="9">
        <f t="shared" si="4"/>
        <v>1</v>
      </c>
      <c r="J182" s="5" t="s">
        <v>1651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4">
        <v>3</v>
      </c>
      <c r="AH182" s="4">
        <v>3</v>
      </c>
      <c r="AI182" s="4">
        <v>1</v>
      </c>
      <c r="AJ182" s="4">
        <v>2</v>
      </c>
      <c r="AK182" s="4">
        <v>6</v>
      </c>
      <c r="AL182" s="4">
        <v>2</v>
      </c>
      <c r="AM182" s="4">
        <v>1</v>
      </c>
      <c r="AN182" s="4">
        <v>0</v>
      </c>
      <c r="AO182" s="4">
        <v>1</v>
      </c>
      <c r="AP182" s="4"/>
      <c r="AQ182" s="4">
        <v>0</v>
      </c>
      <c r="AR182" s="4">
        <v>1</v>
      </c>
      <c r="AS182" s="4">
        <f t="shared" si="5"/>
        <v>19</v>
      </c>
      <c r="AT182" s="9" t="s">
        <v>1349</v>
      </c>
    </row>
    <row r="183" spans="1:46" x14ac:dyDescent="0.2">
      <c r="A183" s="4">
        <v>1244</v>
      </c>
      <c r="B183" s="4" t="s">
        <v>22</v>
      </c>
      <c r="C183" s="5" t="s">
        <v>96</v>
      </c>
      <c r="D183" s="5" t="s">
        <v>97</v>
      </c>
      <c r="E183" s="5" t="s">
        <v>67</v>
      </c>
      <c r="F183" s="5" t="s">
        <v>98</v>
      </c>
      <c r="G183" s="13">
        <v>46276</v>
      </c>
      <c r="H183" s="13">
        <v>46276</v>
      </c>
      <c r="I183" s="9">
        <f t="shared" si="4"/>
        <v>1</v>
      </c>
      <c r="J183" s="5" t="s">
        <v>1651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4">
        <v>2</v>
      </c>
      <c r="AH183" s="4">
        <v>2</v>
      </c>
      <c r="AI183" s="4">
        <v>1</v>
      </c>
      <c r="AJ183" s="4">
        <v>2</v>
      </c>
      <c r="AK183" s="4">
        <v>5</v>
      </c>
      <c r="AL183" s="4">
        <v>2</v>
      </c>
      <c r="AM183" s="4">
        <v>1</v>
      </c>
      <c r="AN183" s="4">
        <v>0</v>
      </c>
      <c r="AO183" s="4">
        <v>1</v>
      </c>
      <c r="AP183" s="4"/>
      <c r="AQ183" s="4">
        <v>0</v>
      </c>
      <c r="AR183" s="4">
        <v>1</v>
      </c>
      <c r="AS183" s="4">
        <f t="shared" si="5"/>
        <v>16</v>
      </c>
      <c r="AT183" s="5" t="s">
        <v>99</v>
      </c>
    </row>
    <row r="184" spans="1:46" x14ac:dyDescent="0.2">
      <c r="A184" s="4">
        <v>1263</v>
      </c>
      <c r="B184" s="4" t="s">
        <v>22</v>
      </c>
      <c r="C184" s="5" t="s">
        <v>108</v>
      </c>
      <c r="D184" s="5" t="s">
        <v>109</v>
      </c>
      <c r="E184" s="5" t="s">
        <v>67</v>
      </c>
      <c r="F184" s="5" t="s">
        <v>68</v>
      </c>
      <c r="G184" s="13">
        <v>46276</v>
      </c>
      <c r="H184" s="13">
        <v>46276</v>
      </c>
      <c r="I184" s="9">
        <f t="shared" si="4"/>
        <v>1</v>
      </c>
      <c r="J184" s="5" t="s">
        <v>1651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4">
        <v>4</v>
      </c>
      <c r="AH184" s="4">
        <v>2</v>
      </c>
      <c r="AI184" s="4">
        <v>1</v>
      </c>
      <c r="AJ184" s="4">
        <v>3</v>
      </c>
      <c r="AK184" s="4">
        <v>5</v>
      </c>
      <c r="AL184" s="4">
        <v>4</v>
      </c>
      <c r="AM184" s="4">
        <v>2</v>
      </c>
      <c r="AN184" s="4">
        <v>0</v>
      </c>
      <c r="AO184" s="4">
        <v>1</v>
      </c>
      <c r="AP184" s="4"/>
      <c r="AQ184" s="4">
        <v>0</v>
      </c>
      <c r="AR184" s="4">
        <v>1</v>
      </c>
      <c r="AS184" s="4">
        <f t="shared" si="5"/>
        <v>22</v>
      </c>
      <c r="AT184" s="5" t="s">
        <v>90</v>
      </c>
    </row>
    <row r="185" spans="1:46" x14ac:dyDescent="0.2">
      <c r="A185" s="4">
        <v>1301</v>
      </c>
      <c r="B185" s="4" t="s">
        <v>22</v>
      </c>
      <c r="C185" s="5" t="s">
        <v>116</v>
      </c>
      <c r="D185" s="5" t="s">
        <v>117</v>
      </c>
      <c r="E185" s="5" t="s">
        <v>118</v>
      </c>
      <c r="F185" s="5" t="s">
        <v>119</v>
      </c>
      <c r="G185" s="13">
        <v>46276</v>
      </c>
      <c r="H185" s="13">
        <v>46276</v>
      </c>
      <c r="I185" s="9">
        <f t="shared" si="4"/>
        <v>1</v>
      </c>
      <c r="J185" s="5" t="s">
        <v>1651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4">
        <v>4</v>
      </c>
      <c r="AH185" s="4">
        <v>4</v>
      </c>
      <c r="AI185" s="4">
        <v>1</v>
      </c>
      <c r="AJ185" s="4">
        <v>2</v>
      </c>
      <c r="AK185" s="4">
        <v>8</v>
      </c>
      <c r="AL185" s="4">
        <v>3</v>
      </c>
      <c r="AM185" s="4">
        <v>1</v>
      </c>
      <c r="AN185" s="4">
        <v>0</v>
      </c>
      <c r="AO185" s="4">
        <v>2</v>
      </c>
      <c r="AP185" s="4"/>
      <c r="AQ185" s="4">
        <v>0</v>
      </c>
      <c r="AR185" s="4">
        <v>1</v>
      </c>
      <c r="AS185" s="4">
        <f t="shared" si="5"/>
        <v>25</v>
      </c>
      <c r="AT185" s="4" t="s">
        <v>120</v>
      </c>
    </row>
    <row r="186" spans="1:46" x14ac:dyDescent="0.2">
      <c r="A186" s="4">
        <v>1325</v>
      </c>
      <c r="B186" s="4" t="s">
        <v>22</v>
      </c>
      <c r="C186" s="5" t="s">
        <v>147</v>
      </c>
      <c r="D186" s="5" t="s">
        <v>148</v>
      </c>
      <c r="E186" s="5" t="s">
        <v>118</v>
      </c>
      <c r="F186" s="5" t="s">
        <v>119</v>
      </c>
      <c r="G186" s="13">
        <v>46276</v>
      </c>
      <c r="H186" s="13">
        <v>46276</v>
      </c>
      <c r="I186" s="9">
        <f t="shared" si="4"/>
        <v>1</v>
      </c>
      <c r="J186" s="5" t="s">
        <v>1651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4">
        <v>5</v>
      </c>
      <c r="AH186" s="4">
        <v>5</v>
      </c>
      <c r="AI186" s="4">
        <v>1</v>
      </c>
      <c r="AJ186" s="4">
        <v>3</v>
      </c>
      <c r="AK186" s="4">
        <v>10</v>
      </c>
      <c r="AL186" s="4">
        <v>4</v>
      </c>
      <c r="AM186" s="4">
        <v>2</v>
      </c>
      <c r="AN186" s="4">
        <v>0</v>
      </c>
      <c r="AO186" s="4">
        <v>2</v>
      </c>
      <c r="AP186" s="4"/>
      <c r="AQ186" s="4">
        <v>1</v>
      </c>
      <c r="AR186" s="4">
        <v>1</v>
      </c>
      <c r="AS186" s="4">
        <f t="shared" si="5"/>
        <v>33</v>
      </c>
      <c r="AT186" s="4" t="s">
        <v>137</v>
      </c>
    </row>
    <row r="187" spans="1:46" x14ac:dyDescent="0.2">
      <c r="A187" s="4">
        <v>1336</v>
      </c>
      <c r="B187" s="4" t="s">
        <v>22</v>
      </c>
      <c r="C187" s="5" t="s">
        <v>158</v>
      </c>
      <c r="D187" s="5" t="s">
        <v>159</v>
      </c>
      <c r="E187" s="5" t="s">
        <v>118</v>
      </c>
      <c r="F187" s="5" t="s">
        <v>119</v>
      </c>
      <c r="G187" s="13">
        <v>46276</v>
      </c>
      <c r="H187" s="13">
        <v>46276</v>
      </c>
      <c r="I187" s="9">
        <f t="shared" si="4"/>
        <v>1</v>
      </c>
      <c r="J187" s="5" t="s">
        <v>1651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4">
        <v>2</v>
      </c>
      <c r="AH187" s="4">
        <v>2</v>
      </c>
      <c r="AI187" s="4">
        <v>1</v>
      </c>
      <c r="AJ187" s="4">
        <v>2</v>
      </c>
      <c r="AK187" s="4">
        <v>4</v>
      </c>
      <c r="AL187" s="4">
        <v>2</v>
      </c>
      <c r="AM187" s="4">
        <v>1</v>
      </c>
      <c r="AN187" s="4">
        <v>0</v>
      </c>
      <c r="AO187" s="4">
        <v>1</v>
      </c>
      <c r="AP187" s="4"/>
      <c r="AQ187" s="4">
        <v>0</v>
      </c>
      <c r="AR187" s="4">
        <v>1</v>
      </c>
      <c r="AS187" s="4">
        <f t="shared" si="5"/>
        <v>15</v>
      </c>
      <c r="AT187" s="4" t="s">
        <v>120</v>
      </c>
    </row>
    <row r="188" spans="1:46" x14ac:dyDescent="0.2">
      <c r="A188" s="4">
        <v>1595</v>
      </c>
      <c r="B188" s="4" t="s">
        <v>22</v>
      </c>
      <c r="C188" s="5" t="s">
        <v>471</v>
      </c>
      <c r="D188" s="5" t="s">
        <v>472</v>
      </c>
      <c r="E188" s="5" t="s">
        <v>330</v>
      </c>
      <c r="F188" s="5" t="s">
        <v>331</v>
      </c>
      <c r="G188" s="13">
        <v>46276</v>
      </c>
      <c r="H188" s="13">
        <v>46276</v>
      </c>
      <c r="I188" s="9">
        <f t="shared" si="4"/>
        <v>1</v>
      </c>
      <c r="J188" s="5" t="s">
        <v>1651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4">
        <v>2</v>
      </c>
      <c r="AH188" s="4">
        <v>2</v>
      </c>
      <c r="AI188" s="4">
        <v>1</v>
      </c>
      <c r="AJ188" s="4">
        <v>2</v>
      </c>
      <c r="AK188" s="4">
        <v>3</v>
      </c>
      <c r="AL188" s="4">
        <v>2</v>
      </c>
      <c r="AM188" s="4">
        <v>1</v>
      </c>
      <c r="AN188" s="4">
        <v>0</v>
      </c>
      <c r="AO188" s="4">
        <v>1</v>
      </c>
      <c r="AP188" s="4"/>
      <c r="AQ188" s="4">
        <v>0</v>
      </c>
      <c r="AR188" s="4">
        <v>1</v>
      </c>
      <c r="AS188" s="4">
        <f t="shared" si="5"/>
        <v>14</v>
      </c>
      <c r="AT188" s="9" t="s">
        <v>77</v>
      </c>
    </row>
    <row r="189" spans="1:46" x14ac:dyDescent="0.2">
      <c r="A189" s="4">
        <v>1622</v>
      </c>
      <c r="B189" s="4" t="s">
        <v>22</v>
      </c>
      <c r="C189" s="5" t="s">
        <v>478</v>
      </c>
      <c r="D189" s="5" t="s">
        <v>479</v>
      </c>
      <c r="E189" s="5" t="s">
        <v>72</v>
      </c>
      <c r="F189" s="5" t="s">
        <v>68</v>
      </c>
      <c r="G189" s="13">
        <v>46276</v>
      </c>
      <c r="H189" s="13">
        <v>46276</v>
      </c>
      <c r="I189" s="9">
        <f t="shared" si="4"/>
        <v>1</v>
      </c>
      <c r="J189" s="5" t="s">
        <v>1651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4">
        <v>5</v>
      </c>
      <c r="AH189" s="4">
        <v>2</v>
      </c>
      <c r="AI189" s="4">
        <v>1</v>
      </c>
      <c r="AJ189" s="4">
        <v>3</v>
      </c>
      <c r="AK189" s="4">
        <v>8</v>
      </c>
      <c r="AL189" s="4">
        <v>4</v>
      </c>
      <c r="AM189" s="4">
        <v>2</v>
      </c>
      <c r="AN189" s="4">
        <v>0</v>
      </c>
      <c r="AO189" s="4">
        <v>1</v>
      </c>
      <c r="AP189" s="4"/>
      <c r="AQ189" s="4">
        <v>0</v>
      </c>
      <c r="AR189" s="4">
        <v>1</v>
      </c>
      <c r="AS189" s="4">
        <f t="shared" si="5"/>
        <v>26</v>
      </c>
      <c r="AT189" s="9" t="s">
        <v>480</v>
      </c>
    </row>
    <row r="190" spans="1:46" x14ac:dyDescent="0.2">
      <c r="A190" s="4">
        <v>2165</v>
      </c>
      <c r="B190" s="4" t="s">
        <v>22</v>
      </c>
      <c r="C190" s="5" t="s">
        <v>589</v>
      </c>
      <c r="D190" s="5" t="s">
        <v>590</v>
      </c>
      <c r="E190" s="5" t="s">
        <v>545</v>
      </c>
      <c r="F190" s="5" t="s">
        <v>546</v>
      </c>
      <c r="G190" s="13">
        <v>46276</v>
      </c>
      <c r="H190" s="13">
        <v>46276</v>
      </c>
      <c r="I190" s="9">
        <f t="shared" si="4"/>
        <v>1</v>
      </c>
      <c r="J190" s="5" t="s">
        <v>1651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4">
        <v>2</v>
      </c>
      <c r="AH190" s="4">
        <v>1</v>
      </c>
      <c r="AI190" s="4">
        <v>1</v>
      </c>
      <c r="AJ190" s="4">
        <v>2</v>
      </c>
      <c r="AK190" s="4">
        <v>4</v>
      </c>
      <c r="AL190" s="4">
        <v>2</v>
      </c>
      <c r="AM190" s="4">
        <v>1</v>
      </c>
      <c r="AN190" s="4">
        <v>0</v>
      </c>
      <c r="AO190" s="4">
        <v>1</v>
      </c>
      <c r="AP190" s="4"/>
      <c r="AQ190" s="4">
        <v>0</v>
      </c>
      <c r="AR190" s="4">
        <v>1</v>
      </c>
      <c r="AS190" s="4">
        <f t="shared" si="5"/>
        <v>14</v>
      </c>
      <c r="AT190" s="9" t="s">
        <v>547</v>
      </c>
    </row>
    <row r="191" spans="1:46" x14ac:dyDescent="0.2">
      <c r="A191" s="4">
        <v>2405</v>
      </c>
      <c r="B191" s="4" t="s">
        <v>22</v>
      </c>
      <c r="C191" s="5" t="s">
        <v>611</v>
      </c>
      <c r="D191" s="5" t="s">
        <v>612</v>
      </c>
      <c r="E191" s="5" t="s">
        <v>604</v>
      </c>
      <c r="F191" s="5" t="s">
        <v>68</v>
      </c>
      <c r="G191" s="13">
        <v>46276</v>
      </c>
      <c r="H191" s="13">
        <v>46276</v>
      </c>
      <c r="I191" s="9">
        <f t="shared" si="4"/>
        <v>1</v>
      </c>
      <c r="J191" s="5" t="s">
        <v>1651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4">
        <v>2</v>
      </c>
      <c r="AH191" s="4">
        <v>1</v>
      </c>
      <c r="AI191" s="4">
        <v>1</v>
      </c>
      <c r="AJ191" s="4">
        <v>2</v>
      </c>
      <c r="AK191" s="4">
        <v>3</v>
      </c>
      <c r="AL191" s="4">
        <v>2</v>
      </c>
      <c r="AM191" s="4">
        <v>1</v>
      </c>
      <c r="AN191" s="4">
        <v>0</v>
      </c>
      <c r="AO191" s="4">
        <v>1</v>
      </c>
      <c r="AP191" s="4"/>
      <c r="AQ191" s="4">
        <v>0</v>
      </c>
      <c r="AR191" s="4">
        <v>1</v>
      </c>
      <c r="AS191" s="4">
        <f t="shared" si="5"/>
        <v>13</v>
      </c>
      <c r="AT191" s="9" t="s">
        <v>613</v>
      </c>
    </row>
    <row r="192" spans="1:46" x14ac:dyDescent="0.2">
      <c r="A192" s="4">
        <v>2445</v>
      </c>
      <c r="B192" s="4" t="s">
        <v>22</v>
      </c>
      <c r="C192" s="5" t="s">
        <v>647</v>
      </c>
      <c r="D192" s="5" t="s">
        <v>647</v>
      </c>
      <c r="E192" s="5" t="s">
        <v>604</v>
      </c>
      <c r="F192" s="5" t="s">
        <v>68</v>
      </c>
      <c r="G192" s="13">
        <v>46276</v>
      </c>
      <c r="H192" s="13">
        <v>46276</v>
      </c>
      <c r="I192" s="9">
        <f t="shared" si="4"/>
        <v>1</v>
      </c>
      <c r="J192" s="5" t="s">
        <v>1651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4">
        <v>2</v>
      </c>
      <c r="AH192" s="4">
        <v>1</v>
      </c>
      <c r="AI192" s="4">
        <v>1</v>
      </c>
      <c r="AJ192" s="4">
        <v>2</v>
      </c>
      <c r="AK192" s="4">
        <v>3</v>
      </c>
      <c r="AL192" s="4">
        <v>2</v>
      </c>
      <c r="AM192" s="4">
        <v>1</v>
      </c>
      <c r="AN192" s="4">
        <v>0</v>
      </c>
      <c r="AO192" s="4">
        <v>1</v>
      </c>
      <c r="AP192" s="4"/>
      <c r="AQ192" s="4">
        <v>0</v>
      </c>
      <c r="AR192" s="4">
        <v>1</v>
      </c>
      <c r="AS192" s="4">
        <f t="shared" si="5"/>
        <v>13</v>
      </c>
      <c r="AT192" s="9" t="s">
        <v>648</v>
      </c>
    </row>
    <row r="193" spans="1:46" x14ac:dyDescent="0.2">
      <c r="A193" s="4">
        <v>3105</v>
      </c>
      <c r="B193" s="4" t="s">
        <v>22</v>
      </c>
      <c r="C193" s="5" t="s">
        <v>715</v>
      </c>
      <c r="D193" s="5" t="s">
        <v>716</v>
      </c>
      <c r="E193" s="5" t="s">
        <v>36</v>
      </c>
      <c r="F193" s="5" t="s">
        <v>26</v>
      </c>
      <c r="G193" s="13">
        <v>46276</v>
      </c>
      <c r="H193" s="13">
        <v>46276</v>
      </c>
      <c r="I193" s="9">
        <f t="shared" si="4"/>
        <v>1</v>
      </c>
      <c r="J193" s="5" t="s">
        <v>1651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4">
        <v>2</v>
      </c>
      <c r="AH193" s="4">
        <v>1</v>
      </c>
      <c r="AI193" s="4">
        <v>1</v>
      </c>
      <c r="AJ193" s="4">
        <v>2</v>
      </c>
      <c r="AK193" s="4">
        <v>3</v>
      </c>
      <c r="AL193" s="4">
        <v>2</v>
      </c>
      <c r="AM193" s="4">
        <v>1</v>
      </c>
      <c r="AN193" s="4">
        <v>0</v>
      </c>
      <c r="AO193" s="4">
        <v>1</v>
      </c>
      <c r="AP193" s="4"/>
      <c r="AQ193" s="4">
        <v>0</v>
      </c>
      <c r="AR193" s="4">
        <v>1</v>
      </c>
      <c r="AS193" s="4">
        <f t="shared" si="5"/>
        <v>13</v>
      </c>
      <c r="AT193" s="9" t="s">
        <v>51</v>
      </c>
    </row>
    <row r="194" spans="1:46" x14ac:dyDescent="0.2">
      <c r="A194" s="4">
        <v>3116</v>
      </c>
      <c r="B194" s="4" t="s">
        <v>22</v>
      </c>
      <c r="C194" s="5" t="s">
        <v>733</v>
      </c>
      <c r="D194" s="5" t="s">
        <v>734</v>
      </c>
      <c r="E194" s="5" t="s">
        <v>36</v>
      </c>
      <c r="F194" s="5" t="s">
        <v>26</v>
      </c>
      <c r="G194" s="13">
        <v>46276</v>
      </c>
      <c r="H194" s="13">
        <v>46276</v>
      </c>
      <c r="I194" s="9">
        <f t="shared" ref="I194:I257" si="6">NETWORKDAYS(G194,H194)</f>
        <v>1</v>
      </c>
      <c r="J194" s="5" t="s">
        <v>1651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4">
        <v>5</v>
      </c>
      <c r="AH194" s="4">
        <v>2</v>
      </c>
      <c r="AI194" s="4">
        <v>1</v>
      </c>
      <c r="AJ194" s="4">
        <v>2</v>
      </c>
      <c r="AK194" s="4">
        <v>8</v>
      </c>
      <c r="AL194" s="4">
        <v>3</v>
      </c>
      <c r="AM194" s="4">
        <v>1</v>
      </c>
      <c r="AN194" s="4">
        <v>0</v>
      </c>
      <c r="AO194" s="4">
        <v>2</v>
      </c>
      <c r="AP194" s="4"/>
      <c r="AQ194" s="4">
        <v>0</v>
      </c>
      <c r="AR194" s="4">
        <v>1</v>
      </c>
      <c r="AS194" s="4">
        <f t="shared" si="5"/>
        <v>24</v>
      </c>
      <c r="AT194" s="9" t="s">
        <v>44</v>
      </c>
    </row>
    <row r="195" spans="1:46" x14ac:dyDescent="0.2">
      <c r="A195" s="4">
        <v>3165</v>
      </c>
      <c r="B195" s="4" t="s">
        <v>22</v>
      </c>
      <c r="C195" s="5" t="s">
        <v>815</v>
      </c>
      <c r="D195" s="5" t="s">
        <v>816</v>
      </c>
      <c r="E195" s="5" t="s">
        <v>36</v>
      </c>
      <c r="F195" s="5" t="s">
        <v>26</v>
      </c>
      <c r="G195" s="13">
        <v>46276</v>
      </c>
      <c r="H195" s="13">
        <v>46276</v>
      </c>
      <c r="I195" s="9">
        <f t="shared" si="6"/>
        <v>1</v>
      </c>
      <c r="J195" s="5" t="s">
        <v>1651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4">
        <v>3</v>
      </c>
      <c r="AH195" s="4">
        <v>3</v>
      </c>
      <c r="AI195" s="4">
        <v>1</v>
      </c>
      <c r="AJ195" s="4">
        <v>2</v>
      </c>
      <c r="AK195" s="4">
        <v>6</v>
      </c>
      <c r="AL195" s="4">
        <v>3</v>
      </c>
      <c r="AM195" s="4">
        <v>1</v>
      </c>
      <c r="AN195" s="4">
        <v>0</v>
      </c>
      <c r="AO195" s="4">
        <v>1</v>
      </c>
      <c r="AP195" s="4"/>
      <c r="AQ195" s="4">
        <v>0</v>
      </c>
      <c r="AR195" s="4">
        <v>1</v>
      </c>
      <c r="AS195" s="4">
        <f t="shared" ref="AS195:AS258" si="7">SUM(AG195:AQ195)</f>
        <v>20</v>
      </c>
      <c r="AT195" s="9" t="s">
        <v>37</v>
      </c>
    </row>
    <row r="196" spans="1:46" x14ac:dyDescent="0.2">
      <c r="A196" s="4">
        <v>7103</v>
      </c>
      <c r="B196" s="4" t="s">
        <v>22</v>
      </c>
      <c r="C196" s="5" t="s">
        <v>877</v>
      </c>
      <c r="D196" s="5" t="s">
        <v>878</v>
      </c>
      <c r="E196" s="5" t="s">
        <v>879</v>
      </c>
      <c r="F196" s="5" t="s">
        <v>26</v>
      </c>
      <c r="G196" s="13">
        <v>46276</v>
      </c>
      <c r="H196" s="13">
        <v>46276</v>
      </c>
      <c r="I196" s="9">
        <f t="shared" si="6"/>
        <v>1</v>
      </c>
      <c r="J196" s="5" t="s">
        <v>1651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4">
        <v>5</v>
      </c>
      <c r="AH196" s="4">
        <v>1</v>
      </c>
      <c r="AI196" s="4">
        <v>1</v>
      </c>
      <c r="AJ196" s="4">
        <v>3</v>
      </c>
      <c r="AK196" s="4">
        <v>6</v>
      </c>
      <c r="AL196" s="4">
        <v>4</v>
      </c>
      <c r="AM196" s="4">
        <v>2</v>
      </c>
      <c r="AN196" s="4">
        <v>0</v>
      </c>
      <c r="AO196" s="4">
        <v>1</v>
      </c>
      <c r="AP196" s="4"/>
      <c r="AQ196" s="4">
        <v>0</v>
      </c>
      <c r="AR196" s="4">
        <v>1</v>
      </c>
      <c r="AS196" s="4">
        <f t="shared" si="7"/>
        <v>23</v>
      </c>
      <c r="AT196" s="9" t="s">
        <v>880</v>
      </c>
    </row>
    <row r="197" spans="1:46" x14ac:dyDescent="0.2">
      <c r="A197" s="4">
        <v>4507</v>
      </c>
      <c r="B197" s="4" t="s">
        <v>22</v>
      </c>
      <c r="C197" s="5" t="s">
        <v>988</v>
      </c>
      <c r="D197" s="5" t="s">
        <v>989</v>
      </c>
      <c r="E197" s="5" t="s">
        <v>981</v>
      </c>
      <c r="F197" s="5" t="s">
        <v>26</v>
      </c>
      <c r="G197" s="13">
        <v>46276</v>
      </c>
      <c r="H197" s="13">
        <v>46276</v>
      </c>
      <c r="I197" s="9">
        <f t="shared" si="6"/>
        <v>1</v>
      </c>
      <c r="J197" s="5" t="s">
        <v>1651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4">
        <v>4</v>
      </c>
      <c r="AH197" s="4">
        <v>3</v>
      </c>
      <c r="AI197" s="4">
        <v>1</v>
      </c>
      <c r="AJ197" s="4">
        <v>2</v>
      </c>
      <c r="AK197" s="4">
        <v>7</v>
      </c>
      <c r="AL197" s="4">
        <v>3</v>
      </c>
      <c r="AM197" s="4">
        <v>1</v>
      </c>
      <c r="AN197" s="4">
        <v>0</v>
      </c>
      <c r="AO197" s="4">
        <v>1</v>
      </c>
      <c r="AP197" s="4"/>
      <c r="AQ197" s="4">
        <v>1</v>
      </c>
      <c r="AR197" s="4">
        <v>1</v>
      </c>
      <c r="AS197" s="4">
        <f t="shared" si="7"/>
        <v>23</v>
      </c>
      <c r="AT197" s="9" t="s">
        <v>990</v>
      </c>
    </row>
    <row r="198" spans="1:46" x14ac:dyDescent="0.2">
      <c r="A198" s="4">
        <v>4518</v>
      </c>
      <c r="B198" s="4" t="s">
        <v>22</v>
      </c>
      <c r="C198" s="5" t="s">
        <v>999</v>
      </c>
      <c r="D198" s="5" t="s">
        <v>1000</v>
      </c>
      <c r="E198" s="5" t="s">
        <v>981</v>
      </c>
      <c r="F198" s="5" t="s">
        <v>26</v>
      </c>
      <c r="G198" s="13">
        <v>46276</v>
      </c>
      <c r="H198" s="13">
        <v>46276</v>
      </c>
      <c r="I198" s="9">
        <f t="shared" si="6"/>
        <v>1</v>
      </c>
      <c r="J198" s="5" t="s">
        <v>1651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4">
        <v>3</v>
      </c>
      <c r="AH198" s="4">
        <v>2</v>
      </c>
      <c r="AI198" s="4">
        <v>1</v>
      </c>
      <c r="AJ198" s="4">
        <v>2</v>
      </c>
      <c r="AK198" s="4">
        <v>4</v>
      </c>
      <c r="AL198" s="4">
        <v>2</v>
      </c>
      <c r="AM198" s="4">
        <v>1</v>
      </c>
      <c r="AN198" s="4">
        <v>0</v>
      </c>
      <c r="AO198" s="4">
        <v>1</v>
      </c>
      <c r="AP198" s="4"/>
      <c r="AQ198" s="4">
        <v>0</v>
      </c>
      <c r="AR198" s="4">
        <v>1</v>
      </c>
      <c r="AS198" s="4">
        <f t="shared" si="7"/>
        <v>16</v>
      </c>
      <c r="AT198" s="9" t="s">
        <v>985</v>
      </c>
    </row>
    <row r="199" spans="1:46" x14ac:dyDescent="0.2">
      <c r="A199" s="4">
        <v>4519</v>
      </c>
      <c r="B199" s="4" t="s">
        <v>22</v>
      </c>
      <c r="C199" s="5" t="s">
        <v>1001</v>
      </c>
      <c r="D199" s="5" t="s">
        <v>1002</v>
      </c>
      <c r="E199" s="5" t="s">
        <v>981</v>
      </c>
      <c r="F199" s="5" t="s">
        <v>26</v>
      </c>
      <c r="G199" s="13">
        <v>46276</v>
      </c>
      <c r="H199" s="13">
        <v>46276</v>
      </c>
      <c r="I199" s="9">
        <f t="shared" si="6"/>
        <v>1</v>
      </c>
      <c r="J199" s="5" t="s">
        <v>1651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4">
        <v>3</v>
      </c>
      <c r="AH199" s="4">
        <v>3</v>
      </c>
      <c r="AI199" s="4">
        <v>1</v>
      </c>
      <c r="AJ199" s="4">
        <v>2</v>
      </c>
      <c r="AK199" s="4">
        <v>7</v>
      </c>
      <c r="AL199" s="4">
        <v>2</v>
      </c>
      <c r="AM199" s="4">
        <v>1</v>
      </c>
      <c r="AN199" s="4">
        <v>0</v>
      </c>
      <c r="AO199" s="4">
        <v>1</v>
      </c>
      <c r="AP199" s="4"/>
      <c r="AQ199" s="4">
        <v>1</v>
      </c>
      <c r="AR199" s="4">
        <v>1</v>
      </c>
      <c r="AS199" s="4">
        <f t="shared" si="7"/>
        <v>21</v>
      </c>
      <c r="AT199" s="9" t="s">
        <v>1003</v>
      </c>
    </row>
    <row r="200" spans="1:46" x14ac:dyDescent="0.2">
      <c r="A200" s="4">
        <v>4816</v>
      </c>
      <c r="B200" s="4" t="s">
        <v>22</v>
      </c>
      <c r="C200" s="5" t="s">
        <v>1047</v>
      </c>
      <c r="D200" s="5" t="s">
        <v>1048</v>
      </c>
      <c r="E200" s="5" t="s">
        <v>286</v>
      </c>
      <c r="F200" s="5" t="s">
        <v>546</v>
      </c>
      <c r="G200" s="13">
        <v>46276</v>
      </c>
      <c r="H200" s="13">
        <v>46276</v>
      </c>
      <c r="I200" s="9">
        <f t="shared" si="6"/>
        <v>1</v>
      </c>
      <c r="J200" s="5" t="s">
        <v>1651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4">
        <v>5</v>
      </c>
      <c r="AH200" s="4">
        <v>3</v>
      </c>
      <c r="AI200" s="4">
        <v>1</v>
      </c>
      <c r="AJ200" s="4">
        <v>2</v>
      </c>
      <c r="AK200" s="4">
        <v>8</v>
      </c>
      <c r="AL200" s="4">
        <v>4</v>
      </c>
      <c r="AM200" s="4">
        <v>1</v>
      </c>
      <c r="AN200" s="4">
        <v>0</v>
      </c>
      <c r="AO200" s="4">
        <v>2</v>
      </c>
      <c r="AP200" s="7"/>
      <c r="AQ200" s="4">
        <v>0</v>
      </c>
      <c r="AR200" s="4">
        <v>1</v>
      </c>
      <c r="AS200" s="4">
        <f t="shared" si="7"/>
        <v>26</v>
      </c>
      <c r="AT200" s="9" t="s">
        <v>1034</v>
      </c>
    </row>
    <row r="201" spans="1:46" x14ac:dyDescent="0.2">
      <c r="A201" s="4">
        <v>7910</v>
      </c>
      <c r="B201" s="4" t="s">
        <v>22</v>
      </c>
      <c r="C201" s="5" t="s">
        <v>1557</v>
      </c>
      <c r="D201" s="5" t="s">
        <v>1558</v>
      </c>
      <c r="E201" s="5" t="s">
        <v>1512</v>
      </c>
      <c r="F201" s="5" t="s">
        <v>574</v>
      </c>
      <c r="G201" s="13">
        <v>46276</v>
      </c>
      <c r="H201" s="13">
        <v>46276</v>
      </c>
      <c r="I201" s="9">
        <f t="shared" si="6"/>
        <v>1</v>
      </c>
      <c r="J201" s="5" t="s">
        <v>1651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4">
        <v>4</v>
      </c>
      <c r="AH201" s="4">
        <v>5</v>
      </c>
      <c r="AI201" s="4">
        <v>1</v>
      </c>
      <c r="AJ201" s="4">
        <v>3</v>
      </c>
      <c r="AK201" s="4">
        <v>8</v>
      </c>
      <c r="AL201" s="4">
        <v>4</v>
      </c>
      <c r="AM201" s="4">
        <v>2</v>
      </c>
      <c r="AN201" s="4">
        <v>0</v>
      </c>
      <c r="AO201" s="4">
        <v>1</v>
      </c>
      <c r="AP201" s="4"/>
      <c r="AQ201" s="4">
        <v>0</v>
      </c>
      <c r="AR201" s="4">
        <v>1</v>
      </c>
      <c r="AS201" s="4">
        <f t="shared" si="7"/>
        <v>28</v>
      </c>
      <c r="AT201" s="9" t="s">
        <v>1559</v>
      </c>
    </row>
    <row r="202" spans="1:46" x14ac:dyDescent="0.2">
      <c r="A202" s="4">
        <v>8663</v>
      </c>
      <c r="B202" s="4" t="s">
        <v>22</v>
      </c>
      <c r="C202" s="5" t="s">
        <v>1624</v>
      </c>
      <c r="D202" s="5" t="s">
        <v>1625</v>
      </c>
      <c r="E202" s="5" t="s">
        <v>1600</v>
      </c>
      <c r="F202" s="5" t="s">
        <v>331</v>
      </c>
      <c r="G202" s="13">
        <v>46276</v>
      </c>
      <c r="H202" s="13">
        <v>46279</v>
      </c>
      <c r="I202" s="9">
        <f t="shared" si="6"/>
        <v>2</v>
      </c>
      <c r="J202" s="5" t="s">
        <v>1651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4">
        <v>3</v>
      </c>
      <c r="AH202" s="4">
        <v>3</v>
      </c>
      <c r="AI202" s="4">
        <v>1</v>
      </c>
      <c r="AJ202" s="4">
        <v>2</v>
      </c>
      <c r="AK202" s="4">
        <v>6</v>
      </c>
      <c r="AL202" s="4">
        <v>2</v>
      </c>
      <c r="AM202" s="4">
        <v>1</v>
      </c>
      <c r="AN202" s="4">
        <v>0</v>
      </c>
      <c r="AO202" s="4">
        <v>1</v>
      </c>
      <c r="AP202" s="4"/>
      <c r="AQ202" s="4">
        <v>0</v>
      </c>
      <c r="AR202" s="4">
        <v>1</v>
      </c>
      <c r="AS202" s="4">
        <f t="shared" si="7"/>
        <v>19</v>
      </c>
      <c r="AT202" s="9" t="s">
        <v>1601</v>
      </c>
    </row>
    <row r="203" spans="1:46" x14ac:dyDescent="0.2">
      <c r="A203" s="4">
        <v>920</v>
      </c>
      <c r="B203" s="4" t="s">
        <v>22</v>
      </c>
      <c r="C203" s="5" t="s">
        <v>54</v>
      </c>
      <c r="D203" s="5" t="s">
        <v>55</v>
      </c>
      <c r="E203" s="5" t="s">
        <v>36</v>
      </c>
      <c r="F203" s="5" t="s">
        <v>26</v>
      </c>
      <c r="G203" s="13">
        <v>46279</v>
      </c>
      <c r="H203" s="13">
        <v>46279</v>
      </c>
      <c r="I203" s="9">
        <f t="shared" si="6"/>
        <v>1</v>
      </c>
      <c r="J203" s="5" t="s">
        <v>1651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4">
        <v>4</v>
      </c>
      <c r="AH203" s="4">
        <v>3</v>
      </c>
      <c r="AI203" s="4">
        <v>1</v>
      </c>
      <c r="AJ203" s="4">
        <v>3</v>
      </c>
      <c r="AK203" s="4">
        <v>7</v>
      </c>
      <c r="AL203" s="4">
        <v>3</v>
      </c>
      <c r="AM203" s="4">
        <v>2</v>
      </c>
      <c r="AN203" s="4">
        <v>0</v>
      </c>
      <c r="AO203" s="4">
        <v>1</v>
      </c>
      <c r="AP203" s="4"/>
      <c r="AQ203" s="4">
        <v>0</v>
      </c>
      <c r="AR203" s="4">
        <v>1</v>
      </c>
      <c r="AS203" s="4">
        <f t="shared" si="7"/>
        <v>24</v>
      </c>
      <c r="AT203" s="5" t="s">
        <v>37</v>
      </c>
    </row>
    <row r="204" spans="1:46" x14ac:dyDescent="0.2">
      <c r="A204" s="4">
        <v>1230</v>
      </c>
      <c r="B204" s="4" t="s">
        <v>22</v>
      </c>
      <c r="C204" s="5" t="s">
        <v>88</v>
      </c>
      <c r="D204" s="5" t="s">
        <v>89</v>
      </c>
      <c r="E204" s="5" t="s">
        <v>67</v>
      </c>
      <c r="F204" s="5" t="s">
        <v>68</v>
      </c>
      <c r="G204" s="13">
        <v>46279</v>
      </c>
      <c r="H204" s="13">
        <v>46279</v>
      </c>
      <c r="I204" s="9">
        <f t="shared" si="6"/>
        <v>1</v>
      </c>
      <c r="J204" s="5" t="s">
        <v>1651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4">
        <v>4</v>
      </c>
      <c r="AH204" s="4">
        <v>3</v>
      </c>
      <c r="AI204" s="4">
        <v>1</v>
      </c>
      <c r="AJ204" s="4">
        <v>2</v>
      </c>
      <c r="AK204" s="4">
        <v>7</v>
      </c>
      <c r="AL204" s="4">
        <v>3</v>
      </c>
      <c r="AM204" s="4">
        <v>1</v>
      </c>
      <c r="AN204" s="4">
        <v>0</v>
      </c>
      <c r="AO204" s="4">
        <v>1</v>
      </c>
      <c r="AP204" s="4"/>
      <c r="AQ204" s="4">
        <v>0</v>
      </c>
      <c r="AR204" s="4">
        <v>1</v>
      </c>
      <c r="AS204" s="4">
        <f t="shared" si="7"/>
        <v>22</v>
      </c>
      <c r="AT204" s="5" t="s">
        <v>90</v>
      </c>
    </row>
    <row r="205" spans="1:46" x14ac:dyDescent="0.2">
      <c r="A205" s="4">
        <v>1326</v>
      </c>
      <c r="B205" s="4" t="s">
        <v>22</v>
      </c>
      <c r="C205" s="5" t="s">
        <v>149</v>
      </c>
      <c r="D205" s="5" t="s">
        <v>150</v>
      </c>
      <c r="E205" s="5" t="s">
        <v>118</v>
      </c>
      <c r="F205" s="5" t="s">
        <v>119</v>
      </c>
      <c r="G205" s="13">
        <v>46279</v>
      </c>
      <c r="H205" s="13">
        <v>46279</v>
      </c>
      <c r="I205" s="9">
        <f t="shared" si="6"/>
        <v>1</v>
      </c>
      <c r="J205" s="5" t="s">
        <v>1651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4">
        <v>2</v>
      </c>
      <c r="AH205" s="4">
        <v>2</v>
      </c>
      <c r="AI205" s="4">
        <v>1</v>
      </c>
      <c r="AJ205" s="4">
        <v>2</v>
      </c>
      <c r="AK205" s="4">
        <v>4</v>
      </c>
      <c r="AL205" s="4">
        <v>2</v>
      </c>
      <c r="AM205" s="4">
        <v>1</v>
      </c>
      <c r="AN205" s="4">
        <v>0</v>
      </c>
      <c r="AO205" s="4">
        <v>1</v>
      </c>
      <c r="AP205" s="4"/>
      <c r="AQ205" s="4">
        <v>0</v>
      </c>
      <c r="AR205" s="4">
        <v>1</v>
      </c>
      <c r="AS205" s="4">
        <f t="shared" si="7"/>
        <v>15</v>
      </c>
      <c r="AT205" s="4" t="s">
        <v>137</v>
      </c>
    </row>
    <row r="206" spans="1:46" x14ac:dyDescent="0.2">
      <c r="A206" s="4">
        <v>1377</v>
      </c>
      <c r="B206" s="4" t="s">
        <v>22</v>
      </c>
      <c r="C206" s="5" t="s">
        <v>216</v>
      </c>
      <c r="D206" s="5" t="s">
        <v>217</v>
      </c>
      <c r="E206" s="5" t="s">
        <v>118</v>
      </c>
      <c r="F206" s="5" t="s">
        <v>119</v>
      </c>
      <c r="G206" s="13">
        <v>46279</v>
      </c>
      <c r="H206" s="13">
        <v>46280</v>
      </c>
      <c r="I206" s="9">
        <f t="shared" si="6"/>
        <v>2</v>
      </c>
      <c r="J206" s="5" t="s">
        <v>1651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4">
        <v>5</v>
      </c>
      <c r="AH206" s="4">
        <v>2</v>
      </c>
      <c r="AI206" s="4">
        <v>1</v>
      </c>
      <c r="AJ206" s="4">
        <v>3</v>
      </c>
      <c r="AK206" s="4">
        <v>8</v>
      </c>
      <c r="AL206" s="4">
        <v>4</v>
      </c>
      <c r="AM206" s="4">
        <v>2</v>
      </c>
      <c r="AN206" s="4">
        <v>0</v>
      </c>
      <c r="AO206" s="4">
        <v>1</v>
      </c>
      <c r="AP206" s="4"/>
      <c r="AQ206" s="4">
        <v>0</v>
      </c>
      <c r="AR206" s="4">
        <v>1</v>
      </c>
      <c r="AS206" s="4">
        <f t="shared" si="7"/>
        <v>26</v>
      </c>
      <c r="AT206" s="4" t="s">
        <v>125</v>
      </c>
    </row>
    <row r="207" spans="1:46" x14ac:dyDescent="0.2">
      <c r="A207" s="4">
        <v>1545</v>
      </c>
      <c r="B207" s="4" t="s">
        <v>22</v>
      </c>
      <c r="C207" s="5" t="s">
        <v>393</v>
      </c>
      <c r="D207" s="5" t="s">
        <v>394</v>
      </c>
      <c r="E207" s="5" t="s">
        <v>330</v>
      </c>
      <c r="F207" s="5" t="s">
        <v>331</v>
      </c>
      <c r="G207" s="13">
        <v>46279</v>
      </c>
      <c r="H207" s="13">
        <v>46280</v>
      </c>
      <c r="I207" s="9">
        <f t="shared" si="6"/>
        <v>2</v>
      </c>
      <c r="J207" s="5" t="s">
        <v>1651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4">
        <v>3</v>
      </c>
      <c r="AH207" s="4">
        <v>2</v>
      </c>
      <c r="AI207" s="4">
        <v>1</v>
      </c>
      <c r="AJ207" s="4">
        <v>2</v>
      </c>
      <c r="AK207" s="4">
        <v>6</v>
      </c>
      <c r="AL207" s="4">
        <v>2</v>
      </c>
      <c r="AM207" s="4">
        <v>1</v>
      </c>
      <c r="AN207" s="4">
        <v>0</v>
      </c>
      <c r="AO207" s="4">
        <v>1</v>
      </c>
      <c r="AP207" s="7"/>
      <c r="AQ207" s="4">
        <v>0</v>
      </c>
      <c r="AR207" s="4">
        <v>1</v>
      </c>
      <c r="AS207" s="4">
        <f t="shared" si="7"/>
        <v>18</v>
      </c>
      <c r="AT207" s="9" t="s">
        <v>364</v>
      </c>
    </row>
    <row r="208" spans="1:46" x14ac:dyDescent="0.2">
      <c r="A208" s="4">
        <v>1552</v>
      </c>
      <c r="B208" s="4" t="s">
        <v>22</v>
      </c>
      <c r="C208" s="5" t="s">
        <v>405</v>
      </c>
      <c r="D208" s="5" t="s">
        <v>406</v>
      </c>
      <c r="E208" s="5" t="s">
        <v>330</v>
      </c>
      <c r="F208" s="5" t="s">
        <v>331</v>
      </c>
      <c r="G208" s="13">
        <v>46279</v>
      </c>
      <c r="H208" s="13">
        <v>46280</v>
      </c>
      <c r="I208" s="9">
        <f t="shared" si="6"/>
        <v>2</v>
      </c>
      <c r="J208" s="5" t="s">
        <v>1651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4">
        <v>4</v>
      </c>
      <c r="AH208" s="4">
        <v>1</v>
      </c>
      <c r="AI208" s="4">
        <v>1</v>
      </c>
      <c r="AJ208" s="4">
        <v>2</v>
      </c>
      <c r="AK208" s="4">
        <v>5</v>
      </c>
      <c r="AL208" s="4">
        <v>3</v>
      </c>
      <c r="AM208" s="4">
        <v>1</v>
      </c>
      <c r="AN208" s="4">
        <v>0</v>
      </c>
      <c r="AO208" s="4">
        <v>1</v>
      </c>
      <c r="AP208" s="4"/>
      <c r="AQ208" s="4">
        <v>0</v>
      </c>
      <c r="AR208" s="4">
        <v>1</v>
      </c>
      <c r="AS208" s="4">
        <f t="shared" si="7"/>
        <v>18</v>
      </c>
      <c r="AT208" s="9" t="s">
        <v>332</v>
      </c>
    </row>
    <row r="209" spans="1:46" x14ac:dyDescent="0.2">
      <c r="A209" s="4">
        <v>1555</v>
      </c>
      <c r="B209" s="4" t="s">
        <v>22</v>
      </c>
      <c r="C209" s="5" t="s">
        <v>411</v>
      </c>
      <c r="D209" s="5" t="s">
        <v>412</v>
      </c>
      <c r="E209" s="5" t="s">
        <v>330</v>
      </c>
      <c r="F209" s="5" t="s">
        <v>331</v>
      </c>
      <c r="G209" s="13">
        <v>46279</v>
      </c>
      <c r="H209" s="13">
        <v>46280</v>
      </c>
      <c r="I209" s="9">
        <f t="shared" si="6"/>
        <v>2</v>
      </c>
      <c r="J209" s="5" t="s">
        <v>1651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4">
        <v>4</v>
      </c>
      <c r="AH209" s="4">
        <v>2</v>
      </c>
      <c r="AI209" s="4">
        <v>1</v>
      </c>
      <c r="AJ209" s="4">
        <v>2</v>
      </c>
      <c r="AK209" s="4">
        <v>7</v>
      </c>
      <c r="AL209" s="4">
        <v>3</v>
      </c>
      <c r="AM209" s="4">
        <v>1</v>
      </c>
      <c r="AN209" s="4">
        <v>0</v>
      </c>
      <c r="AO209" s="4">
        <v>1</v>
      </c>
      <c r="AP209" s="4"/>
      <c r="AQ209" s="4">
        <v>1</v>
      </c>
      <c r="AR209" s="4">
        <v>1</v>
      </c>
      <c r="AS209" s="4">
        <f t="shared" si="7"/>
        <v>22</v>
      </c>
      <c r="AT209" s="9" t="s">
        <v>335</v>
      </c>
    </row>
    <row r="210" spans="1:46" x14ac:dyDescent="0.2">
      <c r="A210" s="4">
        <v>1567</v>
      </c>
      <c r="B210" s="4" t="s">
        <v>22</v>
      </c>
      <c r="C210" s="5" t="s">
        <v>420</v>
      </c>
      <c r="D210" s="5" t="s">
        <v>421</v>
      </c>
      <c r="E210" s="5" t="s">
        <v>330</v>
      </c>
      <c r="F210" s="5" t="s">
        <v>331</v>
      </c>
      <c r="G210" s="13">
        <v>46279</v>
      </c>
      <c r="H210" s="13">
        <v>46280</v>
      </c>
      <c r="I210" s="9">
        <f t="shared" si="6"/>
        <v>2</v>
      </c>
      <c r="J210" s="5" t="s">
        <v>1651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4">
        <v>3</v>
      </c>
      <c r="AH210" s="4">
        <v>2</v>
      </c>
      <c r="AI210" s="4">
        <v>1</v>
      </c>
      <c r="AJ210" s="4">
        <v>2</v>
      </c>
      <c r="AK210" s="4">
        <v>5</v>
      </c>
      <c r="AL210" s="4">
        <v>3</v>
      </c>
      <c r="AM210" s="4">
        <v>1</v>
      </c>
      <c r="AN210" s="4">
        <v>0</v>
      </c>
      <c r="AO210" s="4">
        <v>1</v>
      </c>
      <c r="AP210" s="4"/>
      <c r="AQ210" s="4">
        <v>0</v>
      </c>
      <c r="AR210" s="4">
        <v>1</v>
      </c>
      <c r="AS210" s="4">
        <f t="shared" si="7"/>
        <v>18</v>
      </c>
      <c r="AT210" s="9" t="s">
        <v>77</v>
      </c>
    </row>
    <row r="211" spans="1:46" x14ac:dyDescent="0.2">
      <c r="A211" s="4">
        <v>2112</v>
      </c>
      <c r="B211" s="4" t="s">
        <v>22</v>
      </c>
      <c r="C211" s="5" t="s">
        <v>564</v>
      </c>
      <c r="D211" s="5" t="s">
        <v>565</v>
      </c>
      <c r="E211" s="5" t="s">
        <v>545</v>
      </c>
      <c r="F211" s="5" t="s">
        <v>546</v>
      </c>
      <c r="G211" s="13">
        <v>46279</v>
      </c>
      <c r="H211" s="13">
        <v>46279</v>
      </c>
      <c r="I211" s="9">
        <f t="shared" si="6"/>
        <v>1</v>
      </c>
      <c r="J211" s="5" t="s">
        <v>1651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4">
        <v>2</v>
      </c>
      <c r="AH211" s="4">
        <v>3</v>
      </c>
      <c r="AI211" s="4">
        <v>1</v>
      </c>
      <c r="AJ211" s="4">
        <v>2</v>
      </c>
      <c r="AK211" s="4">
        <v>5</v>
      </c>
      <c r="AL211" s="4">
        <v>2</v>
      </c>
      <c r="AM211" s="4">
        <v>1</v>
      </c>
      <c r="AN211" s="4">
        <v>0</v>
      </c>
      <c r="AO211" s="4">
        <v>1</v>
      </c>
      <c r="AP211" s="4"/>
      <c r="AQ211" s="4">
        <v>0</v>
      </c>
      <c r="AR211" s="4">
        <v>1</v>
      </c>
      <c r="AS211" s="4">
        <f t="shared" si="7"/>
        <v>17</v>
      </c>
      <c r="AT211" s="9" t="s">
        <v>547</v>
      </c>
    </row>
    <row r="212" spans="1:46" x14ac:dyDescent="0.2">
      <c r="A212" s="4">
        <v>2126</v>
      </c>
      <c r="B212" s="4" t="s">
        <v>22</v>
      </c>
      <c r="C212" s="5" t="s">
        <v>577</v>
      </c>
      <c r="D212" s="5" t="s">
        <v>578</v>
      </c>
      <c r="E212" s="5" t="s">
        <v>545</v>
      </c>
      <c r="F212" s="5" t="s">
        <v>546</v>
      </c>
      <c r="G212" s="13">
        <v>46279</v>
      </c>
      <c r="H212" s="13">
        <v>46279</v>
      </c>
      <c r="I212" s="9">
        <f t="shared" si="6"/>
        <v>1</v>
      </c>
      <c r="J212" s="5" t="s">
        <v>1651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4">
        <v>2</v>
      </c>
      <c r="AH212" s="4">
        <v>1</v>
      </c>
      <c r="AI212" s="4">
        <v>1</v>
      </c>
      <c r="AJ212" s="4">
        <v>2</v>
      </c>
      <c r="AK212" s="4">
        <v>3</v>
      </c>
      <c r="AL212" s="4">
        <v>2</v>
      </c>
      <c r="AM212" s="4">
        <v>1</v>
      </c>
      <c r="AN212" s="4">
        <v>0</v>
      </c>
      <c r="AO212" s="4">
        <v>1</v>
      </c>
      <c r="AP212" s="4"/>
      <c r="AQ212" s="4">
        <v>0</v>
      </c>
      <c r="AR212" s="4">
        <v>1</v>
      </c>
      <c r="AS212" s="4">
        <f t="shared" si="7"/>
        <v>13</v>
      </c>
      <c r="AT212" s="9" t="s">
        <v>547</v>
      </c>
    </row>
    <row r="213" spans="1:46" x14ac:dyDescent="0.2">
      <c r="A213" s="4">
        <v>2410</v>
      </c>
      <c r="B213" s="4" t="s">
        <v>22</v>
      </c>
      <c r="C213" s="5" t="s">
        <v>617</v>
      </c>
      <c r="D213" s="5" t="s">
        <v>610</v>
      </c>
      <c r="E213" s="5" t="s">
        <v>604</v>
      </c>
      <c r="F213" s="5" t="s">
        <v>68</v>
      </c>
      <c r="G213" s="13">
        <v>46279</v>
      </c>
      <c r="H213" s="13">
        <v>46279</v>
      </c>
      <c r="I213" s="9">
        <f t="shared" si="6"/>
        <v>1</v>
      </c>
      <c r="J213" s="5" t="s">
        <v>1651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4">
        <v>3</v>
      </c>
      <c r="AH213" s="4">
        <v>2</v>
      </c>
      <c r="AI213" s="4">
        <v>1</v>
      </c>
      <c r="AJ213" s="4">
        <v>2</v>
      </c>
      <c r="AK213" s="4">
        <v>4</v>
      </c>
      <c r="AL213" s="4">
        <v>2</v>
      </c>
      <c r="AM213" s="4">
        <v>1</v>
      </c>
      <c r="AN213" s="4">
        <v>0</v>
      </c>
      <c r="AO213" s="4">
        <v>1</v>
      </c>
      <c r="AP213" s="4"/>
      <c r="AQ213" s="4">
        <v>0</v>
      </c>
      <c r="AR213" s="4">
        <v>1</v>
      </c>
      <c r="AS213" s="4">
        <f t="shared" si="7"/>
        <v>16</v>
      </c>
      <c r="AT213" s="9" t="s">
        <v>616</v>
      </c>
    </row>
    <row r="214" spans="1:46" x14ac:dyDescent="0.2">
      <c r="A214" s="4">
        <v>2701</v>
      </c>
      <c r="B214" s="4" t="s">
        <v>22</v>
      </c>
      <c r="C214" s="5" t="s">
        <v>659</v>
      </c>
      <c r="D214" s="5" t="s">
        <v>660</v>
      </c>
      <c r="E214" s="5" t="s">
        <v>661</v>
      </c>
      <c r="F214" s="5" t="s">
        <v>119</v>
      </c>
      <c r="G214" s="13">
        <v>46279</v>
      </c>
      <c r="H214" s="13">
        <v>46279</v>
      </c>
      <c r="I214" s="9">
        <f t="shared" si="6"/>
        <v>1</v>
      </c>
      <c r="J214" s="5" t="s">
        <v>1651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4">
        <v>3</v>
      </c>
      <c r="AH214" s="4">
        <v>2</v>
      </c>
      <c r="AI214" s="4">
        <v>1</v>
      </c>
      <c r="AJ214" s="4">
        <v>2</v>
      </c>
      <c r="AK214" s="4">
        <v>5</v>
      </c>
      <c r="AL214" s="4">
        <v>2</v>
      </c>
      <c r="AM214" s="4">
        <v>1</v>
      </c>
      <c r="AN214" s="4">
        <v>0</v>
      </c>
      <c r="AO214" s="4">
        <v>1</v>
      </c>
      <c r="AP214" s="4"/>
      <c r="AQ214" s="4">
        <v>0</v>
      </c>
      <c r="AR214" s="4">
        <v>1</v>
      </c>
      <c r="AS214" s="4">
        <f t="shared" si="7"/>
        <v>17</v>
      </c>
      <c r="AT214" s="9" t="s">
        <v>662</v>
      </c>
    </row>
    <row r="215" spans="1:46" x14ac:dyDescent="0.2">
      <c r="A215" s="4">
        <v>3134</v>
      </c>
      <c r="B215" s="4" t="s">
        <v>22</v>
      </c>
      <c r="C215" s="5" t="s">
        <v>757</v>
      </c>
      <c r="D215" s="5" t="s">
        <v>758</v>
      </c>
      <c r="E215" s="5" t="s">
        <v>36</v>
      </c>
      <c r="F215" s="5" t="s">
        <v>26</v>
      </c>
      <c r="G215" s="13">
        <v>46279</v>
      </c>
      <c r="H215" s="13">
        <v>46279</v>
      </c>
      <c r="I215" s="9">
        <f t="shared" si="6"/>
        <v>1</v>
      </c>
      <c r="J215" s="5" t="s">
        <v>1651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4">
        <v>2</v>
      </c>
      <c r="AH215" s="4">
        <v>1</v>
      </c>
      <c r="AI215" s="4">
        <v>1</v>
      </c>
      <c r="AJ215" s="4">
        <v>2</v>
      </c>
      <c r="AK215" s="4">
        <v>3</v>
      </c>
      <c r="AL215" s="4">
        <v>2</v>
      </c>
      <c r="AM215" s="4">
        <v>1</v>
      </c>
      <c r="AN215" s="4">
        <v>0</v>
      </c>
      <c r="AO215" s="4">
        <v>1</v>
      </c>
      <c r="AP215" s="4"/>
      <c r="AQ215" s="4">
        <v>0</v>
      </c>
      <c r="AR215" s="4">
        <v>1</v>
      </c>
      <c r="AS215" s="4">
        <f t="shared" si="7"/>
        <v>13</v>
      </c>
      <c r="AT215" s="9" t="s">
        <v>64</v>
      </c>
    </row>
    <row r="216" spans="1:46" x14ac:dyDescent="0.2">
      <c r="A216" s="4">
        <v>3148</v>
      </c>
      <c r="B216" s="4" t="s">
        <v>22</v>
      </c>
      <c r="C216" s="5" t="s">
        <v>783</v>
      </c>
      <c r="D216" s="5" t="s">
        <v>784</v>
      </c>
      <c r="E216" s="5" t="s">
        <v>36</v>
      </c>
      <c r="F216" s="5" t="s">
        <v>26</v>
      </c>
      <c r="G216" s="13">
        <v>46279</v>
      </c>
      <c r="H216" s="13">
        <v>46279</v>
      </c>
      <c r="I216" s="9">
        <f t="shared" si="6"/>
        <v>1</v>
      </c>
      <c r="J216" s="5" t="s">
        <v>1651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4">
        <v>3</v>
      </c>
      <c r="AH216" s="4">
        <v>3</v>
      </c>
      <c r="AI216" s="4">
        <v>1</v>
      </c>
      <c r="AJ216" s="4">
        <v>2</v>
      </c>
      <c r="AK216" s="4">
        <v>6</v>
      </c>
      <c r="AL216" s="4">
        <v>3</v>
      </c>
      <c r="AM216" s="4">
        <v>1</v>
      </c>
      <c r="AN216" s="4">
        <v>0</v>
      </c>
      <c r="AO216" s="4">
        <v>1</v>
      </c>
      <c r="AP216" s="4"/>
      <c r="AQ216" s="4">
        <v>0</v>
      </c>
      <c r="AR216" s="4">
        <v>1</v>
      </c>
      <c r="AS216" s="4">
        <f t="shared" si="7"/>
        <v>20</v>
      </c>
      <c r="AT216" s="9" t="s">
        <v>44</v>
      </c>
    </row>
    <row r="217" spans="1:46" x14ac:dyDescent="0.2">
      <c r="A217" s="4">
        <v>3195</v>
      </c>
      <c r="B217" s="4" t="s">
        <v>22</v>
      </c>
      <c r="C217" s="5" t="s">
        <v>838</v>
      </c>
      <c r="D217" s="5" t="s">
        <v>839</v>
      </c>
      <c r="E217" s="5" t="s">
        <v>36</v>
      </c>
      <c r="F217" s="5" t="s">
        <v>26</v>
      </c>
      <c r="G217" s="13">
        <v>46279</v>
      </c>
      <c r="H217" s="13">
        <v>46279</v>
      </c>
      <c r="I217" s="9">
        <f t="shared" si="6"/>
        <v>1</v>
      </c>
      <c r="J217" s="5" t="s">
        <v>1651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4">
        <v>4</v>
      </c>
      <c r="AH217" s="4">
        <v>6</v>
      </c>
      <c r="AI217" s="4">
        <v>1</v>
      </c>
      <c r="AJ217" s="4">
        <v>2</v>
      </c>
      <c r="AK217" s="4">
        <v>8</v>
      </c>
      <c r="AL217" s="4">
        <v>2</v>
      </c>
      <c r="AM217" s="4">
        <v>1</v>
      </c>
      <c r="AN217" s="4">
        <v>0</v>
      </c>
      <c r="AO217" s="4">
        <v>2</v>
      </c>
      <c r="AP217" s="4"/>
      <c r="AQ217" s="4">
        <v>0</v>
      </c>
      <c r="AR217" s="4">
        <v>1</v>
      </c>
      <c r="AS217" s="4">
        <f t="shared" si="7"/>
        <v>26</v>
      </c>
      <c r="AT217" s="9" t="s">
        <v>51</v>
      </c>
    </row>
    <row r="218" spans="1:46" x14ac:dyDescent="0.2">
      <c r="A218" s="4">
        <v>3630</v>
      </c>
      <c r="B218" s="4" t="s">
        <v>22</v>
      </c>
      <c r="C218" s="5" t="s">
        <v>862</v>
      </c>
      <c r="D218" s="5" t="s">
        <v>863</v>
      </c>
      <c r="E218" s="5" t="s">
        <v>622</v>
      </c>
      <c r="F218" s="5" t="s">
        <v>68</v>
      </c>
      <c r="G218" s="13">
        <v>46279</v>
      </c>
      <c r="H218" s="13">
        <v>46279</v>
      </c>
      <c r="I218" s="9">
        <f t="shared" si="6"/>
        <v>1</v>
      </c>
      <c r="J218" s="5" t="s">
        <v>1651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4">
        <v>7</v>
      </c>
      <c r="AH218" s="4">
        <v>3</v>
      </c>
      <c r="AI218" s="4">
        <v>1</v>
      </c>
      <c r="AJ218" s="4">
        <v>4</v>
      </c>
      <c r="AK218" s="4">
        <v>11</v>
      </c>
      <c r="AL218" s="4">
        <v>6</v>
      </c>
      <c r="AM218" s="4">
        <v>3</v>
      </c>
      <c r="AN218" s="4">
        <v>0</v>
      </c>
      <c r="AO218" s="4">
        <v>1</v>
      </c>
      <c r="AP218" s="4"/>
      <c r="AQ218" s="4">
        <v>0</v>
      </c>
      <c r="AR218" s="4">
        <v>1</v>
      </c>
      <c r="AS218" s="4">
        <f t="shared" si="7"/>
        <v>36</v>
      </c>
      <c r="AT218" s="9" t="s">
        <v>864</v>
      </c>
    </row>
    <row r="219" spans="1:46" x14ac:dyDescent="0.2">
      <c r="A219" s="4">
        <v>4560</v>
      </c>
      <c r="B219" s="4" t="s">
        <v>22</v>
      </c>
      <c r="C219" s="5" t="s">
        <v>1029</v>
      </c>
      <c r="D219" s="5" t="s">
        <v>1030</v>
      </c>
      <c r="E219" s="5" t="s">
        <v>981</v>
      </c>
      <c r="F219" s="5" t="s">
        <v>26</v>
      </c>
      <c r="G219" s="13">
        <v>46279</v>
      </c>
      <c r="H219" s="13">
        <v>46279</v>
      </c>
      <c r="I219" s="9">
        <f t="shared" si="6"/>
        <v>1</v>
      </c>
      <c r="J219" s="5" t="s">
        <v>1651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4">
        <v>2</v>
      </c>
      <c r="AH219" s="4">
        <v>2</v>
      </c>
      <c r="AI219" s="4">
        <v>1</v>
      </c>
      <c r="AJ219" s="4">
        <v>2</v>
      </c>
      <c r="AK219" s="4">
        <v>4</v>
      </c>
      <c r="AL219" s="4">
        <v>2</v>
      </c>
      <c r="AM219" s="4">
        <v>1</v>
      </c>
      <c r="AN219" s="4">
        <v>0</v>
      </c>
      <c r="AO219" s="4">
        <v>1</v>
      </c>
      <c r="AP219" s="4"/>
      <c r="AQ219" s="4">
        <v>0</v>
      </c>
      <c r="AR219" s="4">
        <v>1</v>
      </c>
      <c r="AS219" s="4">
        <f t="shared" si="7"/>
        <v>15</v>
      </c>
      <c r="AT219" s="9" t="s">
        <v>985</v>
      </c>
    </row>
    <row r="220" spans="1:46" x14ac:dyDescent="0.2">
      <c r="A220" s="4">
        <v>4814</v>
      </c>
      <c r="B220" s="4" t="s">
        <v>22</v>
      </c>
      <c r="C220" s="5" t="s">
        <v>1045</v>
      </c>
      <c r="D220" s="5" t="s">
        <v>1046</v>
      </c>
      <c r="E220" s="5" t="s">
        <v>286</v>
      </c>
      <c r="F220" s="5" t="s">
        <v>546</v>
      </c>
      <c r="G220" s="13">
        <v>46279</v>
      </c>
      <c r="H220" s="13">
        <v>46279</v>
      </c>
      <c r="I220" s="9">
        <f t="shared" si="6"/>
        <v>1</v>
      </c>
      <c r="J220" s="5" t="s">
        <v>1651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4">
        <v>6</v>
      </c>
      <c r="AH220" s="4">
        <v>3</v>
      </c>
      <c r="AI220" s="4">
        <v>1</v>
      </c>
      <c r="AJ220" s="4">
        <v>3</v>
      </c>
      <c r="AK220" s="4">
        <v>9</v>
      </c>
      <c r="AL220" s="4">
        <v>4</v>
      </c>
      <c r="AM220" s="4">
        <v>2</v>
      </c>
      <c r="AN220" s="4">
        <v>0</v>
      </c>
      <c r="AO220" s="4">
        <v>2</v>
      </c>
      <c r="AP220" s="4"/>
      <c r="AQ220" s="4">
        <v>0</v>
      </c>
      <c r="AR220" s="4">
        <v>1</v>
      </c>
      <c r="AS220" s="4">
        <f t="shared" si="7"/>
        <v>30</v>
      </c>
      <c r="AT220" s="9" t="s">
        <v>1034</v>
      </c>
    </row>
    <row r="221" spans="1:46" x14ac:dyDescent="0.2">
      <c r="A221" s="4">
        <v>5116</v>
      </c>
      <c r="B221" s="4" t="s">
        <v>22</v>
      </c>
      <c r="C221" s="5" t="s">
        <v>1126</v>
      </c>
      <c r="D221" s="5" t="s">
        <v>1127</v>
      </c>
      <c r="E221" s="5" t="s">
        <v>1107</v>
      </c>
      <c r="F221" s="5" t="s">
        <v>98</v>
      </c>
      <c r="G221" s="13">
        <v>46279</v>
      </c>
      <c r="H221" s="13">
        <v>46280</v>
      </c>
      <c r="I221" s="9">
        <f t="shared" si="6"/>
        <v>2</v>
      </c>
      <c r="J221" s="5" t="s">
        <v>1651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4">
        <v>4</v>
      </c>
      <c r="AH221" s="4">
        <v>3</v>
      </c>
      <c r="AI221" s="4">
        <v>1</v>
      </c>
      <c r="AJ221" s="4">
        <v>2</v>
      </c>
      <c r="AK221" s="4">
        <v>8</v>
      </c>
      <c r="AL221" s="4">
        <v>3</v>
      </c>
      <c r="AM221" s="4">
        <v>1</v>
      </c>
      <c r="AN221" s="4">
        <v>0</v>
      </c>
      <c r="AO221" s="4">
        <v>1</v>
      </c>
      <c r="AP221" s="4"/>
      <c r="AQ221" s="4">
        <v>1</v>
      </c>
      <c r="AR221" s="4">
        <v>1</v>
      </c>
      <c r="AS221" s="4">
        <f t="shared" si="7"/>
        <v>24</v>
      </c>
      <c r="AT221" s="9" t="s">
        <v>1114</v>
      </c>
    </row>
    <row r="222" spans="1:46" x14ac:dyDescent="0.2">
      <c r="A222" s="4">
        <v>6364</v>
      </c>
      <c r="B222" s="4" t="s">
        <v>22</v>
      </c>
      <c r="C222" s="5" t="s">
        <v>1333</v>
      </c>
      <c r="D222" s="5" t="s">
        <v>1334</v>
      </c>
      <c r="E222" s="5" t="s">
        <v>1301</v>
      </c>
      <c r="F222" s="5" t="s">
        <v>68</v>
      </c>
      <c r="G222" s="13">
        <v>46279</v>
      </c>
      <c r="H222" s="13">
        <v>46279</v>
      </c>
      <c r="I222" s="9">
        <f t="shared" si="6"/>
        <v>1</v>
      </c>
      <c r="J222" s="5" t="s">
        <v>1651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4">
        <v>4</v>
      </c>
      <c r="AH222" s="4">
        <v>3</v>
      </c>
      <c r="AI222" s="4">
        <v>1</v>
      </c>
      <c r="AJ222" s="4">
        <v>2</v>
      </c>
      <c r="AK222" s="4">
        <v>6</v>
      </c>
      <c r="AL222" s="4">
        <v>3</v>
      </c>
      <c r="AM222" s="4">
        <v>1</v>
      </c>
      <c r="AN222" s="4">
        <v>0</v>
      </c>
      <c r="AO222" s="4">
        <v>1</v>
      </c>
      <c r="AP222" s="4"/>
      <c r="AQ222" s="4">
        <v>0</v>
      </c>
      <c r="AR222" s="4">
        <v>1</v>
      </c>
      <c r="AS222" s="4">
        <f t="shared" si="7"/>
        <v>21</v>
      </c>
      <c r="AT222" s="9" t="s">
        <v>69</v>
      </c>
    </row>
    <row r="223" spans="1:46" x14ac:dyDescent="0.2">
      <c r="A223" s="4">
        <v>7315</v>
      </c>
      <c r="B223" s="4" t="s">
        <v>22</v>
      </c>
      <c r="C223" s="5" t="s">
        <v>1525</v>
      </c>
      <c r="D223" s="5" t="s">
        <v>1526</v>
      </c>
      <c r="E223" s="5" t="s">
        <v>1519</v>
      </c>
      <c r="F223" s="5" t="s">
        <v>26</v>
      </c>
      <c r="G223" s="13">
        <v>46279</v>
      </c>
      <c r="H223" s="13">
        <v>46280</v>
      </c>
      <c r="I223" s="9">
        <f t="shared" si="6"/>
        <v>2</v>
      </c>
      <c r="J223" s="5" t="s">
        <v>1651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4">
        <v>5</v>
      </c>
      <c r="AH223" s="4">
        <v>3</v>
      </c>
      <c r="AI223" s="4">
        <v>1</v>
      </c>
      <c r="AJ223" s="4">
        <v>3</v>
      </c>
      <c r="AK223" s="4">
        <v>8</v>
      </c>
      <c r="AL223" s="4">
        <v>4</v>
      </c>
      <c r="AM223" s="4">
        <v>2</v>
      </c>
      <c r="AN223" s="4">
        <v>0</v>
      </c>
      <c r="AO223" s="4">
        <v>1</v>
      </c>
      <c r="AP223" s="4"/>
      <c r="AQ223" s="4">
        <v>0</v>
      </c>
      <c r="AR223" s="4">
        <v>1</v>
      </c>
      <c r="AS223" s="4">
        <f t="shared" si="7"/>
        <v>27</v>
      </c>
      <c r="AT223" s="9" t="s">
        <v>1520</v>
      </c>
    </row>
    <row r="224" spans="1:46" x14ac:dyDescent="0.2">
      <c r="A224" s="4">
        <v>700</v>
      </c>
      <c r="B224" s="4" t="s">
        <v>22</v>
      </c>
      <c r="C224" s="5" t="s">
        <v>40</v>
      </c>
      <c r="D224" s="5" t="s">
        <v>41</v>
      </c>
      <c r="E224" s="5" t="s">
        <v>36</v>
      </c>
      <c r="F224" s="5" t="s">
        <v>26</v>
      </c>
      <c r="G224" s="13">
        <v>46280</v>
      </c>
      <c r="H224" s="13">
        <v>46280</v>
      </c>
      <c r="I224" s="9">
        <f t="shared" si="6"/>
        <v>1</v>
      </c>
      <c r="J224" s="5" t="s">
        <v>1651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4">
        <v>3</v>
      </c>
      <c r="AH224" s="4">
        <v>3</v>
      </c>
      <c r="AI224" s="4">
        <v>1</v>
      </c>
      <c r="AJ224" s="4">
        <v>2</v>
      </c>
      <c r="AK224" s="4">
        <v>6</v>
      </c>
      <c r="AL224" s="4">
        <v>2</v>
      </c>
      <c r="AM224" s="4">
        <v>1</v>
      </c>
      <c r="AN224" s="4">
        <v>0</v>
      </c>
      <c r="AO224" s="4">
        <v>1</v>
      </c>
      <c r="AP224" s="4"/>
      <c r="AQ224" s="4">
        <v>0</v>
      </c>
      <c r="AR224" s="4">
        <v>1</v>
      </c>
      <c r="AS224" s="4">
        <f t="shared" si="7"/>
        <v>19</v>
      </c>
      <c r="AT224" s="5" t="s">
        <v>37</v>
      </c>
    </row>
    <row r="225" spans="1:46" x14ac:dyDescent="0.2">
      <c r="A225" s="4">
        <v>1357</v>
      </c>
      <c r="B225" s="4" t="s">
        <v>22</v>
      </c>
      <c r="C225" s="5" t="s">
        <v>188</v>
      </c>
      <c r="D225" s="5" t="s">
        <v>189</v>
      </c>
      <c r="E225" s="5" t="s">
        <v>118</v>
      </c>
      <c r="F225" s="5" t="s">
        <v>119</v>
      </c>
      <c r="G225" s="13">
        <v>46280</v>
      </c>
      <c r="H225" s="13">
        <v>46280</v>
      </c>
      <c r="I225" s="9">
        <f t="shared" si="6"/>
        <v>1</v>
      </c>
      <c r="J225" s="5" t="s">
        <v>1651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4">
        <v>3</v>
      </c>
      <c r="AH225" s="4">
        <v>1</v>
      </c>
      <c r="AI225" s="4">
        <v>1</v>
      </c>
      <c r="AJ225" s="4">
        <v>2</v>
      </c>
      <c r="AK225" s="4">
        <v>4</v>
      </c>
      <c r="AL225" s="4">
        <v>2</v>
      </c>
      <c r="AM225" s="4">
        <v>1</v>
      </c>
      <c r="AN225" s="4">
        <v>0</v>
      </c>
      <c r="AO225" s="4">
        <v>1</v>
      </c>
      <c r="AP225" s="4"/>
      <c r="AQ225" s="4">
        <v>0</v>
      </c>
      <c r="AR225" s="4">
        <v>1</v>
      </c>
      <c r="AS225" s="4">
        <f t="shared" si="7"/>
        <v>15</v>
      </c>
      <c r="AT225" s="4" t="s">
        <v>120</v>
      </c>
    </row>
    <row r="226" spans="1:46" x14ac:dyDescent="0.2">
      <c r="A226" s="4">
        <v>1393</v>
      </c>
      <c r="B226" s="4" t="s">
        <v>22</v>
      </c>
      <c r="C226" s="5" t="s">
        <v>245</v>
      </c>
      <c r="D226" s="5" t="s">
        <v>246</v>
      </c>
      <c r="E226" s="5" t="s">
        <v>118</v>
      </c>
      <c r="F226" s="5" t="s">
        <v>119</v>
      </c>
      <c r="G226" s="13">
        <v>46280</v>
      </c>
      <c r="H226" s="13">
        <v>46280</v>
      </c>
      <c r="I226" s="9">
        <f t="shared" si="6"/>
        <v>1</v>
      </c>
      <c r="J226" s="5" t="s">
        <v>1651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4">
        <v>2</v>
      </c>
      <c r="AH226" s="4">
        <v>1</v>
      </c>
      <c r="AI226" s="4">
        <v>1</v>
      </c>
      <c r="AJ226" s="4">
        <v>2</v>
      </c>
      <c r="AK226" s="4">
        <v>3</v>
      </c>
      <c r="AL226" s="4">
        <v>2</v>
      </c>
      <c r="AM226" s="4">
        <v>2</v>
      </c>
      <c r="AN226" s="4">
        <v>0</v>
      </c>
      <c r="AO226" s="4">
        <v>1</v>
      </c>
      <c r="AP226" s="4"/>
      <c r="AQ226" s="4">
        <v>0</v>
      </c>
      <c r="AR226" s="4">
        <v>1</v>
      </c>
      <c r="AS226" s="4">
        <f t="shared" si="7"/>
        <v>14</v>
      </c>
      <c r="AT226" s="4" t="s">
        <v>120</v>
      </c>
    </row>
    <row r="227" spans="1:46" x14ac:dyDescent="0.2">
      <c r="A227" s="4">
        <v>1450</v>
      </c>
      <c r="B227" s="4" t="s">
        <v>22</v>
      </c>
      <c r="C227" s="5" t="s">
        <v>293</v>
      </c>
      <c r="D227" s="5" t="s">
        <v>294</v>
      </c>
      <c r="E227" s="5" t="s">
        <v>118</v>
      </c>
      <c r="F227" s="5" t="s">
        <v>119</v>
      </c>
      <c r="G227" s="13">
        <v>46280</v>
      </c>
      <c r="H227" s="13">
        <v>46280</v>
      </c>
      <c r="I227" s="9">
        <f t="shared" si="6"/>
        <v>1</v>
      </c>
      <c r="J227" s="5" t="s">
        <v>1651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4">
        <v>2</v>
      </c>
      <c r="AH227" s="4">
        <v>1</v>
      </c>
      <c r="AI227" s="4">
        <v>1</v>
      </c>
      <c r="AJ227" s="4">
        <v>2</v>
      </c>
      <c r="AK227" s="4">
        <v>3</v>
      </c>
      <c r="AL227" s="4">
        <v>2</v>
      </c>
      <c r="AM227" s="4">
        <v>1</v>
      </c>
      <c r="AN227" s="4">
        <v>0</v>
      </c>
      <c r="AO227" s="4">
        <v>1</v>
      </c>
      <c r="AP227" s="4"/>
      <c r="AQ227" s="4">
        <v>0</v>
      </c>
      <c r="AR227" s="4">
        <v>1</v>
      </c>
      <c r="AS227" s="4">
        <f t="shared" si="7"/>
        <v>13</v>
      </c>
      <c r="AT227" s="4" t="s">
        <v>137</v>
      </c>
    </row>
    <row r="228" spans="1:46" x14ac:dyDescent="0.2">
      <c r="A228" s="4">
        <v>1530</v>
      </c>
      <c r="B228" s="4" t="s">
        <v>22</v>
      </c>
      <c r="C228" s="5" t="s">
        <v>375</v>
      </c>
      <c r="D228" s="5" t="s">
        <v>376</v>
      </c>
      <c r="E228" s="5" t="s">
        <v>330</v>
      </c>
      <c r="F228" s="5" t="s">
        <v>331</v>
      </c>
      <c r="G228" s="13">
        <v>46280</v>
      </c>
      <c r="H228" s="13">
        <v>46282</v>
      </c>
      <c r="I228" s="9">
        <f t="shared" si="6"/>
        <v>3</v>
      </c>
      <c r="J228" s="5" t="s">
        <v>1651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4">
        <v>9</v>
      </c>
      <c r="AH228" s="4">
        <v>9</v>
      </c>
      <c r="AI228" s="4">
        <v>1</v>
      </c>
      <c r="AJ228" s="4">
        <v>4</v>
      </c>
      <c r="AK228" s="4">
        <v>16</v>
      </c>
      <c r="AL228" s="4">
        <v>5</v>
      </c>
      <c r="AM228" s="4">
        <v>3</v>
      </c>
      <c r="AN228" s="4">
        <v>0</v>
      </c>
      <c r="AO228" s="4">
        <v>3</v>
      </c>
      <c r="AP228" s="4"/>
      <c r="AQ228" s="4">
        <v>0</v>
      </c>
      <c r="AR228" s="4">
        <v>1</v>
      </c>
      <c r="AS228" s="4">
        <f t="shared" si="7"/>
        <v>50</v>
      </c>
      <c r="AT228" s="9" t="s">
        <v>364</v>
      </c>
    </row>
    <row r="229" spans="1:46" x14ac:dyDescent="0.2">
      <c r="A229" s="4">
        <v>1546</v>
      </c>
      <c r="B229" s="4" t="s">
        <v>22</v>
      </c>
      <c r="C229" s="5" t="s">
        <v>395</v>
      </c>
      <c r="D229" s="5" t="s">
        <v>396</v>
      </c>
      <c r="E229" s="5" t="s">
        <v>330</v>
      </c>
      <c r="F229" s="5" t="s">
        <v>331</v>
      </c>
      <c r="G229" s="13">
        <v>46280</v>
      </c>
      <c r="H229" s="13">
        <v>46281</v>
      </c>
      <c r="I229" s="9">
        <f t="shared" si="6"/>
        <v>2</v>
      </c>
      <c r="J229" s="5" t="s">
        <v>1651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4">
        <v>4</v>
      </c>
      <c r="AH229" s="4">
        <v>3</v>
      </c>
      <c r="AI229" s="4">
        <v>1</v>
      </c>
      <c r="AJ229" s="4">
        <v>2</v>
      </c>
      <c r="AK229" s="4">
        <v>8</v>
      </c>
      <c r="AL229" s="4">
        <v>3</v>
      </c>
      <c r="AM229" s="4">
        <v>1</v>
      </c>
      <c r="AN229" s="4">
        <v>0</v>
      </c>
      <c r="AO229" s="4">
        <v>1</v>
      </c>
      <c r="AP229" s="4"/>
      <c r="AQ229" s="4">
        <v>0</v>
      </c>
      <c r="AR229" s="4">
        <v>1</v>
      </c>
      <c r="AS229" s="4">
        <f t="shared" si="7"/>
        <v>23</v>
      </c>
      <c r="AT229" s="9" t="s">
        <v>332</v>
      </c>
    </row>
    <row r="230" spans="1:46" x14ac:dyDescent="0.2">
      <c r="A230" s="4">
        <v>1574</v>
      </c>
      <c r="B230" s="4" t="s">
        <v>22</v>
      </c>
      <c r="C230" s="5" t="s">
        <v>434</v>
      </c>
      <c r="D230" s="5" t="s">
        <v>435</v>
      </c>
      <c r="E230" s="5" t="s">
        <v>330</v>
      </c>
      <c r="F230" s="5" t="s">
        <v>331</v>
      </c>
      <c r="G230" s="13">
        <v>46280</v>
      </c>
      <c r="H230" s="13">
        <v>46281</v>
      </c>
      <c r="I230" s="9">
        <f t="shared" si="6"/>
        <v>2</v>
      </c>
      <c r="J230" s="5" t="s">
        <v>1651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4">
        <v>2</v>
      </c>
      <c r="AH230" s="4">
        <v>1</v>
      </c>
      <c r="AI230" s="4">
        <v>1</v>
      </c>
      <c r="AJ230" s="4">
        <v>2</v>
      </c>
      <c r="AK230" s="4">
        <v>3</v>
      </c>
      <c r="AL230" s="4">
        <v>2</v>
      </c>
      <c r="AM230" s="4">
        <v>1</v>
      </c>
      <c r="AN230" s="4">
        <v>0</v>
      </c>
      <c r="AO230" s="4">
        <v>1</v>
      </c>
      <c r="AP230" s="4"/>
      <c r="AQ230" s="4">
        <v>0</v>
      </c>
      <c r="AR230" s="4">
        <v>1</v>
      </c>
      <c r="AS230" s="4">
        <f t="shared" si="7"/>
        <v>13</v>
      </c>
      <c r="AT230" s="9" t="s">
        <v>335</v>
      </c>
    </row>
    <row r="231" spans="1:46" x14ac:dyDescent="0.2">
      <c r="A231" s="4">
        <v>1583</v>
      </c>
      <c r="B231" s="4" t="s">
        <v>22</v>
      </c>
      <c r="C231" s="5" t="s">
        <v>451</v>
      </c>
      <c r="D231" s="5" t="s">
        <v>452</v>
      </c>
      <c r="E231" s="5" t="s">
        <v>330</v>
      </c>
      <c r="F231" s="5" t="s">
        <v>331</v>
      </c>
      <c r="G231" s="13">
        <v>46280</v>
      </c>
      <c r="H231" s="13">
        <v>46281</v>
      </c>
      <c r="I231" s="9">
        <f t="shared" si="6"/>
        <v>2</v>
      </c>
      <c r="J231" s="5" t="s">
        <v>1651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4">
        <v>4</v>
      </c>
      <c r="AH231" s="4">
        <v>3</v>
      </c>
      <c r="AI231" s="4">
        <v>1</v>
      </c>
      <c r="AJ231" s="4">
        <v>2</v>
      </c>
      <c r="AK231" s="4">
        <v>7</v>
      </c>
      <c r="AL231" s="4">
        <v>4</v>
      </c>
      <c r="AM231" s="4">
        <v>1</v>
      </c>
      <c r="AN231" s="4">
        <v>1</v>
      </c>
      <c r="AO231" s="4">
        <v>1</v>
      </c>
      <c r="AP231" s="4"/>
      <c r="AQ231" s="4">
        <v>1</v>
      </c>
      <c r="AR231" s="4">
        <v>1</v>
      </c>
      <c r="AS231" s="4">
        <f t="shared" si="7"/>
        <v>25</v>
      </c>
      <c r="AT231" s="9" t="s">
        <v>77</v>
      </c>
    </row>
    <row r="232" spans="1:46" x14ac:dyDescent="0.2">
      <c r="A232" s="4">
        <v>1801</v>
      </c>
      <c r="B232" s="4" t="s">
        <v>22</v>
      </c>
      <c r="C232" s="5" t="s">
        <v>498</v>
      </c>
      <c r="D232" s="5" t="s">
        <v>499</v>
      </c>
      <c r="E232" s="5" t="s">
        <v>215</v>
      </c>
      <c r="F232" s="5" t="s">
        <v>500</v>
      </c>
      <c r="G232" s="13">
        <v>46280</v>
      </c>
      <c r="H232" s="13">
        <v>46281</v>
      </c>
      <c r="I232" s="9">
        <f t="shared" si="6"/>
        <v>2</v>
      </c>
      <c r="J232" s="5" t="s">
        <v>1651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4">
        <v>4</v>
      </c>
      <c r="AH232" s="4">
        <v>3</v>
      </c>
      <c r="AI232" s="4">
        <v>1</v>
      </c>
      <c r="AJ232" s="4">
        <v>2</v>
      </c>
      <c r="AK232" s="4">
        <v>7</v>
      </c>
      <c r="AL232" s="4">
        <v>3</v>
      </c>
      <c r="AM232" s="4">
        <v>1</v>
      </c>
      <c r="AN232" s="4">
        <v>0</v>
      </c>
      <c r="AO232" s="4">
        <v>1</v>
      </c>
      <c r="AP232" s="4"/>
      <c r="AQ232" s="4">
        <v>0</v>
      </c>
      <c r="AR232" s="4">
        <v>1</v>
      </c>
      <c r="AS232" s="4">
        <f t="shared" si="7"/>
        <v>22</v>
      </c>
      <c r="AT232" s="9" t="s">
        <v>501</v>
      </c>
    </row>
    <row r="233" spans="1:46" x14ac:dyDescent="0.2">
      <c r="A233" s="4">
        <v>1860</v>
      </c>
      <c r="B233" s="4" t="s">
        <v>22</v>
      </c>
      <c r="C233" s="5" t="s">
        <v>534</v>
      </c>
      <c r="D233" s="5" t="s">
        <v>535</v>
      </c>
      <c r="E233" s="5" t="s">
        <v>215</v>
      </c>
      <c r="F233" s="5" t="s">
        <v>500</v>
      </c>
      <c r="G233" s="13">
        <v>46280</v>
      </c>
      <c r="H233" s="13">
        <v>46281</v>
      </c>
      <c r="I233" s="9">
        <f t="shared" si="6"/>
        <v>2</v>
      </c>
      <c r="J233" s="5" t="s">
        <v>1651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4">
        <v>2</v>
      </c>
      <c r="AH233" s="4">
        <v>2</v>
      </c>
      <c r="AI233" s="4">
        <v>1</v>
      </c>
      <c r="AJ233" s="4">
        <v>2</v>
      </c>
      <c r="AK233" s="4">
        <v>5</v>
      </c>
      <c r="AL233" s="4">
        <v>2</v>
      </c>
      <c r="AM233" s="4">
        <v>1</v>
      </c>
      <c r="AN233" s="4">
        <v>0</v>
      </c>
      <c r="AO233" s="4">
        <v>1</v>
      </c>
      <c r="AP233" s="4"/>
      <c r="AQ233" s="4">
        <v>1</v>
      </c>
      <c r="AR233" s="4">
        <v>1</v>
      </c>
      <c r="AS233" s="4">
        <f t="shared" si="7"/>
        <v>17</v>
      </c>
      <c r="AT233" s="9" t="s">
        <v>501</v>
      </c>
    </row>
    <row r="234" spans="1:46" x14ac:dyDescent="0.2">
      <c r="A234" s="4">
        <v>2118</v>
      </c>
      <c r="B234" s="4" t="s">
        <v>22</v>
      </c>
      <c r="C234" s="5" t="s">
        <v>570</v>
      </c>
      <c r="D234" s="5" t="s">
        <v>571</v>
      </c>
      <c r="E234" s="5" t="s">
        <v>545</v>
      </c>
      <c r="F234" s="5" t="s">
        <v>546</v>
      </c>
      <c r="G234" s="13">
        <v>46280</v>
      </c>
      <c r="H234" s="13">
        <v>46280</v>
      </c>
      <c r="I234" s="9">
        <f t="shared" si="6"/>
        <v>1</v>
      </c>
      <c r="J234" s="5" t="s">
        <v>1651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4">
        <v>4</v>
      </c>
      <c r="AH234" s="4">
        <v>3</v>
      </c>
      <c r="AI234" s="4">
        <v>1</v>
      </c>
      <c r="AJ234" s="4">
        <v>2</v>
      </c>
      <c r="AK234" s="4">
        <v>7</v>
      </c>
      <c r="AL234" s="4">
        <v>3</v>
      </c>
      <c r="AM234" s="4">
        <v>1</v>
      </c>
      <c r="AN234" s="4">
        <v>0</v>
      </c>
      <c r="AO234" s="4">
        <v>1</v>
      </c>
      <c r="AP234" s="4"/>
      <c r="AQ234" s="4">
        <v>0</v>
      </c>
      <c r="AR234" s="4">
        <v>1</v>
      </c>
      <c r="AS234" s="4">
        <f t="shared" si="7"/>
        <v>22</v>
      </c>
      <c r="AT234" s="9" t="s">
        <v>547</v>
      </c>
    </row>
    <row r="235" spans="1:46" x14ac:dyDescent="0.2">
      <c r="A235" s="4">
        <v>2752</v>
      </c>
      <c r="B235" s="4" t="s">
        <v>22</v>
      </c>
      <c r="C235" s="5" t="s">
        <v>682</v>
      </c>
      <c r="D235" s="5" t="s">
        <v>683</v>
      </c>
      <c r="E235" s="5" t="s">
        <v>661</v>
      </c>
      <c r="F235" s="5" t="s">
        <v>119</v>
      </c>
      <c r="G235" s="13">
        <v>46280</v>
      </c>
      <c r="H235" s="13">
        <v>46280</v>
      </c>
      <c r="I235" s="9">
        <f t="shared" si="6"/>
        <v>1</v>
      </c>
      <c r="J235" s="5" t="s">
        <v>1651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4">
        <v>5</v>
      </c>
      <c r="AH235" s="4">
        <v>5</v>
      </c>
      <c r="AI235" s="4">
        <v>1</v>
      </c>
      <c r="AJ235" s="4">
        <v>3</v>
      </c>
      <c r="AK235" s="4">
        <v>12</v>
      </c>
      <c r="AL235" s="4">
        <v>4</v>
      </c>
      <c r="AM235" s="4">
        <v>2</v>
      </c>
      <c r="AN235" s="4">
        <v>0</v>
      </c>
      <c r="AO235" s="4">
        <v>2</v>
      </c>
      <c r="AP235" s="4"/>
      <c r="AQ235" s="4">
        <v>0</v>
      </c>
      <c r="AR235" s="4">
        <v>1</v>
      </c>
      <c r="AS235" s="4">
        <f t="shared" si="7"/>
        <v>34</v>
      </c>
      <c r="AT235" s="9" t="s">
        <v>662</v>
      </c>
    </row>
    <row r="236" spans="1:46" x14ac:dyDescent="0.2">
      <c r="A236" s="4">
        <v>3157</v>
      </c>
      <c r="B236" s="4" t="s">
        <v>22</v>
      </c>
      <c r="C236" s="5" t="s">
        <v>799</v>
      </c>
      <c r="D236" s="5" t="s">
        <v>800</v>
      </c>
      <c r="E236" s="5" t="s">
        <v>36</v>
      </c>
      <c r="F236" s="5" t="s">
        <v>26</v>
      </c>
      <c r="G236" s="13">
        <v>46280</v>
      </c>
      <c r="H236" s="13">
        <v>46280</v>
      </c>
      <c r="I236" s="9">
        <f t="shared" si="6"/>
        <v>1</v>
      </c>
      <c r="J236" s="5" t="s">
        <v>1651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4">
        <v>2</v>
      </c>
      <c r="AH236" s="4">
        <v>1</v>
      </c>
      <c r="AI236" s="4">
        <v>1</v>
      </c>
      <c r="AJ236" s="4">
        <v>2</v>
      </c>
      <c r="AK236" s="4">
        <v>3</v>
      </c>
      <c r="AL236" s="4">
        <v>2</v>
      </c>
      <c r="AM236" s="4">
        <v>1</v>
      </c>
      <c r="AN236" s="4">
        <v>0</v>
      </c>
      <c r="AO236" s="4">
        <v>1</v>
      </c>
      <c r="AP236" s="4"/>
      <c r="AQ236" s="4">
        <v>0</v>
      </c>
      <c r="AR236" s="4">
        <v>1</v>
      </c>
      <c r="AS236" s="4">
        <f t="shared" si="7"/>
        <v>13</v>
      </c>
      <c r="AT236" s="9" t="s">
        <v>51</v>
      </c>
    </row>
    <row r="237" spans="1:46" x14ac:dyDescent="0.2">
      <c r="A237" s="4">
        <v>3174</v>
      </c>
      <c r="B237" s="4" t="s">
        <v>22</v>
      </c>
      <c r="C237" s="5" t="s">
        <v>825</v>
      </c>
      <c r="D237" s="5" t="s">
        <v>826</v>
      </c>
      <c r="E237" s="5" t="s">
        <v>36</v>
      </c>
      <c r="F237" s="5" t="s">
        <v>26</v>
      </c>
      <c r="G237" s="13">
        <v>46280</v>
      </c>
      <c r="H237" s="13">
        <v>46280</v>
      </c>
      <c r="I237" s="9">
        <f t="shared" si="6"/>
        <v>1</v>
      </c>
      <c r="J237" s="5" t="s">
        <v>1651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4">
        <v>2</v>
      </c>
      <c r="AH237" s="4">
        <v>1</v>
      </c>
      <c r="AI237" s="4">
        <v>1</v>
      </c>
      <c r="AJ237" s="4">
        <v>2</v>
      </c>
      <c r="AK237" s="4">
        <v>3</v>
      </c>
      <c r="AL237" s="4">
        <v>2</v>
      </c>
      <c r="AM237" s="4">
        <v>1</v>
      </c>
      <c r="AN237" s="4">
        <v>0</v>
      </c>
      <c r="AO237" s="4">
        <v>1</v>
      </c>
      <c r="AP237" s="4"/>
      <c r="AQ237" s="4">
        <v>0</v>
      </c>
      <c r="AR237" s="4">
        <v>1</v>
      </c>
      <c r="AS237" s="4">
        <f t="shared" si="7"/>
        <v>13</v>
      </c>
      <c r="AT237" s="9" t="s">
        <v>64</v>
      </c>
    </row>
    <row r="238" spans="1:46" x14ac:dyDescent="0.2">
      <c r="A238" s="4">
        <v>3928</v>
      </c>
      <c r="B238" s="4" t="s">
        <v>22</v>
      </c>
      <c r="C238" s="5" t="s">
        <v>914</v>
      </c>
      <c r="D238" s="5" t="s">
        <v>915</v>
      </c>
      <c r="E238" s="5" t="s">
        <v>873</v>
      </c>
      <c r="F238" s="5" t="s">
        <v>574</v>
      </c>
      <c r="G238" s="13">
        <v>46280</v>
      </c>
      <c r="H238" s="13">
        <v>46280</v>
      </c>
      <c r="I238" s="9">
        <f t="shared" si="6"/>
        <v>1</v>
      </c>
      <c r="J238" s="5" t="s">
        <v>1651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4">
        <v>4</v>
      </c>
      <c r="AH238" s="4">
        <v>2</v>
      </c>
      <c r="AI238" s="4">
        <v>1</v>
      </c>
      <c r="AJ238" s="4">
        <v>2</v>
      </c>
      <c r="AK238" s="4">
        <v>7</v>
      </c>
      <c r="AL238" s="4">
        <v>2</v>
      </c>
      <c r="AM238" s="4">
        <v>1</v>
      </c>
      <c r="AN238" s="4">
        <v>0</v>
      </c>
      <c r="AO238" s="4">
        <v>1</v>
      </c>
      <c r="AP238" s="4"/>
      <c r="AQ238" s="4">
        <v>0</v>
      </c>
      <c r="AR238" s="4">
        <v>1</v>
      </c>
      <c r="AS238" s="4">
        <f t="shared" si="7"/>
        <v>20</v>
      </c>
      <c r="AT238" s="9" t="s">
        <v>874</v>
      </c>
    </row>
    <row r="239" spans="1:46" x14ac:dyDescent="0.2">
      <c r="A239" s="4">
        <v>3950</v>
      </c>
      <c r="B239" s="4" t="s">
        <v>22</v>
      </c>
      <c r="C239" s="5" t="s">
        <v>940</v>
      </c>
      <c r="D239" s="5" t="s">
        <v>941</v>
      </c>
      <c r="E239" s="5" t="s">
        <v>873</v>
      </c>
      <c r="F239" s="5" t="s">
        <v>574</v>
      </c>
      <c r="G239" s="13">
        <v>46280</v>
      </c>
      <c r="H239" s="13">
        <v>46281</v>
      </c>
      <c r="I239" s="9">
        <f t="shared" si="6"/>
        <v>2</v>
      </c>
      <c r="J239" s="5" t="s">
        <v>1651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4">
        <v>3</v>
      </c>
      <c r="AH239" s="4">
        <v>2</v>
      </c>
      <c r="AI239" s="4">
        <v>1</v>
      </c>
      <c r="AJ239" s="4">
        <v>2</v>
      </c>
      <c r="AK239" s="4">
        <v>5</v>
      </c>
      <c r="AL239" s="4">
        <v>2</v>
      </c>
      <c r="AM239" s="4">
        <v>1</v>
      </c>
      <c r="AN239" s="4">
        <v>0</v>
      </c>
      <c r="AO239" s="4">
        <v>1</v>
      </c>
      <c r="AP239" s="4"/>
      <c r="AQ239" s="4">
        <v>0</v>
      </c>
      <c r="AR239" s="4">
        <v>1</v>
      </c>
      <c r="AS239" s="4">
        <f t="shared" si="7"/>
        <v>17</v>
      </c>
      <c r="AT239" s="9" t="s">
        <v>888</v>
      </c>
    </row>
    <row r="240" spans="1:46" x14ac:dyDescent="0.2">
      <c r="A240" s="4">
        <v>4521</v>
      </c>
      <c r="B240" s="4" t="s">
        <v>22</v>
      </c>
      <c r="C240" s="5" t="s">
        <v>1004</v>
      </c>
      <c r="D240" s="5" t="s">
        <v>1005</v>
      </c>
      <c r="E240" s="5" t="s">
        <v>981</v>
      </c>
      <c r="F240" s="5" t="s">
        <v>26</v>
      </c>
      <c r="G240" s="13">
        <v>46280</v>
      </c>
      <c r="H240" s="13">
        <v>46280</v>
      </c>
      <c r="I240" s="9">
        <f t="shared" si="6"/>
        <v>1</v>
      </c>
      <c r="J240" s="5" t="s">
        <v>1651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4">
        <v>3</v>
      </c>
      <c r="AH240" s="4">
        <v>2</v>
      </c>
      <c r="AI240" s="4">
        <v>1</v>
      </c>
      <c r="AJ240" s="4">
        <v>2</v>
      </c>
      <c r="AK240" s="4">
        <v>4</v>
      </c>
      <c r="AL240" s="4">
        <v>3</v>
      </c>
      <c r="AM240" s="4">
        <v>1</v>
      </c>
      <c r="AN240" s="4">
        <v>0</v>
      </c>
      <c r="AO240" s="4">
        <v>1</v>
      </c>
      <c r="AP240" s="4"/>
      <c r="AQ240" s="4">
        <v>0</v>
      </c>
      <c r="AR240" s="4">
        <v>1</v>
      </c>
      <c r="AS240" s="4">
        <f t="shared" si="7"/>
        <v>17</v>
      </c>
      <c r="AT240" s="9" t="s">
        <v>985</v>
      </c>
    </row>
    <row r="241" spans="1:46" x14ac:dyDescent="0.2">
      <c r="A241" s="4">
        <v>4870</v>
      </c>
      <c r="B241" s="4" t="s">
        <v>22</v>
      </c>
      <c r="C241" s="5" t="s">
        <v>1085</v>
      </c>
      <c r="D241" s="5" t="s">
        <v>1086</v>
      </c>
      <c r="E241" s="5" t="s">
        <v>286</v>
      </c>
      <c r="F241" s="5" t="s">
        <v>546</v>
      </c>
      <c r="G241" s="13">
        <v>46280</v>
      </c>
      <c r="H241" s="13">
        <v>46280</v>
      </c>
      <c r="I241" s="9">
        <f t="shared" si="6"/>
        <v>1</v>
      </c>
      <c r="J241" s="5" t="s">
        <v>1651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4">
        <v>5</v>
      </c>
      <c r="AH241" s="4">
        <v>3</v>
      </c>
      <c r="AI241" s="4">
        <v>1</v>
      </c>
      <c r="AJ241" s="4">
        <v>3</v>
      </c>
      <c r="AK241" s="4">
        <v>8</v>
      </c>
      <c r="AL241" s="4">
        <v>4</v>
      </c>
      <c r="AM241" s="4">
        <v>2</v>
      </c>
      <c r="AN241" s="4">
        <v>0</v>
      </c>
      <c r="AO241" s="4">
        <v>1</v>
      </c>
      <c r="AP241" s="4"/>
      <c r="AQ241" s="4">
        <v>1</v>
      </c>
      <c r="AR241" s="4">
        <v>1</v>
      </c>
      <c r="AS241" s="4">
        <f t="shared" si="7"/>
        <v>28</v>
      </c>
      <c r="AT241" s="9" t="s">
        <v>1034</v>
      </c>
    </row>
    <row r="242" spans="1:46" x14ac:dyDescent="0.2">
      <c r="A242" s="4">
        <v>5118</v>
      </c>
      <c r="B242" s="4" t="s">
        <v>22</v>
      </c>
      <c r="C242" s="5" t="s">
        <v>1130</v>
      </c>
      <c r="D242" s="5" t="s">
        <v>1131</v>
      </c>
      <c r="E242" s="5" t="s">
        <v>1107</v>
      </c>
      <c r="F242" s="5" t="s">
        <v>98</v>
      </c>
      <c r="G242" s="13">
        <v>46280</v>
      </c>
      <c r="H242" s="13">
        <v>46280</v>
      </c>
      <c r="I242" s="9">
        <f t="shared" si="6"/>
        <v>1</v>
      </c>
      <c r="J242" s="5" t="s">
        <v>1651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4">
        <v>2</v>
      </c>
      <c r="AH242" s="4">
        <v>1</v>
      </c>
      <c r="AI242" s="4">
        <v>1</v>
      </c>
      <c r="AJ242" s="4">
        <v>2</v>
      </c>
      <c r="AK242" s="4">
        <v>3</v>
      </c>
      <c r="AL242" s="4">
        <v>2</v>
      </c>
      <c r="AM242" s="4">
        <v>1</v>
      </c>
      <c r="AN242" s="4">
        <v>0</v>
      </c>
      <c r="AO242" s="4">
        <v>1</v>
      </c>
      <c r="AP242" s="4"/>
      <c r="AQ242" s="4">
        <v>0</v>
      </c>
      <c r="AR242" s="4">
        <v>1</v>
      </c>
      <c r="AS242" s="4">
        <f t="shared" si="7"/>
        <v>13</v>
      </c>
      <c r="AT242" s="9" t="s">
        <v>1111</v>
      </c>
    </row>
    <row r="243" spans="1:46" x14ac:dyDescent="0.2">
      <c r="A243" s="4">
        <v>5740</v>
      </c>
      <c r="B243" s="4" t="s">
        <v>22</v>
      </c>
      <c r="C243" s="5" t="s">
        <v>1201</v>
      </c>
      <c r="D243" s="5" t="s">
        <v>1202</v>
      </c>
      <c r="E243" s="5" t="s">
        <v>538</v>
      </c>
      <c r="F243" s="5" t="s">
        <v>500</v>
      </c>
      <c r="G243" s="13">
        <v>46280</v>
      </c>
      <c r="H243" s="13">
        <v>46281</v>
      </c>
      <c r="I243" s="9">
        <f t="shared" si="6"/>
        <v>2</v>
      </c>
      <c r="J243" s="5" t="s">
        <v>1651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4">
        <v>4</v>
      </c>
      <c r="AH243" s="4">
        <v>2</v>
      </c>
      <c r="AI243" s="4">
        <v>1</v>
      </c>
      <c r="AJ243" s="4">
        <v>2</v>
      </c>
      <c r="AK243" s="4">
        <v>7</v>
      </c>
      <c r="AL243" s="4">
        <v>3</v>
      </c>
      <c r="AM243" s="4">
        <v>1</v>
      </c>
      <c r="AN243" s="4">
        <v>0</v>
      </c>
      <c r="AO243" s="4">
        <v>1</v>
      </c>
      <c r="AP243" s="4"/>
      <c r="AQ243" s="4">
        <v>0</v>
      </c>
      <c r="AR243" s="4">
        <v>1</v>
      </c>
      <c r="AS243" s="4">
        <f t="shared" si="7"/>
        <v>21</v>
      </c>
      <c r="AT243" s="9" t="s">
        <v>1193</v>
      </c>
    </row>
    <row r="244" spans="1:46" x14ac:dyDescent="0.2">
      <c r="A244" s="4">
        <v>6305</v>
      </c>
      <c r="B244" s="4" t="s">
        <v>22</v>
      </c>
      <c r="C244" s="5" t="s">
        <v>665</v>
      </c>
      <c r="D244" s="5" t="s">
        <v>666</v>
      </c>
      <c r="E244" s="5" t="s">
        <v>1301</v>
      </c>
      <c r="F244" s="5" t="s">
        <v>68</v>
      </c>
      <c r="G244" s="13">
        <v>46280</v>
      </c>
      <c r="H244" s="13">
        <v>46280</v>
      </c>
      <c r="I244" s="9">
        <f t="shared" si="6"/>
        <v>1</v>
      </c>
      <c r="J244" s="5" t="s">
        <v>1651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4">
        <v>2</v>
      </c>
      <c r="AH244" s="4">
        <v>1</v>
      </c>
      <c r="AI244" s="4">
        <v>1</v>
      </c>
      <c r="AJ244" s="4">
        <v>2</v>
      </c>
      <c r="AK244" s="4">
        <v>3</v>
      </c>
      <c r="AL244" s="4">
        <v>2</v>
      </c>
      <c r="AM244" s="4">
        <v>1</v>
      </c>
      <c r="AN244" s="4">
        <v>0</v>
      </c>
      <c r="AO244" s="4">
        <v>1</v>
      </c>
      <c r="AP244" s="4"/>
      <c r="AQ244" s="4">
        <v>0</v>
      </c>
      <c r="AR244" s="4">
        <v>1</v>
      </c>
      <c r="AS244" s="4">
        <f t="shared" si="7"/>
        <v>13</v>
      </c>
      <c r="AT244" s="9" t="s">
        <v>93</v>
      </c>
    </row>
    <row r="245" spans="1:46" x14ac:dyDescent="0.2">
      <c r="A245" s="4">
        <v>6330</v>
      </c>
      <c r="B245" s="4" t="s">
        <v>22</v>
      </c>
      <c r="C245" s="5" t="s">
        <v>226</v>
      </c>
      <c r="D245" s="5" t="s">
        <v>227</v>
      </c>
      <c r="E245" s="5" t="s">
        <v>1301</v>
      </c>
      <c r="F245" s="5" t="s">
        <v>68</v>
      </c>
      <c r="G245" s="13">
        <v>46280</v>
      </c>
      <c r="H245" s="13">
        <v>46280</v>
      </c>
      <c r="I245" s="9">
        <f t="shared" si="6"/>
        <v>1</v>
      </c>
      <c r="J245" s="5" t="s">
        <v>1651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4">
        <v>2</v>
      </c>
      <c r="AH245" s="4">
        <v>2</v>
      </c>
      <c r="AI245" s="4">
        <v>1</v>
      </c>
      <c r="AJ245" s="4">
        <v>2</v>
      </c>
      <c r="AK245" s="4">
        <v>4</v>
      </c>
      <c r="AL245" s="4">
        <v>2</v>
      </c>
      <c r="AM245" s="4">
        <v>1</v>
      </c>
      <c r="AN245" s="4">
        <v>0</v>
      </c>
      <c r="AO245" s="4">
        <v>1</v>
      </c>
      <c r="AP245" s="4"/>
      <c r="AQ245" s="4">
        <v>0</v>
      </c>
      <c r="AR245" s="4">
        <v>1</v>
      </c>
      <c r="AS245" s="4">
        <f t="shared" si="7"/>
        <v>15</v>
      </c>
      <c r="AT245" s="9" t="s">
        <v>69</v>
      </c>
    </row>
    <row r="246" spans="1:46" x14ac:dyDescent="0.2">
      <c r="A246" s="4">
        <v>6350</v>
      </c>
      <c r="B246" s="4" t="s">
        <v>22</v>
      </c>
      <c r="C246" s="5" t="s">
        <v>1327</v>
      </c>
      <c r="D246" s="5" t="s">
        <v>1328</v>
      </c>
      <c r="E246" s="5" t="s">
        <v>1301</v>
      </c>
      <c r="F246" s="5" t="s">
        <v>68</v>
      </c>
      <c r="G246" s="13">
        <v>46280</v>
      </c>
      <c r="H246" s="13">
        <v>46280</v>
      </c>
      <c r="I246" s="9">
        <f t="shared" si="6"/>
        <v>1</v>
      </c>
      <c r="J246" s="5" t="s">
        <v>1651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4">
        <v>2</v>
      </c>
      <c r="AH246" s="4">
        <v>1</v>
      </c>
      <c r="AI246" s="4">
        <v>1</v>
      </c>
      <c r="AJ246" s="4">
        <v>2</v>
      </c>
      <c r="AK246" s="4">
        <v>3</v>
      </c>
      <c r="AL246" s="4">
        <v>2</v>
      </c>
      <c r="AM246" s="4">
        <v>1</v>
      </c>
      <c r="AN246" s="4">
        <v>0</v>
      </c>
      <c r="AO246" s="4">
        <v>1</v>
      </c>
      <c r="AP246" s="4"/>
      <c r="AQ246" s="4">
        <v>0</v>
      </c>
      <c r="AR246" s="4">
        <v>1</v>
      </c>
      <c r="AS246" s="4">
        <f t="shared" si="7"/>
        <v>13</v>
      </c>
      <c r="AT246" s="9" t="s">
        <v>90</v>
      </c>
    </row>
    <row r="247" spans="1:46" x14ac:dyDescent="0.2">
      <c r="A247" s="4">
        <v>6619</v>
      </c>
      <c r="B247" s="4" t="s">
        <v>22</v>
      </c>
      <c r="C247" s="5" t="s">
        <v>1372</v>
      </c>
      <c r="D247" s="5" t="s">
        <v>1373</v>
      </c>
      <c r="E247" s="5" t="s">
        <v>1346</v>
      </c>
      <c r="F247" s="5" t="s">
        <v>574</v>
      </c>
      <c r="G247" s="13">
        <v>46280</v>
      </c>
      <c r="H247" s="13">
        <v>46281</v>
      </c>
      <c r="I247" s="9">
        <f t="shared" si="6"/>
        <v>2</v>
      </c>
      <c r="J247" s="5" t="s">
        <v>1651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4">
        <v>4</v>
      </c>
      <c r="AH247" s="4">
        <v>1</v>
      </c>
      <c r="AI247" s="4">
        <v>1</v>
      </c>
      <c r="AJ247" s="4">
        <v>2</v>
      </c>
      <c r="AK247" s="4">
        <v>5</v>
      </c>
      <c r="AL247" s="4">
        <v>4</v>
      </c>
      <c r="AM247" s="4">
        <v>1</v>
      </c>
      <c r="AN247" s="4">
        <v>0</v>
      </c>
      <c r="AO247" s="4">
        <v>1</v>
      </c>
      <c r="AP247" s="7"/>
      <c r="AQ247" s="4">
        <v>0</v>
      </c>
      <c r="AR247" s="4">
        <v>1</v>
      </c>
      <c r="AS247" s="4">
        <f t="shared" si="7"/>
        <v>19</v>
      </c>
      <c r="AT247" s="9" t="s">
        <v>1354</v>
      </c>
    </row>
    <row r="248" spans="1:46" x14ac:dyDescent="0.2">
      <c r="A248" s="4">
        <v>6646</v>
      </c>
      <c r="B248" s="4" t="s">
        <v>22</v>
      </c>
      <c r="C248" s="5" t="s">
        <v>1416</v>
      </c>
      <c r="D248" s="5" t="s">
        <v>1407</v>
      </c>
      <c r="E248" s="5" t="s">
        <v>1346</v>
      </c>
      <c r="F248" s="5" t="s">
        <v>574</v>
      </c>
      <c r="G248" s="13">
        <v>46280</v>
      </c>
      <c r="H248" s="13">
        <v>46281</v>
      </c>
      <c r="I248" s="9">
        <f t="shared" si="6"/>
        <v>2</v>
      </c>
      <c r="J248" s="5" t="s">
        <v>1651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4">
        <v>5</v>
      </c>
      <c r="AH248" s="4">
        <v>2</v>
      </c>
      <c r="AI248" s="4">
        <v>1</v>
      </c>
      <c r="AJ248" s="4">
        <v>2</v>
      </c>
      <c r="AK248" s="4">
        <v>7</v>
      </c>
      <c r="AL248" s="4">
        <v>3</v>
      </c>
      <c r="AM248" s="4">
        <v>1</v>
      </c>
      <c r="AN248" s="4">
        <v>0</v>
      </c>
      <c r="AO248" s="4">
        <v>2</v>
      </c>
      <c r="AP248" s="4"/>
      <c r="AQ248" s="4">
        <v>0</v>
      </c>
      <c r="AR248" s="4">
        <v>1</v>
      </c>
      <c r="AS248" s="4">
        <f t="shared" si="7"/>
        <v>23</v>
      </c>
      <c r="AT248" s="9" t="s">
        <v>1364</v>
      </c>
    </row>
    <row r="249" spans="1:46" x14ac:dyDescent="0.2">
      <c r="A249" s="4">
        <v>7903</v>
      </c>
      <c r="B249" s="4" t="s">
        <v>22</v>
      </c>
      <c r="C249" s="5" t="s">
        <v>1571</v>
      </c>
      <c r="D249" s="5" t="s">
        <v>1572</v>
      </c>
      <c r="E249" s="5" t="s">
        <v>1512</v>
      </c>
      <c r="F249" s="5" t="s">
        <v>574</v>
      </c>
      <c r="G249" s="13">
        <v>46280</v>
      </c>
      <c r="H249" s="13">
        <v>46280</v>
      </c>
      <c r="I249" s="9">
        <f t="shared" si="6"/>
        <v>1</v>
      </c>
      <c r="J249" s="5" t="s">
        <v>1651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4">
        <v>8</v>
      </c>
      <c r="AH249" s="4">
        <v>6</v>
      </c>
      <c r="AI249" s="4">
        <v>1</v>
      </c>
      <c r="AJ249" s="4">
        <v>3</v>
      </c>
      <c r="AK249" s="4">
        <v>12</v>
      </c>
      <c r="AL249" s="4">
        <v>5</v>
      </c>
      <c r="AM249" s="4">
        <v>2</v>
      </c>
      <c r="AN249" s="4">
        <v>0</v>
      </c>
      <c r="AO249" s="4">
        <v>2</v>
      </c>
      <c r="AP249" s="4"/>
      <c r="AQ249" s="4">
        <v>0</v>
      </c>
      <c r="AR249" s="4">
        <v>1</v>
      </c>
      <c r="AS249" s="4">
        <f t="shared" si="7"/>
        <v>39</v>
      </c>
      <c r="AT249" s="9" t="s">
        <v>1573</v>
      </c>
    </row>
    <row r="250" spans="1:46" x14ac:dyDescent="0.2">
      <c r="A250" s="4">
        <v>8520</v>
      </c>
      <c r="B250" s="4" t="s">
        <v>22</v>
      </c>
      <c r="C250" s="5" t="s">
        <v>1596</v>
      </c>
      <c r="D250" s="5" t="s">
        <v>1597</v>
      </c>
      <c r="E250" s="5" t="s">
        <v>1588</v>
      </c>
      <c r="F250" s="5" t="s">
        <v>26</v>
      </c>
      <c r="G250" s="13">
        <v>46280</v>
      </c>
      <c r="H250" s="13">
        <v>46283</v>
      </c>
      <c r="I250" s="9">
        <f t="shared" si="6"/>
        <v>4</v>
      </c>
      <c r="J250" s="5" t="s">
        <v>1651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4">
        <v>2</v>
      </c>
      <c r="AH250" s="4">
        <v>1</v>
      </c>
      <c r="AI250" s="4">
        <v>1</v>
      </c>
      <c r="AJ250" s="4">
        <v>2</v>
      </c>
      <c r="AK250" s="4">
        <v>3</v>
      </c>
      <c r="AL250" s="4">
        <v>2</v>
      </c>
      <c r="AM250" s="4">
        <v>1</v>
      </c>
      <c r="AN250" s="4">
        <v>0</v>
      </c>
      <c r="AO250" s="4">
        <v>1</v>
      </c>
      <c r="AP250" s="4"/>
      <c r="AQ250" s="4">
        <v>0</v>
      </c>
      <c r="AR250" s="4">
        <v>1</v>
      </c>
      <c r="AS250" s="4">
        <f t="shared" si="7"/>
        <v>13</v>
      </c>
      <c r="AT250" s="9" t="s">
        <v>1595</v>
      </c>
    </row>
    <row r="251" spans="1:46" x14ac:dyDescent="0.2">
      <c r="A251" s="4">
        <v>8615</v>
      </c>
      <c r="B251" s="4" t="s">
        <v>22</v>
      </c>
      <c r="C251" s="5" t="s">
        <v>1606</v>
      </c>
      <c r="D251" s="5" t="s">
        <v>1607</v>
      </c>
      <c r="E251" s="5" t="s">
        <v>1600</v>
      </c>
      <c r="F251" s="5" t="s">
        <v>331</v>
      </c>
      <c r="G251" s="13">
        <v>46280</v>
      </c>
      <c r="H251" s="13">
        <v>46281</v>
      </c>
      <c r="I251" s="9">
        <f t="shared" si="6"/>
        <v>2</v>
      </c>
      <c r="J251" s="5" t="s">
        <v>1651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4">
        <v>3</v>
      </c>
      <c r="AH251" s="4">
        <v>3</v>
      </c>
      <c r="AI251" s="4">
        <v>1</v>
      </c>
      <c r="AJ251" s="4">
        <v>2</v>
      </c>
      <c r="AK251" s="4">
        <v>6</v>
      </c>
      <c r="AL251" s="4">
        <v>2</v>
      </c>
      <c r="AM251" s="4">
        <v>1</v>
      </c>
      <c r="AN251" s="4">
        <v>0</v>
      </c>
      <c r="AO251" s="4">
        <v>1</v>
      </c>
      <c r="AP251" s="4"/>
      <c r="AQ251" s="4">
        <v>0</v>
      </c>
      <c r="AR251" s="4">
        <v>1</v>
      </c>
      <c r="AS251" s="4">
        <f t="shared" si="7"/>
        <v>19</v>
      </c>
      <c r="AT251" s="9" t="s">
        <v>1601</v>
      </c>
    </row>
    <row r="252" spans="1:46" x14ac:dyDescent="0.2">
      <c r="A252" s="4">
        <v>8635</v>
      </c>
      <c r="B252" s="4" t="s">
        <v>22</v>
      </c>
      <c r="C252" s="5" t="s">
        <v>1614</v>
      </c>
      <c r="D252" s="5" t="s">
        <v>1615</v>
      </c>
      <c r="E252" s="5" t="s">
        <v>36</v>
      </c>
      <c r="F252" s="5" t="s">
        <v>26</v>
      </c>
      <c r="G252" s="13">
        <v>46280</v>
      </c>
      <c r="H252" s="13">
        <v>46280</v>
      </c>
      <c r="I252" s="9">
        <f t="shared" si="6"/>
        <v>1</v>
      </c>
      <c r="J252" s="5" t="s">
        <v>1651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4">
        <v>2</v>
      </c>
      <c r="AH252" s="4">
        <v>2</v>
      </c>
      <c r="AI252" s="4">
        <v>1</v>
      </c>
      <c r="AJ252" s="4">
        <v>2</v>
      </c>
      <c r="AK252" s="4">
        <v>4</v>
      </c>
      <c r="AL252" s="4">
        <v>2</v>
      </c>
      <c r="AM252" s="4">
        <v>1</v>
      </c>
      <c r="AN252" s="4">
        <v>0</v>
      </c>
      <c r="AO252" s="4">
        <v>1</v>
      </c>
      <c r="AP252" s="4"/>
      <c r="AQ252" s="4">
        <v>0</v>
      </c>
      <c r="AR252" s="4">
        <v>1</v>
      </c>
      <c r="AS252" s="4">
        <f t="shared" si="7"/>
        <v>15</v>
      </c>
      <c r="AT252" s="9" t="s">
        <v>44</v>
      </c>
    </row>
    <row r="253" spans="1:46" x14ac:dyDescent="0.2">
      <c r="A253" s="5">
        <v>9000</v>
      </c>
      <c r="B253" s="5" t="s">
        <v>1640</v>
      </c>
      <c r="C253" s="5" t="s">
        <v>1643</v>
      </c>
      <c r="D253" s="5" t="s">
        <v>1644</v>
      </c>
      <c r="E253" s="5" t="s">
        <v>36</v>
      </c>
      <c r="F253" s="5" t="s">
        <v>1645</v>
      </c>
      <c r="G253" s="13">
        <v>46280</v>
      </c>
      <c r="H253" s="13">
        <v>46282</v>
      </c>
      <c r="I253" s="9">
        <f t="shared" si="6"/>
        <v>3</v>
      </c>
      <c r="J253" s="5" t="s">
        <v>1651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>
        <v>40</v>
      </c>
      <c r="AH253" s="5">
        <v>53</v>
      </c>
      <c r="AI253" s="5"/>
      <c r="AJ253" s="5"/>
      <c r="AK253" s="5"/>
      <c r="AL253" s="5">
        <v>1</v>
      </c>
      <c r="AM253" s="5"/>
      <c r="AN253" s="5">
        <v>12</v>
      </c>
      <c r="AO253" s="5"/>
      <c r="AP253" s="5"/>
      <c r="AQ253" s="5"/>
      <c r="AR253" s="5"/>
      <c r="AS253" s="4">
        <f t="shared" si="7"/>
        <v>106</v>
      </c>
      <c r="AT253" s="4" t="s">
        <v>1646</v>
      </c>
    </row>
    <row r="254" spans="1:46" x14ac:dyDescent="0.2">
      <c r="A254" s="4">
        <v>960</v>
      </c>
      <c r="B254" s="4" t="s">
        <v>22</v>
      </c>
      <c r="C254" s="5" t="s">
        <v>58</v>
      </c>
      <c r="D254" s="5" t="s">
        <v>59</v>
      </c>
      <c r="E254" s="5" t="s">
        <v>36</v>
      </c>
      <c r="F254" s="5" t="s">
        <v>26</v>
      </c>
      <c r="G254" s="13">
        <v>46281</v>
      </c>
      <c r="H254" s="13">
        <v>46281</v>
      </c>
      <c r="I254" s="9">
        <f t="shared" si="6"/>
        <v>1</v>
      </c>
      <c r="J254" s="5" t="s">
        <v>1651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4">
        <v>3</v>
      </c>
      <c r="AH254" s="4">
        <v>2</v>
      </c>
      <c r="AI254" s="4">
        <v>1</v>
      </c>
      <c r="AJ254" s="4">
        <v>2</v>
      </c>
      <c r="AK254" s="4">
        <v>4</v>
      </c>
      <c r="AL254" s="4">
        <v>2</v>
      </c>
      <c r="AM254" s="4">
        <v>1</v>
      </c>
      <c r="AN254" s="4">
        <v>0</v>
      </c>
      <c r="AO254" s="4">
        <v>1</v>
      </c>
      <c r="AP254" s="4"/>
      <c r="AQ254" s="4">
        <v>0</v>
      </c>
      <c r="AR254" s="4">
        <v>1</v>
      </c>
      <c r="AS254" s="4">
        <f t="shared" si="7"/>
        <v>16</v>
      </c>
      <c r="AT254" s="5" t="s">
        <v>37</v>
      </c>
    </row>
    <row r="255" spans="1:46" x14ac:dyDescent="0.2">
      <c r="A255" s="4">
        <v>970</v>
      </c>
      <c r="B255" s="4" t="s">
        <v>22</v>
      </c>
      <c r="C255" s="5" t="s">
        <v>60</v>
      </c>
      <c r="D255" s="5" t="s">
        <v>61</v>
      </c>
      <c r="E255" s="5" t="s">
        <v>36</v>
      </c>
      <c r="F255" s="5" t="s">
        <v>26</v>
      </c>
      <c r="G255" s="13">
        <v>46281</v>
      </c>
      <c r="H255" s="13">
        <v>46281</v>
      </c>
      <c r="I255" s="9">
        <f t="shared" si="6"/>
        <v>1</v>
      </c>
      <c r="J255" s="5" t="s">
        <v>1651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4">
        <v>6</v>
      </c>
      <c r="AH255" s="4">
        <v>7</v>
      </c>
      <c r="AI255" s="4">
        <v>1</v>
      </c>
      <c r="AJ255" s="4">
        <v>3</v>
      </c>
      <c r="AK255" s="4">
        <v>15</v>
      </c>
      <c r="AL255" s="4">
        <v>6</v>
      </c>
      <c r="AM255" s="4">
        <v>2</v>
      </c>
      <c r="AN255" s="4">
        <v>0</v>
      </c>
      <c r="AO255" s="4">
        <v>3</v>
      </c>
      <c r="AP255" s="4"/>
      <c r="AQ255" s="4">
        <v>0</v>
      </c>
      <c r="AR255" s="4">
        <v>1</v>
      </c>
      <c r="AS255" s="4">
        <f t="shared" si="7"/>
        <v>43</v>
      </c>
      <c r="AT255" s="5" t="s">
        <v>51</v>
      </c>
    </row>
    <row r="256" spans="1:46" x14ac:dyDescent="0.2">
      <c r="A256" s="4">
        <v>1250</v>
      </c>
      <c r="B256" s="4" t="s">
        <v>22</v>
      </c>
      <c r="C256" s="5" t="s">
        <v>102</v>
      </c>
      <c r="D256" s="5" t="s">
        <v>103</v>
      </c>
      <c r="E256" s="5" t="s">
        <v>67</v>
      </c>
      <c r="F256" s="5" t="s">
        <v>68</v>
      </c>
      <c r="G256" s="13">
        <v>46281</v>
      </c>
      <c r="H256" s="13">
        <v>46281</v>
      </c>
      <c r="I256" s="9">
        <f t="shared" si="6"/>
        <v>1</v>
      </c>
      <c r="J256" s="5" t="s">
        <v>1651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4">
        <v>4</v>
      </c>
      <c r="AH256" s="4">
        <v>3</v>
      </c>
      <c r="AI256" s="4">
        <v>1</v>
      </c>
      <c r="AJ256" s="4">
        <v>3</v>
      </c>
      <c r="AK256" s="4">
        <v>8</v>
      </c>
      <c r="AL256" s="4">
        <v>4</v>
      </c>
      <c r="AM256" s="4">
        <v>2</v>
      </c>
      <c r="AN256" s="4">
        <v>0</v>
      </c>
      <c r="AO256" s="4">
        <v>1</v>
      </c>
      <c r="AP256" s="4"/>
      <c r="AQ256" s="4">
        <v>0</v>
      </c>
      <c r="AR256" s="4">
        <v>1</v>
      </c>
      <c r="AS256" s="4">
        <f t="shared" si="7"/>
        <v>26</v>
      </c>
      <c r="AT256" s="5" t="s">
        <v>90</v>
      </c>
    </row>
    <row r="257" spans="1:46" x14ac:dyDescent="0.2">
      <c r="A257" s="4">
        <v>1305</v>
      </c>
      <c r="B257" s="4" t="s">
        <v>22</v>
      </c>
      <c r="C257" s="5" t="s">
        <v>126</v>
      </c>
      <c r="D257" s="5" t="s">
        <v>127</v>
      </c>
      <c r="E257" s="5" t="s">
        <v>118</v>
      </c>
      <c r="F257" s="5" t="s">
        <v>119</v>
      </c>
      <c r="G257" s="13">
        <v>46281</v>
      </c>
      <c r="H257" s="13">
        <v>46283</v>
      </c>
      <c r="I257" s="9">
        <f t="shared" si="6"/>
        <v>3</v>
      </c>
      <c r="J257" s="5" t="s">
        <v>1651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4">
        <v>4</v>
      </c>
      <c r="AH257" s="4">
        <v>4</v>
      </c>
      <c r="AI257" s="4">
        <v>1</v>
      </c>
      <c r="AJ257" s="4">
        <v>3</v>
      </c>
      <c r="AK257" s="4">
        <v>8</v>
      </c>
      <c r="AL257" s="4">
        <v>4</v>
      </c>
      <c r="AM257" s="4">
        <v>2</v>
      </c>
      <c r="AN257" s="4">
        <v>0</v>
      </c>
      <c r="AO257" s="4">
        <v>1</v>
      </c>
      <c r="AP257" s="4"/>
      <c r="AQ257" s="4">
        <v>0</v>
      </c>
      <c r="AR257" s="4">
        <v>1</v>
      </c>
      <c r="AS257" s="4">
        <f t="shared" si="7"/>
        <v>27</v>
      </c>
      <c r="AT257" s="4" t="s">
        <v>125</v>
      </c>
    </row>
    <row r="258" spans="1:46" x14ac:dyDescent="0.2">
      <c r="A258" s="4">
        <v>1389</v>
      </c>
      <c r="B258" s="4" t="s">
        <v>22</v>
      </c>
      <c r="C258" s="5" t="s">
        <v>237</v>
      </c>
      <c r="D258" s="5" t="s">
        <v>238</v>
      </c>
      <c r="E258" s="5" t="s">
        <v>118</v>
      </c>
      <c r="F258" s="5" t="s">
        <v>119</v>
      </c>
      <c r="G258" s="13">
        <v>46281</v>
      </c>
      <c r="H258" s="13">
        <v>46282</v>
      </c>
      <c r="I258" s="9">
        <f t="shared" ref="I258:I321" si="8">NETWORKDAYS(G258,H258)</f>
        <v>2</v>
      </c>
      <c r="J258" s="5" t="s">
        <v>1651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4">
        <v>5</v>
      </c>
      <c r="AH258" s="4">
        <v>5</v>
      </c>
      <c r="AI258" s="4">
        <v>1</v>
      </c>
      <c r="AJ258" s="4">
        <v>3</v>
      </c>
      <c r="AK258" s="4">
        <v>11</v>
      </c>
      <c r="AL258" s="4">
        <v>5</v>
      </c>
      <c r="AM258" s="4">
        <v>2</v>
      </c>
      <c r="AN258" s="4">
        <v>0</v>
      </c>
      <c r="AO258" s="4">
        <v>2</v>
      </c>
      <c r="AP258" s="4"/>
      <c r="AQ258" s="4">
        <v>1</v>
      </c>
      <c r="AR258" s="4">
        <v>1</v>
      </c>
      <c r="AS258" s="4">
        <f t="shared" si="7"/>
        <v>35</v>
      </c>
      <c r="AT258" s="4" t="s">
        <v>137</v>
      </c>
    </row>
    <row r="259" spans="1:46" x14ac:dyDescent="0.2">
      <c r="A259" s="4">
        <v>1412</v>
      </c>
      <c r="B259" s="4" t="s">
        <v>22</v>
      </c>
      <c r="C259" s="5" t="s">
        <v>263</v>
      </c>
      <c r="D259" s="5" t="s">
        <v>264</v>
      </c>
      <c r="E259" s="5" t="s">
        <v>118</v>
      </c>
      <c r="F259" s="5" t="s">
        <v>119</v>
      </c>
      <c r="G259" s="13">
        <v>46281</v>
      </c>
      <c r="H259" s="13">
        <v>46281</v>
      </c>
      <c r="I259" s="9">
        <f t="shared" si="8"/>
        <v>1</v>
      </c>
      <c r="J259" s="5" t="s">
        <v>1651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4">
        <v>2</v>
      </c>
      <c r="AH259" s="4">
        <v>1</v>
      </c>
      <c r="AI259" s="4">
        <v>1</v>
      </c>
      <c r="AJ259" s="4">
        <v>2</v>
      </c>
      <c r="AK259" s="4">
        <v>3</v>
      </c>
      <c r="AL259" s="4">
        <v>2</v>
      </c>
      <c r="AM259" s="4">
        <v>1</v>
      </c>
      <c r="AN259" s="4">
        <v>0</v>
      </c>
      <c r="AO259" s="4">
        <v>1</v>
      </c>
      <c r="AP259" s="4"/>
      <c r="AQ259" s="4">
        <v>0</v>
      </c>
      <c r="AR259" s="4">
        <v>1</v>
      </c>
      <c r="AS259" s="4">
        <f t="shared" ref="AS259:AS322" si="9">SUM(AG259:AQ259)</f>
        <v>13</v>
      </c>
      <c r="AT259" s="4" t="s">
        <v>120</v>
      </c>
    </row>
    <row r="260" spans="1:46" x14ac:dyDescent="0.2">
      <c r="A260" s="4">
        <v>1486</v>
      </c>
      <c r="B260" s="4" t="s">
        <v>22</v>
      </c>
      <c r="C260" s="5" t="s">
        <v>325</v>
      </c>
      <c r="D260" s="5" t="s">
        <v>326</v>
      </c>
      <c r="E260" s="5" t="s">
        <v>118</v>
      </c>
      <c r="F260" s="5" t="s">
        <v>119</v>
      </c>
      <c r="G260" s="13">
        <v>46281</v>
      </c>
      <c r="H260" s="13">
        <v>46281</v>
      </c>
      <c r="I260" s="9">
        <f t="shared" si="8"/>
        <v>1</v>
      </c>
      <c r="J260" s="5" t="s">
        <v>1651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4">
        <v>3</v>
      </c>
      <c r="AH260" s="4">
        <v>1</v>
      </c>
      <c r="AI260" s="4">
        <v>1</v>
      </c>
      <c r="AJ260" s="4">
        <v>2</v>
      </c>
      <c r="AK260" s="4">
        <v>4</v>
      </c>
      <c r="AL260" s="4">
        <v>2</v>
      </c>
      <c r="AM260" s="4">
        <v>1</v>
      </c>
      <c r="AN260" s="4">
        <v>1</v>
      </c>
      <c r="AO260" s="4">
        <v>1</v>
      </c>
      <c r="AP260" s="4"/>
      <c r="AQ260" s="4">
        <v>0</v>
      </c>
      <c r="AR260" s="4">
        <v>1</v>
      </c>
      <c r="AS260" s="4">
        <f t="shared" si="9"/>
        <v>16</v>
      </c>
      <c r="AT260" s="4" t="s">
        <v>120</v>
      </c>
    </row>
    <row r="261" spans="1:46" x14ac:dyDescent="0.2">
      <c r="A261" s="4">
        <v>2175</v>
      </c>
      <c r="B261" s="4" t="s">
        <v>22</v>
      </c>
      <c r="C261" s="5" t="s">
        <v>597</v>
      </c>
      <c r="D261" s="5" t="s">
        <v>598</v>
      </c>
      <c r="E261" s="5" t="s">
        <v>599</v>
      </c>
      <c r="F261" s="5" t="s">
        <v>546</v>
      </c>
      <c r="G261" s="13">
        <v>46281</v>
      </c>
      <c r="H261" s="13">
        <v>46281</v>
      </c>
      <c r="I261" s="9">
        <f t="shared" si="8"/>
        <v>1</v>
      </c>
      <c r="J261" s="5" t="s">
        <v>1651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4">
        <v>2</v>
      </c>
      <c r="AH261" s="4">
        <v>2</v>
      </c>
      <c r="AI261" s="4">
        <v>1</v>
      </c>
      <c r="AJ261" s="4">
        <v>2</v>
      </c>
      <c r="AK261" s="4">
        <v>4</v>
      </c>
      <c r="AL261" s="4">
        <v>2</v>
      </c>
      <c r="AM261" s="4">
        <v>1</v>
      </c>
      <c r="AN261" s="4">
        <v>0</v>
      </c>
      <c r="AO261" s="4">
        <v>1</v>
      </c>
      <c r="AP261" s="4"/>
      <c r="AQ261" s="4">
        <v>0</v>
      </c>
      <c r="AR261" s="4">
        <v>1</v>
      </c>
      <c r="AS261" s="4">
        <f t="shared" si="9"/>
        <v>15</v>
      </c>
      <c r="AT261" s="9" t="s">
        <v>547</v>
      </c>
    </row>
    <row r="262" spans="1:46" x14ac:dyDescent="0.2">
      <c r="A262" s="4">
        <v>2422</v>
      </c>
      <c r="B262" s="4" t="s">
        <v>22</v>
      </c>
      <c r="C262" s="10" t="s">
        <v>631</v>
      </c>
      <c r="D262" s="10" t="s">
        <v>632</v>
      </c>
      <c r="E262" s="10" t="s">
        <v>604</v>
      </c>
      <c r="F262" s="10" t="s">
        <v>68</v>
      </c>
      <c r="G262" s="13">
        <v>46281</v>
      </c>
      <c r="H262" s="13">
        <v>46281</v>
      </c>
      <c r="I262" s="9">
        <f t="shared" si="8"/>
        <v>1</v>
      </c>
      <c r="J262" s="5" t="s">
        <v>1651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4">
        <v>5</v>
      </c>
      <c r="AH262" s="4">
        <v>4</v>
      </c>
      <c r="AI262" s="4">
        <v>1</v>
      </c>
      <c r="AJ262" s="4">
        <v>3</v>
      </c>
      <c r="AK262" s="4">
        <v>8</v>
      </c>
      <c r="AL262" s="4">
        <v>4</v>
      </c>
      <c r="AM262" s="4">
        <v>2</v>
      </c>
      <c r="AN262" s="4">
        <v>0</v>
      </c>
      <c r="AO262" s="4">
        <v>1</v>
      </c>
      <c r="AP262" s="8"/>
      <c r="AQ262" s="4">
        <v>1</v>
      </c>
      <c r="AR262" s="4">
        <v>1</v>
      </c>
      <c r="AS262" s="4">
        <f t="shared" si="9"/>
        <v>29</v>
      </c>
      <c r="AT262" s="9" t="s">
        <v>633</v>
      </c>
    </row>
    <row r="263" spans="1:46" x14ac:dyDescent="0.2">
      <c r="A263" s="4">
        <v>2771</v>
      </c>
      <c r="B263" s="4" t="s">
        <v>22</v>
      </c>
      <c r="C263" s="10" t="s">
        <v>697</v>
      </c>
      <c r="D263" s="10" t="s">
        <v>698</v>
      </c>
      <c r="E263" s="10" t="s">
        <v>661</v>
      </c>
      <c r="F263" s="10" t="s">
        <v>119</v>
      </c>
      <c r="G263" s="13">
        <v>46281</v>
      </c>
      <c r="H263" s="13">
        <v>46281</v>
      </c>
      <c r="I263" s="9">
        <f t="shared" si="8"/>
        <v>1</v>
      </c>
      <c r="J263" s="5" t="s">
        <v>1651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4">
        <v>2</v>
      </c>
      <c r="AH263" s="4">
        <v>2</v>
      </c>
      <c r="AI263" s="4">
        <v>1</v>
      </c>
      <c r="AJ263" s="4">
        <v>2</v>
      </c>
      <c r="AK263" s="4">
        <v>4</v>
      </c>
      <c r="AL263" s="4">
        <v>2</v>
      </c>
      <c r="AM263" s="4">
        <v>1</v>
      </c>
      <c r="AN263" s="4">
        <v>0</v>
      </c>
      <c r="AO263" s="4">
        <v>1</v>
      </c>
      <c r="AP263" s="8"/>
      <c r="AQ263" s="4">
        <v>0</v>
      </c>
      <c r="AR263" s="4">
        <v>1</v>
      </c>
      <c r="AS263" s="4">
        <f t="shared" si="9"/>
        <v>15</v>
      </c>
      <c r="AT263" s="9" t="s">
        <v>662</v>
      </c>
    </row>
    <row r="264" spans="1:46" x14ac:dyDescent="0.2">
      <c r="A264" s="4">
        <v>3123</v>
      </c>
      <c r="B264" s="4" t="s">
        <v>22</v>
      </c>
      <c r="C264" s="5" t="s">
        <v>745</v>
      </c>
      <c r="D264" s="5" t="s">
        <v>746</v>
      </c>
      <c r="E264" s="5" t="s">
        <v>36</v>
      </c>
      <c r="F264" s="5" t="s">
        <v>26</v>
      </c>
      <c r="G264" s="13">
        <v>46281</v>
      </c>
      <c r="H264" s="13">
        <v>46281</v>
      </c>
      <c r="I264" s="9">
        <f t="shared" si="8"/>
        <v>1</v>
      </c>
      <c r="J264" s="5" t="s">
        <v>1651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4">
        <v>2</v>
      </c>
      <c r="AH264" s="4">
        <v>1</v>
      </c>
      <c r="AI264" s="4">
        <v>1</v>
      </c>
      <c r="AJ264" s="4">
        <v>2</v>
      </c>
      <c r="AK264" s="4">
        <v>3</v>
      </c>
      <c r="AL264" s="4">
        <v>2</v>
      </c>
      <c r="AM264" s="4">
        <v>1</v>
      </c>
      <c r="AN264" s="4">
        <v>0</v>
      </c>
      <c r="AO264" s="4">
        <v>1</v>
      </c>
      <c r="AP264" s="4"/>
      <c r="AQ264" s="4">
        <v>0</v>
      </c>
      <c r="AR264" s="4">
        <v>1</v>
      </c>
      <c r="AS264" s="4">
        <f t="shared" si="9"/>
        <v>13</v>
      </c>
      <c r="AT264" s="9" t="s">
        <v>44</v>
      </c>
    </row>
    <row r="265" spans="1:46" x14ac:dyDescent="0.2">
      <c r="A265" s="4">
        <v>3135</v>
      </c>
      <c r="B265" s="4" t="s">
        <v>22</v>
      </c>
      <c r="C265" s="5" t="s">
        <v>759</v>
      </c>
      <c r="D265" s="5" t="s">
        <v>760</v>
      </c>
      <c r="E265" s="5" t="s">
        <v>36</v>
      </c>
      <c r="F265" s="5" t="s">
        <v>26</v>
      </c>
      <c r="G265" s="13">
        <v>46281</v>
      </c>
      <c r="H265" s="13">
        <v>46281</v>
      </c>
      <c r="I265" s="9">
        <f t="shared" si="8"/>
        <v>1</v>
      </c>
      <c r="J265" s="5" t="s">
        <v>1651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4">
        <v>4</v>
      </c>
      <c r="AH265" s="4">
        <v>3</v>
      </c>
      <c r="AI265" s="4">
        <v>1</v>
      </c>
      <c r="AJ265" s="4">
        <v>2</v>
      </c>
      <c r="AK265" s="4">
        <v>7</v>
      </c>
      <c r="AL265" s="4">
        <v>3</v>
      </c>
      <c r="AM265" s="4">
        <v>1</v>
      </c>
      <c r="AN265" s="4">
        <v>0</v>
      </c>
      <c r="AO265" s="4">
        <v>1</v>
      </c>
      <c r="AP265" s="4"/>
      <c r="AQ265" s="4">
        <v>1</v>
      </c>
      <c r="AR265" s="4">
        <v>1</v>
      </c>
      <c r="AS265" s="4">
        <f t="shared" si="9"/>
        <v>23</v>
      </c>
      <c r="AT265" s="9" t="s">
        <v>64</v>
      </c>
    </row>
    <row r="266" spans="1:46" x14ac:dyDescent="0.2">
      <c r="A266" s="4">
        <v>3927</v>
      </c>
      <c r="B266" s="4" t="s">
        <v>22</v>
      </c>
      <c r="C266" s="5" t="s">
        <v>912</v>
      </c>
      <c r="D266" s="5" t="s">
        <v>913</v>
      </c>
      <c r="E266" s="5" t="s">
        <v>873</v>
      </c>
      <c r="F266" s="5" t="s">
        <v>574</v>
      </c>
      <c r="G266" s="13">
        <v>46281</v>
      </c>
      <c r="H266" s="13">
        <v>46281</v>
      </c>
      <c r="I266" s="9">
        <f t="shared" si="8"/>
        <v>1</v>
      </c>
      <c r="J266" s="5" t="s">
        <v>1651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4">
        <v>8</v>
      </c>
      <c r="AH266" s="4">
        <v>7</v>
      </c>
      <c r="AI266" s="4">
        <v>1</v>
      </c>
      <c r="AJ266" s="4">
        <v>3</v>
      </c>
      <c r="AK266" s="4">
        <v>16</v>
      </c>
      <c r="AL266" s="4">
        <v>6</v>
      </c>
      <c r="AM266" s="4">
        <v>2</v>
      </c>
      <c r="AN266" s="4">
        <v>0</v>
      </c>
      <c r="AO266" s="4">
        <v>4</v>
      </c>
      <c r="AP266" s="4"/>
      <c r="AQ266" s="4">
        <v>1</v>
      </c>
      <c r="AR266" s="4">
        <v>1</v>
      </c>
      <c r="AS266" s="4">
        <f t="shared" si="9"/>
        <v>48</v>
      </c>
      <c r="AT266" s="9" t="s">
        <v>874</v>
      </c>
    </row>
    <row r="267" spans="1:46" x14ac:dyDescent="0.2">
      <c r="A267" s="4">
        <v>3921</v>
      </c>
      <c r="B267" s="4" t="s">
        <v>22</v>
      </c>
      <c r="C267" s="5" t="s">
        <v>918</v>
      </c>
      <c r="D267" s="5" t="s">
        <v>919</v>
      </c>
      <c r="E267" s="5" t="s">
        <v>873</v>
      </c>
      <c r="F267" s="5" t="s">
        <v>574</v>
      </c>
      <c r="G267" s="13">
        <v>46281</v>
      </c>
      <c r="H267" s="13">
        <v>46282</v>
      </c>
      <c r="I267" s="9">
        <f t="shared" si="8"/>
        <v>2</v>
      </c>
      <c r="J267" s="5" t="s">
        <v>1651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4">
        <v>2</v>
      </c>
      <c r="AH267" s="4">
        <v>1</v>
      </c>
      <c r="AI267" s="4">
        <v>1</v>
      </c>
      <c r="AJ267" s="4">
        <v>1</v>
      </c>
      <c r="AK267" s="4">
        <v>3</v>
      </c>
      <c r="AL267" s="4">
        <v>2</v>
      </c>
      <c r="AM267" s="4">
        <v>1</v>
      </c>
      <c r="AN267" s="4">
        <v>1</v>
      </c>
      <c r="AO267" s="4">
        <v>1</v>
      </c>
      <c r="AP267" s="4"/>
      <c r="AQ267" s="4">
        <v>0</v>
      </c>
      <c r="AR267" s="4">
        <v>1</v>
      </c>
      <c r="AS267" s="4">
        <f t="shared" si="9"/>
        <v>13</v>
      </c>
      <c r="AT267" s="9" t="s">
        <v>888</v>
      </c>
    </row>
    <row r="268" spans="1:46" x14ac:dyDescent="0.2">
      <c r="A268" s="4">
        <v>4505</v>
      </c>
      <c r="B268" s="4" t="s">
        <v>22</v>
      </c>
      <c r="C268" s="5" t="s">
        <v>986</v>
      </c>
      <c r="D268" s="5" t="s">
        <v>987</v>
      </c>
      <c r="E268" s="5" t="s">
        <v>981</v>
      </c>
      <c r="F268" s="5" t="s">
        <v>26</v>
      </c>
      <c r="G268" s="13">
        <v>46281</v>
      </c>
      <c r="H268" s="13">
        <v>46281</v>
      </c>
      <c r="I268" s="9">
        <f t="shared" si="8"/>
        <v>1</v>
      </c>
      <c r="J268" s="5" t="s">
        <v>1651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4">
        <v>2</v>
      </c>
      <c r="AH268" s="4">
        <v>2</v>
      </c>
      <c r="AI268" s="4">
        <v>1</v>
      </c>
      <c r="AJ268" s="4">
        <v>2</v>
      </c>
      <c r="AK268" s="4">
        <v>5</v>
      </c>
      <c r="AL268" s="4">
        <v>2</v>
      </c>
      <c r="AM268" s="4">
        <v>1</v>
      </c>
      <c r="AN268" s="4">
        <v>0</v>
      </c>
      <c r="AO268" s="4">
        <v>1</v>
      </c>
      <c r="AP268" s="4"/>
      <c r="AQ268" s="4">
        <v>0</v>
      </c>
      <c r="AR268" s="4">
        <v>1</v>
      </c>
      <c r="AS268" s="4">
        <f t="shared" si="9"/>
        <v>16</v>
      </c>
      <c r="AT268" s="9" t="s">
        <v>985</v>
      </c>
    </row>
    <row r="269" spans="1:46" x14ac:dyDescent="0.2">
      <c r="A269" s="4">
        <v>4836</v>
      </c>
      <c r="B269" s="4" t="s">
        <v>22</v>
      </c>
      <c r="C269" s="5" t="s">
        <v>1064</v>
      </c>
      <c r="D269" s="5" t="s">
        <v>1065</v>
      </c>
      <c r="E269" s="5" t="s">
        <v>286</v>
      </c>
      <c r="F269" s="5" t="s">
        <v>546</v>
      </c>
      <c r="G269" s="13">
        <v>46281</v>
      </c>
      <c r="H269" s="13">
        <v>46281</v>
      </c>
      <c r="I269" s="9">
        <f t="shared" si="8"/>
        <v>1</v>
      </c>
      <c r="J269" s="5" t="s">
        <v>1651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4">
        <v>3</v>
      </c>
      <c r="AH269" s="4">
        <v>2</v>
      </c>
      <c r="AI269" s="4">
        <v>1</v>
      </c>
      <c r="AJ269" s="4">
        <v>2</v>
      </c>
      <c r="AK269" s="4">
        <v>6</v>
      </c>
      <c r="AL269" s="4">
        <v>2</v>
      </c>
      <c r="AM269" s="4">
        <v>1</v>
      </c>
      <c r="AN269" s="4">
        <v>0</v>
      </c>
      <c r="AO269" s="4">
        <v>1</v>
      </c>
      <c r="AP269" s="7"/>
      <c r="AQ269" s="4">
        <v>0</v>
      </c>
      <c r="AR269" s="4">
        <v>1</v>
      </c>
      <c r="AS269" s="4">
        <f t="shared" si="9"/>
        <v>18</v>
      </c>
      <c r="AT269" s="9" t="s">
        <v>1034</v>
      </c>
    </row>
    <row r="270" spans="1:46" x14ac:dyDescent="0.2">
      <c r="A270" s="4">
        <v>5160</v>
      </c>
      <c r="B270" s="4" t="s">
        <v>22</v>
      </c>
      <c r="C270" s="5" t="s">
        <v>321</v>
      </c>
      <c r="D270" s="5" t="s">
        <v>322</v>
      </c>
      <c r="E270" s="5" t="s">
        <v>1107</v>
      </c>
      <c r="F270" s="5" t="s">
        <v>98</v>
      </c>
      <c r="G270" s="13">
        <v>46281</v>
      </c>
      <c r="H270" s="13">
        <v>46282</v>
      </c>
      <c r="I270" s="9">
        <f t="shared" si="8"/>
        <v>2</v>
      </c>
      <c r="J270" s="5" t="s">
        <v>1651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4">
        <v>3</v>
      </c>
      <c r="AH270" s="4">
        <v>3</v>
      </c>
      <c r="AI270" s="4">
        <v>1</v>
      </c>
      <c r="AJ270" s="4">
        <v>2</v>
      </c>
      <c r="AK270" s="4">
        <v>6</v>
      </c>
      <c r="AL270" s="4">
        <v>3</v>
      </c>
      <c r="AM270" s="4">
        <v>1</v>
      </c>
      <c r="AN270" s="4">
        <v>0</v>
      </c>
      <c r="AO270" s="4">
        <v>1</v>
      </c>
      <c r="AP270" s="4"/>
      <c r="AQ270" s="4">
        <v>0</v>
      </c>
      <c r="AR270" s="4">
        <v>1</v>
      </c>
      <c r="AS270" s="4">
        <f t="shared" si="9"/>
        <v>20</v>
      </c>
      <c r="AT270" s="9" t="s">
        <v>1111</v>
      </c>
    </row>
    <row r="271" spans="1:46" x14ac:dyDescent="0.2">
      <c r="A271" s="4">
        <v>5172</v>
      </c>
      <c r="B271" s="4" t="s">
        <v>22</v>
      </c>
      <c r="C271" s="5" t="s">
        <v>1165</v>
      </c>
      <c r="D271" s="5" t="s">
        <v>1166</v>
      </c>
      <c r="E271" s="5" t="s">
        <v>1107</v>
      </c>
      <c r="F271" s="5" t="s">
        <v>98</v>
      </c>
      <c r="G271" s="13">
        <v>46281</v>
      </c>
      <c r="H271" s="13">
        <v>46281</v>
      </c>
      <c r="I271" s="9">
        <f t="shared" si="8"/>
        <v>1</v>
      </c>
      <c r="J271" s="5" t="s">
        <v>1651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4">
        <v>2</v>
      </c>
      <c r="AH271" s="4">
        <v>1</v>
      </c>
      <c r="AI271" s="4">
        <v>1</v>
      </c>
      <c r="AJ271" s="4">
        <v>2</v>
      </c>
      <c r="AK271" s="4">
        <v>3</v>
      </c>
      <c r="AL271" s="4">
        <v>2</v>
      </c>
      <c r="AM271" s="4">
        <v>1</v>
      </c>
      <c r="AN271" s="4">
        <v>0</v>
      </c>
      <c r="AO271" s="4">
        <v>1</v>
      </c>
      <c r="AP271" s="4"/>
      <c r="AQ271" s="4">
        <v>0</v>
      </c>
      <c r="AR271" s="4">
        <v>1</v>
      </c>
      <c r="AS271" s="4">
        <f t="shared" si="9"/>
        <v>13</v>
      </c>
      <c r="AT271" s="9" t="s">
        <v>1114</v>
      </c>
    </row>
    <row r="272" spans="1:46" x14ac:dyDescent="0.2">
      <c r="A272" s="4">
        <v>6310</v>
      </c>
      <c r="B272" s="4" t="s">
        <v>22</v>
      </c>
      <c r="C272" s="5" t="s">
        <v>1313</v>
      </c>
      <c r="D272" s="5" t="s">
        <v>1314</v>
      </c>
      <c r="E272" s="5" t="s">
        <v>1301</v>
      </c>
      <c r="F272" s="5" t="s">
        <v>68</v>
      </c>
      <c r="G272" s="13">
        <v>46281</v>
      </c>
      <c r="H272" s="13">
        <v>46281</v>
      </c>
      <c r="I272" s="9">
        <f t="shared" si="8"/>
        <v>1</v>
      </c>
      <c r="J272" s="5" t="s">
        <v>1651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4">
        <v>2</v>
      </c>
      <c r="AH272" s="4">
        <v>2</v>
      </c>
      <c r="AI272" s="4">
        <v>1</v>
      </c>
      <c r="AJ272" s="4">
        <v>2</v>
      </c>
      <c r="AK272" s="4">
        <v>4</v>
      </c>
      <c r="AL272" s="4">
        <v>2</v>
      </c>
      <c r="AM272" s="4">
        <v>1</v>
      </c>
      <c r="AN272" s="4">
        <v>0</v>
      </c>
      <c r="AO272" s="4">
        <v>1</v>
      </c>
      <c r="AP272" s="4"/>
      <c r="AQ272" s="4">
        <v>0</v>
      </c>
      <c r="AR272" s="4">
        <v>1</v>
      </c>
      <c r="AS272" s="4">
        <f t="shared" si="9"/>
        <v>15</v>
      </c>
      <c r="AT272" s="9" t="s">
        <v>69</v>
      </c>
    </row>
    <row r="273" spans="1:46" x14ac:dyDescent="0.2">
      <c r="A273" s="4">
        <v>6368</v>
      </c>
      <c r="B273" s="4" t="s">
        <v>22</v>
      </c>
      <c r="C273" s="5" t="s">
        <v>233</v>
      </c>
      <c r="D273" s="5" t="s">
        <v>1337</v>
      </c>
      <c r="E273" s="5" t="s">
        <v>1301</v>
      </c>
      <c r="F273" s="5" t="s">
        <v>68</v>
      </c>
      <c r="G273" s="13">
        <v>46281</v>
      </c>
      <c r="H273" s="13">
        <v>46281</v>
      </c>
      <c r="I273" s="9">
        <f t="shared" si="8"/>
        <v>1</v>
      </c>
      <c r="J273" s="5" t="s">
        <v>1651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4">
        <v>2</v>
      </c>
      <c r="AH273" s="4">
        <v>1</v>
      </c>
      <c r="AI273" s="4">
        <v>1</v>
      </c>
      <c r="AJ273" s="4">
        <v>2</v>
      </c>
      <c r="AK273" s="4">
        <v>3</v>
      </c>
      <c r="AL273" s="4">
        <v>2</v>
      </c>
      <c r="AM273" s="4">
        <v>1</v>
      </c>
      <c r="AN273" s="4">
        <v>0</v>
      </c>
      <c r="AO273" s="4">
        <v>1</v>
      </c>
      <c r="AP273" s="4"/>
      <c r="AQ273" s="4">
        <v>0</v>
      </c>
      <c r="AR273" s="4">
        <v>1</v>
      </c>
      <c r="AS273" s="4">
        <f t="shared" si="9"/>
        <v>13</v>
      </c>
      <c r="AT273" s="9" t="s">
        <v>93</v>
      </c>
    </row>
    <row r="274" spans="1:46" x14ac:dyDescent="0.2">
      <c r="A274" s="4">
        <v>6639</v>
      </c>
      <c r="B274" s="4" t="s">
        <v>22</v>
      </c>
      <c r="C274" s="5" t="s">
        <v>1406</v>
      </c>
      <c r="D274" s="5" t="s">
        <v>1407</v>
      </c>
      <c r="E274" s="5" t="s">
        <v>1346</v>
      </c>
      <c r="F274" s="5" t="s">
        <v>574</v>
      </c>
      <c r="G274" s="13">
        <v>46281</v>
      </c>
      <c r="H274" s="13">
        <v>46282</v>
      </c>
      <c r="I274" s="9">
        <f t="shared" si="8"/>
        <v>2</v>
      </c>
      <c r="J274" s="5" t="s">
        <v>1651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4">
        <v>2</v>
      </c>
      <c r="AH274" s="4">
        <v>1</v>
      </c>
      <c r="AI274" s="4">
        <v>1</v>
      </c>
      <c r="AJ274" s="4">
        <v>2</v>
      </c>
      <c r="AK274" s="4">
        <v>4</v>
      </c>
      <c r="AL274" s="4">
        <v>2</v>
      </c>
      <c r="AM274" s="4">
        <v>1</v>
      </c>
      <c r="AN274" s="4">
        <v>0</v>
      </c>
      <c r="AO274" s="4">
        <v>1</v>
      </c>
      <c r="AP274" s="4"/>
      <c r="AQ274" s="4">
        <v>0</v>
      </c>
      <c r="AR274" s="4">
        <v>1</v>
      </c>
      <c r="AS274" s="4">
        <f t="shared" si="9"/>
        <v>14</v>
      </c>
      <c r="AT274" s="9" t="s">
        <v>1364</v>
      </c>
    </row>
    <row r="275" spans="1:46" x14ac:dyDescent="0.2">
      <c r="A275" s="4">
        <v>7350</v>
      </c>
      <c r="B275" s="4" t="s">
        <v>22</v>
      </c>
      <c r="C275" s="5" t="s">
        <v>1551</v>
      </c>
      <c r="D275" s="5" t="s">
        <v>1552</v>
      </c>
      <c r="E275" s="5" t="s">
        <v>1519</v>
      </c>
      <c r="F275" s="5" t="s">
        <v>26</v>
      </c>
      <c r="G275" s="13">
        <v>46281</v>
      </c>
      <c r="H275" s="13">
        <v>46282</v>
      </c>
      <c r="I275" s="9">
        <f t="shared" si="8"/>
        <v>2</v>
      </c>
      <c r="J275" s="5" t="s">
        <v>1651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4">
        <v>2</v>
      </c>
      <c r="AH275" s="4">
        <v>2</v>
      </c>
      <c r="AI275" s="4">
        <v>1</v>
      </c>
      <c r="AJ275" s="4">
        <v>2</v>
      </c>
      <c r="AK275" s="4">
        <v>4</v>
      </c>
      <c r="AL275" s="4">
        <v>2</v>
      </c>
      <c r="AM275" s="4">
        <v>1</v>
      </c>
      <c r="AN275" s="4">
        <v>0</v>
      </c>
      <c r="AO275" s="4">
        <v>1</v>
      </c>
      <c r="AP275" s="4"/>
      <c r="AQ275" s="4">
        <v>0</v>
      </c>
      <c r="AR275" s="4">
        <v>1</v>
      </c>
      <c r="AS275" s="4">
        <f t="shared" si="9"/>
        <v>15</v>
      </c>
      <c r="AT275" s="9" t="s">
        <v>1520</v>
      </c>
    </row>
    <row r="276" spans="1:46" x14ac:dyDescent="0.2">
      <c r="A276" s="4">
        <v>7920</v>
      </c>
      <c r="B276" s="4" t="s">
        <v>22</v>
      </c>
      <c r="C276" s="5" t="s">
        <v>1560</v>
      </c>
      <c r="D276" s="5" t="s">
        <v>1561</v>
      </c>
      <c r="E276" s="5" t="s">
        <v>1512</v>
      </c>
      <c r="F276" s="5" t="s">
        <v>574</v>
      </c>
      <c r="G276" s="13">
        <v>46281</v>
      </c>
      <c r="H276" s="13">
        <v>46281</v>
      </c>
      <c r="I276" s="9">
        <f t="shared" si="8"/>
        <v>1</v>
      </c>
      <c r="J276" s="5" t="s">
        <v>1651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4">
        <v>5</v>
      </c>
      <c r="AH276" s="4">
        <v>4</v>
      </c>
      <c r="AI276" s="4">
        <v>1</v>
      </c>
      <c r="AJ276" s="4">
        <v>3</v>
      </c>
      <c r="AK276" s="4">
        <v>8</v>
      </c>
      <c r="AL276" s="4">
        <v>4</v>
      </c>
      <c r="AM276" s="4">
        <v>2</v>
      </c>
      <c r="AN276" s="4">
        <v>0</v>
      </c>
      <c r="AO276" s="4">
        <v>1</v>
      </c>
      <c r="AP276" s="4"/>
      <c r="AQ276" s="4">
        <v>0</v>
      </c>
      <c r="AR276" s="4">
        <v>1</v>
      </c>
      <c r="AS276" s="4">
        <f t="shared" si="9"/>
        <v>28</v>
      </c>
      <c r="AT276" s="9" t="s">
        <v>1559</v>
      </c>
    </row>
    <row r="277" spans="1:46" x14ac:dyDescent="0.2">
      <c r="A277" s="4">
        <v>940</v>
      </c>
      <c r="B277" s="4" t="s">
        <v>22</v>
      </c>
      <c r="C277" s="5" t="s">
        <v>56</v>
      </c>
      <c r="D277" s="5" t="s">
        <v>57</v>
      </c>
      <c r="E277" s="5" t="s">
        <v>36</v>
      </c>
      <c r="F277" s="5" t="s">
        <v>26</v>
      </c>
      <c r="G277" s="13">
        <v>46282</v>
      </c>
      <c r="H277" s="13">
        <v>46282</v>
      </c>
      <c r="I277" s="9">
        <f t="shared" si="8"/>
        <v>1</v>
      </c>
      <c r="J277" s="5" t="s">
        <v>1651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4">
        <v>3</v>
      </c>
      <c r="AH277" s="4">
        <v>2</v>
      </c>
      <c r="AI277" s="4">
        <v>1</v>
      </c>
      <c r="AJ277" s="4">
        <v>2</v>
      </c>
      <c r="AK277" s="4">
        <v>5</v>
      </c>
      <c r="AL277" s="4">
        <v>2</v>
      </c>
      <c r="AM277" s="4">
        <v>1</v>
      </c>
      <c r="AN277" s="4">
        <v>0</v>
      </c>
      <c r="AO277" s="4">
        <v>1</v>
      </c>
      <c r="AP277" s="4"/>
      <c r="AQ277" s="4">
        <v>0</v>
      </c>
      <c r="AR277" s="4">
        <v>1</v>
      </c>
      <c r="AS277" s="4">
        <f t="shared" si="9"/>
        <v>17</v>
      </c>
      <c r="AT277" s="5" t="s">
        <v>51</v>
      </c>
    </row>
    <row r="278" spans="1:46" x14ac:dyDescent="0.2">
      <c r="A278" s="4">
        <v>1207</v>
      </c>
      <c r="B278" s="4" t="s">
        <v>22</v>
      </c>
      <c r="C278" s="5" t="s">
        <v>78</v>
      </c>
      <c r="D278" s="5" t="s">
        <v>79</v>
      </c>
      <c r="E278" s="5" t="s">
        <v>67</v>
      </c>
      <c r="F278" s="5" t="s">
        <v>68</v>
      </c>
      <c r="G278" s="13">
        <v>46282</v>
      </c>
      <c r="H278" s="13">
        <v>46283</v>
      </c>
      <c r="I278" s="9">
        <f t="shared" si="8"/>
        <v>2</v>
      </c>
      <c r="J278" s="5" t="s">
        <v>1651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4">
        <v>14</v>
      </c>
      <c r="AH278" s="4">
        <v>7</v>
      </c>
      <c r="AI278" s="4">
        <v>1</v>
      </c>
      <c r="AJ278" s="4">
        <v>6</v>
      </c>
      <c r="AK278" s="4">
        <v>21</v>
      </c>
      <c r="AL278" s="4">
        <v>11</v>
      </c>
      <c r="AM278" s="4">
        <v>5</v>
      </c>
      <c r="AN278" s="4">
        <v>0</v>
      </c>
      <c r="AO278" s="4">
        <v>3</v>
      </c>
      <c r="AP278" s="4"/>
      <c r="AQ278" s="4">
        <v>0</v>
      </c>
      <c r="AR278" s="4">
        <v>1</v>
      </c>
      <c r="AS278" s="4">
        <f t="shared" si="9"/>
        <v>68</v>
      </c>
      <c r="AT278" s="5" t="s">
        <v>80</v>
      </c>
    </row>
    <row r="279" spans="1:46" x14ac:dyDescent="0.2">
      <c r="A279" s="4">
        <v>1243</v>
      </c>
      <c r="B279" s="4" t="s">
        <v>22</v>
      </c>
      <c r="C279" s="5" t="s">
        <v>94</v>
      </c>
      <c r="D279" s="5" t="s">
        <v>95</v>
      </c>
      <c r="E279" s="5" t="s">
        <v>67</v>
      </c>
      <c r="F279" s="5" t="s">
        <v>68</v>
      </c>
      <c r="G279" s="13">
        <v>46282</v>
      </c>
      <c r="H279" s="13">
        <v>46282</v>
      </c>
      <c r="I279" s="9">
        <f t="shared" si="8"/>
        <v>1</v>
      </c>
      <c r="J279" s="5" t="s">
        <v>1651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4">
        <v>3</v>
      </c>
      <c r="AH279" s="4">
        <v>5</v>
      </c>
      <c r="AI279" s="4">
        <v>1</v>
      </c>
      <c r="AJ279" s="4">
        <v>2</v>
      </c>
      <c r="AK279" s="4">
        <v>7</v>
      </c>
      <c r="AL279" s="4">
        <v>2</v>
      </c>
      <c r="AM279" s="4">
        <v>1</v>
      </c>
      <c r="AN279" s="4">
        <v>0</v>
      </c>
      <c r="AO279" s="4">
        <v>1</v>
      </c>
      <c r="AP279" s="4"/>
      <c r="AQ279" s="4">
        <v>1</v>
      </c>
      <c r="AR279" s="4">
        <v>1</v>
      </c>
      <c r="AS279" s="4">
        <f t="shared" si="9"/>
        <v>23</v>
      </c>
      <c r="AT279" s="5" t="s">
        <v>93</v>
      </c>
    </row>
    <row r="280" spans="1:46" x14ac:dyDescent="0.2">
      <c r="A280" s="4">
        <v>1317</v>
      </c>
      <c r="B280" s="4" t="s">
        <v>22</v>
      </c>
      <c r="C280" s="5" t="s">
        <v>135</v>
      </c>
      <c r="D280" s="5" t="s">
        <v>136</v>
      </c>
      <c r="E280" s="5" t="s">
        <v>118</v>
      </c>
      <c r="F280" s="5" t="s">
        <v>119</v>
      </c>
      <c r="G280" s="13">
        <v>46282</v>
      </c>
      <c r="H280" s="13">
        <v>46282</v>
      </c>
      <c r="I280" s="9">
        <f t="shared" si="8"/>
        <v>1</v>
      </c>
      <c r="J280" s="5" t="s">
        <v>1651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4">
        <v>2</v>
      </c>
      <c r="AH280" s="4">
        <v>1</v>
      </c>
      <c r="AI280" s="4">
        <v>1</v>
      </c>
      <c r="AJ280" s="4">
        <v>2</v>
      </c>
      <c r="AK280" s="4">
        <v>3</v>
      </c>
      <c r="AL280" s="4">
        <v>2</v>
      </c>
      <c r="AM280" s="4">
        <v>1</v>
      </c>
      <c r="AN280" s="4">
        <v>0</v>
      </c>
      <c r="AO280" s="4">
        <v>1</v>
      </c>
      <c r="AP280" s="4"/>
      <c r="AQ280" s="4">
        <v>0</v>
      </c>
      <c r="AR280" s="4">
        <v>1</v>
      </c>
      <c r="AS280" s="4">
        <f t="shared" si="9"/>
        <v>13</v>
      </c>
      <c r="AT280" s="4" t="s">
        <v>137</v>
      </c>
    </row>
    <row r="281" spans="1:46" x14ac:dyDescent="0.2">
      <c r="A281" s="4">
        <v>1363</v>
      </c>
      <c r="B281" s="4" t="s">
        <v>22</v>
      </c>
      <c r="C281" s="5" t="s">
        <v>198</v>
      </c>
      <c r="D281" s="5" t="s">
        <v>199</v>
      </c>
      <c r="E281" s="5" t="s">
        <v>118</v>
      </c>
      <c r="F281" s="5" t="s">
        <v>119</v>
      </c>
      <c r="G281" s="13">
        <v>46282</v>
      </c>
      <c r="H281" s="13">
        <v>46282</v>
      </c>
      <c r="I281" s="9">
        <f t="shared" si="8"/>
        <v>1</v>
      </c>
      <c r="J281" s="5" t="s">
        <v>1651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4">
        <v>2</v>
      </c>
      <c r="AH281" s="4">
        <v>1</v>
      </c>
      <c r="AI281" s="4">
        <v>1</v>
      </c>
      <c r="AJ281" s="4">
        <v>2</v>
      </c>
      <c r="AK281" s="4">
        <v>2</v>
      </c>
      <c r="AL281" s="4">
        <v>2</v>
      </c>
      <c r="AM281" s="4">
        <v>1</v>
      </c>
      <c r="AN281" s="4">
        <v>0</v>
      </c>
      <c r="AO281" s="4">
        <v>1</v>
      </c>
      <c r="AP281" s="4"/>
      <c r="AQ281" s="4">
        <v>0</v>
      </c>
      <c r="AR281" s="4">
        <v>1</v>
      </c>
      <c r="AS281" s="4">
        <f t="shared" si="9"/>
        <v>12</v>
      </c>
      <c r="AT281" s="4" t="s">
        <v>120</v>
      </c>
    </row>
    <row r="282" spans="1:46" x14ac:dyDescent="0.2">
      <c r="A282" s="4">
        <v>1438</v>
      </c>
      <c r="B282" s="4" t="s">
        <v>22</v>
      </c>
      <c r="C282" s="5" t="s">
        <v>283</v>
      </c>
      <c r="D282" s="5" t="s">
        <v>284</v>
      </c>
      <c r="E282" s="5" t="s">
        <v>118</v>
      </c>
      <c r="F282" s="5" t="s">
        <v>119</v>
      </c>
      <c r="G282" s="13">
        <v>46282</v>
      </c>
      <c r="H282" s="13">
        <v>46282</v>
      </c>
      <c r="I282" s="9">
        <f t="shared" si="8"/>
        <v>1</v>
      </c>
      <c r="J282" s="5" t="s">
        <v>1651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4">
        <v>2</v>
      </c>
      <c r="AH282" s="4">
        <v>1</v>
      </c>
      <c r="AI282" s="4">
        <v>1</v>
      </c>
      <c r="AJ282" s="4">
        <v>2</v>
      </c>
      <c r="AK282" s="4">
        <v>4</v>
      </c>
      <c r="AL282" s="4">
        <v>2</v>
      </c>
      <c r="AM282" s="4">
        <v>1</v>
      </c>
      <c r="AN282" s="4">
        <v>0</v>
      </c>
      <c r="AO282" s="4">
        <v>1</v>
      </c>
      <c r="AP282" s="4"/>
      <c r="AQ282" s="4">
        <v>0</v>
      </c>
      <c r="AR282" s="4">
        <v>1</v>
      </c>
      <c r="AS282" s="4">
        <f t="shared" si="9"/>
        <v>14</v>
      </c>
      <c r="AT282" s="4" t="s">
        <v>120</v>
      </c>
    </row>
    <row r="283" spans="1:46" x14ac:dyDescent="0.2">
      <c r="A283" s="4">
        <v>1520</v>
      </c>
      <c r="B283" s="4" t="s">
        <v>22</v>
      </c>
      <c r="C283" s="5" t="s">
        <v>365</v>
      </c>
      <c r="D283" s="5" t="s">
        <v>366</v>
      </c>
      <c r="E283" s="5" t="s">
        <v>330</v>
      </c>
      <c r="F283" s="5" t="s">
        <v>331</v>
      </c>
      <c r="G283" s="13">
        <v>46282</v>
      </c>
      <c r="H283" s="13">
        <v>46283</v>
      </c>
      <c r="I283" s="9">
        <f t="shared" si="8"/>
        <v>2</v>
      </c>
      <c r="J283" s="5" t="s">
        <v>1651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4">
        <v>2</v>
      </c>
      <c r="AH283" s="4">
        <v>1</v>
      </c>
      <c r="AI283" s="4">
        <v>1</v>
      </c>
      <c r="AJ283" s="4">
        <v>2</v>
      </c>
      <c r="AK283" s="4">
        <v>3</v>
      </c>
      <c r="AL283" s="4">
        <v>2</v>
      </c>
      <c r="AM283" s="4">
        <v>1</v>
      </c>
      <c r="AN283" s="4">
        <v>1</v>
      </c>
      <c r="AO283" s="4">
        <v>1</v>
      </c>
      <c r="AP283" s="4"/>
      <c r="AQ283" s="4">
        <v>0</v>
      </c>
      <c r="AR283" s="4">
        <v>1</v>
      </c>
      <c r="AS283" s="4">
        <f t="shared" si="9"/>
        <v>14</v>
      </c>
      <c r="AT283" s="9" t="s">
        <v>332</v>
      </c>
    </row>
    <row r="284" spans="1:46" x14ac:dyDescent="0.2">
      <c r="A284" s="4">
        <v>1551</v>
      </c>
      <c r="B284" s="4" t="s">
        <v>22</v>
      </c>
      <c r="C284" s="5" t="s">
        <v>403</v>
      </c>
      <c r="D284" s="5" t="s">
        <v>404</v>
      </c>
      <c r="E284" s="5" t="s">
        <v>330</v>
      </c>
      <c r="F284" s="5" t="s">
        <v>331</v>
      </c>
      <c r="G284" s="13">
        <v>46282</v>
      </c>
      <c r="H284" s="13">
        <v>46283</v>
      </c>
      <c r="I284" s="9">
        <f t="shared" si="8"/>
        <v>2</v>
      </c>
      <c r="J284" s="5" t="s">
        <v>1651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4">
        <v>4</v>
      </c>
      <c r="AH284" s="4">
        <v>5</v>
      </c>
      <c r="AI284" s="4">
        <v>1</v>
      </c>
      <c r="AJ284" s="4">
        <v>3</v>
      </c>
      <c r="AK284" s="4">
        <v>8</v>
      </c>
      <c r="AL284" s="4">
        <v>4</v>
      </c>
      <c r="AM284" s="4">
        <v>2</v>
      </c>
      <c r="AN284" s="4">
        <v>1</v>
      </c>
      <c r="AO284" s="4">
        <v>2</v>
      </c>
      <c r="AP284" s="4"/>
      <c r="AQ284" s="4">
        <v>0</v>
      </c>
      <c r="AR284" s="4">
        <v>1</v>
      </c>
      <c r="AS284" s="4">
        <f t="shared" si="9"/>
        <v>30</v>
      </c>
      <c r="AT284" s="9" t="s">
        <v>335</v>
      </c>
    </row>
    <row r="285" spans="1:46" x14ac:dyDescent="0.2">
      <c r="A285" s="4">
        <v>1568</v>
      </c>
      <c r="B285" s="4" t="s">
        <v>22</v>
      </c>
      <c r="C285" s="5" t="s">
        <v>422</v>
      </c>
      <c r="D285" s="5" t="s">
        <v>423</v>
      </c>
      <c r="E285" s="5" t="s">
        <v>330</v>
      </c>
      <c r="F285" s="5" t="s">
        <v>331</v>
      </c>
      <c r="G285" s="13">
        <v>46282</v>
      </c>
      <c r="H285" s="13">
        <v>46283</v>
      </c>
      <c r="I285" s="9">
        <f t="shared" si="8"/>
        <v>2</v>
      </c>
      <c r="J285" s="5" t="s">
        <v>1651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4">
        <v>4</v>
      </c>
      <c r="AH285" s="4">
        <v>4</v>
      </c>
      <c r="AI285" s="4">
        <v>1</v>
      </c>
      <c r="AJ285" s="4">
        <v>2</v>
      </c>
      <c r="AK285" s="4">
        <v>7</v>
      </c>
      <c r="AL285" s="4">
        <v>4</v>
      </c>
      <c r="AM285" s="4">
        <v>1</v>
      </c>
      <c r="AN285" s="4">
        <v>0</v>
      </c>
      <c r="AO285" s="4">
        <v>1</v>
      </c>
      <c r="AP285" s="4"/>
      <c r="AQ285" s="4">
        <v>0</v>
      </c>
      <c r="AR285" s="4">
        <v>1</v>
      </c>
      <c r="AS285" s="4">
        <f t="shared" si="9"/>
        <v>24</v>
      </c>
      <c r="AT285" s="9" t="s">
        <v>364</v>
      </c>
    </row>
    <row r="286" spans="1:46" x14ac:dyDescent="0.2">
      <c r="A286" s="4">
        <v>1569</v>
      </c>
      <c r="B286" s="4" t="s">
        <v>22</v>
      </c>
      <c r="C286" s="5" t="s">
        <v>424</v>
      </c>
      <c r="D286" s="5" t="s">
        <v>425</v>
      </c>
      <c r="E286" s="5" t="s">
        <v>330</v>
      </c>
      <c r="F286" s="5" t="s">
        <v>331</v>
      </c>
      <c r="G286" s="13">
        <v>46282</v>
      </c>
      <c r="H286" s="13">
        <v>46283</v>
      </c>
      <c r="I286" s="9">
        <f t="shared" si="8"/>
        <v>2</v>
      </c>
      <c r="J286" s="5" t="s">
        <v>1651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4">
        <v>2</v>
      </c>
      <c r="AH286" s="4">
        <v>1</v>
      </c>
      <c r="AI286" s="4">
        <v>1</v>
      </c>
      <c r="AJ286" s="4">
        <v>2</v>
      </c>
      <c r="AK286" s="4">
        <v>3</v>
      </c>
      <c r="AL286" s="4">
        <v>2</v>
      </c>
      <c r="AM286" s="4">
        <v>1</v>
      </c>
      <c r="AN286" s="4">
        <v>0</v>
      </c>
      <c r="AO286" s="4">
        <v>1</v>
      </c>
      <c r="AP286" s="4"/>
      <c r="AQ286" s="4">
        <v>0</v>
      </c>
      <c r="AR286" s="4">
        <v>1</v>
      </c>
      <c r="AS286" s="4">
        <f t="shared" si="9"/>
        <v>13</v>
      </c>
      <c r="AT286" s="9" t="s">
        <v>77</v>
      </c>
    </row>
    <row r="287" spans="1:46" x14ac:dyDescent="0.2">
      <c r="A287" s="4">
        <v>1830</v>
      </c>
      <c r="B287" s="4" t="s">
        <v>22</v>
      </c>
      <c r="C287" s="5" t="s">
        <v>514</v>
      </c>
      <c r="D287" s="5" t="s">
        <v>515</v>
      </c>
      <c r="E287" s="5" t="s">
        <v>215</v>
      </c>
      <c r="F287" s="5" t="s">
        <v>500</v>
      </c>
      <c r="G287" s="13">
        <v>46282</v>
      </c>
      <c r="H287" s="13">
        <v>46283</v>
      </c>
      <c r="I287" s="9">
        <f t="shared" si="8"/>
        <v>2</v>
      </c>
      <c r="J287" s="5" t="s">
        <v>1651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4">
        <v>4</v>
      </c>
      <c r="AH287" s="4">
        <v>2</v>
      </c>
      <c r="AI287" s="4">
        <v>1</v>
      </c>
      <c r="AJ287" s="4">
        <v>2</v>
      </c>
      <c r="AK287" s="4">
        <v>5</v>
      </c>
      <c r="AL287" s="4">
        <v>3</v>
      </c>
      <c r="AM287" s="4">
        <v>1</v>
      </c>
      <c r="AN287" s="4">
        <v>0</v>
      </c>
      <c r="AO287" s="4">
        <v>1</v>
      </c>
      <c r="AP287" s="4"/>
      <c r="AQ287" s="4">
        <v>0</v>
      </c>
      <c r="AR287" s="4">
        <v>1</v>
      </c>
      <c r="AS287" s="4">
        <f t="shared" si="9"/>
        <v>19</v>
      </c>
      <c r="AT287" s="9" t="s">
        <v>501</v>
      </c>
    </row>
    <row r="288" spans="1:46" x14ac:dyDescent="0.2">
      <c r="A288" s="4">
        <v>1834</v>
      </c>
      <c r="B288" s="4" t="s">
        <v>22</v>
      </c>
      <c r="C288" s="5" t="s">
        <v>520</v>
      </c>
      <c r="D288" s="5" t="s">
        <v>521</v>
      </c>
      <c r="E288" s="5" t="s">
        <v>215</v>
      </c>
      <c r="F288" s="5" t="s">
        <v>500</v>
      </c>
      <c r="G288" s="13">
        <v>46282</v>
      </c>
      <c r="H288" s="13">
        <v>46283</v>
      </c>
      <c r="I288" s="9">
        <f t="shared" si="8"/>
        <v>2</v>
      </c>
      <c r="J288" s="5" t="s">
        <v>1651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4">
        <v>2</v>
      </c>
      <c r="AH288" s="4">
        <v>1</v>
      </c>
      <c r="AI288" s="4">
        <v>1</v>
      </c>
      <c r="AJ288" s="4">
        <v>2</v>
      </c>
      <c r="AK288" s="4">
        <v>3</v>
      </c>
      <c r="AL288" s="4">
        <v>2</v>
      </c>
      <c r="AM288" s="4">
        <v>1</v>
      </c>
      <c r="AN288" s="4">
        <v>0</v>
      </c>
      <c r="AO288" s="4">
        <v>1</v>
      </c>
      <c r="AP288" s="4"/>
      <c r="AQ288" s="4">
        <v>0</v>
      </c>
      <c r="AR288" s="4">
        <v>1</v>
      </c>
      <c r="AS288" s="4">
        <f t="shared" si="9"/>
        <v>13</v>
      </c>
      <c r="AT288" s="9" t="s">
        <v>501</v>
      </c>
    </row>
    <row r="289" spans="1:46" x14ac:dyDescent="0.2">
      <c r="A289" s="4">
        <v>2111</v>
      </c>
      <c r="B289" s="4" t="s">
        <v>22</v>
      </c>
      <c r="C289" s="5" t="s">
        <v>562</v>
      </c>
      <c r="D289" s="5" t="s">
        <v>563</v>
      </c>
      <c r="E289" s="5" t="s">
        <v>545</v>
      </c>
      <c r="F289" s="5" t="s">
        <v>546</v>
      </c>
      <c r="G289" s="13">
        <v>46282</v>
      </c>
      <c r="H289" s="13">
        <v>46282</v>
      </c>
      <c r="I289" s="9">
        <f t="shared" si="8"/>
        <v>1</v>
      </c>
      <c r="J289" s="5" t="s">
        <v>1651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4">
        <v>2</v>
      </c>
      <c r="AH289" s="4">
        <v>1</v>
      </c>
      <c r="AI289" s="4">
        <v>1</v>
      </c>
      <c r="AJ289" s="4">
        <v>2</v>
      </c>
      <c r="AK289" s="4">
        <v>3</v>
      </c>
      <c r="AL289" s="4">
        <v>2</v>
      </c>
      <c r="AM289" s="4">
        <v>1</v>
      </c>
      <c r="AN289" s="4">
        <v>0</v>
      </c>
      <c r="AO289" s="4">
        <v>1</v>
      </c>
      <c r="AP289" s="4"/>
      <c r="AQ289" s="4">
        <v>0</v>
      </c>
      <c r="AR289" s="4">
        <v>1</v>
      </c>
      <c r="AS289" s="4">
        <f t="shared" si="9"/>
        <v>13</v>
      </c>
      <c r="AT289" s="9" t="s">
        <v>547</v>
      </c>
    </row>
    <row r="290" spans="1:46" x14ac:dyDescent="0.2">
      <c r="A290" s="4">
        <v>2780</v>
      </c>
      <c r="B290" s="4" t="s">
        <v>22</v>
      </c>
      <c r="C290" s="5" t="s">
        <v>707</v>
      </c>
      <c r="D290" s="5" t="s">
        <v>708</v>
      </c>
      <c r="E290" s="5" t="s">
        <v>661</v>
      </c>
      <c r="F290" s="5" t="s">
        <v>68</v>
      </c>
      <c r="G290" s="13">
        <v>46282</v>
      </c>
      <c r="H290" s="13">
        <v>46282</v>
      </c>
      <c r="I290" s="9">
        <f t="shared" si="8"/>
        <v>1</v>
      </c>
      <c r="J290" s="5" t="s">
        <v>1651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4">
        <v>5</v>
      </c>
      <c r="AH290" s="4">
        <v>3</v>
      </c>
      <c r="AI290" s="4">
        <v>1</v>
      </c>
      <c r="AJ290" s="4">
        <v>3</v>
      </c>
      <c r="AK290" s="4">
        <v>8</v>
      </c>
      <c r="AL290" s="4">
        <v>5</v>
      </c>
      <c r="AM290" s="4">
        <v>2</v>
      </c>
      <c r="AN290" s="4">
        <v>0</v>
      </c>
      <c r="AO290" s="4">
        <v>1</v>
      </c>
      <c r="AP290" s="4"/>
      <c r="AQ290" s="4">
        <v>0</v>
      </c>
      <c r="AR290" s="4">
        <v>1</v>
      </c>
      <c r="AS290" s="4">
        <f t="shared" si="9"/>
        <v>28</v>
      </c>
      <c r="AT290" s="9" t="s">
        <v>662</v>
      </c>
    </row>
    <row r="291" spans="1:46" x14ac:dyDescent="0.2">
      <c r="A291" s="4">
        <v>3137</v>
      </c>
      <c r="B291" s="4" t="s">
        <v>22</v>
      </c>
      <c r="C291" s="5" t="s">
        <v>763</v>
      </c>
      <c r="D291" s="5" t="s">
        <v>764</v>
      </c>
      <c r="E291" s="5" t="s">
        <v>36</v>
      </c>
      <c r="F291" s="5" t="s">
        <v>26</v>
      </c>
      <c r="G291" s="13">
        <v>46282</v>
      </c>
      <c r="H291" s="13">
        <v>46282</v>
      </c>
      <c r="I291" s="9">
        <f t="shared" si="8"/>
        <v>1</v>
      </c>
      <c r="J291" s="5" t="s">
        <v>1651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4">
        <v>3</v>
      </c>
      <c r="AH291" s="4">
        <v>3</v>
      </c>
      <c r="AI291" s="4">
        <v>1</v>
      </c>
      <c r="AJ291" s="4">
        <v>2</v>
      </c>
      <c r="AK291" s="4">
        <v>6</v>
      </c>
      <c r="AL291" s="4">
        <v>3</v>
      </c>
      <c r="AM291" s="4">
        <v>1</v>
      </c>
      <c r="AN291" s="4">
        <v>0</v>
      </c>
      <c r="AO291" s="4">
        <v>1</v>
      </c>
      <c r="AP291" s="4"/>
      <c r="AQ291" s="4">
        <v>0</v>
      </c>
      <c r="AR291" s="4">
        <v>1</v>
      </c>
      <c r="AS291" s="4">
        <f t="shared" si="9"/>
        <v>20</v>
      </c>
      <c r="AT291" s="9" t="s">
        <v>37</v>
      </c>
    </row>
    <row r="292" spans="1:46" x14ac:dyDescent="0.2">
      <c r="A292" s="4">
        <v>3140</v>
      </c>
      <c r="B292" s="4" t="s">
        <v>22</v>
      </c>
      <c r="C292" s="5" t="s">
        <v>769</v>
      </c>
      <c r="D292" s="5" t="s">
        <v>770</v>
      </c>
      <c r="E292" s="5" t="s">
        <v>36</v>
      </c>
      <c r="F292" s="5" t="s">
        <v>26</v>
      </c>
      <c r="G292" s="13">
        <v>46282</v>
      </c>
      <c r="H292" s="13">
        <v>46282</v>
      </c>
      <c r="I292" s="9">
        <f t="shared" si="8"/>
        <v>1</v>
      </c>
      <c r="J292" s="5" t="s">
        <v>1651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4">
        <v>2</v>
      </c>
      <c r="AH292" s="4">
        <v>1</v>
      </c>
      <c r="AI292" s="4">
        <v>1</v>
      </c>
      <c r="AJ292" s="4">
        <v>2</v>
      </c>
      <c r="AK292" s="4">
        <v>3</v>
      </c>
      <c r="AL292" s="4">
        <v>2</v>
      </c>
      <c r="AM292" s="4">
        <v>1</v>
      </c>
      <c r="AN292" s="4">
        <v>0</v>
      </c>
      <c r="AO292" s="4">
        <v>1</v>
      </c>
      <c r="AP292" s="4"/>
      <c r="AQ292" s="4">
        <v>0</v>
      </c>
      <c r="AR292" s="4">
        <v>1</v>
      </c>
      <c r="AS292" s="4">
        <f t="shared" si="9"/>
        <v>13</v>
      </c>
      <c r="AT292" s="9" t="s">
        <v>64</v>
      </c>
    </row>
    <row r="293" spans="1:46" x14ac:dyDescent="0.2">
      <c r="A293" s="4">
        <v>3154</v>
      </c>
      <c r="B293" s="4" t="s">
        <v>22</v>
      </c>
      <c r="C293" s="5" t="s">
        <v>793</v>
      </c>
      <c r="D293" s="5" t="s">
        <v>794</v>
      </c>
      <c r="E293" s="5" t="s">
        <v>36</v>
      </c>
      <c r="F293" s="5" t="s">
        <v>26</v>
      </c>
      <c r="G293" s="13">
        <v>46282</v>
      </c>
      <c r="H293" s="13">
        <v>46282</v>
      </c>
      <c r="I293" s="9">
        <f t="shared" si="8"/>
        <v>1</v>
      </c>
      <c r="J293" s="5" t="s">
        <v>1651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4">
        <v>2</v>
      </c>
      <c r="AH293" s="4">
        <v>1</v>
      </c>
      <c r="AI293" s="4">
        <v>1</v>
      </c>
      <c r="AJ293" s="4">
        <v>2</v>
      </c>
      <c r="AK293" s="4">
        <v>3</v>
      </c>
      <c r="AL293" s="4">
        <v>2</v>
      </c>
      <c r="AM293" s="4">
        <v>1</v>
      </c>
      <c r="AN293" s="4">
        <v>0</v>
      </c>
      <c r="AO293" s="4">
        <v>1</v>
      </c>
      <c r="AP293" s="4"/>
      <c r="AQ293" s="4">
        <v>0</v>
      </c>
      <c r="AR293" s="4">
        <v>1</v>
      </c>
      <c r="AS293" s="4">
        <f t="shared" si="9"/>
        <v>13</v>
      </c>
      <c r="AT293" s="9" t="s">
        <v>44</v>
      </c>
    </row>
    <row r="294" spans="1:46" x14ac:dyDescent="0.2">
      <c r="A294" s="4">
        <v>3603</v>
      </c>
      <c r="B294" s="4" t="s">
        <v>22</v>
      </c>
      <c r="C294" s="5" t="s">
        <v>858</v>
      </c>
      <c r="D294" s="5" t="s">
        <v>859</v>
      </c>
      <c r="E294" s="5" t="s">
        <v>622</v>
      </c>
      <c r="F294" s="5" t="s">
        <v>68</v>
      </c>
      <c r="G294" s="13">
        <v>46282</v>
      </c>
      <c r="H294" s="13">
        <v>46283</v>
      </c>
      <c r="I294" s="9">
        <f t="shared" si="8"/>
        <v>2</v>
      </c>
      <c r="J294" s="5" t="s">
        <v>1651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4">
        <v>6</v>
      </c>
      <c r="AH294" s="4">
        <v>4</v>
      </c>
      <c r="AI294" s="4">
        <v>1</v>
      </c>
      <c r="AJ294" s="4">
        <v>3</v>
      </c>
      <c r="AK294" s="4">
        <v>11</v>
      </c>
      <c r="AL294" s="4">
        <v>4</v>
      </c>
      <c r="AM294" s="4">
        <v>2</v>
      </c>
      <c r="AN294" s="4">
        <v>0</v>
      </c>
      <c r="AO294" s="4">
        <v>1</v>
      </c>
      <c r="AP294" s="4"/>
      <c r="AQ294" s="4">
        <v>0</v>
      </c>
      <c r="AR294" s="4">
        <v>1</v>
      </c>
      <c r="AS294" s="4">
        <f t="shared" si="9"/>
        <v>32</v>
      </c>
      <c r="AT294" s="9" t="s">
        <v>860</v>
      </c>
    </row>
    <row r="295" spans="1:46" x14ac:dyDescent="0.2">
      <c r="A295" s="4">
        <v>3620</v>
      </c>
      <c r="B295" s="4" t="s">
        <v>22</v>
      </c>
      <c r="C295" s="10" t="s">
        <v>629</v>
      </c>
      <c r="D295" s="10" t="s">
        <v>630</v>
      </c>
      <c r="E295" s="10" t="s">
        <v>622</v>
      </c>
      <c r="F295" s="10" t="s">
        <v>68</v>
      </c>
      <c r="G295" s="13">
        <v>46282</v>
      </c>
      <c r="H295" s="13">
        <v>46282</v>
      </c>
      <c r="I295" s="9">
        <f t="shared" si="8"/>
        <v>1</v>
      </c>
      <c r="J295" s="5" t="s">
        <v>1651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4">
        <v>3</v>
      </c>
      <c r="AH295" s="4">
        <v>1</v>
      </c>
      <c r="AI295" s="4">
        <v>1</v>
      </c>
      <c r="AJ295" s="4">
        <v>2</v>
      </c>
      <c r="AK295" s="4">
        <v>4</v>
      </c>
      <c r="AL295" s="4">
        <v>3</v>
      </c>
      <c r="AM295" s="4">
        <v>1</v>
      </c>
      <c r="AN295" s="4">
        <v>0</v>
      </c>
      <c r="AO295" s="4">
        <v>1</v>
      </c>
      <c r="AP295" s="12"/>
      <c r="AQ295" s="4">
        <v>0</v>
      </c>
      <c r="AR295" s="4">
        <v>1</v>
      </c>
      <c r="AS295" s="4">
        <f t="shared" si="9"/>
        <v>16</v>
      </c>
      <c r="AT295" s="9" t="s">
        <v>861</v>
      </c>
    </row>
    <row r="296" spans="1:46" x14ac:dyDescent="0.2">
      <c r="A296" s="4">
        <v>3923</v>
      </c>
      <c r="B296" s="4" t="s">
        <v>22</v>
      </c>
      <c r="C296" s="5" t="s">
        <v>908</v>
      </c>
      <c r="D296" s="5" t="s">
        <v>909</v>
      </c>
      <c r="E296" s="5" t="s">
        <v>873</v>
      </c>
      <c r="F296" s="5" t="s">
        <v>574</v>
      </c>
      <c r="G296" s="13">
        <v>46282</v>
      </c>
      <c r="H296" s="13">
        <v>46282</v>
      </c>
      <c r="I296" s="9">
        <f t="shared" si="8"/>
        <v>1</v>
      </c>
      <c r="J296" s="5" t="s">
        <v>1651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4">
        <v>2</v>
      </c>
      <c r="AH296" s="4">
        <v>1</v>
      </c>
      <c r="AI296" s="4">
        <v>1</v>
      </c>
      <c r="AJ296" s="4">
        <v>2</v>
      </c>
      <c r="AK296" s="4">
        <v>3</v>
      </c>
      <c r="AL296" s="4">
        <v>2</v>
      </c>
      <c r="AM296" s="4">
        <v>1</v>
      </c>
      <c r="AN296" s="4">
        <v>0</v>
      </c>
      <c r="AO296" s="4">
        <v>1</v>
      </c>
      <c r="AP296" s="4"/>
      <c r="AQ296" s="4">
        <v>0</v>
      </c>
      <c r="AR296" s="4">
        <v>1</v>
      </c>
      <c r="AS296" s="4">
        <f t="shared" si="9"/>
        <v>13</v>
      </c>
      <c r="AT296" s="9" t="s">
        <v>874</v>
      </c>
    </row>
    <row r="297" spans="1:46" x14ac:dyDescent="0.2">
      <c r="A297" s="4">
        <v>3932</v>
      </c>
      <c r="B297" s="4" t="s">
        <v>22</v>
      </c>
      <c r="C297" s="5" t="s">
        <v>932</v>
      </c>
      <c r="D297" s="5" t="s">
        <v>933</v>
      </c>
      <c r="E297" s="5" t="s">
        <v>873</v>
      </c>
      <c r="F297" s="5" t="s">
        <v>574</v>
      </c>
      <c r="G297" s="13">
        <v>46282</v>
      </c>
      <c r="H297" s="13">
        <v>46283</v>
      </c>
      <c r="I297" s="9">
        <f t="shared" si="8"/>
        <v>2</v>
      </c>
      <c r="J297" s="5" t="s">
        <v>1651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4">
        <v>3</v>
      </c>
      <c r="AH297" s="4">
        <v>1</v>
      </c>
      <c r="AI297" s="4">
        <v>1</v>
      </c>
      <c r="AJ297" s="4">
        <v>2</v>
      </c>
      <c r="AK297" s="4">
        <v>4</v>
      </c>
      <c r="AL297" s="4">
        <v>2</v>
      </c>
      <c r="AM297" s="4">
        <v>1</v>
      </c>
      <c r="AN297" s="4">
        <v>0</v>
      </c>
      <c r="AO297" s="4">
        <v>1</v>
      </c>
      <c r="AP297" s="4"/>
      <c r="AQ297" s="4">
        <v>0</v>
      </c>
      <c r="AR297" s="4">
        <v>1</v>
      </c>
      <c r="AS297" s="4">
        <f t="shared" si="9"/>
        <v>15</v>
      </c>
      <c r="AT297" s="9" t="s">
        <v>888</v>
      </c>
    </row>
    <row r="298" spans="1:46" x14ac:dyDescent="0.2">
      <c r="A298" s="4">
        <v>4512</v>
      </c>
      <c r="B298" s="4" t="s">
        <v>22</v>
      </c>
      <c r="C298" s="5" t="s">
        <v>995</v>
      </c>
      <c r="D298" s="5" t="s">
        <v>996</v>
      </c>
      <c r="E298" s="5" t="s">
        <v>981</v>
      </c>
      <c r="F298" s="5" t="s">
        <v>26</v>
      </c>
      <c r="G298" s="13">
        <v>46282</v>
      </c>
      <c r="H298" s="13">
        <v>46282</v>
      </c>
      <c r="I298" s="9">
        <f t="shared" si="8"/>
        <v>1</v>
      </c>
      <c r="J298" s="5" t="s">
        <v>1651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4">
        <v>2</v>
      </c>
      <c r="AH298" s="4">
        <v>2</v>
      </c>
      <c r="AI298" s="4">
        <v>1</v>
      </c>
      <c r="AJ298" s="4">
        <v>2</v>
      </c>
      <c r="AK298" s="4">
        <v>4</v>
      </c>
      <c r="AL298" s="4">
        <v>2</v>
      </c>
      <c r="AM298" s="4">
        <v>1</v>
      </c>
      <c r="AN298" s="4">
        <v>0</v>
      </c>
      <c r="AO298" s="4">
        <v>1</v>
      </c>
      <c r="AP298" s="4"/>
      <c r="AQ298" s="4">
        <v>0</v>
      </c>
      <c r="AR298" s="4">
        <v>1</v>
      </c>
      <c r="AS298" s="4">
        <f t="shared" si="9"/>
        <v>15</v>
      </c>
      <c r="AT298" s="9" t="s">
        <v>985</v>
      </c>
    </row>
    <row r="299" spans="1:46" x14ac:dyDescent="0.2">
      <c r="A299" s="4">
        <v>4805</v>
      </c>
      <c r="B299" s="4" t="s">
        <v>22</v>
      </c>
      <c r="C299" s="5" t="s">
        <v>1033</v>
      </c>
      <c r="D299" s="5" t="s">
        <v>661</v>
      </c>
      <c r="E299" s="5" t="s">
        <v>286</v>
      </c>
      <c r="F299" s="5" t="s">
        <v>546</v>
      </c>
      <c r="G299" s="13">
        <v>46282</v>
      </c>
      <c r="H299" s="13">
        <v>46282</v>
      </c>
      <c r="I299" s="9">
        <f t="shared" si="8"/>
        <v>1</v>
      </c>
      <c r="J299" s="5" t="s">
        <v>1651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4">
        <v>3</v>
      </c>
      <c r="AH299" s="4">
        <v>3</v>
      </c>
      <c r="AI299" s="4">
        <v>1</v>
      </c>
      <c r="AJ299" s="4">
        <v>2</v>
      </c>
      <c r="AK299" s="4">
        <v>6</v>
      </c>
      <c r="AL299" s="4">
        <v>3</v>
      </c>
      <c r="AM299" s="4">
        <v>1</v>
      </c>
      <c r="AN299" s="4">
        <v>0</v>
      </c>
      <c r="AO299" s="4">
        <v>1</v>
      </c>
      <c r="AP299" s="4"/>
      <c r="AQ299" s="4">
        <v>0</v>
      </c>
      <c r="AR299" s="4">
        <v>1</v>
      </c>
      <c r="AS299" s="4">
        <f t="shared" si="9"/>
        <v>20</v>
      </c>
      <c r="AT299" s="9" t="s">
        <v>1034</v>
      </c>
    </row>
    <row r="300" spans="1:46" x14ac:dyDescent="0.2">
      <c r="A300" s="4">
        <v>5123</v>
      </c>
      <c r="B300" s="4" t="s">
        <v>22</v>
      </c>
      <c r="C300" s="5" t="s">
        <v>1140</v>
      </c>
      <c r="D300" s="5" t="s">
        <v>1141</v>
      </c>
      <c r="E300" s="5" t="s">
        <v>1107</v>
      </c>
      <c r="F300" s="5" t="s">
        <v>98</v>
      </c>
      <c r="G300" s="13">
        <v>46282</v>
      </c>
      <c r="H300" s="13">
        <v>46283</v>
      </c>
      <c r="I300" s="9">
        <f t="shared" si="8"/>
        <v>2</v>
      </c>
      <c r="J300" s="5" t="s">
        <v>1651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4">
        <v>2</v>
      </c>
      <c r="AH300" s="4">
        <v>1</v>
      </c>
      <c r="AI300" s="4">
        <v>1</v>
      </c>
      <c r="AJ300" s="4">
        <v>2</v>
      </c>
      <c r="AK300" s="4">
        <v>3</v>
      </c>
      <c r="AL300" s="4">
        <v>2</v>
      </c>
      <c r="AM300" s="4">
        <v>1</v>
      </c>
      <c r="AN300" s="4">
        <v>0</v>
      </c>
      <c r="AO300" s="4">
        <v>1</v>
      </c>
      <c r="AP300" s="4"/>
      <c r="AQ300" s="4">
        <v>0</v>
      </c>
      <c r="AR300" s="4">
        <v>1</v>
      </c>
      <c r="AS300" s="4">
        <f t="shared" si="9"/>
        <v>13</v>
      </c>
      <c r="AT300" s="9" t="s">
        <v>1114</v>
      </c>
    </row>
    <row r="301" spans="1:46" x14ac:dyDescent="0.2">
      <c r="A301" s="4">
        <v>5746</v>
      </c>
      <c r="B301" s="4" t="s">
        <v>22</v>
      </c>
      <c r="C301" s="5" t="s">
        <v>1203</v>
      </c>
      <c r="D301" s="5" t="s">
        <v>1204</v>
      </c>
      <c r="E301" s="5" t="s">
        <v>538</v>
      </c>
      <c r="F301" s="5" t="s">
        <v>500</v>
      </c>
      <c r="G301" s="13">
        <v>46282</v>
      </c>
      <c r="H301" s="13">
        <v>46283</v>
      </c>
      <c r="I301" s="9">
        <f t="shared" si="8"/>
        <v>2</v>
      </c>
      <c r="J301" s="5" t="s">
        <v>1651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4">
        <v>3</v>
      </c>
      <c r="AH301" s="4">
        <v>3</v>
      </c>
      <c r="AI301" s="4">
        <v>1</v>
      </c>
      <c r="AJ301" s="4">
        <v>2</v>
      </c>
      <c r="AK301" s="4">
        <v>6</v>
      </c>
      <c r="AL301" s="4">
        <v>2</v>
      </c>
      <c r="AM301" s="4">
        <v>1</v>
      </c>
      <c r="AN301" s="4">
        <v>0</v>
      </c>
      <c r="AO301" s="4">
        <v>1</v>
      </c>
      <c r="AP301" s="4"/>
      <c r="AQ301" s="4">
        <v>0</v>
      </c>
      <c r="AR301" s="4">
        <v>1</v>
      </c>
      <c r="AS301" s="4">
        <f t="shared" si="9"/>
        <v>19</v>
      </c>
      <c r="AT301" s="9" t="s">
        <v>1193</v>
      </c>
    </row>
    <row r="302" spans="1:46" x14ac:dyDescent="0.2">
      <c r="A302" s="4">
        <v>6362</v>
      </c>
      <c r="B302" s="4" t="s">
        <v>22</v>
      </c>
      <c r="C302" s="5" t="s">
        <v>1331</v>
      </c>
      <c r="D302" s="5" t="s">
        <v>1332</v>
      </c>
      <c r="E302" s="5" t="s">
        <v>1301</v>
      </c>
      <c r="F302" s="5" t="s">
        <v>68</v>
      </c>
      <c r="G302" s="13">
        <v>46282</v>
      </c>
      <c r="H302" s="13">
        <v>46282</v>
      </c>
      <c r="I302" s="9">
        <f t="shared" si="8"/>
        <v>1</v>
      </c>
      <c r="J302" s="5" t="s">
        <v>1651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4">
        <v>2</v>
      </c>
      <c r="AH302" s="4">
        <v>1</v>
      </c>
      <c r="AI302" s="4">
        <v>1</v>
      </c>
      <c r="AJ302" s="4">
        <v>2</v>
      </c>
      <c r="AK302" s="4">
        <v>3</v>
      </c>
      <c r="AL302" s="4">
        <v>2</v>
      </c>
      <c r="AM302" s="4">
        <v>1</v>
      </c>
      <c r="AN302" s="4">
        <v>0</v>
      </c>
      <c r="AO302" s="4">
        <v>1</v>
      </c>
      <c r="AP302" s="4"/>
      <c r="AQ302" s="4">
        <v>0</v>
      </c>
      <c r="AR302" s="4">
        <v>1</v>
      </c>
      <c r="AS302" s="4">
        <f t="shared" si="9"/>
        <v>13</v>
      </c>
      <c r="AT302" s="9" t="s">
        <v>69</v>
      </c>
    </row>
    <row r="303" spans="1:46" x14ac:dyDescent="0.2">
      <c r="A303" s="4">
        <v>6633</v>
      </c>
      <c r="B303" s="4" t="s">
        <v>22</v>
      </c>
      <c r="C303" s="5" t="s">
        <v>1397</v>
      </c>
      <c r="D303" s="5" t="s">
        <v>1398</v>
      </c>
      <c r="E303" s="5" t="s">
        <v>1346</v>
      </c>
      <c r="F303" s="5" t="s">
        <v>574</v>
      </c>
      <c r="G303" s="13">
        <v>46282</v>
      </c>
      <c r="H303" s="13">
        <v>46283</v>
      </c>
      <c r="I303" s="9">
        <f t="shared" si="8"/>
        <v>2</v>
      </c>
      <c r="J303" s="5" t="s">
        <v>1651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4">
        <v>2</v>
      </c>
      <c r="AH303" s="4">
        <v>2</v>
      </c>
      <c r="AI303" s="4">
        <v>1</v>
      </c>
      <c r="AJ303" s="4">
        <v>2</v>
      </c>
      <c r="AK303" s="4">
        <v>4</v>
      </c>
      <c r="AL303" s="4">
        <v>2</v>
      </c>
      <c r="AM303" s="4">
        <v>1</v>
      </c>
      <c r="AN303" s="4">
        <v>0</v>
      </c>
      <c r="AO303" s="4">
        <v>1</v>
      </c>
      <c r="AP303" s="7"/>
      <c r="AQ303" s="4">
        <v>0</v>
      </c>
      <c r="AR303" s="4">
        <v>1</v>
      </c>
      <c r="AS303" s="4">
        <f t="shared" si="9"/>
        <v>15</v>
      </c>
      <c r="AT303" s="9" t="s">
        <v>1354</v>
      </c>
    </row>
    <row r="304" spans="1:46" x14ac:dyDescent="0.2">
      <c r="A304" s="4">
        <v>6920</v>
      </c>
      <c r="B304" s="4" t="s">
        <v>22</v>
      </c>
      <c r="C304" s="5" t="s">
        <v>1454</v>
      </c>
      <c r="D304" s="5" t="s">
        <v>1455</v>
      </c>
      <c r="E304" s="5" t="s">
        <v>545</v>
      </c>
      <c r="F304" s="5" t="s">
        <v>546</v>
      </c>
      <c r="G304" s="13">
        <v>46282</v>
      </c>
      <c r="H304" s="13">
        <v>46283</v>
      </c>
      <c r="I304" s="9">
        <f t="shared" si="8"/>
        <v>2</v>
      </c>
      <c r="J304" s="5" t="s">
        <v>1651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4">
        <v>7</v>
      </c>
      <c r="AH304" s="4">
        <v>6</v>
      </c>
      <c r="AI304" s="4">
        <v>1</v>
      </c>
      <c r="AJ304" s="4">
        <v>3</v>
      </c>
      <c r="AK304" s="4">
        <v>13</v>
      </c>
      <c r="AL304" s="4">
        <v>5</v>
      </c>
      <c r="AM304" s="4">
        <v>2</v>
      </c>
      <c r="AN304" s="4">
        <v>0</v>
      </c>
      <c r="AO304" s="4">
        <v>3</v>
      </c>
      <c r="AP304" s="4"/>
      <c r="AQ304" s="4">
        <v>1</v>
      </c>
      <c r="AR304" s="4">
        <v>1</v>
      </c>
      <c r="AS304" s="4">
        <f t="shared" si="9"/>
        <v>41</v>
      </c>
      <c r="AT304" s="9" t="s">
        <v>547</v>
      </c>
    </row>
    <row r="305" spans="1:46" x14ac:dyDescent="0.2">
      <c r="A305" s="4">
        <v>7950</v>
      </c>
      <c r="B305" s="4" t="s">
        <v>22</v>
      </c>
      <c r="C305" s="5" t="s">
        <v>1514</v>
      </c>
      <c r="D305" s="5" t="s">
        <v>1515</v>
      </c>
      <c r="E305" s="5" t="s">
        <v>1512</v>
      </c>
      <c r="F305" s="5" t="s">
        <v>574</v>
      </c>
      <c r="G305" s="13">
        <v>46282</v>
      </c>
      <c r="H305" s="13">
        <v>46282</v>
      </c>
      <c r="I305" s="9">
        <f t="shared" si="8"/>
        <v>1</v>
      </c>
      <c r="J305" s="5" t="s">
        <v>1651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4">
        <v>6</v>
      </c>
      <c r="AH305" s="4">
        <v>3</v>
      </c>
      <c r="AI305" s="4">
        <v>1</v>
      </c>
      <c r="AJ305" s="4">
        <v>3</v>
      </c>
      <c r="AK305" s="4">
        <v>9</v>
      </c>
      <c r="AL305" s="4">
        <v>6</v>
      </c>
      <c r="AM305" s="4">
        <v>2</v>
      </c>
      <c r="AN305" s="4">
        <v>0</v>
      </c>
      <c r="AO305" s="4">
        <v>2</v>
      </c>
      <c r="AP305" s="4"/>
      <c r="AQ305" s="4">
        <v>0</v>
      </c>
      <c r="AR305" s="4">
        <v>1</v>
      </c>
      <c r="AS305" s="4">
        <f t="shared" si="9"/>
        <v>32</v>
      </c>
      <c r="AT305" s="9" t="s">
        <v>1516</v>
      </c>
    </row>
    <row r="306" spans="1:46" x14ac:dyDescent="0.2">
      <c r="A306" s="4">
        <v>8646</v>
      </c>
      <c r="B306" s="4" t="s">
        <v>22</v>
      </c>
      <c r="C306" s="5" t="s">
        <v>1618</v>
      </c>
      <c r="D306" s="5" t="s">
        <v>1619</v>
      </c>
      <c r="E306" s="5" t="s">
        <v>1600</v>
      </c>
      <c r="F306" s="5" t="s">
        <v>331</v>
      </c>
      <c r="G306" s="13">
        <v>46282</v>
      </c>
      <c r="H306" s="13">
        <v>46283</v>
      </c>
      <c r="I306" s="9">
        <f t="shared" si="8"/>
        <v>2</v>
      </c>
      <c r="J306" s="5" t="s">
        <v>1651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4">
        <v>3</v>
      </c>
      <c r="AH306" s="4">
        <v>2</v>
      </c>
      <c r="AI306" s="4">
        <v>1</v>
      </c>
      <c r="AJ306" s="4">
        <v>2</v>
      </c>
      <c r="AK306" s="4">
        <v>5</v>
      </c>
      <c r="AL306" s="4">
        <v>3</v>
      </c>
      <c r="AM306" s="4">
        <v>1</v>
      </c>
      <c r="AN306" s="4">
        <v>0</v>
      </c>
      <c r="AO306" s="4">
        <v>1</v>
      </c>
      <c r="AP306" s="4"/>
      <c r="AQ306" s="4">
        <v>0</v>
      </c>
      <c r="AR306" s="4">
        <v>1</v>
      </c>
      <c r="AS306" s="4">
        <f t="shared" si="9"/>
        <v>18</v>
      </c>
      <c r="AT306" s="9" t="s">
        <v>1601</v>
      </c>
    </row>
    <row r="307" spans="1:46" x14ac:dyDescent="0.2">
      <c r="A307" s="4">
        <v>910</v>
      </c>
      <c r="B307" s="4" t="s">
        <v>22</v>
      </c>
      <c r="C307" s="5" t="s">
        <v>52</v>
      </c>
      <c r="D307" s="5" t="s">
        <v>53</v>
      </c>
      <c r="E307" s="5" t="s">
        <v>36</v>
      </c>
      <c r="F307" s="5" t="s">
        <v>26</v>
      </c>
      <c r="G307" s="13">
        <v>46283</v>
      </c>
      <c r="H307" s="13">
        <v>46283</v>
      </c>
      <c r="I307" s="9">
        <f t="shared" si="8"/>
        <v>1</v>
      </c>
      <c r="J307" s="5" t="s">
        <v>1651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4">
        <v>4</v>
      </c>
      <c r="AH307" s="4">
        <v>4</v>
      </c>
      <c r="AI307" s="4">
        <v>1</v>
      </c>
      <c r="AJ307" s="4">
        <v>3</v>
      </c>
      <c r="AK307" s="4">
        <v>8</v>
      </c>
      <c r="AL307" s="4">
        <v>4</v>
      </c>
      <c r="AM307" s="4">
        <v>2</v>
      </c>
      <c r="AN307" s="4">
        <v>0</v>
      </c>
      <c r="AO307" s="4">
        <v>1</v>
      </c>
      <c r="AP307" s="4"/>
      <c r="AQ307" s="4">
        <v>0</v>
      </c>
      <c r="AR307" s="4">
        <v>1</v>
      </c>
      <c r="AS307" s="4">
        <f t="shared" si="9"/>
        <v>27</v>
      </c>
      <c r="AT307" s="5" t="s">
        <v>51</v>
      </c>
    </row>
    <row r="308" spans="1:46" x14ac:dyDescent="0.2">
      <c r="A308" s="4">
        <v>1348</v>
      </c>
      <c r="B308" s="4" t="s">
        <v>22</v>
      </c>
      <c r="C308" s="5" t="s">
        <v>170</v>
      </c>
      <c r="D308" s="5" t="s">
        <v>171</v>
      </c>
      <c r="E308" s="5" t="s">
        <v>118</v>
      </c>
      <c r="F308" s="5" t="s">
        <v>119</v>
      </c>
      <c r="G308" s="13">
        <v>46283</v>
      </c>
      <c r="H308" s="13">
        <v>46283</v>
      </c>
      <c r="I308" s="9">
        <f t="shared" si="8"/>
        <v>1</v>
      </c>
      <c r="J308" s="5" t="s">
        <v>1651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4">
        <v>3</v>
      </c>
      <c r="AH308" s="4">
        <v>1</v>
      </c>
      <c r="AI308" s="4">
        <v>1</v>
      </c>
      <c r="AJ308" s="4">
        <v>2</v>
      </c>
      <c r="AK308" s="4">
        <v>4</v>
      </c>
      <c r="AL308" s="4">
        <v>3</v>
      </c>
      <c r="AM308" s="4">
        <v>1</v>
      </c>
      <c r="AN308" s="4">
        <v>0</v>
      </c>
      <c r="AO308" s="4">
        <v>1</v>
      </c>
      <c r="AP308" s="4"/>
      <c r="AQ308" s="4">
        <v>0</v>
      </c>
      <c r="AR308" s="4">
        <v>1</v>
      </c>
      <c r="AS308" s="4">
        <f t="shared" si="9"/>
        <v>16</v>
      </c>
      <c r="AT308" s="4" t="s">
        <v>120</v>
      </c>
    </row>
    <row r="309" spans="1:46" x14ac:dyDescent="0.2">
      <c r="A309" s="4">
        <v>1362</v>
      </c>
      <c r="B309" s="4" t="s">
        <v>22</v>
      </c>
      <c r="C309" s="5" t="s">
        <v>196</v>
      </c>
      <c r="D309" s="5" t="s">
        <v>197</v>
      </c>
      <c r="E309" s="5" t="s">
        <v>118</v>
      </c>
      <c r="F309" s="5" t="s">
        <v>119</v>
      </c>
      <c r="G309" s="13">
        <v>46283</v>
      </c>
      <c r="H309" s="13">
        <v>46283</v>
      </c>
      <c r="I309" s="9">
        <f t="shared" si="8"/>
        <v>1</v>
      </c>
      <c r="J309" s="5" t="s">
        <v>1651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4">
        <v>4</v>
      </c>
      <c r="AH309" s="4">
        <v>3</v>
      </c>
      <c r="AI309" s="4">
        <v>1</v>
      </c>
      <c r="AJ309" s="4">
        <v>2</v>
      </c>
      <c r="AK309" s="4">
        <v>7</v>
      </c>
      <c r="AL309" s="4">
        <v>3</v>
      </c>
      <c r="AM309" s="4">
        <v>1</v>
      </c>
      <c r="AN309" s="4">
        <v>0</v>
      </c>
      <c r="AO309" s="4">
        <v>1</v>
      </c>
      <c r="AP309" s="4"/>
      <c r="AQ309" s="4">
        <v>1</v>
      </c>
      <c r="AR309" s="4">
        <v>1</v>
      </c>
      <c r="AS309" s="4">
        <f t="shared" si="9"/>
        <v>23</v>
      </c>
      <c r="AT309" s="4" t="s">
        <v>137</v>
      </c>
    </row>
    <row r="310" spans="1:46" x14ac:dyDescent="0.2">
      <c r="A310" s="4">
        <v>1379</v>
      </c>
      <c r="B310" s="4" t="s">
        <v>22</v>
      </c>
      <c r="C310" s="5" t="s">
        <v>220</v>
      </c>
      <c r="D310" s="5" t="s">
        <v>221</v>
      </c>
      <c r="E310" s="5" t="s">
        <v>118</v>
      </c>
      <c r="F310" s="5" t="s">
        <v>119</v>
      </c>
      <c r="G310" s="13">
        <v>46283</v>
      </c>
      <c r="H310" s="13">
        <v>46283</v>
      </c>
      <c r="I310" s="9">
        <f t="shared" si="8"/>
        <v>1</v>
      </c>
      <c r="J310" s="5" t="s">
        <v>1651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4">
        <v>3</v>
      </c>
      <c r="AH310" s="4">
        <v>3</v>
      </c>
      <c r="AI310" s="4">
        <v>1</v>
      </c>
      <c r="AJ310" s="4">
        <v>2</v>
      </c>
      <c r="AK310" s="4">
        <v>7</v>
      </c>
      <c r="AL310" s="4">
        <v>2</v>
      </c>
      <c r="AM310" s="4">
        <v>1</v>
      </c>
      <c r="AN310" s="4">
        <v>0</v>
      </c>
      <c r="AO310" s="4">
        <v>1</v>
      </c>
      <c r="AP310" s="4"/>
      <c r="AQ310" s="4">
        <v>0</v>
      </c>
      <c r="AR310" s="4">
        <v>1</v>
      </c>
      <c r="AS310" s="4">
        <f t="shared" si="9"/>
        <v>20</v>
      </c>
      <c r="AT310" s="4" t="s">
        <v>120</v>
      </c>
    </row>
    <row r="311" spans="1:46" x14ac:dyDescent="0.2">
      <c r="A311" s="4">
        <v>1572</v>
      </c>
      <c r="B311" s="4" t="s">
        <v>22</v>
      </c>
      <c r="C311" s="5" t="s">
        <v>430</v>
      </c>
      <c r="D311" s="5" t="s">
        <v>431</v>
      </c>
      <c r="E311" s="5" t="s">
        <v>330</v>
      </c>
      <c r="F311" s="5" t="s">
        <v>331</v>
      </c>
      <c r="G311" s="13">
        <v>46283</v>
      </c>
      <c r="H311" s="13">
        <v>46283</v>
      </c>
      <c r="I311" s="9">
        <f t="shared" si="8"/>
        <v>1</v>
      </c>
      <c r="J311" s="5" t="s">
        <v>1651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4">
        <v>3</v>
      </c>
      <c r="AH311" s="4">
        <v>3</v>
      </c>
      <c r="AI311" s="4">
        <v>1</v>
      </c>
      <c r="AJ311" s="4">
        <v>2</v>
      </c>
      <c r="AK311" s="4">
        <v>6</v>
      </c>
      <c r="AL311" s="4">
        <v>2</v>
      </c>
      <c r="AM311" s="4">
        <v>1</v>
      </c>
      <c r="AN311" s="4">
        <v>0</v>
      </c>
      <c r="AO311" s="4">
        <v>1</v>
      </c>
      <c r="AP311" s="7"/>
      <c r="AQ311" s="4">
        <v>0</v>
      </c>
      <c r="AR311" s="4">
        <v>1</v>
      </c>
      <c r="AS311" s="4">
        <f t="shared" si="9"/>
        <v>19</v>
      </c>
      <c r="AT311" s="9" t="s">
        <v>77</v>
      </c>
    </row>
    <row r="312" spans="1:46" x14ac:dyDescent="0.2">
      <c r="A312" s="4">
        <v>1575</v>
      </c>
      <c r="B312" s="4" t="s">
        <v>22</v>
      </c>
      <c r="C312" s="5" t="s">
        <v>436</v>
      </c>
      <c r="D312" s="5" t="s">
        <v>437</v>
      </c>
      <c r="E312" s="5" t="s">
        <v>330</v>
      </c>
      <c r="F312" s="5" t="s">
        <v>331</v>
      </c>
      <c r="G312" s="13">
        <v>46283</v>
      </c>
      <c r="H312" s="13">
        <v>46283</v>
      </c>
      <c r="I312" s="9">
        <f t="shared" si="8"/>
        <v>1</v>
      </c>
      <c r="J312" s="5" t="s">
        <v>1651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4">
        <v>2</v>
      </c>
      <c r="AH312" s="4">
        <v>1</v>
      </c>
      <c r="AI312" s="4">
        <v>1</v>
      </c>
      <c r="AJ312" s="4">
        <v>2</v>
      </c>
      <c r="AK312" s="4">
        <v>3</v>
      </c>
      <c r="AL312" s="4">
        <v>2</v>
      </c>
      <c r="AM312" s="4">
        <v>1</v>
      </c>
      <c r="AN312" s="4">
        <v>0</v>
      </c>
      <c r="AO312" s="4">
        <v>1</v>
      </c>
      <c r="AP312" s="4"/>
      <c r="AQ312" s="4">
        <v>0</v>
      </c>
      <c r="AR312" s="4">
        <v>1</v>
      </c>
      <c r="AS312" s="4">
        <f t="shared" si="9"/>
        <v>13</v>
      </c>
      <c r="AT312" s="9" t="s">
        <v>364</v>
      </c>
    </row>
    <row r="313" spans="1:46" x14ac:dyDescent="0.2">
      <c r="A313" s="4">
        <v>1588</v>
      </c>
      <c r="B313" s="4" t="s">
        <v>22</v>
      </c>
      <c r="C313" s="5" t="s">
        <v>461</v>
      </c>
      <c r="D313" s="5" t="s">
        <v>462</v>
      </c>
      <c r="E313" s="5" t="s">
        <v>330</v>
      </c>
      <c r="F313" s="5" t="s">
        <v>331</v>
      </c>
      <c r="G313" s="13">
        <v>46283</v>
      </c>
      <c r="H313" s="13">
        <v>46283</v>
      </c>
      <c r="I313" s="9">
        <f t="shared" si="8"/>
        <v>1</v>
      </c>
      <c r="J313" s="5" t="s">
        <v>1651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4">
        <v>2</v>
      </c>
      <c r="AH313" s="4">
        <v>1</v>
      </c>
      <c r="AI313" s="4">
        <v>1</v>
      </c>
      <c r="AJ313" s="4">
        <v>2</v>
      </c>
      <c r="AK313" s="4">
        <v>3</v>
      </c>
      <c r="AL313" s="4">
        <v>2</v>
      </c>
      <c r="AM313" s="4">
        <v>1</v>
      </c>
      <c r="AN313" s="4">
        <v>0</v>
      </c>
      <c r="AO313" s="4">
        <v>1</v>
      </c>
      <c r="AP313" s="4"/>
      <c r="AQ313" s="4">
        <v>0</v>
      </c>
      <c r="AR313" s="4">
        <v>1</v>
      </c>
      <c r="AS313" s="4">
        <f t="shared" si="9"/>
        <v>13</v>
      </c>
      <c r="AT313" s="9" t="s">
        <v>332</v>
      </c>
    </row>
    <row r="314" spans="1:46" x14ac:dyDescent="0.2">
      <c r="A314" s="4">
        <v>2442</v>
      </c>
      <c r="B314" s="4" t="s">
        <v>22</v>
      </c>
      <c r="C314" s="5" t="s">
        <v>645</v>
      </c>
      <c r="D314" s="5" t="s">
        <v>646</v>
      </c>
      <c r="E314" s="5" t="s">
        <v>604</v>
      </c>
      <c r="F314" s="5" t="s">
        <v>68</v>
      </c>
      <c r="G314" s="13">
        <v>46283</v>
      </c>
      <c r="H314" s="13">
        <v>46283</v>
      </c>
      <c r="I314" s="9">
        <f t="shared" si="8"/>
        <v>1</v>
      </c>
      <c r="J314" s="5" t="s">
        <v>1651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4">
        <v>5</v>
      </c>
      <c r="AH314" s="4">
        <v>2</v>
      </c>
      <c r="AI314" s="4">
        <v>1</v>
      </c>
      <c r="AJ314" s="4">
        <v>3</v>
      </c>
      <c r="AK314" s="4">
        <v>7</v>
      </c>
      <c r="AL314" s="4">
        <v>5</v>
      </c>
      <c r="AM314" s="4">
        <v>2</v>
      </c>
      <c r="AN314" s="4">
        <v>0</v>
      </c>
      <c r="AO314" s="4">
        <v>1</v>
      </c>
      <c r="AP314" s="4"/>
      <c r="AQ314" s="4">
        <v>0</v>
      </c>
      <c r="AR314" s="4">
        <v>1</v>
      </c>
      <c r="AS314" s="4">
        <f t="shared" si="9"/>
        <v>26</v>
      </c>
      <c r="AT314" s="9" t="s">
        <v>633</v>
      </c>
    </row>
    <row r="315" spans="1:46" x14ac:dyDescent="0.2">
      <c r="A315" s="4">
        <v>2460</v>
      </c>
      <c r="B315" s="4" t="s">
        <v>22</v>
      </c>
      <c r="C315" s="5" t="s">
        <v>652</v>
      </c>
      <c r="D315" s="5" t="s">
        <v>653</v>
      </c>
      <c r="E315" s="5" t="s">
        <v>604</v>
      </c>
      <c r="F315" s="5" t="s">
        <v>68</v>
      </c>
      <c r="G315" s="13">
        <v>46283</v>
      </c>
      <c r="H315" s="13">
        <v>46283</v>
      </c>
      <c r="I315" s="9">
        <f t="shared" si="8"/>
        <v>1</v>
      </c>
      <c r="J315" s="5" t="s">
        <v>1651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4">
        <v>4</v>
      </c>
      <c r="AH315" s="4">
        <v>2</v>
      </c>
      <c r="AI315" s="4">
        <v>1</v>
      </c>
      <c r="AJ315" s="4">
        <v>3</v>
      </c>
      <c r="AK315" s="4">
        <v>6</v>
      </c>
      <c r="AL315" s="4">
        <v>4</v>
      </c>
      <c r="AM315" s="4">
        <v>2</v>
      </c>
      <c r="AN315" s="4">
        <v>0</v>
      </c>
      <c r="AO315" s="4">
        <v>1</v>
      </c>
      <c r="AP315" s="4"/>
      <c r="AQ315" s="4">
        <v>0</v>
      </c>
      <c r="AR315" s="4">
        <v>1</v>
      </c>
      <c r="AS315" s="4">
        <f t="shared" si="9"/>
        <v>23</v>
      </c>
      <c r="AT315" s="9" t="s">
        <v>642</v>
      </c>
    </row>
    <row r="316" spans="1:46" x14ac:dyDescent="0.2">
      <c r="A316" s="4">
        <v>2465</v>
      </c>
      <c r="B316" s="4" t="s">
        <v>22</v>
      </c>
      <c r="C316" s="5" t="s">
        <v>654</v>
      </c>
      <c r="D316" s="5" t="s">
        <v>655</v>
      </c>
      <c r="E316" s="5" t="s">
        <v>604</v>
      </c>
      <c r="F316" s="5" t="s">
        <v>98</v>
      </c>
      <c r="G316" s="13">
        <v>46283</v>
      </c>
      <c r="H316" s="13">
        <v>46283</v>
      </c>
      <c r="I316" s="9">
        <f t="shared" si="8"/>
        <v>1</v>
      </c>
      <c r="J316" s="5" t="s">
        <v>1651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4">
        <v>3</v>
      </c>
      <c r="AH316" s="4">
        <v>2</v>
      </c>
      <c r="AI316" s="4">
        <v>1</v>
      </c>
      <c r="AJ316" s="4">
        <v>2</v>
      </c>
      <c r="AK316" s="4">
        <v>5</v>
      </c>
      <c r="AL316" s="4">
        <v>2</v>
      </c>
      <c r="AM316" s="4">
        <v>1</v>
      </c>
      <c r="AN316" s="4">
        <v>0</v>
      </c>
      <c r="AO316" s="4">
        <v>1</v>
      </c>
      <c r="AP316" s="4"/>
      <c r="AQ316" s="4">
        <v>0</v>
      </c>
      <c r="AR316" s="4">
        <v>1</v>
      </c>
      <c r="AS316" s="4">
        <f t="shared" si="9"/>
        <v>17</v>
      </c>
      <c r="AT316" s="9" t="s">
        <v>656</v>
      </c>
    </row>
    <row r="317" spans="1:46" x14ac:dyDescent="0.2">
      <c r="A317" s="4">
        <v>2786</v>
      </c>
      <c r="B317" s="4" t="s">
        <v>22</v>
      </c>
      <c r="C317" s="5" t="s">
        <v>709</v>
      </c>
      <c r="D317" s="5" t="s">
        <v>710</v>
      </c>
      <c r="E317" s="5" t="s">
        <v>661</v>
      </c>
      <c r="F317" s="5" t="s">
        <v>68</v>
      </c>
      <c r="G317" s="13">
        <v>46283</v>
      </c>
      <c r="H317" s="13">
        <v>46283</v>
      </c>
      <c r="I317" s="9">
        <f t="shared" si="8"/>
        <v>1</v>
      </c>
      <c r="J317" s="5" t="s">
        <v>1651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4">
        <v>3</v>
      </c>
      <c r="AH317" s="4">
        <v>2</v>
      </c>
      <c r="AI317" s="4">
        <v>1</v>
      </c>
      <c r="AJ317" s="4">
        <v>2</v>
      </c>
      <c r="AK317" s="4">
        <v>5</v>
      </c>
      <c r="AL317" s="4">
        <v>2</v>
      </c>
      <c r="AM317" s="4">
        <v>1</v>
      </c>
      <c r="AN317" s="4">
        <v>0</v>
      </c>
      <c r="AO317" s="4">
        <v>1</v>
      </c>
      <c r="AP317" s="7"/>
      <c r="AQ317" s="4">
        <v>0</v>
      </c>
      <c r="AR317" s="4">
        <v>1</v>
      </c>
      <c r="AS317" s="4">
        <f t="shared" si="9"/>
        <v>17</v>
      </c>
      <c r="AT317" s="9" t="s">
        <v>662</v>
      </c>
    </row>
    <row r="318" spans="1:46" x14ac:dyDescent="0.2">
      <c r="A318" s="4">
        <v>3114</v>
      </c>
      <c r="B318" s="4" t="s">
        <v>22</v>
      </c>
      <c r="C318" s="5" t="s">
        <v>729</v>
      </c>
      <c r="D318" s="5" t="s">
        <v>730</v>
      </c>
      <c r="E318" s="5" t="s">
        <v>36</v>
      </c>
      <c r="F318" s="5" t="s">
        <v>26</v>
      </c>
      <c r="G318" s="13">
        <v>46283</v>
      </c>
      <c r="H318" s="13">
        <v>46283</v>
      </c>
      <c r="I318" s="9">
        <f t="shared" si="8"/>
        <v>1</v>
      </c>
      <c r="J318" s="5" t="s">
        <v>1651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4">
        <v>4</v>
      </c>
      <c r="AH318" s="4">
        <v>3</v>
      </c>
      <c r="AI318" s="4">
        <v>1</v>
      </c>
      <c r="AJ318" s="4">
        <v>2</v>
      </c>
      <c r="AK318" s="4">
        <v>8</v>
      </c>
      <c r="AL318" s="4">
        <v>3</v>
      </c>
      <c r="AM318" s="4">
        <v>1</v>
      </c>
      <c r="AN318" s="4">
        <v>0</v>
      </c>
      <c r="AO318" s="4">
        <v>1</v>
      </c>
      <c r="AP318" s="4"/>
      <c r="AQ318" s="4">
        <v>0</v>
      </c>
      <c r="AR318" s="4">
        <v>1</v>
      </c>
      <c r="AS318" s="4">
        <f t="shared" si="9"/>
        <v>23</v>
      </c>
      <c r="AT318" s="9" t="s">
        <v>44</v>
      </c>
    </row>
    <row r="319" spans="1:46" x14ac:dyDescent="0.2">
      <c r="A319" s="4">
        <v>3136</v>
      </c>
      <c r="B319" s="4" t="s">
        <v>22</v>
      </c>
      <c r="C319" s="5" t="s">
        <v>761</v>
      </c>
      <c r="D319" s="5" t="s">
        <v>762</v>
      </c>
      <c r="E319" s="5" t="s">
        <v>36</v>
      </c>
      <c r="F319" s="5" t="s">
        <v>26</v>
      </c>
      <c r="G319" s="13">
        <v>46283</v>
      </c>
      <c r="H319" s="13">
        <v>46283</v>
      </c>
      <c r="I319" s="9">
        <f t="shared" si="8"/>
        <v>1</v>
      </c>
      <c r="J319" s="5" t="s">
        <v>1651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4">
        <v>3</v>
      </c>
      <c r="AH319" s="4">
        <v>2</v>
      </c>
      <c r="AI319" s="4">
        <v>1</v>
      </c>
      <c r="AJ319" s="4">
        <v>2</v>
      </c>
      <c r="AK319" s="4">
        <v>6</v>
      </c>
      <c r="AL319" s="4">
        <v>2</v>
      </c>
      <c r="AM319" s="4">
        <v>1</v>
      </c>
      <c r="AN319" s="4">
        <v>0</v>
      </c>
      <c r="AO319" s="4">
        <v>1</v>
      </c>
      <c r="AP319" s="4"/>
      <c r="AQ319" s="4">
        <v>0</v>
      </c>
      <c r="AR319" s="4">
        <v>1</v>
      </c>
      <c r="AS319" s="4">
        <f t="shared" si="9"/>
        <v>18</v>
      </c>
      <c r="AT319" s="9" t="s">
        <v>64</v>
      </c>
    </row>
    <row r="320" spans="1:46" x14ac:dyDescent="0.2">
      <c r="A320" s="4">
        <v>3160</v>
      </c>
      <c r="B320" s="4" t="s">
        <v>22</v>
      </c>
      <c r="C320" s="5" t="s">
        <v>805</v>
      </c>
      <c r="D320" s="5" t="s">
        <v>806</v>
      </c>
      <c r="E320" s="5" t="s">
        <v>36</v>
      </c>
      <c r="F320" s="5" t="s">
        <v>26</v>
      </c>
      <c r="G320" s="13">
        <v>46283</v>
      </c>
      <c r="H320" s="13">
        <v>46283</v>
      </c>
      <c r="I320" s="9">
        <f t="shared" si="8"/>
        <v>1</v>
      </c>
      <c r="J320" s="5" t="s">
        <v>1651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4">
        <v>4</v>
      </c>
      <c r="AH320" s="4">
        <v>2</v>
      </c>
      <c r="AI320" s="4">
        <v>1</v>
      </c>
      <c r="AJ320" s="4">
        <v>2</v>
      </c>
      <c r="AK320" s="4">
        <v>6</v>
      </c>
      <c r="AL320" s="4">
        <v>3</v>
      </c>
      <c r="AM320" s="4">
        <v>1</v>
      </c>
      <c r="AN320" s="4">
        <v>0</v>
      </c>
      <c r="AO320" s="4">
        <v>1</v>
      </c>
      <c r="AP320" s="4"/>
      <c r="AQ320" s="4">
        <v>0</v>
      </c>
      <c r="AR320" s="4">
        <v>1</v>
      </c>
      <c r="AS320" s="4">
        <f t="shared" si="9"/>
        <v>20</v>
      </c>
      <c r="AT320" s="9" t="s">
        <v>37</v>
      </c>
    </row>
    <row r="321" spans="1:46" x14ac:dyDescent="0.2">
      <c r="A321" s="4">
        <v>3970</v>
      </c>
      <c r="B321" s="4" t="s">
        <v>22</v>
      </c>
      <c r="C321" s="5" t="s">
        <v>948</v>
      </c>
      <c r="D321" s="5" t="s">
        <v>949</v>
      </c>
      <c r="E321" s="5" t="s">
        <v>873</v>
      </c>
      <c r="F321" s="5" t="s">
        <v>574</v>
      </c>
      <c r="G321" s="13">
        <v>46283</v>
      </c>
      <c r="H321" s="13">
        <v>46283</v>
      </c>
      <c r="I321" s="9">
        <f t="shared" si="8"/>
        <v>1</v>
      </c>
      <c r="J321" s="5" t="s">
        <v>1651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4">
        <v>2</v>
      </c>
      <c r="AH321" s="4">
        <v>2</v>
      </c>
      <c r="AI321" s="4">
        <v>1</v>
      </c>
      <c r="AJ321" s="4">
        <v>2</v>
      </c>
      <c r="AK321" s="4">
        <v>4</v>
      </c>
      <c r="AL321" s="4">
        <v>2</v>
      </c>
      <c r="AM321" s="4">
        <v>1</v>
      </c>
      <c r="AN321" s="4">
        <v>0</v>
      </c>
      <c r="AO321" s="4">
        <v>1</v>
      </c>
      <c r="AP321" s="4"/>
      <c r="AQ321" s="4">
        <v>0</v>
      </c>
      <c r="AR321" s="4">
        <v>1</v>
      </c>
      <c r="AS321" s="4">
        <f t="shared" si="9"/>
        <v>15</v>
      </c>
      <c r="AT321" s="9" t="s">
        <v>874</v>
      </c>
    </row>
    <row r="322" spans="1:46" x14ac:dyDescent="0.2">
      <c r="A322" s="4">
        <v>4535</v>
      </c>
      <c r="B322" s="4" t="s">
        <v>22</v>
      </c>
      <c r="C322" s="5" t="s">
        <v>1019</v>
      </c>
      <c r="D322" s="5" t="s">
        <v>1020</v>
      </c>
      <c r="E322" s="5" t="s">
        <v>981</v>
      </c>
      <c r="F322" s="5" t="s">
        <v>26</v>
      </c>
      <c r="G322" s="13">
        <v>46283</v>
      </c>
      <c r="H322" s="13">
        <v>46283</v>
      </c>
      <c r="I322" s="9">
        <f t="shared" ref="I322:I385" si="10">NETWORKDAYS(G322,H322)</f>
        <v>1</v>
      </c>
      <c r="J322" s="5" t="s">
        <v>1651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4">
        <v>5</v>
      </c>
      <c r="AH322" s="4">
        <v>3</v>
      </c>
      <c r="AI322" s="4">
        <v>1</v>
      </c>
      <c r="AJ322" s="4">
        <v>3</v>
      </c>
      <c r="AK322" s="4">
        <v>7</v>
      </c>
      <c r="AL322" s="4">
        <v>5</v>
      </c>
      <c r="AM322" s="4">
        <v>2</v>
      </c>
      <c r="AN322" s="4">
        <v>0</v>
      </c>
      <c r="AO322" s="4">
        <v>1</v>
      </c>
      <c r="AP322" s="4"/>
      <c r="AQ322" s="4">
        <v>0</v>
      </c>
      <c r="AR322" s="4">
        <v>1</v>
      </c>
      <c r="AS322" s="4">
        <f t="shared" si="9"/>
        <v>27</v>
      </c>
      <c r="AT322" s="9" t="s">
        <v>985</v>
      </c>
    </row>
    <row r="323" spans="1:46" x14ac:dyDescent="0.2">
      <c r="A323" s="4">
        <v>4820</v>
      </c>
      <c r="B323" s="4" t="s">
        <v>22</v>
      </c>
      <c r="C323" s="5" t="s">
        <v>1051</v>
      </c>
      <c r="D323" s="5" t="s">
        <v>1052</v>
      </c>
      <c r="E323" s="5" t="s">
        <v>286</v>
      </c>
      <c r="F323" s="5" t="s">
        <v>546</v>
      </c>
      <c r="G323" s="13">
        <v>46283</v>
      </c>
      <c r="H323" s="13">
        <v>46283</v>
      </c>
      <c r="I323" s="9">
        <f t="shared" si="10"/>
        <v>1</v>
      </c>
      <c r="J323" s="5" t="s">
        <v>1651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4">
        <v>4</v>
      </c>
      <c r="AH323" s="4">
        <v>3</v>
      </c>
      <c r="AI323" s="4">
        <v>1</v>
      </c>
      <c r="AJ323" s="4">
        <v>2</v>
      </c>
      <c r="AK323" s="4">
        <v>7</v>
      </c>
      <c r="AL323" s="4">
        <v>3</v>
      </c>
      <c r="AM323" s="4">
        <v>1</v>
      </c>
      <c r="AN323" s="4">
        <v>0</v>
      </c>
      <c r="AO323" s="4">
        <v>1</v>
      </c>
      <c r="AP323" s="4"/>
      <c r="AQ323" s="4">
        <v>0</v>
      </c>
      <c r="AR323" s="4">
        <v>1</v>
      </c>
      <c r="AS323" s="4">
        <f t="shared" ref="AS323:AS386" si="11">SUM(AG323:AQ323)</f>
        <v>22</v>
      </c>
      <c r="AT323" s="9" t="s">
        <v>1034</v>
      </c>
    </row>
    <row r="324" spans="1:46" x14ac:dyDescent="0.2">
      <c r="A324" s="4">
        <v>7960</v>
      </c>
      <c r="B324" s="4" t="s">
        <v>22</v>
      </c>
      <c r="C324" s="5" t="s">
        <v>1517</v>
      </c>
      <c r="D324" s="5" t="s">
        <v>1518</v>
      </c>
      <c r="E324" s="5" t="s">
        <v>1512</v>
      </c>
      <c r="F324" s="5" t="s">
        <v>574</v>
      </c>
      <c r="G324" s="13">
        <v>46283</v>
      </c>
      <c r="H324" s="13">
        <v>46283</v>
      </c>
      <c r="I324" s="9">
        <f t="shared" si="10"/>
        <v>1</v>
      </c>
      <c r="J324" s="5" t="s">
        <v>1651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4">
        <v>4</v>
      </c>
      <c r="AH324" s="4">
        <v>1</v>
      </c>
      <c r="AI324" s="4">
        <v>1</v>
      </c>
      <c r="AJ324" s="4">
        <v>2</v>
      </c>
      <c r="AK324" s="4">
        <v>5</v>
      </c>
      <c r="AL324" s="4">
        <v>4</v>
      </c>
      <c r="AM324" s="4">
        <v>1</v>
      </c>
      <c r="AN324" s="4">
        <v>0</v>
      </c>
      <c r="AO324" s="4">
        <v>1</v>
      </c>
      <c r="AP324" s="4"/>
      <c r="AQ324" s="4">
        <v>0</v>
      </c>
      <c r="AR324" s="4">
        <v>1</v>
      </c>
      <c r="AS324" s="4">
        <f t="shared" si="11"/>
        <v>19</v>
      </c>
      <c r="AT324" s="9" t="s">
        <v>1516</v>
      </c>
    </row>
    <row r="325" spans="1:46" x14ac:dyDescent="0.2">
      <c r="A325" s="4">
        <v>7930</v>
      </c>
      <c r="B325" s="4" t="s">
        <v>22</v>
      </c>
      <c r="C325" s="5" t="s">
        <v>1562</v>
      </c>
      <c r="D325" s="5" t="s">
        <v>1563</v>
      </c>
      <c r="E325" s="5" t="s">
        <v>1512</v>
      </c>
      <c r="F325" s="5" t="s">
        <v>574</v>
      </c>
      <c r="G325" s="13">
        <v>46283</v>
      </c>
      <c r="H325" s="13">
        <v>46283</v>
      </c>
      <c r="I325" s="9">
        <f t="shared" si="10"/>
        <v>1</v>
      </c>
      <c r="J325" s="5" t="s">
        <v>1651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4">
        <v>5</v>
      </c>
      <c r="AH325" s="4">
        <v>6</v>
      </c>
      <c r="AI325" s="4">
        <v>1</v>
      </c>
      <c r="AJ325" s="4">
        <v>4</v>
      </c>
      <c r="AK325" s="4">
        <v>13</v>
      </c>
      <c r="AL325" s="4">
        <v>5</v>
      </c>
      <c r="AM325" s="4">
        <v>3</v>
      </c>
      <c r="AN325" s="4">
        <v>0</v>
      </c>
      <c r="AO325" s="4">
        <v>2</v>
      </c>
      <c r="AP325" s="4"/>
      <c r="AQ325" s="4">
        <v>2</v>
      </c>
      <c r="AR325" s="4">
        <v>1</v>
      </c>
      <c r="AS325" s="4">
        <f t="shared" si="11"/>
        <v>41</v>
      </c>
      <c r="AT325" s="9" t="s">
        <v>1559</v>
      </c>
    </row>
    <row r="326" spans="1:46" x14ac:dyDescent="0.2">
      <c r="A326" s="4">
        <v>1240</v>
      </c>
      <c r="B326" s="4" t="s">
        <v>22</v>
      </c>
      <c r="C326" s="5" t="s">
        <v>91</v>
      </c>
      <c r="D326" s="5" t="s">
        <v>92</v>
      </c>
      <c r="E326" s="5" t="s">
        <v>67</v>
      </c>
      <c r="F326" s="5" t="s">
        <v>68</v>
      </c>
      <c r="G326" s="13">
        <v>46286</v>
      </c>
      <c r="H326" s="13">
        <v>46286</v>
      </c>
      <c r="I326" s="9">
        <f t="shared" si="10"/>
        <v>1</v>
      </c>
      <c r="J326" s="5" t="s">
        <v>1651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4">
        <v>5</v>
      </c>
      <c r="AH326" s="4">
        <v>6</v>
      </c>
      <c r="AI326" s="4">
        <v>1</v>
      </c>
      <c r="AJ326" s="4">
        <v>3</v>
      </c>
      <c r="AK326" s="4">
        <v>12</v>
      </c>
      <c r="AL326" s="4">
        <v>4</v>
      </c>
      <c r="AM326" s="4">
        <v>2</v>
      </c>
      <c r="AN326" s="4">
        <v>0</v>
      </c>
      <c r="AO326" s="4">
        <v>2</v>
      </c>
      <c r="AP326" s="4"/>
      <c r="AQ326" s="4">
        <v>0</v>
      </c>
      <c r="AR326" s="4">
        <v>1</v>
      </c>
      <c r="AS326" s="4">
        <f t="shared" si="11"/>
        <v>35</v>
      </c>
      <c r="AT326" s="5" t="s">
        <v>93</v>
      </c>
    </row>
    <row r="327" spans="1:46" x14ac:dyDescent="0.2">
      <c r="A327" s="4">
        <v>1332</v>
      </c>
      <c r="B327" s="4" t="s">
        <v>22</v>
      </c>
      <c r="C327" s="5" t="s">
        <v>154</v>
      </c>
      <c r="D327" s="5" t="s">
        <v>155</v>
      </c>
      <c r="E327" s="5" t="s">
        <v>118</v>
      </c>
      <c r="F327" s="5" t="s">
        <v>119</v>
      </c>
      <c r="G327" s="13">
        <v>46286</v>
      </c>
      <c r="H327" s="13">
        <v>46286</v>
      </c>
      <c r="I327" s="9">
        <f t="shared" si="10"/>
        <v>1</v>
      </c>
      <c r="J327" s="5" t="s">
        <v>1651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4">
        <v>3</v>
      </c>
      <c r="AH327" s="4">
        <v>4</v>
      </c>
      <c r="AI327" s="4">
        <v>1</v>
      </c>
      <c r="AJ327" s="4">
        <v>3</v>
      </c>
      <c r="AK327" s="4">
        <v>9</v>
      </c>
      <c r="AL327" s="4">
        <v>3</v>
      </c>
      <c r="AM327" s="4">
        <v>2</v>
      </c>
      <c r="AN327" s="4">
        <v>0</v>
      </c>
      <c r="AO327" s="4">
        <v>1</v>
      </c>
      <c r="AP327" s="4"/>
      <c r="AQ327" s="4">
        <v>1</v>
      </c>
      <c r="AR327" s="4">
        <v>1</v>
      </c>
      <c r="AS327" s="4">
        <f t="shared" si="11"/>
        <v>27</v>
      </c>
      <c r="AT327" s="4" t="s">
        <v>137</v>
      </c>
    </row>
    <row r="328" spans="1:46" x14ac:dyDescent="0.2">
      <c r="A328" s="4">
        <v>1371</v>
      </c>
      <c r="B328" s="4" t="s">
        <v>22</v>
      </c>
      <c r="C328" s="5" t="s">
        <v>208</v>
      </c>
      <c r="D328" s="5" t="s">
        <v>209</v>
      </c>
      <c r="E328" s="5" t="s">
        <v>118</v>
      </c>
      <c r="F328" s="5" t="s">
        <v>119</v>
      </c>
      <c r="G328" s="13">
        <v>46286</v>
      </c>
      <c r="H328" s="13">
        <v>46287</v>
      </c>
      <c r="I328" s="9">
        <f t="shared" si="10"/>
        <v>2</v>
      </c>
      <c r="J328" s="5" t="s">
        <v>1651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4">
        <v>4</v>
      </c>
      <c r="AH328" s="4">
        <v>2</v>
      </c>
      <c r="AI328" s="4">
        <v>1</v>
      </c>
      <c r="AJ328" s="4">
        <v>3</v>
      </c>
      <c r="AK328" s="4">
        <v>5</v>
      </c>
      <c r="AL328" s="4">
        <v>3</v>
      </c>
      <c r="AM328" s="4">
        <v>2</v>
      </c>
      <c r="AN328" s="4">
        <v>0</v>
      </c>
      <c r="AO328" s="4">
        <v>1</v>
      </c>
      <c r="AP328" s="4"/>
      <c r="AQ328" s="4">
        <v>0</v>
      </c>
      <c r="AR328" s="4">
        <v>1</v>
      </c>
      <c r="AS328" s="4">
        <f t="shared" si="11"/>
        <v>21</v>
      </c>
      <c r="AT328" s="4" t="s">
        <v>125</v>
      </c>
    </row>
    <row r="329" spans="1:46" x14ac:dyDescent="0.2">
      <c r="A329" s="4">
        <v>1501</v>
      </c>
      <c r="B329" s="4" t="s">
        <v>22</v>
      </c>
      <c r="C329" s="5" t="s">
        <v>328</v>
      </c>
      <c r="D329" s="5" t="s">
        <v>329</v>
      </c>
      <c r="E329" s="5" t="s">
        <v>330</v>
      </c>
      <c r="F329" s="5" t="s">
        <v>331</v>
      </c>
      <c r="G329" s="13">
        <v>46286</v>
      </c>
      <c r="H329" s="13">
        <v>46287</v>
      </c>
      <c r="I329" s="9">
        <f t="shared" si="10"/>
        <v>2</v>
      </c>
      <c r="J329" s="5" t="s">
        <v>1651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4">
        <v>4</v>
      </c>
      <c r="AH329" s="4">
        <v>4</v>
      </c>
      <c r="AI329" s="4">
        <v>1</v>
      </c>
      <c r="AJ329" s="4">
        <v>2</v>
      </c>
      <c r="AK329" s="4">
        <v>7</v>
      </c>
      <c r="AL329" s="4">
        <v>4</v>
      </c>
      <c r="AM329" s="4">
        <v>1</v>
      </c>
      <c r="AN329" s="4">
        <v>0</v>
      </c>
      <c r="AO329" s="4">
        <v>2</v>
      </c>
      <c r="AP329" s="4"/>
      <c r="AQ329" s="4">
        <v>1</v>
      </c>
      <c r="AR329" s="4">
        <v>1</v>
      </c>
      <c r="AS329" s="4">
        <f t="shared" si="11"/>
        <v>26</v>
      </c>
      <c r="AT329" s="5" t="s">
        <v>332</v>
      </c>
    </row>
    <row r="330" spans="1:46" x14ac:dyDescent="0.2">
      <c r="A330" s="4">
        <v>1502</v>
      </c>
      <c r="B330" s="4" t="s">
        <v>22</v>
      </c>
      <c r="C330" s="5" t="s">
        <v>333</v>
      </c>
      <c r="D330" s="5" t="s">
        <v>334</v>
      </c>
      <c r="E330" s="5" t="s">
        <v>330</v>
      </c>
      <c r="F330" s="5" t="s">
        <v>331</v>
      </c>
      <c r="G330" s="13">
        <v>46286</v>
      </c>
      <c r="H330" s="13">
        <v>46287</v>
      </c>
      <c r="I330" s="9">
        <f t="shared" si="10"/>
        <v>2</v>
      </c>
      <c r="J330" s="5" t="s">
        <v>1651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4">
        <v>3</v>
      </c>
      <c r="AH330" s="4">
        <v>2</v>
      </c>
      <c r="AI330" s="4">
        <v>1</v>
      </c>
      <c r="AJ330" s="4">
        <v>2</v>
      </c>
      <c r="AK330" s="4">
        <v>5</v>
      </c>
      <c r="AL330" s="4">
        <v>2</v>
      </c>
      <c r="AM330" s="4">
        <v>1</v>
      </c>
      <c r="AN330" s="4">
        <v>0</v>
      </c>
      <c r="AO330" s="4">
        <v>1</v>
      </c>
      <c r="AP330" s="4"/>
      <c r="AQ330" s="4">
        <v>0</v>
      </c>
      <c r="AR330" s="4">
        <v>1</v>
      </c>
      <c r="AS330" s="4">
        <f t="shared" si="11"/>
        <v>17</v>
      </c>
      <c r="AT330" s="5" t="s">
        <v>335</v>
      </c>
    </row>
    <row r="331" spans="1:46" x14ac:dyDescent="0.2">
      <c r="A331" s="4">
        <v>1532</v>
      </c>
      <c r="B331" s="4" t="s">
        <v>22</v>
      </c>
      <c r="C331" s="5" t="s">
        <v>377</v>
      </c>
      <c r="D331" s="5" t="s">
        <v>378</v>
      </c>
      <c r="E331" s="5" t="s">
        <v>330</v>
      </c>
      <c r="F331" s="5" t="s">
        <v>331</v>
      </c>
      <c r="G331" s="13">
        <v>46286</v>
      </c>
      <c r="H331" s="13">
        <v>46287</v>
      </c>
      <c r="I331" s="9">
        <f t="shared" si="10"/>
        <v>2</v>
      </c>
      <c r="J331" s="5" t="s">
        <v>1651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4">
        <v>3</v>
      </c>
      <c r="AH331" s="4">
        <v>2</v>
      </c>
      <c r="AI331" s="4">
        <v>1</v>
      </c>
      <c r="AJ331" s="4">
        <v>2</v>
      </c>
      <c r="AK331" s="4">
        <v>5</v>
      </c>
      <c r="AL331" s="4">
        <v>3</v>
      </c>
      <c r="AM331" s="4">
        <v>1</v>
      </c>
      <c r="AN331" s="4">
        <v>0</v>
      </c>
      <c r="AO331" s="4">
        <v>1</v>
      </c>
      <c r="AP331" s="4"/>
      <c r="AQ331" s="4">
        <v>0</v>
      </c>
      <c r="AR331" s="4">
        <v>1</v>
      </c>
      <c r="AS331" s="4">
        <f t="shared" si="11"/>
        <v>18</v>
      </c>
      <c r="AT331" s="9" t="s">
        <v>364</v>
      </c>
    </row>
    <row r="332" spans="1:46" x14ac:dyDescent="0.2">
      <c r="A332" s="4">
        <v>1556</v>
      </c>
      <c r="B332" s="4" t="s">
        <v>22</v>
      </c>
      <c r="C332" s="5" t="s">
        <v>413</v>
      </c>
      <c r="D332" s="5" t="s">
        <v>414</v>
      </c>
      <c r="E332" s="5" t="s">
        <v>330</v>
      </c>
      <c r="F332" s="5" t="s">
        <v>331</v>
      </c>
      <c r="G332" s="13">
        <v>46286</v>
      </c>
      <c r="H332" s="13">
        <v>46287</v>
      </c>
      <c r="I332" s="9">
        <f t="shared" si="10"/>
        <v>2</v>
      </c>
      <c r="J332" s="5" t="s">
        <v>1651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4">
        <v>3</v>
      </c>
      <c r="AH332" s="4">
        <v>2</v>
      </c>
      <c r="AI332" s="4">
        <v>1</v>
      </c>
      <c r="AJ332" s="4">
        <v>2</v>
      </c>
      <c r="AK332" s="4">
        <v>5</v>
      </c>
      <c r="AL332" s="4">
        <v>2</v>
      </c>
      <c r="AM332" s="4">
        <v>1</v>
      </c>
      <c r="AN332" s="4">
        <v>0</v>
      </c>
      <c r="AO332" s="4">
        <v>1</v>
      </c>
      <c r="AP332" s="4"/>
      <c r="AQ332" s="4">
        <v>0</v>
      </c>
      <c r="AR332" s="4">
        <v>1</v>
      </c>
      <c r="AS332" s="4">
        <f t="shared" si="11"/>
        <v>17</v>
      </c>
      <c r="AT332" s="9" t="s">
        <v>77</v>
      </c>
    </row>
    <row r="333" spans="1:46" x14ac:dyDescent="0.2">
      <c r="A333" s="4">
        <v>1654</v>
      </c>
      <c r="B333" s="4" t="s">
        <v>22</v>
      </c>
      <c r="C333" s="5" t="s">
        <v>494</v>
      </c>
      <c r="D333" s="5" t="s">
        <v>495</v>
      </c>
      <c r="E333" s="5" t="s">
        <v>72</v>
      </c>
      <c r="F333" s="5" t="s">
        <v>68</v>
      </c>
      <c r="G333" s="13">
        <v>46286</v>
      </c>
      <c r="H333" s="13">
        <v>46286</v>
      </c>
      <c r="I333" s="9">
        <f t="shared" si="10"/>
        <v>1</v>
      </c>
      <c r="J333" s="5" t="s">
        <v>1651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4">
        <v>2</v>
      </c>
      <c r="AH333" s="4">
        <v>1</v>
      </c>
      <c r="AI333" s="4">
        <v>1</v>
      </c>
      <c r="AJ333" s="4">
        <v>2</v>
      </c>
      <c r="AK333" s="4">
        <v>3</v>
      </c>
      <c r="AL333" s="4">
        <v>2</v>
      </c>
      <c r="AM333" s="4">
        <v>1</v>
      </c>
      <c r="AN333" s="4">
        <v>0</v>
      </c>
      <c r="AO333" s="4">
        <v>1</v>
      </c>
      <c r="AP333" s="4"/>
      <c r="AQ333" s="4">
        <v>0</v>
      </c>
      <c r="AR333" s="4">
        <v>1</v>
      </c>
      <c r="AS333" s="4">
        <f t="shared" si="11"/>
        <v>13</v>
      </c>
      <c r="AT333" s="9" t="s">
        <v>483</v>
      </c>
    </row>
    <row r="334" spans="1:46" x14ac:dyDescent="0.2">
      <c r="A334" s="4">
        <v>2132</v>
      </c>
      <c r="B334" s="4" t="s">
        <v>22</v>
      </c>
      <c r="C334" s="5" t="s">
        <v>581</v>
      </c>
      <c r="D334" s="5" t="s">
        <v>582</v>
      </c>
      <c r="E334" s="5" t="s">
        <v>545</v>
      </c>
      <c r="F334" s="5" t="s">
        <v>546</v>
      </c>
      <c r="G334" s="13">
        <v>46286</v>
      </c>
      <c r="H334" s="13">
        <v>46286</v>
      </c>
      <c r="I334" s="9">
        <f t="shared" si="10"/>
        <v>1</v>
      </c>
      <c r="J334" s="5" t="s">
        <v>1651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4">
        <v>2</v>
      </c>
      <c r="AH334" s="4">
        <v>1</v>
      </c>
      <c r="AI334" s="4">
        <v>1</v>
      </c>
      <c r="AJ334" s="4">
        <v>2</v>
      </c>
      <c r="AK334" s="4">
        <v>3</v>
      </c>
      <c r="AL334" s="4">
        <v>2</v>
      </c>
      <c r="AM334" s="4">
        <v>1</v>
      </c>
      <c r="AN334" s="4">
        <v>0</v>
      </c>
      <c r="AO334" s="4">
        <v>1</v>
      </c>
      <c r="AP334" s="4"/>
      <c r="AQ334" s="4">
        <v>0</v>
      </c>
      <c r="AR334" s="4">
        <v>1</v>
      </c>
      <c r="AS334" s="4">
        <f t="shared" si="11"/>
        <v>13</v>
      </c>
      <c r="AT334" s="9" t="s">
        <v>547</v>
      </c>
    </row>
    <row r="335" spans="1:46" x14ac:dyDescent="0.2">
      <c r="A335" s="4">
        <v>2437</v>
      </c>
      <c r="B335" s="4" t="s">
        <v>22</v>
      </c>
      <c r="C335" s="5" t="s">
        <v>640</v>
      </c>
      <c r="D335" s="5" t="s">
        <v>641</v>
      </c>
      <c r="E335" s="5" t="s">
        <v>604</v>
      </c>
      <c r="F335" s="5" t="s">
        <v>68</v>
      </c>
      <c r="G335" s="13">
        <v>46286</v>
      </c>
      <c r="H335" s="13">
        <v>46286</v>
      </c>
      <c r="I335" s="9">
        <f t="shared" si="10"/>
        <v>1</v>
      </c>
      <c r="J335" s="5" t="s">
        <v>1651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4">
        <v>2</v>
      </c>
      <c r="AH335" s="4">
        <v>1</v>
      </c>
      <c r="AI335" s="4">
        <v>1</v>
      </c>
      <c r="AJ335" s="4">
        <v>2</v>
      </c>
      <c r="AK335" s="4">
        <v>3</v>
      </c>
      <c r="AL335" s="4">
        <v>2</v>
      </c>
      <c r="AM335" s="4">
        <v>1</v>
      </c>
      <c r="AN335" s="4">
        <v>0</v>
      </c>
      <c r="AO335" s="4">
        <v>1</v>
      </c>
      <c r="AP335" s="4"/>
      <c r="AQ335" s="4">
        <v>0</v>
      </c>
      <c r="AR335" s="4">
        <v>1</v>
      </c>
      <c r="AS335" s="4">
        <f t="shared" si="11"/>
        <v>13</v>
      </c>
      <c r="AT335" s="9" t="s">
        <v>642</v>
      </c>
    </row>
    <row r="336" spans="1:46" x14ac:dyDescent="0.2">
      <c r="A336" s="4">
        <v>2717</v>
      </c>
      <c r="B336" s="4" t="s">
        <v>22</v>
      </c>
      <c r="C336" s="5" t="s">
        <v>669</v>
      </c>
      <c r="D336" s="5" t="s">
        <v>670</v>
      </c>
      <c r="E336" s="5" t="s">
        <v>661</v>
      </c>
      <c r="F336" s="5" t="s">
        <v>68</v>
      </c>
      <c r="G336" s="13">
        <v>46286</v>
      </c>
      <c r="H336" s="13">
        <v>46286</v>
      </c>
      <c r="I336" s="9">
        <f t="shared" si="10"/>
        <v>1</v>
      </c>
      <c r="J336" s="5" t="s">
        <v>1651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4">
        <v>2</v>
      </c>
      <c r="AH336" s="4">
        <v>1</v>
      </c>
      <c r="AI336" s="4">
        <v>1</v>
      </c>
      <c r="AJ336" s="4">
        <v>2</v>
      </c>
      <c r="AK336" s="4">
        <v>3</v>
      </c>
      <c r="AL336" s="4">
        <v>2</v>
      </c>
      <c r="AM336" s="4">
        <v>1</v>
      </c>
      <c r="AN336" s="4">
        <v>0</v>
      </c>
      <c r="AO336" s="4">
        <v>1</v>
      </c>
      <c r="AP336" s="4"/>
      <c r="AQ336" s="4">
        <v>0</v>
      </c>
      <c r="AR336" s="4">
        <v>1</v>
      </c>
      <c r="AS336" s="4">
        <f t="shared" si="11"/>
        <v>13</v>
      </c>
      <c r="AT336" s="9" t="s">
        <v>662</v>
      </c>
    </row>
    <row r="337" spans="1:46" x14ac:dyDescent="0.2">
      <c r="A337" s="4">
        <v>3111</v>
      </c>
      <c r="B337" s="4" t="s">
        <v>22</v>
      </c>
      <c r="C337" s="5" t="s">
        <v>725</v>
      </c>
      <c r="D337" s="5" t="s">
        <v>726</v>
      </c>
      <c r="E337" s="5" t="s">
        <v>36</v>
      </c>
      <c r="F337" s="5" t="s">
        <v>26</v>
      </c>
      <c r="G337" s="13">
        <v>46286</v>
      </c>
      <c r="H337" s="13">
        <v>46286</v>
      </c>
      <c r="I337" s="9">
        <f t="shared" si="10"/>
        <v>1</v>
      </c>
      <c r="J337" s="5" t="s">
        <v>1651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4">
        <v>2</v>
      </c>
      <c r="AH337" s="4">
        <v>2</v>
      </c>
      <c r="AI337" s="4">
        <v>1</v>
      </c>
      <c r="AJ337" s="4">
        <v>2</v>
      </c>
      <c r="AK337" s="4">
        <v>4</v>
      </c>
      <c r="AL337" s="4">
        <v>2</v>
      </c>
      <c r="AM337" s="4">
        <v>1</v>
      </c>
      <c r="AN337" s="4">
        <v>0</v>
      </c>
      <c r="AO337" s="4">
        <v>1</v>
      </c>
      <c r="AP337" s="4"/>
      <c r="AQ337" s="4">
        <v>0</v>
      </c>
      <c r="AR337" s="4">
        <v>1</v>
      </c>
      <c r="AS337" s="4">
        <f t="shared" si="11"/>
        <v>15</v>
      </c>
      <c r="AT337" s="9" t="s">
        <v>37</v>
      </c>
    </row>
    <row r="338" spans="1:46" x14ac:dyDescent="0.2">
      <c r="A338" s="4">
        <v>3122</v>
      </c>
      <c r="B338" s="4" t="s">
        <v>22</v>
      </c>
      <c r="C338" s="5" t="s">
        <v>743</v>
      </c>
      <c r="D338" s="5" t="s">
        <v>744</v>
      </c>
      <c r="E338" s="5" t="s">
        <v>36</v>
      </c>
      <c r="F338" s="5" t="s">
        <v>26</v>
      </c>
      <c r="G338" s="13">
        <v>46286</v>
      </c>
      <c r="H338" s="13">
        <v>46286</v>
      </c>
      <c r="I338" s="9">
        <f t="shared" si="10"/>
        <v>1</v>
      </c>
      <c r="J338" s="5" t="s">
        <v>1651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4">
        <v>5</v>
      </c>
      <c r="AH338" s="4">
        <v>5</v>
      </c>
      <c r="AI338" s="4">
        <v>1</v>
      </c>
      <c r="AJ338" s="4">
        <v>3</v>
      </c>
      <c r="AK338" s="4">
        <v>9</v>
      </c>
      <c r="AL338" s="4">
        <v>4</v>
      </c>
      <c r="AM338" s="4">
        <v>2</v>
      </c>
      <c r="AN338" s="4">
        <v>0</v>
      </c>
      <c r="AO338" s="4">
        <v>1</v>
      </c>
      <c r="AP338" s="4"/>
      <c r="AQ338" s="4">
        <v>0</v>
      </c>
      <c r="AR338" s="4">
        <v>1</v>
      </c>
      <c r="AS338" s="4">
        <f t="shared" si="11"/>
        <v>30</v>
      </c>
      <c r="AT338" s="9" t="s">
        <v>44</v>
      </c>
    </row>
    <row r="339" spans="1:46" x14ac:dyDescent="0.2">
      <c r="A339" s="4">
        <v>3158</v>
      </c>
      <c r="B339" s="4" t="s">
        <v>22</v>
      </c>
      <c r="C339" s="5" t="s">
        <v>801</v>
      </c>
      <c r="D339" s="5" t="s">
        <v>802</v>
      </c>
      <c r="E339" s="5" t="s">
        <v>36</v>
      </c>
      <c r="F339" s="5" t="s">
        <v>26</v>
      </c>
      <c r="G339" s="13">
        <v>46286</v>
      </c>
      <c r="H339" s="13">
        <v>46286</v>
      </c>
      <c r="I339" s="9">
        <f t="shared" si="10"/>
        <v>1</v>
      </c>
      <c r="J339" s="5" t="s">
        <v>1651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4">
        <v>2</v>
      </c>
      <c r="AH339" s="4">
        <v>1</v>
      </c>
      <c r="AI339" s="4">
        <v>1</v>
      </c>
      <c r="AJ339" s="4">
        <v>2</v>
      </c>
      <c r="AK339" s="4">
        <v>3</v>
      </c>
      <c r="AL339" s="4">
        <v>2</v>
      </c>
      <c r="AM339" s="4">
        <v>1</v>
      </c>
      <c r="AN339" s="4">
        <v>0</v>
      </c>
      <c r="AO339" s="4">
        <v>1</v>
      </c>
      <c r="AP339" s="4"/>
      <c r="AQ339" s="4">
        <v>0</v>
      </c>
      <c r="AR339" s="4">
        <v>1</v>
      </c>
      <c r="AS339" s="4">
        <f t="shared" si="11"/>
        <v>13</v>
      </c>
      <c r="AT339" s="9" t="s">
        <v>64</v>
      </c>
    </row>
    <row r="340" spans="1:46" x14ac:dyDescent="0.2">
      <c r="A340" s="4">
        <v>3164</v>
      </c>
      <c r="B340" s="4" t="s">
        <v>22</v>
      </c>
      <c r="C340" s="5" t="s">
        <v>813</v>
      </c>
      <c r="D340" s="5" t="s">
        <v>814</v>
      </c>
      <c r="E340" s="5" t="s">
        <v>36</v>
      </c>
      <c r="F340" s="5" t="s">
        <v>500</v>
      </c>
      <c r="G340" s="13">
        <v>46286</v>
      </c>
      <c r="H340" s="13">
        <v>46286</v>
      </c>
      <c r="I340" s="9">
        <f t="shared" si="10"/>
        <v>1</v>
      </c>
      <c r="J340" s="5" t="s">
        <v>1651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4">
        <v>3</v>
      </c>
      <c r="AH340" s="4">
        <v>3</v>
      </c>
      <c r="AI340" s="4">
        <v>1</v>
      </c>
      <c r="AJ340" s="4">
        <v>2</v>
      </c>
      <c r="AK340" s="4">
        <v>6</v>
      </c>
      <c r="AL340" s="4">
        <v>2</v>
      </c>
      <c r="AM340" s="4">
        <v>1</v>
      </c>
      <c r="AN340" s="4">
        <v>0</v>
      </c>
      <c r="AO340" s="4">
        <v>1</v>
      </c>
      <c r="AP340" s="7"/>
      <c r="AQ340" s="4">
        <v>0</v>
      </c>
      <c r="AR340" s="4">
        <v>1</v>
      </c>
      <c r="AS340" s="4">
        <f t="shared" si="11"/>
        <v>19</v>
      </c>
      <c r="AT340" s="9" t="s">
        <v>51</v>
      </c>
    </row>
    <row r="341" spans="1:46" x14ac:dyDescent="0.2">
      <c r="A341" s="4">
        <v>3913</v>
      </c>
      <c r="B341" s="4" t="s">
        <v>22</v>
      </c>
      <c r="C341" s="5" t="s">
        <v>895</v>
      </c>
      <c r="D341" s="5" t="s">
        <v>896</v>
      </c>
      <c r="E341" s="5" t="s">
        <v>873</v>
      </c>
      <c r="F341" s="5" t="s">
        <v>574</v>
      </c>
      <c r="G341" s="13">
        <v>46286</v>
      </c>
      <c r="H341" s="13">
        <v>46286</v>
      </c>
      <c r="I341" s="9">
        <f t="shared" si="10"/>
        <v>1</v>
      </c>
      <c r="J341" s="5" t="s">
        <v>1651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4">
        <v>4</v>
      </c>
      <c r="AH341" s="4">
        <v>7</v>
      </c>
      <c r="AI341" s="4">
        <v>1</v>
      </c>
      <c r="AJ341" s="4">
        <v>2</v>
      </c>
      <c r="AK341" s="4">
        <v>11</v>
      </c>
      <c r="AL341" s="4">
        <v>3</v>
      </c>
      <c r="AM341" s="4">
        <v>1</v>
      </c>
      <c r="AN341" s="4">
        <v>0</v>
      </c>
      <c r="AO341" s="4">
        <v>2</v>
      </c>
      <c r="AP341" s="4"/>
      <c r="AQ341" s="4">
        <v>0</v>
      </c>
      <c r="AR341" s="4">
        <v>1</v>
      </c>
      <c r="AS341" s="4">
        <f t="shared" si="11"/>
        <v>31</v>
      </c>
      <c r="AT341" s="9" t="s">
        <v>874</v>
      </c>
    </row>
    <row r="342" spans="1:46" x14ac:dyDescent="0.2">
      <c r="A342" s="4">
        <v>4514</v>
      </c>
      <c r="B342" s="4" t="s">
        <v>22</v>
      </c>
      <c r="C342" s="5" t="s">
        <v>997</v>
      </c>
      <c r="D342" s="5" t="s">
        <v>998</v>
      </c>
      <c r="E342" s="5" t="s">
        <v>981</v>
      </c>
      <c r="F342" s="5" t="s">
        <v>26</v>
      </c>
      <c r="G342" s="13">
        <v>46286</v>
      </c>
      <c r="H342" s="13">
        <v>46286</v>
      </c>
      <c r="I342" s="9">
        <f t="shared" si="10"/>
        <v>1</v>
      </c>
      <c r="J342" s="5" t="s">
        <v>1651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4">
        <v>4</v>
      </c>
      <c r="AH342" s="4">
        <v>2</v>
      </c>
      <c r="AI342" s="4">
        <v>1</v>
      </c>
      <c r="AJ342" s="4">
        <v>2</v>
      </c>
      <c r="AK342" s="4">
        <v>6</v>
      </c>
      <c r="AL342" s="4">
        <v>3</v>
      </c>
      <c r="AM342" s="4">
        <v>1</v>
      </c>
      <c r="AN342" s="4">
        <v>0</v>
      </c>
      <c r="AO342" s="4">
        <v>1</v>
      </c>
      <c r="AP342" s="4"/>
      <c r="AQ342" s="4">
        <v>0</v>
      </c>
      <c r="AR342" s="4">
        <v>1</v>
      </c>
      <c r="AS342" s="4">
        <f t="shared" si="11"/>
        <v>20</v>
      </c>
      <c r="AT342" s="9" t="s">
        <v>985</v>
      </c>
    </row>
    <row r="343" spans="1:46" x14ac:dyDescent="0.2">
      <c r="A343" s="4">
        <v>5126</v>
      </c>
      <c r="B343" s="4" t="s">
        <v>22</v>
      </c>
      <c r="C343" s="5" t="s">
        <v>1144</v>
      </c>
      <c r="D343" s="5" t="s">
        <v>1145</v>
      </c>
      <c r="E343" s="5" t="s">
        <v>1107</v>
      </c>
      <c r="F343" s="5" t="s">
        <v>98</v>
      </c>
      <c r="G343" s="13">
        <v>46286</v>
      </c>
      <c r="H343" s="13">
        <v>46289</v>
      </c>
      <c r="I343" s="9">
        <f t="shared" si="10"/>
        <v>4</v>
      </c>
      <c r="J343" s="5" t="s">
        <v>1651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4">
        <v>3</v>
      </c>
      <c r="AH343" s="4">
        <v>2</v>
      </c>
      <c r="AI343" s="4">
        <v>1</v>
      </c>
      <c r="AJ343" s="4">
        <v>2</v>
      </c>
      <c r="AK343" s="4">
        <v>5</v>
      </c>
      <c r="AL343" s="4">
        <v>3</v>
      </c>
      <c r="AM343" s="4">
        <v>1</v>
      </c>
      <c r="AN343" s="4">
        <v>0</v>
      </c>
      <c r="AO343" s="4">
        <v>1</v>
      </c>
      <c r="AP343" s="4"/>
      <c r="AQ343" s="4">
        <v>1</v>
      </c>
      <c r="AR343" s="4">
        <v>1</v>
      </c>
      <c r="AS343" s="4">
        <f t="shared" si="11"/>
        <v>19</v>
      </c>
      <c r="AT343" s="9" t="s">
        <v>1114</v>
      </c>
    </row>
    <row r="344" spans="1:46" x14ac:dyDescent="0.2">
      <c r="A344" s="4">
        <v>6315</v>
      </c>
      <c r="B344" s="4" t="s">
        <v>22</v>
      </c>
      <c r="C344" s="5" t="s">
        <v>1317</v>
      </c>
      <c r="D344" s="5" t="s">
        <v>1312</v>
      </c>
      <c r="E344" s="5" t="s">
        <v>1301</v>
      </c>
      <c r="F344" s="5" t="s">
        <v>68</v>
      </c>
      <c r="G344" s="13">
        <v>46286</v>
      </c>
      <c r="H344" s="13">
        <v>46286</v>
      </c>
      <c r="I344" s="9">
        <f t="shared" si="10"/>
        <v>1</v>
      </c>
      <c r="J344" s="5" t="s">
        <v>1651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4">
        <v>3</v>
      </c>
      <c r="AH344" s="4">
        <v>3</v>
      </c>
      <c r="AI344" s="4">
        <v>1</v>
      </c>
      <c r="AJ344" s="4">
        <v>2</v>
      </c>
      <c r="AK344" s="4">
        <v>7</v>
      </c>
      <c r="AL344" s="4">
        <v>2</v>
      </c>
      <c r="AM344" s="4">
        <v>1</v>
      </c>
      <c r="AN344" s="4">
        <v>0</v>
      </c>
      <c r="AO344" s="4">
        <v>1</v>
      </c>
      <c r="AP344" s="4"/>
      <c r="AQ344" s="4">
        <v>0</v>
      </c>
      <c r="AR344" s="4">
        <v>1</v>
      </c>
      <c r="AS344" s="4">
        <f t="shared" si="11"/>
        <v>20</v>
      </c>
      <c r="AT344" s="9" t="s">
        <v>696</v>
      </c>
    </row>
    <row r="345" spans="1:46" x14ac:dyDescent="0.2">
      <c r="A345" s="4">
        <v>6324</v>
      </c>
      <c r="B345" s="4" t="s">
        <v>22</v>
      </c>
      <c r="C345" s="5" t="s">
        <v>1321</v>
      </c>
      <c r="D345" s="5" t="s">
        <v>1322</v>
      </c>
      <c r="E345" s="5" t="s">
        <v>1301</v>
      </c>
      <c r="F345" s="5" t="s">
        <v>68</v>
      </c>
      <c r="G345" s="13">
        <v>46286</v>
      </c>
      <c r="H345" s="13">
        <v>46286</v>
      </c>
      <c r="I345" s="9">
        <f t="shared" si="10"/>
        <v>1</v>
      </c>
      <c r="J345" s="5" t="s">
        <v>1651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4">
        <v>2</v>
      </c>
      <c r="AH345" s="4">
        <v>4</v>
      </c>
      <c r="AI345" s="4">
        <v>1</v>
      </c>
      <c r="AJ345" s="4">
        <v>2</v>
      </c>
      <c r="AK345" s="4">
        <v>5</v>
      </c>
      <c r="AL345" s="4">
        <v>2</v>
      </c>
      <c r="AM345" s="4">
        <v>1</v>
      </c>
      <c r="AN345" s="4">
        <v>0</v>
      </c>
      <c r="AO345" s="4">
        <v>1</v>
      </c>
      <c r="AP345" s="4"/>
      <c r="AQ345" s="4">
        <v>0</v>
      </c>
      <c r="AR345" s="4">
        <v>1</v>
      </c>
      <c r="AS345" s="4">
        <f t="shared" si="11"/>
        <v>18</v>
      </c>
      <c r="AT345" s="9" t="s">
        <v>69</v>
      </c>
    </row>
    <row r="346" spans="1:46" x14ac:dyDescent="0.2">
      <c r="A346" s="4">
        <v>6916</v>
      </c>
      <c r="B346" s="4" t="s">
        <v>22</v>
      </c>
      <c r="C346" s="5" t="s">
        <v>1448</v>
      </c>
      <c r="D346" s="5" t="s">
        <v>1449</v>
      </c>
      <c r="E346" s="5" t="s">
        <v>545</v>
      </c>
      <c r="F346" s="5" t="s">
        <v>546</v>
      </c>
      <c r="G346" s="13">
        <v>46286</v>
      </c>
      <c r="H346" s="13">
        <v>46286</v>
      </c>
      <c r="I346" s="9">
        <f t="shared" si="10"/>
        <v>1</v>
      </c>
      <c r="J346" s="5" t="s">
        <v>1651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4">
        <v>4</v>
      </c>
      <c r="AH346" s="4">
        <v>1</v>
      </c>
      <c r="AI346" s="4">
        <v>1</v>
      </c>
      <c r="AJ346" s="4">
        <v>2</v>
      </c>
      <c r="AK346" s="4">
        <v>5</v>
      </c>
      <c r="AL346" s="4">
        <v>3</v>
      </c>
      <c r="AM346" s="4">
        <v>1</v>
      </c>
      <c r="AN346" s="4">
        <v>0</v>
      </c>
      <c r="AO346" s="4">
        <v>1</v>
      </c>
      <c r="AP346" s="4"/>
      <c r="AQ346" s="4">
        <v>0</v>
      </c>
      <c r="AR346" s="4">
        <v>1</v>
      </c>
      <c r="AS346" s="4">
        <f t="shared" si="11"/>
        <v>18</v>
      </c>
      <c r="AT346" s="9" t="s">
        <v>547</v>
      </c>
    </row>
    <row r="347" spans="1:46" x14ac:dyDescent="0.2">
      <c r="A347" s="4">
        <v>7370</v>
      </c>
      <c r="B347" s="4" t="s">
        <v>22</v>
      </c>
      <c r="C347" s="5" t="s">
        <v>1555</v>
      </c>
      <c r="D347" s="5" t="s">
        <v>1556</v>
      </c>
      <c r="E347" s="5" t="s">
        <v>1519</v>
      </c>
      <c r="F347" s="5" t="s">
        <v>26</v>
      </c>
      <c r="G347" s="13">
        <v>46286</v>
      </c>
      <c r="H347" s="13">
        <v>46287</v>
      </c>
      <c r="I347" s="9">
        <f t="shared" si="10"/>
        <v>2</v>
      </c>
      <c r="J347" s="5" t="s">
        <v>1651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4">
        <v>6</v>
      </c>
      <c r="AH347" s="4">
        <v>6</v>
      </c>
      <c r="AI347" s="4">
        <v>1</v>
      </c>
      <c r="AJ347" s="4">
        <v>4</v>
      </c>
      <c r="AK347" s="4">
        <v>12</v>
      </c>
      <c r="AL347" s="4">
        <v>7</v>
      </c>
      <c r="AM347" s="4">
        <v>3</v>
      </c>
      <c r="AN347" s="4">
        <v>0</v>
      </c>
      <c r="AO347" s="4">
        <v>2</v>
      </c>
      <c r="AP347" s="4"/>
      <c r="AQ347" s="4">
        <v>0</v>
      </c>
      <c r="AR347" s="4">
        <v>1</v>
      </c>
      <c r="AS347" s="4">
        <f t="shared" si="11"/>
        <v>41</v>
      </c>
      <c r="AT347" s="9" t="s">
        <v>1520</v>
      </c>
    </row>
    <row r="348" spans="1:46" x14ac:dyDescent="0.2">
      <c r="A348" s="4">
        <v>8645</v>
      </c>
      <c r="B348" s="4" t="s">
        <v>22</v>
      </c>
      <c r="C348" s="5" t="s">
        <v>1616</v>
      </c>
      <c r="D348" s="5" t="s">
        <v>1617</v>
      </c>
      <c r="E348" s="5" t="s">
        <v>1600</v>
      </c>
      <c r="F348" s="5" t="s">
        <v>331</v>
      </c>
      <c r="G348" s="13">
        <v>46286</v>
      </c>
      <c r="H348" s="13">
        <v>46287</v>
      </c>
      <c r="I348" s="9">
        <f t="shared" si="10"/>
        <v>2</v>
      </c>
      <c r="J348" s="5" t="s">
        <v>1651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4">
        <v>5</v>
      </c>
      <c r="AH348" s="4">
        <v>4</v>
      </c>
      <c r="AI348" s="4">
        <v>1</v>
      </c>
      <c r="AJ348" s="4">
        <v>3</v>
      </c>
      <c r="AK348" s="4">
        <v>9</v>
      </c>
      <c r="AL348" s="4">
        <v>4</v>
      </c>
      <c r="AM348" s="4">
        <v>2</v>
      </c>
      <c r="AN348" s="4">
        <v>0</v>
      </c>
      <c r="AO348" s="4">
        <v>1</v>
      </c>
      <c r="AP348" s="4"/>
      <c r="AQ348" s="4">
        <v>1</v>
      </c>
      <c r="AR348" s="4">
        <v>1</v>
      </c>
      <c r="AS348" s="4">
        <f t="shared" si="11"/>
        <v>30</v>
      </c>
      <c r="AT348" s="9" t="s">
        <v>1601</v>
      </c>
    </row>
    <row r="349" spans="1:46" x14ac:dyDescent="0.2">
      <c r="A349" s="4">
        <v>1203</v>
      </c>
      <c r="B349" s="4" t="s">
        <v>22</v>
      </c>
      <c r="C349" s="5" t="s">
        <v>65</v>
      </c>
      <c r="D349" s="5" t="s">
        <v>66</v>
      </c>
      <c r="E349" s="5" t="s">
        <v>67</v>
      </c>
      <c r="F349" s="5" t="s">
        <v>68</v>
      </c>
      <c r="G349" s="13">
        <v>46287</v>
      </c>
      <c r="H349" s="13">
        <v>46287</v>
      </c>
      <c r="I349" s="9">
        <f t="shared" si="10"/>
        <v>1</v>
      </c>
      <c r="J349" s="5" t="s">
        <v>1651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4">
        <v>2</v>
      </c>
      <c r="AH349" s="4">
        <v>2</v>
      </c>
      <c r="AI349" s="4">
        <v>1</v>
      </c>
      <c r="AJ349" s="4">
        <v>2</v>
      </c>
      <c r="AK349" s="4">
        <v>4</v>
      </c>
      <c r="AL349" s="4">
        <v>2</v>
      </c>
      <c r="AM349" s="4">
        <v>1</v>
      </c>
      <c r="AN349" s="4">
        <v>0</v>
      </c>
      <c r="AO349" s="4">
        <v>1</v>
      </c>
      <c r="AP349" s="4"/>
      <c r="AQ349" s="4">
        <v>0</v>
      </c>
      <c r="AR349" s="4">
        <v>1</v>
      </c>
      <c r="AS349" s="4">
        <f t="shared" si="11"/>
        <v>15</v>
      </c>
      <c r="AT349" s="5" t="s">
        <v>69</v>
      </c>
    </row>
    <row r="350" spans="1:46" x14ac:dyDescent="0.2">
      <c r="A350" s="4">
        <v>1303</v>
      </c>
      <c r="B350" s="4" t="s">
        <v>22</v>
      </c>
      <c r="C350" s="5" t="s">
        <v>123</v>
      </c>
      <c r="D350" s="5" t="s">
        <v>124</v>
      </c>
      <c r="E350" s="5" t="s">
        <v>118</v>
      </c>
      <c r="F350" s="5" t="s">
        <v>119</v>
      </c>
      <c r="G350" s="13">
        <v>46287</v>
      </c>
      <c r="H350" s="13">
        <v>46289</v>
      </c>
      <c r="I350" s="9">
        <f t="shared" si="10"/>
        <v>3</v>
      </c>
      <c r="J350" s="5" t="s">
        <v>1651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4">
        <v>7</v>
      </c>
      <c r="AH350" s="4">
        <v>3</v>
      </c>
      <c r="AI350" s="4">
        <v>1</v>
      </c>
      <c r="AJ350" s="4">
        <v>2</v>
      </c>
      <c r="AK350" s="4">
        <v>8</v>
      </c>
      <c r="AL350" s="4">
        <v>4</v>
      </c>
      <c r="AM350" s="4">
        <v>1</v>
      </c>
      <c r="AN350" s="4">
        <v>0</v>
      </c>
      <c r="AO350" s="4">
        <v>2</v>
      </c>
      <c r="AP350" s="4"/>
      <c r="AQ350" s="4">
        <v>0</v>
      </c>
      <c r="AR350" s="4">
        <v>1</v>
      </c>
      <c r="AS350" s="4">
        <f t="shared" si="11"/>
        <v>28</v>
      </c>
      <c r="AT350" s="4" t="s">
        <v>125</v>
      </c>
    </row>
    <row r="351" spans="1:46" x14ac:dyDescent="0.2">
      <c r="A351" s="4">
        <v>1386</v>
      </c>
      <c r="B351" s="4" t="s">
        <v>22</v>
      </c>
      <c r="C351" s="5" t="s">
        <v>231</v>
      </c>
      <c r="D351" s="5" t="s">
        <v>232</v>
      </c>
      <c r="E351" s="5" t="s">
        <v>118</v>
      </c>
      <c r="F351" s="5" t="s">
        <v>119</v>
      </c>
      <c r="G351" s="13">
        <v>46287</v>
      </c>
      <c r="H351" s="13">
        <v>46287</v>
      </c>
      <c r="I351" s="9">
        <f t="shared" si="10"/>
        <v>1</v>
      </c>
      <c r="J351" s="5" t="s">
        <v>1651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4">
        <v>2</v>
      </c>
      <c r="AH351" s="4">
        <v>4</v>
      </c>
      <c r="AI351" s="4">
        <v>1</v>
      </c>
      <c r="AJ351" s="4">
        <v>2</v>
      </c>
      <c r="AK351" s="4">
        <v>4</v>
      </c>
      <c r="AL351" s="4">
        <v>2</v>
      </c>
      <c r="AM351" s="4">
        <v>1</v>
      </c>
      <c r="AN351" s="4">
        <v>0</v>
      </c>
      <c r="AO351" s="4">
        <v>1</v>
      </c>
      <c r="AP351" s="4"/>
      <c r="AQ351" s="4">
        <v>0</v>
      </c>
      <c r="AR351" s="4">
        <v>1</v>
      </c>
      <c r="AS351" s="4">
        <f t="shared" si="11"/>
        <v>17</v>
      </c>
      <c r="AT351" s="4" t="s">
        <v>137</v>
      </c>
    </row>
    <row r="352" spans="1:46" x14ac:dyDescent="0.2">
      <c r="A352" s="4">
        <v>1435</v>
      </c>
      <c r="B352" s="4" t="s">
        <v>22</v>
      </c>
      <c r="C352" s="5" t="s">
        <v>281</v>
      </c>
      <c r="D352" s="5" t="s">
        <v>282</v>
      </c>
      <c r="E352" s="5" t="s">
        <v>118</v>
      </c>
      <c r="F352" s="5" t="s">
        <v>119</v>
      </c>
      <c r="G352" s="13">
        <v>46287</v>
      </c>
      <c r="H352" s="13">
        <v>46287</v>
      </c>
      <c r="I352" s="9">
        <f t="shared" si="10"/>
        <v>1</v>
      </c>
      <c r="J352" s="5" t="s">
        <v>1651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4">
        <v>2</v>
      </c>
      <c r="AH352" s="4">
        <v>1</v>
      </c>
      <c r="AI352" s="4">
        <v>1</v>
      </c>
      <c r="AJ352" s="4">
        <v>2</v>
      </c>
      <c r="AK352" s="4">
        <v>3</v>
      </c>
      <c r="AL352" s="4">
        <v>2</v>
      </c>
      <c r="AM352" s="4">
        <v>1</v>
      </c>
      <c r="AN352" s="4">
        <v>0</v>
      </c>
      <c r="AO352" s="4">
        <v>1</v>
      </c>
      <c r="AP352" s="4"/>
      <c r="AQ352" s="4">
        <v>0</v>
      </c>
      <c r="AR352" s="4">
        <v>1</v>
      </c>
      <c r="AS352" s="4">
        <f t="shared" si="11"/>
        <v>13</v>
      </c>
      <c r="AT352" s="4" t="s">
        <v>120</v>
      </c>
    </row>
    <row r="353" spans="1:46" x14ac:dyDescent="0.2">
      <c r="A353" s="4">
        <v>1456</v>
      </c>
      <c r="B353" s="4" t="s">
        <v>22</v>
      </c>
      <c r="C353" s="5" t="s">
        <v>299</v>
      </c>
      <c r="D353" s="5" t="s">
        <v>300</v>
      </c>
      <c r="E353" s="5" t="s">
        <v>118</v>
      </c>
      <c r="F353" s="5" t="s">
        <v>119</v>
      </c>
      <c r="G353" s="13">
        <v>46287</v>
      </c>
      <c r="H353" s="13">
        <v>46287</v>
      </c>
      <c r="I353" s="9">
        <f t="shared" si="10"/>
        <v>1</v>
      </c>
      <c r="J353" s="5" t="s">
        <v>1651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4">
        <v>2</v>
      </c>
      <c r="AH353" s="4">
        <v>2</v>
      </c>
      <c r="AI353" s="4">
        <v>1</v>
      </c>
      <c r="AJ353" s="4">
        <v>2</v>
      </c>
      <c r="AK353" s="4">
        <v>3</v>
      </c>
      <c r="AL353" s="4">
        <v>2</v>
      </c>
      <c r="AM353" s="4">
        <v>1</v>
      </c>
      <c r="AN353" s="4">
        <v>0</v>
      </c>
      <c r="AO353" s="4">
        <v>1</v>
      </c>
      <c r="AP353" s="4"/>
      <c r="AQ353" s="4">
        <v>0</v>
      </c>
      <c r="AR353" s="4">
        <v>1</v>
      </c>
      <c r="AS353" s="4">
        <f t="shared" si="11"/>
        <v>14</v>
      </c>
      <c r="AT353" s="4" t="s">
        <v>120</v>
      </c>
    </row>
    <row r="354" spans="1:46" x14ac:dyDescent="0.2">
      <c r="A354" s="4">
        <v>1528</v>
      </c>
      <c r="B354" s="4" t="s">
        <v>22</v>
      </c>
      <c r="C354" s="5" t="s">
        <v>373</v>
      </c>
      <c r="D354" s="5" t="s">
        <v>374</v>
      </c>
      <c r="E354" s="5" t="s">
        <v>330</v>
      </c>
      <c r="F354" s="5" t="s">
        <v>331</v>
      </c>
      <c r="G354" s="13">
        <v>46287</v>
      </c>
      <c r="H354" s="13">
        <v>46288</v>
      </c>
      <c r="I354" s="9">
        <f t="shared" si="10"/>
        <v>2</v>
      </c>
      <c r="J354" s="5" t="s">
        <v>1651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4">
        <v>2</v>
      </c>
      <c r="AH354" s="4">
        <v>1</v>
      </c>
      <c r="AI354" s="4">
        <v>1</v>
      </c>
      <c r="AJ354" s="4">
        <v>2</v>
      </c>
      <c r="AK354" s="4">
        <v>3</v>
      </c>
      <c r="AL354" s="4">
        <v>2</v>
      </c>
      <c r="AM354" s="4">
        <v>1</v>
      </c>
      <c r="AN354" s="4">
        <v>0</v>
      </c>
      <c r="AO354" s="4">
        <v>1</v>
      </c>
      <c r="AP354" s="4"/>
      <c r="AQ354" s="4">
        <v>0</v>
      </c>
      <c r="AR354" s="4">
        <v>1</v>
      </c>
      <c r="AS354" s="4">
        <f t="shared" si="11"/>
        <v>13</v>
      </c>
      <c r="AT354" s="9" t="s">
        <v>342</v>
      </c>
    </row>
    <row r="355" spans="1:46" x14ac:dyDescent="0.2">
      <c r="A355" s="4">
        <v>1542</v>
      </c>
      <c r="B355" s="4" t="s">
        <v>22</v>
      </c>
      <c r="C355" s="5" t="s">
        <v>389</v>
      </c>
      <c r="D355" s="5" t="s">
        <v>390</v>
      </c>
      <c r="E355" s="5" t="s">
        <v>330</v>
      </c>
      <c r="F355" s="5" t="s">
        <v>331</v>
      </c>
      <c r="G355" s="13">
        <v>46287</v>
      </c>
      <c r="H355" s="13">
        <v>46288</v>
      </c>
      <c r="I355" s="9">
        <f t="shared" si="10"/>
        <v>2</v>
      </c>
      <c r="J355" s="5" t="s">
        <v>1651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4">
        <v>2</v>
      </c>
      <c r="AH355" s="4">
        <v>2</v>
      </c>
      <c r="AI355" s="4">
        <v>1</v>
      </c>
      <c r="AJ355" s="4">
        <v>2</v>
      </c>
      <c r="AK355" s="4">
        <v>4</v>
      </c>
      <c r="AL355" s="4">
        <v>2</v>
      </c>
      <c r="AM355" s="4">
        <v>1</v>
      </c>
      <c r="AN355" s="4">
        <v>0</v>
      </c>
      <c r="AO355" s="4">
        <v>1</v>
      </c>
      <c r="AP355" s="4"/>
      <c r="AQ355" s="4">
        <v>0</v>
      </c>
      <c r="AR355" s="4">
        <v>1</v>
      </c>
      <c r="AS355" s="4">
        <f t="shared" si="11"/>
        <v>15</v>
      </c>
      <c r="AT355" s="9" t="s">
        <v>332</v>
      </c>
    </row>
    <row r="356" spans="1:46" x14ac:dyDescent="0.2">
      <c r="A356" s="4">
        <v>1589</v>
      </c>
      <c r="B356" s="4" t="s">
        <v>22</v>
      </c>
      <c r="C356" s="5" t="s">
        <v>463</v>
      </c>
      <c r="D356" s="5" t="s">
        <v>464</v>
      </c>
      <c r="E356" s="5" t="s">
        <v>330</v>
      </c>
      <c r="F356" s="5" t="s">
        <v>331</v>
      </c>
      <c r="G356" s="13">
        <v>46287</v>
      </c>
      <c r="H356" s="13">
        <v>46288</v>
      </c>
      <c r="I356" s="9">
        <f t="shared" si="10"/>
        <v>2</v>
      </c>
      <c r="J356" s="5" t="s">
        <v>1651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4">
        <v>2</v>
      </c>
      <c r="AH356" s="4">
        <v>2</v>
      </c>
      <c r="AI356" s="4">
        <v>1</v>
      </c>
      <c r="AJ356" s="4">
        <v>2</v>
      </c>
      <c r="AK356" s="4">
        <v>4</v>
      </c>
      <c r="AL356" s="4">
        <v>2</v>
      </c>
      <c r="AM356" s="4">
        <v>1</v>
      </c>
      <c r="AN356" s="4">
        <v>0</v>
      </c>
      <c r="AO356" s="4">
        <v>1</v>
      </c>
      <c r="AP356" s="4"/>
      <c r="AQ356" s="4">
        <v>0</v>
      </c>
      <c r="AR356" s="4">
        <v>1</v>
      </c>
      <c r="AS356" s="4">
        <f t="shared" si="11"/>
        <v>15</v>
      </c>
      <c r="AT356" s="9" t="s">
        <v>335</v>
      </c>
    </row>
    <row r="357" spans="1:46" x14ac:dyDescent="0.2">
      <c r="A357" s="4">
        <v>1592</v>
      </c>
      <c r="B357" s="4" t="s">
        <v>22</v>
      </c>
      <c r="C357" s="5" t="s">
        <v>467</v>
      </c>
      <c r="D357" s="5" t="s">
        <v>468</v>
      </c>
      <c r="E357" s="5" t="s">
        <v>330</v>
      </c>
      <c r="F357" s="5" t="s">
        <v>331</v>
      </c>
      <c r="G357" s="13">
        <v>46287</v>
      </c>
      <c r="H357" s="13">
        <v>46288</v>
      </c>
      <c r="I357" s="9">
        <f t="shared" si="10"/>
        <v>2</v>
      </c>
      <c r="J357" s="5" t="s">
        <v>1651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4">
        <v>4</v>
      </c>
      <c r="AH357" s="4">
        <v>3</v>
      </c>
      <c r="AI357" s="4">
        <v>1</v>
      </c>
      <c r="AJ357" s="4">
        <v>2</v>
      </c>
      <c r="AK357" s="4">
        <v>6</v>
      </c>
      <c r="AL357" s="4">
        <v>3</v>
      </c>
      <c r="AM357" s="4">
        <v>1</v>
      </c>
      <c r="AN357" s="4">
        <v>1</v>
      </c>
      <c r="AO357" s="4">
        <v>1</v>
      </c>
      <c r="AP357" s="4"/>
      <c r="AQ357" s="4">
        <v>0</v>
      </c>
      <c r="AR357" s="4">
        <v>1</v>
      </c>
      <c r="AS357" s="4">
        <f t="shared" si="11"/>
        <v>22</v>
      </c>
      <c r="AT357" s="9" t="s">
        <v>364</v>
      </c>
    </row>
    <row r="358" spans="1:46" x14ac:dyDescent="0.2">
      <c r="A358" s="4">
        <v>1626</v>
      </c>
      <c r="B358" s="4" t="s">
        <v>22</v>
      </c>
      <c r="C358" s="5" t="s">
        <v>481</v>
      </c>
      <c r="D358" s="5" t="s">
        <v>482</v>
      </c>
      <c r="E358" s="5" t="s">
        <v>72</v>
      </c>
      <c r="F358" s="5" t="s">
        <v>68</v>
      </c>
      <c r="G358" s="13">
        <v>46287</v>
      </c>
      <c r="H358" s="13">
        <v>46287</v>
      </c>
      <c r="I358" s="9">
        <f t="shared" si="10"/>
        <v>1</v>
      </c>
      <c r="J358" s="5" t="s">
        <v>1651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4">
        <v>2</v>
      </c>
      <c r="AH358" s="4">
        <v>2</v>
      </c>
      <c r="AI358" s="4">
        <v>1</v>
      </c>
      <c r="AJ358" s="4">
        <v>2</v>
      </c>
      <c r="AK358" s="4">
        <v>3</v>
      </c>
      <c r="AL358" s="4">
        <v>2</v>
      </c>
      <c r="AM358" s="4">
        <v>1</v>
      </c>
      <c r="AN358" s="4">
        <v>0</v>
      </c>
      <c r="AO358" s="4">
        <v>1</v>
      </c>
      <c r="AP358" s="4"/>
      <c r="AQ358" s="4">
        <v>0</v>
      </c>
      <c r="AR358" s="4">
        <v>1</v>
      </c>
      <c r="AS358" s="4">
        <f t="shared" si="11"/>
        <v>14</v>
      </c>
      <c r="AT358" s="9" t="s">
        <v>483</v>
      </c>
    </row>
    <row r="359" spans="1:46" x14ac:dyDescent="0.2">
      <c r="A359" s="4">
        <v>1812</v>
      </c>
      <c r="B359" s="4" t="s">
        <v>22</v>
      </c>
      <c r="C359" s="5" t="s">
        <v>505</v>
      </c>
      <c r="D359" s="5" t="s">
        <v>506</v>
      </c>
      <c r="E359" s="5" t="s">
        <v>215</v>
      </c>
      <c r="F359" s="5" t="s">
        <v>500</v>
      </c>
      <c r="G359" s="13">
        <v>46287</v>
      </c>
      <c r="H359" s="13">
        <v>46288</v>
      </c>
      <c r="I359" s="9">
        <f t="shared" si="10"/>
        <v>2</v>
      </c>
      <c r="J359" s="5" t="s">
        <v>1651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4">
        <v>3</v>
      </c>
      <c r="AH359" s="4">
        <v>2</v>
      </c>
      <c r="AI359" s="4">
        <v>1</v>
      </c>
      <c r="AJ359" s="4">
        <v>2</v>
      </c>
      <c r="AK359" s="4">
        <v>5</v>
      </c>
      <c r="AL359" s="4">
        <v>3</v>
      </c>
      <c r="AM359" s="4">
        <v>1</v>
      </c>
      <c r="AN359" s="4">
        <v>0</v>
      </c>
      <c r="AO359" s="4">
        <v>1</v>
      </c>
      <c r="AP359" s="4"/>
      <c r="AQ359" s="4">
        <v>0</v>
      </c>
      <c r="AR359" s="4">
        <v>1</v>
      </c>
      <c r="AS359" s="4">
        <f t="shared" si="11"/>
        <v>18</v>
      </c>
      <c r="AT359" s="9" t="s">
        <v>501</v>
      </c>
    </row>
    <row r="360" spans="1:46" x14ac:dyDescent="0.2">
      <c r="A360" s="4">
        <v>2747</v>
      </c>
      <c r="B360" s="4" t="s">
        <v>22</v>
      </c>
      <c r="C360" s="5" t="s">
        <v>678</v>
      </c>
      <c r="D360" s="5" t="s">
        <v>679</v>
      </c>
      <c r="E360" s="5" t="s">
        <v>661</v>
      </c>
      <c r="F360" s="5" t="s">
        <v>68</v>
      </c>
      <c r="G360" s="13">
        <v>46287</v>
      </c>
      <c r="H360" s="13">
        <v>46287</v>
      </c>
      <c r="I360" s="9">
        <f t="shared" si="10"/>
        <v>1</v>
      </c>
      <c r="J360" s="5" t="s">
        <v>1651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4">
        <v>2</v>
      </c>
      <c r="AH360" s="4">
        <v>1</v>
      </c>
      <c r="AI360" s="4">
        <v>1</v>
      </c>
      <c r="AJ360" s="4">
        <v>2</v>
      </c>
      <c r="AK360" s="4">
        <v>3</v>
      </c>
      <c r="AL360" s="4">
        <v>2</v>
      </c>
      <c r="AM360" s="4">
        <v>1</v>
      </c>
      <c r="AN360" s="4">
        <v>0</v>
      </c>
      <c r="AO360" s="4">
        <v>1</v>
      </c>
      <c r="AP360" s="4"/>
      <c r="AQ360" s="4">
        <v>0</v>
      </c>
      <c r="AR360" s="4">
        <v>1</v>
      </c>
      <c r="AS360" s="4">
        <f t="shared" si="11"/>
        <v>13</v>
      </c>
      <c r="AT360" s="9" t="s">
        <v>662</v>
      </c>
    </row>
    <row r="361" spans="1:46" x14ac:dyDescent="0.2">
      <c r="A361" s="4">
        <v>3110</v>
      </c>
      <c r="B361" s="4" t="s">
        <v>22</v>
      </c>
      <c r="C361" s="5" t="s">
        <v>723</v>
      </c>
      <c r="D361" s="5" t="s">
        <v>724</v>
      </c>
      <c r="E361" s="5" t="s">
        <v>36</v>
      </c>
      <c r="F361" s="5" t="s">
        <v>26</v>
      </c>
      <c r="G361" s="13">
        <v>46287</v>
      </c>
      <c r="H361" s="13">
        <v>46287</v>
      </c>
      <c r="I361" s="9">
        <f t="shared" si="10"/>
        <v>1</v>
      </c>
      <c r="J361" s="5" t="s">
        <v>1651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4">
        <v>3</v>
      </c>
      <c r="AH361" s="4">
        <v>2</v>
      </c>
      <c r="AI361" s="4">
        <v>1</v>
      </c>
      <c r="AJ361" s="4">
        <v>2</v>
      </c>
      <c r="AK361" s="4">
        <v>5</v>
      </c>
      <c r="AL361" s="4">
        <v>3</v>
      </c>
      <c r="AM361" s="4">
        <v>1</v>
      </c>
      <c r="AN361" s="4">
        <v>0</v>
      </c>
      <c r="AO361" s="4">
        <v>1</v>
      </c>
      <c r="AP361" s="4"/>
      <c r="AQ361" s="4">
        <v>0</v>
      </c>
      <c r="AR361" s="4">
        <v>1</v>
      </c>
      <c r="AS361" s="4">
        <f t="shared" si="11"/>
        <v>18</v>
      </c>
      <c r="AT361" s="9" t="s">
        <v>44</v>
      </c>
    </row>
    <row r="362" spans="1:46" x14ac:dyDescent="0.2">
      <c r="A362" s="4">
        <v>3117</v>
      </c>
      <c r="B362" s="4" t="s">
        <v>22</v>
      </c>
      <c r="C362" s="5" t="s">
        <v>735</v>
      </c>
      <c r="D362" s="5" t="s">
        <v>736</v>
      </c>
      <c r="E362" s="5" t="s">
        <v>36</v>
      </c>
      <c r="F362" s="5" t="s">
        <v>26</v>
      </c>
      <c r="G362" s="13">
        <v>46287</v>
      </c>
      <c r="H362" s="13">
        <v>46287</v>
      </c>
      <c r="I362" s="9">
        <f t="shared" si="10"/>
        <v>1</v>
      </c>
      <c r="J362" s="5" t="s">
        <v>1651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4">
        <v>3</v>
      </c>
      <c r="AH362" s="4">
        <v>3</v>
      </c>
      <c r="AI362" s="4">
        <v>1</v>
      </c>
      <c r="AJ362" s="4">
        <v>2</v>
      </c>
      <c r="AK362" s="4">
        <v>6</v>
      </c>
      <c r="AL362" s="4">
        <v>3</v>
      </c>
      <c r="AM362" s="4">
        <v>1</v>
      </c>
      <c r="AN362" s="4">
        <v>0</v>
      </c>
      <c r="AO362" s="4">
        <v>2</v>
      </c>
      <c r="AP362" s="4"/>
      <c r="AQ362" s="4">
        <v>0</v>
      </c>
      <c r="AR362" s="4">
        <v>1</v>
      </c>
      <c r="AS362" s="4">
        <f t="shared" si="11"/>
        <v>21</v>
      </c>
      <c r="AT362" s="9" t="s">
        <v>51</v>
      </c>
    </row>
    <row r="363" spans="1:46" x14ac:dyDescent="0.2">
      <c r="A363" s="4">
        <v>3150</v>
      </c>
      <c r="B363" s="4" t="s">
        <v>22</v>
      </c>
      <c r="C363" s="5" t="s">
        <v>787</v>
      </c>
      <c r="D363" s="5" t="s">
        <v>788</v>
      </c>
      <c r="E363" s="5" t="s">
        <v>36</v>
      </c>
      <c r="F363" s="5" t="s">
        <v>26</v>
      </c>
      <c r="G363" s="13">
        <v>46287</v>
      </c>
      <c r="H363" s="13">
        <v>46287</v>
      </c>
      <c r="I363" s="9">
        <f t="shared" si="10"/>
        <v>1</v>
      </c>
      <c r="J363" s="5" t="s">
        <v>1651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4">
        <v>2</v>
      </c>
      <c r="AH363" s="4">
        <v>1</v>
      </c>
      <c r="AI363" s="4">
        <v>1</v>
      </c>
      <c r="AJ363" s="4">
        <v>2</v>
      </c>
      <c r="AK363" s="4">
        <v>3</v>
      </c>
      <c r="AL363" s="4">
        <v>2</v>
      </c>
      <c r="AM363" s="4">
        <v>1</v>
      </c>
      <c r="AN363" s="4">
        <v>0</v>
      </c>
      <c r="AO363" s="4">
        <v>1</v>
      </c>
      <c r="AP363" s="4"/>
      <c r="AQ363" s="4">
        <v>0</v>
      </c>
      <c r="AR363" s="4">
        <v>1</v>
      </c>
      <c r="AS363" s="4">
        <f t="shared" si="11"/>
        <v>13</v>
      </c>
      <c r="AT363" s="9" t="s">
        <v>37</v>
      </c>
    </row>
    <row r="364" spans="1:46" x14ac:dyDescent="0.2">
      <c r="A364" s="4">
        <v>3161</v>
      </c>
      <c r="B364" s="4" t="s">
        <v>22</v>
      </c>
      <c r="C364" s="5" t="s">
        <v>807</v>
      </c>
      <c r="D364" s="5" t="s">
        <v>808</v>
      </c>
      <c r="E364" s="5" t="s">
        <v>36</v>
      </c>
      <c r="F364" s="5" t="s">
        <v>26</v>
      </c>
      <c r="G364" s="13">
        <v>46287</v>
      </c>
      <c r="H364" s="13">
        <v>46287</v>
      </c>
      <c r="I364" s="9">
        <f t="shared" si="10"/>
        <v>1</v>
      </c>
      <c r="J364" s="5" t="s">
        <v>1651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4">
        <v>2</v>
      </c>
      <c r="AH364" s="4">
        <v>1</v>
      </c>
      <c r="AI364" s="4">
        <v>1</v>
      </c>
      <c r="AJ364" s="4">
        <v>2</v>
      </c>
      <c r="AK364" s="4">
        <v>3</v>
      </c>
      <c r="AL364" s="4">
        <v>2</v>
      </c>
      <c r="AM364" s="4">
        <v>1</v>
      </c>
      <c r="AN364" s="4">
        <v>0</v>
      </c>
      <c r="AO364" s="4">
        <v>1</v>
      </c>
      <c r="AP364" s="4"/>
      <c r="AQ364" s="4">
        <v>0</v>
      </c>
      <c r="AR364" s="4">
        <v>1</v>
      </c>
      <c r="AS364" s="4">
        <f t="shared" si="11"/>
        <v>13</v>
      </c>
      <c r="AT364" s="9" t="s">
        <v>64</v>
      </c>
    </row>
    <row r="365" spans="1:46" x14ac:dyDescent="0.2">
      <c r="A365" s="4">
        <v>3903</v>
      </c>
      <c r="B365" s="4" t="s">
        <v>22</v>
      </c>
      <c r="C365" s="5" t="s">
        <v>886</v>
      </c>
      <c r="D365" s="5" t="s">
        <v>887</v>
      </c>
      <c r="E365" s="5" t="s">
        <v>873</v>
      </c>
      <c r="F365" s="5" t="s">
        <v>574</v>
      </c>
      <c r="G365" s="13">
        <v>46287</v>
      </c>
      <c r="H365" s="13">
        <v>46288</v>
      </c>
      <c r="I365" s="9">
        <f t="shared" si="10"/>
        <v>2</v>
      </c>
      <c r="J365" s="5" t="s">
        <v>1651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4">
        <v>4</v>
      </c>
      <c r="AH365" s="4">
        <v>4</v>
      </c>
      <c r="AI365" s="4">
        <v>1</v>
      </c>
      <c r="AJ365" s="4">
        <v>2</v>
      </c>
      <c r="AK365" s="4">
        <v>7</v>
      </c>
      <c r="AL365" s="4">
        <v>3</v>
      </c>
      <c r="AM365" s="4">
        <v>1</v>
      </c>
      <c r="AN365" s="4">
        <v>0</v>
      </c>
      <c r="AO365" s="4">
        <v>1</v>
      </c>
      <c r="AP365" s="4"/>
      <c r="AQ365" s="4">
        <v>1</v>
      </c>
      <c r="AR365" s="4">
        <v>1</v>
      </c>
      <c r="AS365" s="4">
        <f t="shared" si="11"/>
        <v>24</v>
      </c>
      <c r="AT365" s="9" t="s">
        <v>888</v>
      </c>
    </row>
    <row r="366" spans="1:46" x14ac:dyDescent="0.2">
      <c r="A366" s="4">
        <v>3963</v>
      </c>
      <c r="B366" s="4" t="s">
        <v>22</v>
      </c>
      <c r="C366" s="5" t="s">
        <v>942</v>
      </c>
      <c r="D366" s="5" t="s">
        <v>943</v>
      </c>
      <c r="E366" s="5" t="s">
        <v>873</v>
      </c>
      <c r="F366" s="5" t="s">
        <v>574</v>
      </c>
      <c r="G366" s="13">
        <v>46287</v>
      </c>
      <c r="H366" s="13">
        <v>46287</v>
      </c>
      <c r="I366" s="9">
        <f t="shared" si="10"/>
        <v>1</v>
      </c>
      <c r="J366" s="5" t="s">
        <v>1651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4">
        <v>3</v>
      </c>
      <c r="AH366" s="4">
        <v>1</v>
      </c>
      <c r="AI366" s="4">
        <v>1</v>
      </c>
      <c r="AJ366" s="4">
        <v>2</v>
      </c>
      <c r="AK366" s="4">
        <v>4</v>
      </c>
      <c r="AL366" s="4">
        <v>3</v>
      </c>
      <c r="AM366" s="4">
        <v>1</v>
      </c>
      <c r="AN366" s="4">
        <v>0</v>
      </c>
      <c r="AO366" s="4">
        <v>1</v>
      </c>
      <c r="AP366" s="4"/>
      <c r="AQ366" s="4">
        <v>0</v>
      </c>
      <c r="AR366" s="4">
        <v>1</v>
      </c>
      <c r="AS366" s="4">
        <f t="shared" si="11"/>
        <v>16</v>
      </c>
      <c r="AT366" s="9" t="s">
        <v>874</v>
      </c>
    </row>
    <row r="367" spans="1:46" x14ac:dyDescent="0.2">
      <c r="A367" s="4">
        <v>4523</v>
      </c>
      <c r="B367" s="4" t="s">
        <v>22</v>
      </c>
      <c r="C367" s="5" t="s">
        <v>1008</v>
      </c>
      <c r="D367" s="5" t="s">
        <v>1009</v>
      </c>
      <c r="E367" s="5" t="s">
        <v>981</v>
      </c>
      <c r="F367" s="5" t="s">
        <v>26</v>
      </c>
      <c r="G367" s="13">
        <v>46287</v>
      </c>
      <c r="H367" s="13">
        <v>46287</v>
      </c>
      <c r="I367" s="9">
        <f t="shared" si="10"/>
        <v>1</v>
      </c>
      <c r="J367" s="5" t="s">
        <v>1651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4">
        <v>3</v>
      </c>
      <c r="AH367" s="4">
        <v>2</v>
      </c>
      <c r="AI367" s="4">
        <v>1</v>
      </c>
      <c r="AJ367" s="4">
        <v>2</v>
      </c>
      <c r="AK367" s="4">
        <v>5</v>
      </c>
      <c r="AL367" s="4">
        <v>3</v>
      </c>
      <c r="AM367" s="4">
        <v>1</v>
      </c>
      <c r="AN367" s="4">
        <v>0</v>
      </c>
      <c r="AO367" s="4">
        <v>1</v>
      </c>
      <c r="AP367" s="4"/>
      <c r="AQ367" s="4">
        <v>0</v>
      </c>
      <c r="AR367" s="4">
        <v>1</v>
      </c>
      <c r="AS367" s="4">
        <f t="shared" si="11"/>
        <v>18</v>
      </c>
      <c r="AT367" s="9" t="s">
        <v>985</v>
      </c>
    </row>
    <row r="368" spans="1:46" x14ac:dyDescent="0.2">
      <c r="A368" s="4">
        <v>4866</v>
      </c>
      <c r="B368" s="4" t="s">
        <v>22</v>
      </c>
      <c r="C368" s="5" t="s">
        <v>1081</v>
      </c>
      <c r="D368" s="5" t="s">
        <v>1082</v>
      </c>
      <c r="E368" s="5" t="s">
        <v>286</v>
      </c>
      <c r="F368" s="5" t="s">
        <v>546</v>
      </c>
      <c r="G368" s="13">
        <v>46287</v>
      </c>
      <c r="H368" s="13">
        <v>46287</v>
      </c>
      <c r="I368" s="9">
        <f t="shared" si="10"/>
        <v>1</v>
      </c>
      <c r="J368" s="5" t="s">
        <v>1651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4">
        <v>3</v>
      </c>
      <c r="AH368" s="4">
        <v>3</v>
      </c>
      <c r="AI368" s="4">
        <v>1</v>
      </c>
      <c r="AJ368" s="4">
        <v>2</v>
      </c>
      <c r="AK368" s="4">
        <v>6</v>
      </c>
      <c r="AL368" s="4">
        <v>2</v>
      </c>
      <c r="AM368" s="4">
        <v>1</v>
      </c>
      <c r="AN368" s="4">
        <v>0</v>
      </c>
      <c r="AO368" s="4">
        <v>1</v>
      </c>
      <c r="AP368" s="7"/>
      <c r="AQ368" s="4">
        <v>0</v>
      </c>
      <c r="AR368" s="4">
        <v>1</v>
      </c>
      <c r="AS368" s="4">
        <f t="shared" si="11"/>
        <v>19</v>
      </c>
      <c r="AT368" s="9" t="s">
        <v>1034</v>
      </c>
    </row>
    <row r="369" spans="1:46" x14ac:dyDescent="0.2">
      <c r="A369" s="4">
        <v>5152</v>
      </c>
      <c r="B369" s="4" t="s">
        <v>22</v>
      </c>
      <c r="C369" s="5" t="s">
        <v>1159</v>
      </c>
      <c r="D369" s="5" t="s">
        <v>1160</v>
      </c>
      <c r="E369" s="5" t="s">
        <v>1107</v>
      </c>
      <c r="F369" s="5" t="s">
        <v>98</v>
      </c>
      <c r="G369" s="13">
        <v>46287</v>
      </c>
      <c r="H369" s="13">
        <v>46287</v>
      </c>
      <c r="I369" s="9">
        <f t="shared" si="10"/>
        <v>1</v>
      </c>
      <c r="J369" s="5" t="s">
        <v>1651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4">
        <v>2</v>
      </c>
      <c r="AH369" s="4">
        <v>1</v>
      </c>
      <c r="AI369" s="4">
        <v>1</v>
      </c>
      <c r="AJ369" s="4">
        <v>2</v>
      </c>
      <c r="AK369" s="4">
        <v>3</v>
      </c>
      <c r="AL369" s="4">
        <v>2</v>
      </c>
      <c r="AM369" s="4">
        <v>1</v>
      </c>
      <c r="AN369" s="4">
        <v>0</v>
      </c>
      <c r="AO369" s="4">
        <v>1</v>
      </c>
      <c r="AP369" s="4"/>
      <c r="AQ369" s="4">
        <v>0</v>
      </c>
      <c r="AR369" s="4">
        <v>1</v>
      </c>
      <c r="AS369" s="4">
        <f t="shared" si="11"/>
        <v>13</v>
      </c>
      <c r="AT369" s="9" t="s">
        <v>1111</v>
      </c>
    </row>
    <row r="370" spans="1:46" x14ac:dyDescent="0.2">
      <c r="A370" s="4">
        <v>5725</v>
      </c>
      <c r="B370" s="4" t="s">
        <v>22</v>
      </c>
      <c r="C370" s="5" t="s">
        <v>550</v>
      </c>
      <c r="D370" s="5" t="s">
        <v>551</v>
      </c>
      <c r="E370" s="5" t="s">
        <v>538</v>
      </c>
      <c r="F370" s="5" t="s">
        <v>500</v>
      </c>
      <c r="G370" s="13">
        <v>46287</v>
      </c>
      <c r="H370" s="13">
        <v>46288</v>
      </c>
      <c r="I370" s="9">
        <f t="shared" si="10"/>
        <v>2</v>
      </c>
      <c r="J370" s="5" t="s">
        <v>1651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4">
        <v>3</v>
      </c>
      <c r="AH370" s="4">
        <v>1</v>
      </c>
      <c r="AI370" s="4">
        <v>1</v>
      </c>
      <c r="AJ370" s="4">
        <v>2</v>
      </c>
      <c r="AK370" s="4">
        <v>4</v>
      </c>
      <c r="AL370" s="4">
        <v>2</v>
      </c>
      <c r="AM370" s="4">
        <v>1</v>
      </c>
      <c r="AN370" s="4">
        <v>0</v>
      </c>
      <c r="AO370" s="4">
        <v>1</v>
      </c>
      <c r="AP370" s="7"/>
      <c r="AQ370" s="4">
        <v>0</v>
      </c>
      <c r="AR370" s="4">
        <v>1</v>
      </c>
      <c r="AS370" s="4">
        <f t="shared" si="11"/>
        <v>15</v>
      </c>
      <c r="AT370" s="9" t="s">
        <v>1193</v>
      </c>
    </row>
    <row r="371" spans="1:46" x14ac:dyDescent="0.2">
      <c r="A371" s="4">
        <v>6314</v>
      </c>
      <c r="B371" s="4" t="s">
        <v>22</v>
      </c>
      <c r="C371" s="5" t="s">
        <v>1315</v>
      </c>
      <c r="D371" s="5" t="s">
        <v>1316</v>
      </c>
      <c r="E371" s="5" t="s">
        <v>1301</v>
      </c>
      <c r="F371" s="5" t="s">
        <v>68</v>
      </c>
      <c r="G371" s="13">
        <v>46287</v>
      </c>
      <c r="H371" s="13">
        <v>46287</v>
      </c>
      <c r="I371" s="9">
        <f t="shared" si="10"/>
        <v>1</v>
      </c>
      <c r="J371" s="5" t="s">
        <v>1651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4">
        <v>5</v>
      </c>
      <c r="AH371" s="4">
        <v>4</v>
      </c>
      <c r="AI371" s="4">
        <v>1</v>
      </c>
      <c r="AJ371" s="4">
        <v>3</v>
      </c>
      <c r="AK371" s="4">
        <v>10</v>
      </c>
      <c r="AL371" s="4">
        <v>4</v>
      </c>
      <c r="AM371" s="4">
        <v>2</v>
      </c>
      <c r="AN371" s="4">
        <v>0</v>
      </c>
      <c r="AO371" s="4">
        <v>1</v>
      </c>
      <c r="AP371" s="4"/>
      <c r="AQ371" s="4">
        <v>0</v>
      </c>
      <c r="AR371" s="4">
        <v>1</v>
      </c>
      <c r="AS371" s="4">
        <f t="shared" si="11"/>
        <v>30</v>
      </c>
      <c r="AT371" s="9" t="s">
        <v>696</v>
      </c>
    </row>
    <row r="372" spans="1:46" x14ac:dyDescent="0.2">
      <c r="A372" s="4">
        <v>6623</v>
      </c>
      <c r="B372" s="4" t="s">
        <v>22</v>
      </c>
      <c r="C372" s="5" t="s">
        <v>1378</v>
      </c>
      <c r="D372" s="5" t="s">
        <v>1379</v>
      </c>
      <c r="E372" s="5" t="s">
        <v>1346</v>
      </c>
      <c r="F372" s="5" t="s">
        <v>574</v>
      </c>
      <c r="G372" s="13">
        <v>46287</v>
      </c>
      <c r="H372" s="13">
        <v>46287</v>
      </c>
      <c r="I372" s="9">
        <f t="shared" si="10"/>
        <v>1</v>
      </c>
      <c r="J372" s="5" t="s">
        <v>1651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4">
        <v>2</v>
      </c>
      <c r="AH372" s="4">
        <v>1</v>
      </c>
      <c r="AI372" s="4">
        <v>1</v>
      </c>
      <c r="AJ372" s="4">
        <v>2</v>
      </c>
      <c r="AK372" s="4">
        <v>3</v>
      </c>
      <c r="AL372" s="4">
        <v>2</v>
      </c>
      <c r="AM372" s="4">
        <v>1</v>
      </c>
      <c r="AN372" s="4">
        <v>0</v>
      </c>
      <c r="AO372" s="4">
        <v>1</v>
      </c>
      <c r="AP372" s="4"/>
      <c r="AQ372" s="4">
        <v>0</v>
      </c>
      <c r="AR372" s="4">
        <v>1</v>
      </c>
      <c r="AS372" s="4">
        <f t="shared" si="11"/>
        <v>13</v>
      </c>
      <c r="AT372" s="9" t="s">
        <v>1380</v>
      </c>
    </row>
    <row r="373" spans="1:46" x14ac:dyDescent="0.2">
      <c r="A373" s="4">
        <v>6645</v>
      </c>
      <c r="B373" s="4" t="s">
        <v>22</v>
      </c>
      <c r="C373" s="5" t="s">
        <v>1414</v>
      </c>
      <c r="D373" s="5" t="s">
        <v>1415</v>
      </c>
      <c r="E373" s="5" t="s">
        <v>1346</v>
      </c>
      <c r="F373" s="5" t="s">
        <v>574</v>
      </c>
      <c r="G373" s="13">
        <v>46287</v>
      </c>
      <c r="H373" s="13">
        <v>46287</v>
      </c>
      <c r="I373" s="9">
        <f t="shared" si="10"/>
        <v>1</v>
      </c>
      <c r="J373" s="5" t="s">
        <v>1651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4">
        <v>3</v>
      </c>
      <c r="AH373" s="4">
        <v>1</v>
      </c>
      <c r="AI373" s="4">
        <v>1</v>
      </c>
      <c r="AJ373" s="4">
        <v>2</v>
      </c>
      <c r="AK373" s="4">
        <v>4</v>
      </c>
      <c r="AL373" s="4">
        <v>3</v>
      </c>
      <c r="AM373" s="4">
        <v>1</v>
      </c>
      <c r="AN373" s="4">
        <v>0</v>
      </c>
      <c r="AO373" s="4">
        <v>1</v>
      </c>
      <c r="AP373" s="4"/>
      <c r="AQ373" s="4">
        <v>0</v>
      </c>
      <c r="AR373" s="4">
        <v>1</v>
      </c>
      <c r="AS373" s="4">
        <f t="shared" si="11"/>
        <v>16</v>
      </c>
      <c r="AT373" s="9" t="s">
        <v>1367</v>
      </c>
    </row>
    <row r="374" spans="1:46" x14ac:dyDescent="0.2">
      <c r="A374" s="4">
        <v>1397</v>
      </c>
      <c r="B374" s="4" t="s">
        <v>22</v>
      </c>
      <c r="C374" s="5" t="s">
        <v>253</v>
      </c>
      <c r="D374" s="5" t="s">
        <v>254</v>
      </c>
      <c r="E374" s="5" t="s">
        <v>118</v>
      </c>
      <c r="F374" s="5" t="s">
        <v>119</v>
      </c>
      <c r="G374" s="13">
        <v>46288</v>
      </c>
      <c r="H374" s="13">
        <v>46288</v>
      </c>
      <c r="I374" s="9">
        <f t="shared" si="10"/>
        <v>1</v>
      </c>
      <c r="J374" s="5" t="s">
        <v>1651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4">
        <v>3</v>
      </c>
      <c r="AH374" s="4">
        <v>2</v>
      </c>
      <c r="AI374" s="4">
        <v>1</v>
      </c>
      <c r="AJ374" s="4">
        <v>2</v>
      </c>
      <c r="AK374" s="4">
        <v>5</v>
      </c>
      <c r="AL374" s="4">
        <v>3</v>
      </c>
      <c r="AM374" s="4">
        <v>1</v>
      </c>
      <c r="AN374" s="4">
        <v>0</v>
      </c>
      <c r="AO374" s="4">
        <v>1</v>
      </c>
      <c r="AP374" s="4"/>
      <c r="AQ374" s="4">
        <v>1</v>
      </c>
      <c r="AR374" s="4">
        <v>1</v>
      </c>
      <c r="AS374" s="4">
        <f t="shared" si="11"/>
        <v>19</v>
      </c>
      <c r="AT374" s="4" t="s">
        <v>137</v>
      </c>
    </row>
    <row r="375" spans="1:46" x14ac:dyDescent="0.2">
      <c r="A375" s="4">
        <v>1426</v>
      </c>
      <c r="B375" s="4" t="s">
        <v>22</v>
      </c>
      <c r="C375" s="5" t="s">
        <v>275</v>
      </c>
      <c r="D375" s="5" t="s">
        <v>276</v>
      </c>
      <c r="E375" s="5" t="s">
        <v>118</v>
      </c>
      <c r="F375" s="5" t="s">
        <v>119</v>
      </c>
      <c r="G375" s="13">
        <v>46288</v>
      </c>
      <c r="H375" s="13">
        <v>46289</v>
      </c>
      <c r="I375" s="9">
        <f t="shared" si="10"/>
        <v>2</v>
      </c>
      <c r="J375" s="5" t="s">
        <v>1651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4">
        <v>3</v>
      </c>
      <c r="AH375" s="4">
        <v>1</v>
      </c>
      <c r="AI375" s="4">
        <v>1</v>
      </c>
      <c r="AJ375" s="4">
        <v>2</v>
      </c>
      <c r="AK375" s="4">
        <v>4</v>
      </c>
      <c r="AL375" s="4">
        <v>3</v>
      </c>
      <c r="AM375" s="4">
        <v>1</v>
      </c>
      <c r="AN375" s="4">
        <v>0</v>
      </c>
      <c r="AO375" s="4">
        <v>1</v>
      </c>
      <c r="AP375" s="4"/>
      <c r="AQ375" s="4">
        <v>0</v>
      </c>
      <c r="AR375" s="4">
        <v>1</v>
      </c>
      <c r="AS375" s="4">
        <f t="shared" si="11"/>
        <v>16</v>
      </c>
      <c r="AT375" s="4" t="s">
        <v>137</v>
      </c>
    </row>
    <row r="376" spans="1:46" x14ac:dyDescent="0.2">
      <c r="A376" s="4">
        <v>1454</v>
      </c>
      <c r="B376" s="4" t="s">
        <v>22</v>
      </c>
      <c r="C376" s="5" t="s">
        <v>297</v>
      </c>
      <c r="D376" s="5" t="s">
        <v>298</v>
      </c>
      <c r="E376" s="5" t="s">
        <v>118</v>
      </c>
      <c r="F376" s="5" t="s">
        <v>119</v>
      </c>
      <c r="G376" s="13">
        <v>46288</v>
      </c>
      <c r="H376" s="13">
        <v>46288</v>
      </c>
      <c r="I376" s="9">
        <f t="shared" si="10"/>
        <v>1</v>
      </c>
      <c r="J376" s="5" t="s">
        <v>1651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4">
        <v>4</v>
      </c>
      <c r="AH376" s="4">
        <v>3</v>
      </c>
      <c r="AI376" s="4">
        <v>1</v>
      </c>
      <c r="AJ376" s="4">
        <v>2</v>
      </c>
      <c r="AK376" s="4">
        <v>7</v>
      </c>
      <c r="AL376" s="4">
        <v>3</v>
      </c>
      <c r="AM376" s="4">
        <v>2</v>
      </c>
      <c r="AN376" s="4">
        <v>0</v>
      </c>
      <c r="AO376" s="4">
        <v>1</v>
      </c>
      <c r="AP376" s="4"/>
      <c r="AQ376" s="4">
        <v>0</v>
      </c>
      <c r="AR376" s="4">
        <v>1</v>
      </c>
      <c r="AS376" s="4">
        <f t="shared" si="11"/>
        <v>23</v>
      </c>
      <c r="AT376" s="4" t="s">
        <v>120</v>
      </c>
    </row>
    <row r="377" spans="1:46" x14ac:dyDescent="0.2">
      <c r="A377" s="4">
        <v>1476</v>
      </c>
      <c r="B377" s="4" t="s">
        <v>22</v>
      </c>
      <c r="C377" s="5" t="s">
        <v>315</v>
      </c>
      <c r="D377" s="5" t="s">
        <v>316</v>
      </c>
      <c r="E377" s="5" t="s">
        <v>118</v>
      </c>
      <c r="F377" s="5" t="s">
        <v>119</v>
      </c>
      <c r="G377" s="13">
        <v>46288</v>
      </c>
      <c r="H377" s="13">
        <v>46288</v>
      </c>
      <c r="I377" s="9">
        <f t="shared" si="10"/>
        <v>1</v>
      </c>
      <c r="J377" s="5" t="s">
        <v>1651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4">
        <v>6</v>
      </c>
      <c r="AH377" s="4">
        <v>3</v>
      </c>
      <c r="AI377" s="4">
        <v>1</v>
      </c>
      <c r="AJ377" s="4">
        <v>4</v>
      </c>
      <c r="AK377" s="4">
        <v>9</v>
      </c>
      <c r="AL377" s="4">
        <v>5</v>
      </c>
      <c r="AM377" s="4">
        <v>3</v>
      </c>
      <c r="AN377" s="4">
        <v>0</v>
      </c>
      <c r="AO377" s="4">
        <v>1</v>
      </c>
      <c r="AP377" s="4"/>
      <c r="AQ377" s="4">
        <v>0</v>
      </c>
      <c r="AR377" s="4">
        <v>1</v>
      </c>
      <c r="AS377" s="4">
        <f t="shared" si="11"/>
        <v>32</v>
      </c>
      <c r="AT377" s="4" t="s">
        <v>120</v>
      </c>
    </row>
    <row r="378" spans="1:46" x14ac:dyDescent="0.2">
      <c r="A378" s="4">
        <v>1547</v>
      </c>
      <c r="B378" s="4" t="s">
        <v>22</v>
      </c>
      <c r="C378" s="5" t="s">
        <v>397</v>
      </c>
      <c r="D378" s="5" t="s">
        <v>398</v>
      </c>
      <c r="E378" s="5" t="s">
        <v>330</v>
      </c>
      <c r="F378" s="5" t="s">
        <v>331</v>
      </c>
      <c r="G378" s="13">
        <v>46288</v>
      </c>
      <c r="H378" s="13">
        <v>46289</v>
      </c>
      <c r="I378" s="9">
        <f t="shared" si="10"/>
        <v>2</v>
      </c>
      <c r="J378" s="5" t="s">
        <v>1651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4">
        <v>2</v>
      </c>
      <c r="AH378" s="4">
        <v>2</v>
      </c>
      <c r="AI378" s="4">
        <v>1</v>
      </c>
      <c r="AJ378" s="4">
        <v>2</v>
      </c>
      <c r="AK378" s="4">
        <v>5</v>
      </c>
      <c r="AL378" s="4">
        <v>2</v>
      </c>
      <c r="AM378" s="4">
        <v>1</v>
      </c>
      <c r="AN378" s="4">
        <v>0</v>
      </c>
      <c r="AO378" s="4">
        <v>1</v>
      </c>
      <c r="AP378" s="4"/>
      <c r="AQ378" s="4">
        <v>0</v>
      </c>
      <c r="AR378" s="4">
        <v>1</v>
      </c>
      <c r="AS378" s="4">
        <f t="shared" si="11"/>
        <v>16</v>
      </c>
      <c r="AT378" s="9" t="s">
        <v>77</v>
      </c>
    </row>
    <row r="379" spans="1:46" x14ac:dyDescent="0.2">
      <c r="A379" s="4">
        <v>1580</v>
      </c>
      <c r="B379" s="4" t="s">
        <v>22</v>
      </c>
      <c r="C379" s="5" t="s">
        <v>447</v>
      </c>
      <c r="D379" s="5" t="s">
        <v>448</v>
      </c>
      <c r="E379" s="5" t="s">
        <v>330</v>
      </c>
      <c r="F379" s="5" t="s">
        <v>331</v>
      </c>
      <c r="G379" s="13">
        <v>46288</v>
      </c>
      <c r="H379" s="13">
        <v>46289</v>
      </c>
      <c r="I379" s="9">
        <f t="shared" si="10"/>
        <v>2</v>
      </c>
      <c r="J379" s="5" t="s">
        <v>1651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4">
        <v>2</v>
      </c>
      <c r="AH379" s="4">
        <v>2</v>
      </c>
      <c r="AI379" s="4">
        <v>1</v>
      </c>
      <c r="AJ379" s="4">
        <v>2</v>
      </c>
      <c r="AK379" s="4">
        <v>5</v>
      </c>
      <c r="AL379" s="4">
        <v>3</v>
      </c>
      <c r="AM379" s="4">
        <v>1</v>
      </c>
      <c r="AN379" s="4">
        <v>1</v>
      </c>
      <c r="AO379" s="4">
        <v>1</v>
      </c>
      <c r="AP379" s="4"/>
      <c r="AQ379" s="4">
        <v>0</v>
      </c>
      <c r="AR379" s="4">
        <v>1</v>
      </c>
      <c r="AS379" s="4">
        <f t="shared" si="11"/>
        <v>18</v>
      </c>
      <c r="AT379" s="9" t="s">
        <v>335</v>
      </c>
    </row>
    <row r="380" spans="1:46" x14ac:dyDescent="0.2">
      <c r="A380" s="4">
        <v>1587</v>
      </c>
      <c r="B380" s="4" t="s">
        <v>22</v>
      </c>
      <c r="C380" s="5" t="s">
        <v>459</v>
      </c>
      <c r="D380" s="5" t="s">
        <v>460</v>
      </c>
      <c r="E380" s="5" t="s">
        <v>330</v>
      </c>
      <c r="F380" s="5" t="s">
        <v>331</v>
      </c>
      <c r="G380" s="13">
        <v>46288</v>
      </c>
      <c r="H380" s="13">
        <v>46289</v>
      </c>
      <c r="I380" s="9">
        <f t="shared" si="10"/>
        <v>2</v>
      </c>
      <c r="J380" s="5" t="s">
        <v>1651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4">
        <v>3</v>
      </c>
      <c r="AH380" s="4">
        <v>4</v>
      </c>
      <c r="AI380" s="4">
        <v>1</v>
      </c>
      <c r="AJ380" s="4">
        <v>2</v>
      </c>
      <c r="AK380" s="4">
        <v>6</v>
      </c>
      <c r="AL380" s="4">
        <v>2</v>
      </c>
      <c r="AM380" s="4">
        <v>1</v>
      </c>
      <c r="AN380" s="4">
        <v>1</v>
      </c>
      <c r="AO380" s="4">
        <v>1</v>
      </c>
      <c r="AP380" s="4"/>
      <c r="AQ380" s="4">
        <v>0</v>
      </c>
      <c r="AR380" s="4">
        <v>1</v>
      </c>
      <c r="AS380" s="4">
        <f t="shared" si="11"/>
        <v>21</v>
      </c>
      <c r="AT380" s="9" t="s">
        <v>364</v>
      </c>
    </row>
    <row r="381" spans="1:46" x14ac:dyDescent="0.2">
      <c r="A381" s="4">
        <v>1590</v>
      </c>
      <c r="B381" s="4" t="s">
        <v>22</v>
      </c>
      <c r="C381" s="5" t="s">
        <v>465</v>
      </c>
      <c r="D381" s="5" t="s">
        <v>466</v>
      </c>
      <c r="E381" s="5" t="s">
        <v>330</v>
      </c>
      <c r="F381" s="5" t="s">
        <v>331</v>
      </c>
      <c r="G381" s="13">
        <v>46288</v>
      </c>
      <c r="H381" s="13">
        <v>46289</v>
      </c>
      <c r="I381" s="9">
        <f t="shared" si="10"/>
        <v>2</v>
      </c>
      <c r="J381" s="5" t="s">
        <v>1651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4">
        <v>4</v>
      </c>
      <c r="AH381" s="4">
        <v>2</v>
      </c>
      <c r="AI381" s="4">
        <v>1</v>
      </c>
      <c r="AJ381" s="4">
        <v>2</v>
      </c>
      <c r="AK381" s="4">
        <v>6</v>
      </c>
      <c r="AL381" s="4">
        <v>3</v>
      </c>
      <c r="AM381" s="4">
        <v>1</v>
      </c>
      <c r="AN381" s="4">
        <v>0</v>
      </c>
      <c r="AO381" s="4">
        <v>1</v>
      </c>
      <c r="AP381" s="4"/>
      <c r="AQ381" s="4">
        <v>0</v>
      </c>
      <c r="AR381" s="4">
        <v>1</v>
      </c>
      <c r="AS381" s="4">
        <f t="shared" si="11"/>
        <v>20</v>
      </c>
      <c r="AT381" s="9" t="s">
        <v>332</v>
      </c>
    </row>
    <row r="382" spans="1:46" x14ac:dyDescent="0.2">
      <c r="A382" s="4">
        <v>1636</v>
      </c>
      <c r="B382" s="4" t="s">
        <v>22</v>
      </c>
      <c r="C382" s="5" t="s">
        <v>488</v>
      </c>
      <c r="D382" s="5" t="s">
        <v>489</v>
      </c>
      <c r="E382" s="5" t="s">
        <v>72</v>
      </c>
      <c r="F382" s="5" t="s">
        <v>68</v>
      </c>
      <c r="G382" s="13">
        <v>46288</v>
      </c>
      <c r="H382" s="13">
        <v>46288</v>
      </c>
      <c r="I382" s="9">
        <f t="shared" si="10"/>
        <v>1</v>
      </c>
      <c r="J382" s="5" t="s">
        <v>1651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4">
        <v>2</v>
      </c>
      <c r="AH382" s="4">
        <v>2</v>
      </c>
      <c r="AI382" s="4">
        <v>1</v>
      </c>
      <c r="AJ382" s="4">
        <v>2</v>
      </c>
      <c r="AK382" s="4">
        <v>4</v>
      </c>
      <c r="AL382" s="4">
        <v>2</v>
      </c>
      <c r="AM382" s="4">
        <v>1</v>
      </c>
      <c r="AN382" s="4">
        <v>0</v>
      </c>
      <c r="AO382" s="4">
        <v>1</v>
      </c>
      <c r="AP382" s="4"/>
      <c r="AQ382" s="4">
        <v>0</v>
      </c>
      <c r="AR382" s="4">
        <v>1</v>
      </c>
      <c r="AS382" s="4">
        <f t="shared" si="11"/>
        <v>15</v>
      </c>
      <c r="AT382" s="9" t="s">
        <v>483</v>
      </c>
    </row>
    <row r="383" spans="1:46" x14ac:dyDescent="0.2">
      <c r="A383" s="4">
        <v>2101</v>
      </c>
      <c r="B383" s="4" t="s">
        <v>22</v>
      </c>
      <c r="C383" s="5" t="s">
        <v>543</v>
      </c>
      <c r="D383" s="5" t="s">
        <v>544</v>
      </c>
      <c r="E383" s="5" t="s">
        <v>545</v>
      </c>
      <c r="F383" s="5" t="s">
        <v>546</v>
      </c>
      <c r="G383" s="13">
        <v>46288</v>
      </c>
      <c r="H383" s="13">
        <v>46288</v>
      </c>
      <c r="I383" s="9">
        <f t="shared" si="10"/>
        <v>1</v>
      </c>
      <c r="J383" s="5" t="s">
        <v>1651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4">
        <v>5</v>
      </c>
      <c r="AH383" s="4">
        <v>3</v>
      </c>
      <c r="AI383" s="4">
        <v>1</v>
      </c>
      <c r="AJ383" s="4">
        <v>2</v>
      </c>
      <c r="AK383" s="4">
        <v>8</v>
      </c>
      <c r="AL383" s="4">
        <v>4</v>
      </c>
      <c r="AM383" s="4">
        <v>1</v>
      </c>
      <c r="AN383" s="4">
        <v>0</v>
      </c>
      <c r="AO383" s="4">
        <v>2</v>
      </c>
      <c r="AP383" s="4"/>
      <c r="AQ383" s="4">
        <v>1</v>
      </c>
      <c r="AR383" s="4">
        <v>1</v>
      </c>
      <c r="AS383" s="4">
        <f t="shared" si="11"/>
        <v>27</v>
      </c>
      <c r="AT383" s="9" t="s">
        <v>547</v>
      </c>
    </row>
    <row r="384" spans="1:46" x14ac:dyDescent="0.2">
      <c r="A384" s="4">
        <v>2769</v>
      </c>
      <c r="B384" s="4" t="s">
        <v>22</v>
      </c>
      <c r="C384" s="5" t="s">
        <v>692</v>
      </c>
      <c r="D384" s="5" t="s">
        <v>693</v>
      </c>
      <c r="E384" s="5" t="s">
        <v>661</v>
      </c>
      <c r="F384" s="5" t="s">
        <v>68</v>
      </c>
      <c r="G384" s="13">
        <v>46288</v>
      </c>
      <c r="H384" s="13">
        <v>46288</v>
      </c>
      <c r="I384" s="9">
        <f t="shared" si="10"/>
        <v>1</v>
      </c>
      <c r="J384" s="5" t="s">
        <v>1651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4">
        <v>2</v>
      </c>
      <c r="AH384" s="4">
        <v>1</v>
      </c>
      <c r="AI384" s="4">
        <v>1</v>
      </c>
      <c r="AJ384" s="4">
        <v>2</v>
      </c>
      <c r="AK384" s="4">
        <v>3</v>
      </c>
      <c r="AL384" s="4">
        <v>2</v>
      </c>
      <c r="AM384" s="4">
        <v>1</v>
      </c>
      <c r="AN384" s="4">
        <v>0</v>
      </c>
      <c r="AO384" s="4">
        <v>1</v>
      </c>
      <c r="AP384" s="7"/>
      <c r="AQ384" s="4">
        <v>0</v>
      </c>
      <c r="AR384" s="4">
        <v>1</v>
      </c>
      <c r="AS384" s="4">
        <f t="shared" si="11"/>
        <v>13</v>
      </c>
      <c r="AT384" s="9" t="s">
        <v>662</v>
      </c>
    </row>
    <row r="385" spans="1:46" x14ac:dyDescent="0.2">
      <c r="A385" s="4">
        <v>3133</v>
      </c>
      <c r="B385" s="4" t="s">
        <v>22</v>
      </c>
      <c r="C385" s="5" t="s">
        <v>755</v>
      </c>
      <c r="D385" s="5" t="s">
        <v>756</v>
      </c>
      <c r="E385" s="5" t="s">
        <v>36</v>
      </c>
      <c r="F385" s="5" t="s">
        <v>26</v>
      </c>
      <c r="G385" s="13">
        <v>46288</v>
      </c>
      <c r="H385" s="13">
        <v>46288</v>
      </c>
      <c r="I385" s="9">
        <f t="shared" si="10"/>
        <v>1</v>
      </c>
      <c r="J385" s="5" t="s">
        <v>1651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4">
        <v>4</v>
      </c>
      <c r="AH385" s="4">
        <v>3</v>
      </c>
      <c r="AI385" s="4">
        <v>1</v>
      </c>
      <c r="AJ385" s="4">
        <v>2</v>
      </c>
      <c r="AK385" s="4">
        <v>7</v>
      </c>
      <c r="AL385" s="4">
        <v>3</v>
      </c>
      <c r="AM385" s="4">
        <v>1</v>
      </c>
      <c r="AN385" s="4">
        <v>0</v>
      </c>
      <c r="AO385" s="4">
        <v>1</v>
      </c>
      <c r="AP385" s="4"/>
      <c r="AQ385" s="4">
        <v>0</v>
      </c>
      <c r="AR385" s="4">
        <v>1</v>
      </c>
      <c r="AS385" s="4">
        <f t="shared" si="11"/>
        <v>22</v>
      </c>
      <c r="AT385" s="9" t="s">
        <v>51</v>
      </c>
    </row>
    <row r="386" spans="1:46" x14ac:dyDescent="0.2">
      <c r="A386" s="4">
        <v>3145</v>
      </c>
      <c r="B386" s="4" t="s">
        <v>22</v>
      </c>
      <c r="C386" s="5" t="s">
        <v>593</v>
      </c>
      <c r="D386" s="5" t="s">
        <v>594</v>
      </c>
      <c r="E386" s="5" t="s">
        <v>36</v>
      </c>
      <c r="F386" s="5" t="s">
        <v>26</v>
      </c>
      <c r="G386" s="13">
        <v>46288</v>
      </c>
      <c r="H386" s="13">
        <v>46288</v>
      </c>
      <c r="I386" s="9">
        <f t="shared" ref="I386:I449" si="12">NETWORKDAYS(G386,H386)</f>
        <v>1</v>
      </c>
      <c r="J386" s="5" t="s">
        <v>1651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4">
        <v>4</v>
      </c>
      <c r="AH386" s="4">
        <v>2</v>
      </c>
      <c r="AI386" s="4">
        <v>1</v>
      </c>
      <c r="AJ386" s="4">
        <v>2</v>
      </c>
      <c r="AK386" s="4">
        <v>6</v>
      </c>
      <c r="AL386" s="4">
        <v>3</v>
      </c>
      <c r="AM386" s="4">
        <v>1</v>
      </c>
      <c r="AN386" s="4">
        <v>0</v>
      </c>
      <c r="AO386" s="4">
        <v>1</v>
      </c>
      <c r="AP386" s="4"/>
      <c r="AQ386" s="4">
        <v>0</v>
      </c>
      <c r="AR386" s="4">
        <v>1</v>
      </c>
      <c r="AS386" s="4">
        <f t="shared" si="11"/>
        <v>20</v>
      </c>
      <c r="AT386" s="9" t="s">
        <v>64</v>
      </c>
    </row>
    <row r="387" spans="1:46" x14ac:dyDescent="0.2">
      <c r="A387" s="4">
        <v>3162</v>
      </c>
      <c r="B387" s="4" t="s">
        <v>22</v>
      </c>
      <c r="C387" s="5" t="s">
        <v>809</v>
      </c>
      <c r="D387" s="5" t="s">
        <v>810</v>
      </c>
      <c r="E387" s="5" t="s">
        <v>36</v>
      </c>
      <c r="F387" s="5" t="s">
        <v>26</v>
      </c>
      <c r="G387" s="13">
        <v>46288</v>
      </c>
      <c r="H387" s="13">
        <v>46288</v>
      </c>
      <c r="I387" s="9">
        <f t="shared" si="12"/>
        <v>1</v>
      </c>
      <c r="J387" s="5" t="s">
        <v>1651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4">
        <v>3</v>
      </c>
      <c r="AH387" s="4">
        <v>1</v>
      </c>
      <c r="AI387" s="4">
        <v>1</v>
      </c>
      <c r="AJ387" s="4">
        <v>2</v>
      </c>
      <c r="AK387" s="4">
        <v>4</v>
      </c>
      <c r="AL387" s="4">
        <v>2</v>
      </c>
      <c r="AM387" s="4">
        <v>1</v>
      </c>
      <c r="AN387" s="4">
        <v>0</v>
      </c>
      <c r="AO387" s="4">
        <v>1</v>
      </c>
      <c r="AP387" s="11"/>
      <c r="AQ387" s="4">
        <v>0</v>
      </c>
      <c r="AR387" s="4">
        <v>1</v>
      </c>
      <c r="AS387" s="4">
        <f t="shared" ref="AS387:AS450" si="13">SUM(AG387:AQ387)</f>
        <v>15</v>
      </c>
      <c r="AT387" s="9" t="s">
        <v>37</v>
      </c>
    </row>
    <row r="388" spans="1:46" x14ac:dyDescent="0.2">
      <c r="A388" s="4">
        <v>3186</v>
      </c>
      <c r="B388" s="4" t="s">
        <v>22</v>
      </c>
      <c r="C388" s="5" t="s">
        <v>833</v>
      </c>
      <c r="D388" s="5" t="s">
        <v>834</v>
      </c>
      <c r="E388" s="5" t="s">
        <v>36</v>
      </c>
      <c r="F388" s="5" t="s">
        <v>26</v>
      </c>
      <c r="G388" s="13">
        <v>46288</v>
      </c>
      <c r="H388" s="13">
        <v>46288</v>
      </c>
      <c r="I388" s="9">
        <f t="shared" si="12"/>
        <v>1</v>
      </c>
      <c r="J388" s="5" t="s">
        <v>1651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4">
        <v>3</v>
      </c>
      <c r="AH388" s="4">
        <v>2</v>
      </c>
      <c r="AI388" s="4">
        <v>1</v>
      </c>
      <c r="AJ388" s="4">
        <v>2</v>
      </c>
      <c r="AK388" s="4">
        <v>5</v>
      </c>
      <c r="AL388" s="4">
        <v>3</v>
      </c>
      <c r="AM388" s="4">
        <v>1</v>
      </c>
      <c r="AN388" s="4">
        <v>0</v>
      </c>
      <c r="AO388" s="4">
        <v>1</v>
      </c>
      <c r="AP388" s="4"/>
      <c r="AQ388" s="4">
        <v>0</v>
      </c>
      <c r="AR388" s="4">
        <v>1</v>
      </c>
      <c r="AS388" s="4">
        <f t="shared" si="13"/>
        <v>18</v>
      </c>
      <c r="AT388" s="9" t="s">
        <v>44</v>
      </c>
    </row>
    <row r="389" spans="1:46" x14ac:dyDescent="0.2">
      <c r="A389" s="4">
        <v>3902</v>
      </c>
      <c r="B389" s="4" t="s">
        <v>22</v>
      </c>
      <c r="C389" s="5" t="s">
        <v>875</v>
      </c>
      <c r="D389" s="5" t="s">
        <v>876</v>
      </c>
      <c r="E389" s="5" t="s">
        <v>873</v>
      </c>
      <c r="F389" s="5" t="s">
        <v>574</v>
      </c>
      <c r="G389" s="13">
        <v>46288</v>
      </c>
      <c r="H389" s="13">
        <v>46288</v>
      </c>
      <c r="I389" s="9">
        <f t="shared" si="12"/>
        <v>1</v>
      </c>
      <c r="J389" s="5" t="s">
        <v>1651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4">
        <v>3</v>
      </c>
      <c r="AH389" s="4">
        <v>1</v>
      </c>
      <c r="AI389" s="4">
        <v>1</v>
      </c>
      <c r="AJ389" s="4">
        <v>2</v>
      </c>
      <c r="AK389" s="4">
        <v>4</v>
      </c>
      <c r="AL389" s="4">
        <v>2</v>
      </c>
      <c r="AM389" s="4">
        <v>1</v>
      </c>
      <c r="AN389" s="4">
        <v>1</v>
      </c>
      <c r="AO389" s="4">
        <v>1</v>
      </c>
      <c r="AP389" s="4"/>
      <c r="AQ389" s="4">
        <v>0</v>
      </c>
      <c r="AR389" s="4">
        <v>1</v>
      </c>
      <c r="AS389" s="4">
        <f t="shared" si="13"/>
        <v>16</v>
      </c>
      <c r="AT389" s="9" t="s">
        <v>874</v>
      </c>
    </row>
    <row r="390" spans="1:46" x14ac:dyDescent="0.2">
      <c r="A390" s="4">
        <v>4522</v>
      </c>
      <c r="B390" s="4" t="s">
        <v>22</v>
      </c>
      <c r="C390" s="5" t="s">
        <v>1006</v>
      </c>
      <c r="D390" s="5" t="s">
        <v>1007</v>
      </c>
      <c r="E390" s="5" t="s">
        <v>981</v>
      </c>
      <c r="F390" s="5" t="s">
        <v>26</v>
      </c>
      <c r="G390" s="13">
        <v>46288</v>
      </c>
      <c r="H390" s="13">
        <v>46288</v>
      </c>
      <c r="I390" s="9">
        <f t="shared" si="12"/>
        <v>1</v>
      </c>
      <c r="J390" s="5" t="s">
        <v>1651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4">
        <v>2</v>
      </c>
      <c r="AH390" s="4">
        <v>2</v>
      </c>
      <c r="AI390" s="4">
        <v>1</v>
      </c>
      <c r="AJ390" s="4">
        <v>2</v>
      </c>
      <c r="AK390" s="4">
        <v>4</v>
      </c>
      <c r="AL390" s="4">
        <v>2</v>
      </c>
      <c r="AM390" s="4">
        <v>1</v>
      </c>
      <c r="AN390" s="4">
        <v>0</v>
      </c>
      <c r="AO390" s="4">
        <v>1</v>
      </c>
      <c r="AP390" s="4"/>
      <c r="AQ390" s="4">
        <v>1</v>
      </c>
      <c r="AR390" s="4">
        <v>1</v>
      </c>
      <c r="AS390" s="4">
        <f t="shared" si="13"/>
        <v>16</v>
      </c>
      <c r="AT390" s="9" t="s">
        <v>985</v>
      </c>
    </row>
    <row r="391" spans="1:46" x14ac:dyDescent="0.2">
      <c r="A391" s="4">
        <v>4845</v>
      </c>
      <c r="B391" s="4" t="s">
        <v>22</v>
      </c>
      <c r="C391" s="5" t="s">
        <v>1072</v>
      </c>
      <c r="D391" s="5" t="s">
        <v>1073</v>
      </c>
      <c r="E391" s="5" t="s">
        <v>286</v>
      </c>
      <c r="F391" s="5" t="s">
        <v>546</v>
      </c>
      <c r="G391" s="13">
        <v>46288</v>
      </c>
      <c r="H391" s="13">
        <v>46288</v>
      </c>
      <c r="I391" s="9">
        <f t="shared" si="12"/>
        <v>1</v>
      </c>
      <c r="J391" s="5" t="s">
        <v>1651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4">
        <v>3</v>
      </c>
      <c r="AH391" s="4">
        <v>2</v>
      </c>
      <c r="AI391" s="4">
        <v>1</v>
      </c>
      <c r="AJ391" s="4">
        <v>2</v>
      </c>
      <c r="AK391" s="4">
        <v>5</v>
      </c>
      <c r="AL391" s="4">
        <v>2</v>
      </c>
      <c r="AM391" s="4">
        <v>1</v>
      </c>
      <c r="AN391" s="4">
        <v>0</v>
      </c>
      <c r="AO391" s="4">
        <v>1</v>
      </c>
      <c r="AP391" s="4"/>
      <c r="AQ391" s="4">
        <v>1</v>
      </c>
      <c r="AR391" s="4">
        <v>1</v>
      </c>
      <c r="AS391" s="4">
        <f t="shared" si="13"/>
        <v>18</v>
      </c>
      <c r="AT391" s="9" t="s">
        <v>1034</v>
      </c>
    </row>
    <row r="392" spans="1:46" x14ac:dyDescent="0.2">
      <c r="A392" s="4">
        <v>5112</v>
      </c>
      <c r="B392" s="4" t="s">
        <v>22</v>
      </c>
      <c r="C392" s="5" t="s">
        <v>1119</v>
      </c>
      <c r="D392" s="5" t="s">
        <v>1120</v>
      </c>
      <c r="E392" s="5" t="s">
        <v>1107</v>
      </c>
      <c r="F392" s="5" t="s">
        <v>98</v>
      </c>
      <c r="G392" s="13">
        <v>46288</v>
      </c>
      <c r="H392" s="13">
        <v>46288</v>
      </c>
      <c r="I392" s="9">
        <f t="shared" si="12"/>
        <v>1</v>
      </c>
      <c r="J392" s="5" t="s">
        <v>1651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4">
        <v>2</v>
      </c>
      <c r="AH392" s="4">
        <v>1</v>
      </c>
      <c r="AI392" s="4">
        <v>1</v>
      </c>
      <c r="AJ392" s="4">
        <v>2</v>
      </c>
      <c r="AK392" s="4">
        <v>3</v>
      </c>
      <c r="AL392" s="4">
        <v>2</v>
      </c>
      <c r="AM392" s="4">
        <v>1</v>
      </c>
      <c r="AN392" s="4">
        <v>0</v>
      </c>
      <c r="AO392" s="4">
        <v>1</v>
      </c>
      <c r="AP392" s="4"/>
      <c r="AQ392" s="4">
        <v>0</v>
      </c>
      <c r="AR392" s="4">
        <v>1</v>
      </c>
      <c r="AS392" s="4">
        <f t="shared" si="13"/>
        <v>13</v>
      </c>
      <c r="AT392" s="9" t="s">
        <v>1111</v>
      </c>
    </row>
    <row r="393" spans="1:46" x14ac:dyDescent="0.2">
      <c r="A393" s="4">
        <v>6340</v>
      </c>
      <c r="B393" s="4" t="s">
        <v>22</v>
      </c>
      <c r="C393" s="5" t="s">
        <v>1325</v>
      </c>
      <c r="D393" s="5" t="s">
        <v>1326</v>
      </c>
      <c r="E393" s="5" t="s">
        <v>1301</v>
      </c>
      <c r="F393" s="5" t="s">
        <v>68</v>
      </c>
      <c r="G393" s="13">
        <v>46288</v>
      </c>
      <c r="H393" s="13">
        <v>46288</v>
      </c>
      <c r="I393" s="9">
        <f t="shared" si="12"/>
        <v>1</v>
      </c>
      <c r="J393" s="5" t="s">
        <v>1651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4">
        <v>4</v>
      </c>
      <c r="AH393" s="4">
        <v>3</v>
      </c>
      <c r="AI393" s="4">
        <v>1</v>
      </c>
      <c r="AJ393" s="4">
        <v>3</v>
      </c>
      <c r="AK393" s="4">
        <v>7</v>
      </c>
      <c r="AL393" s="4">
        <v>4</v>
      </c>
      <c r="AM393" s="4">
        <v>2</v>
      </c>
      <c r="AN393" s="4">
        <v>0</v>
      </c>
      <c r="AO393" s="4">
        <v>1</v>
      </c>
      <c r="AP393" s="4"/>
      <c r="AQ393" s="4">
        <v>0</v>
      </c>
      <c r="AR393" s="4">
        <v>1</v>
      </c>
      <c r="AS393" s="4">
        <f t="shared" si="13"/>
        <v>25</v>
      </c>
      <c r="AT393" s="9" t="s">
        <v>69</v>
      </c>
    </row>
    <row r="394" spans="1:46" x14ac:dyDescent="0.2">
      <c r="A394" s="4">
        <v>6382</v>
      </c>
      <c r="B394" s="4" t="s">
        <v>22</v>
      </c>
      <c r="C394" s="5" t="s">
        <v>1342</v>
      </c>
      <c r="D394" s="5" t="s">
        <v>1343</v>
      </c>
      <c r="E394" s="5" t="s">
        <v>1301</v>
      </c>
      <c r="F394" s="5" t="s">
        <v>68</v>
      </c>
      <c r="G394" s="13">
        <v>46288</v>
      </c>
      <c r="H394" s="13">
        <v>46288</v>
      </c>
      <c r="I394" s="9">
        <f t="shared" si="12"/>
        <v>1</v>
      </c>
      <c r="J394" s="5" t="s">
        <v>1651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4">
        <v>3</v>
      </c>
      <c r="AH394" s="4">
        <v>1</v>
      </c>
      <c r="AI394" s="4">
        <v>1</v>
      </c>
      <c r="AJ394" s="4">
        <v>2</v>
      </c>
      <c r="AK394" s="4">
        <v>3</v>
      </c>
      <c r="AL394" s="4">
        <v>2</v>
      </c>
      <c r="AM394" s="4">
        <v>1</v>
      </c>
      <c r="AN394" s="4">
        <v>0</v>
      </c>
      <c r="AO394" s="4">
        <v>1</v>
      </c>
      <c r="AP394" s="4"/>
      <c r="AQ394" s="4">
        <v>0</v>
      </c>
      <c r="AR394" s="4">
        <v>1</v>
      </c>
      <c r="AS394" s="4">
        <f t="shared" si="13"/>
        <v>14</v>
      </c>
      <c r="AT394" s="9" t="s">
        <v>696</v>
      </c>
    </row>
    <row r="395" spans="1:46" x14ac:dyDescent="0.2">
      <c r="A395" s="4">
        <v>6625</v>
      </c>
      <c r="B395" s="4" t="s">
        <v>22</v>
      </c>
      <c r="C395" s="5" t="s">
        <v>1383</v>
      </c>
      <c r="D395" s="5" t="s">
        <v>1384</v>
      </c>
      <c r="E395" s="5" t="s">
        <v>1346</v>
      </c>
      <c r="F395" s="5" t="s">
        <v>574</v>
      </c>
      <c r="G395" s="13">
        <v>46288</v>
      </c>
      <c r="H395" s="13">
        <v>46288</v>
      </c>
      <c r="I395" s="9">
        <f t="shared" si="12"/>
        <v>1</v>
      </c>
      <c r="J395" s="5" t="s">
        <v>1651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4">
        <v>4</v>
      </c>
      <c r="AH395" s="4">
        <v>4</v>
      </c>
      <c r="AI395" s="4">
        <v>1</v>
      </c>
      <c r="AJ395" s="4">
        <v>2</v>
      </c>
      <c r="AK395" s="4">
        <v>9</v>
      </c>
      <c r="AL395" s="4">
        <v>3</v>
      </c>
      <c r="AM395" s="4">
        <v>1</v>
      </c>
      <c r="AN395" s="4">
        <v>0</v>
      </c>
      <c r="AO395" s="4">
        <v>2</v>
      </c>
      <c r="AP395" s="4"/>
      <c r="AQ395" s="4">
        <v>0</v>
      </c>
      <c r="AR395" s="4">
        <v>1</v>
      </c>
      <c r="AS395" s="4">
        <f t="shared" si="13"/>
        <v>26</v>
      </c>
      <c r="AT395" s="9" t="s">
        <v>1354</v>
      </c>
    </row>
    <row r="396" spans="1:46" x14ac:dyDescent="0.2">
      <c r="A396" s="4">
        <v>6648</v>
      </c>
      <c r="B396" s="4" t="s">
        <v>22</v>
      </c>
      <c r="C396" s="5" t="s">
        <v>1419</v>
      </c>
      <c r="D396" s="5" t="s">
        <v>1420</v>
      </c>
      <c r="E396" s="5" t="s">
        <v>1346</v>
      </c>
      <c r="F396" s="5" t="s">
        <v>574</v>
      </c>
      <c r="G396" s="13">
        <v>46288</v>
      </c>
      <c r="H396" s="13">
        <v>46288</v>
      </c>
      <c r="I396" s="9">
        <f t="shared" si="12"/>
        <v>1</v>
      </c>
      <c r="J396" s="5" t="s">
        <v>1651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4">
        <v>3</v>
      </c>
      <c r="AH396" s="4">
        <v>1</v>
      </c>
      <c r="AI396" s="4">
        <v>1</v>
      </c>
      <c r="AJ396" s="4">
        <v>2</v>
      </c>
      <c r="AK396" s="4">
        <v>4</v>
      </c>
      <c r="AL396" s="4">
        <v>2</v>
      </c>
      <c r="AM396" s="4">
        <v>1</v>
      </c>
      <c r="AN396" s="4">
        <v>0</v>
      </c>
      <c r="AO396" s="4">
        <v>1</v>
      </c>
      <c r="AP396" s="4"/>
      <c r="AQ396" s="4">
        <v>0</v>
      </c>
      <c r="AR396" s="4">
        <v>1</v>
      </c>
      <c r="AS396" s="4">
        <f t="shared" si="13"/>
        <v>15</v>
      </c>
      <c r="AT396" s="9" t="s">
        <v>1380</v>
      </c>
    </row>
    <row r="397" spans="1:46" x14ac:dyDescent="0.2">
      <c r="A397" s="4">
        <v>8650</v>
      </c>
      <c r="B397" s="4" t="s">
        <v>22</v>
      </c>
      <c r="C397" s="10" t="s">
        <v>1620</v>
      </c>
      <c r="D397" s="10" t="s">
        <v>1621</v>
      </c>
      <c r="E397" s="10" t="s">
        <v>1600</v>
      </c>
      <c r="F397" s="10" t="s">
        <v>331</v>
      </c>
      <c r="G397" s="13">
        <v>46288</v>
      </c>
      <c r="H397" s="13">
        <v>46289</v>
      </c>
      <c r="I397" s="9">
        <f t="shared" si="12"/>
        <v>2</v>
      </c>
      <c r="J397" s="5" t="s">
        <v>1651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4">
        <v>2</v>
      </c>
      <c r="AH397" s="4">
        <v>2</v>
      </c>
      <c r="AI397" s="4">
        <v>1</v>
      </c>
      <c r="AJ397" s="4">
        <v>2</v>
      </c>
      <c r="AK397" s="4">
        <v>4</v>
      </c>
      <c r="AL397" s="4">
        <v>2</v>
      </c>
      <c r="AM397" s="4">
        <v>1</v>
      </c>
      <c r="AN397" s="4">
        <v>0</v>
      </c>
      <c r="AO397" s="4">
        <v>1</v>
      </c>
      <c r="AP397" s="8"/>
      <c r="AQ397" s="4">
        <v>0</v>
      </c>
      <c r="AR397" s="4">
        <v>1</v>
      </c>
      <c r="AS397" s="4">
        <f t="shared" si="13"/>
        <v>15</v>
      </c>
      <c r="AT397" s="9" t="s">
        <v>1601</v>
      </c>
    </row>
    <row r="398" spans="1:46" x14ac:dyDescent="0.2">
      <c r="A398" s="4">
        <v>1316</v>
      </c>
      <c r="B398" s="4" t="s">
        <v>22</v>
      </c>
      <c r="C398" s="5" t="s">
        <v>133</v>
      </c>
      <c r="D398" s="5" t="s">
        <v>134</v>
      </c>
      <c r="E398" s="5" t="s">
        <v>118</v>
      </c>
      <c r="F398" s="5" t="s">
        <v>119</v>
      </c>
      <c r="G398" s="13">
        <v>46289</v>
      </c>
      <c r="H398" s="13">
        <v>46289</v>
      </c>
      <c r="I398" s="9">
        <f t="shared" si="12"/>
        <v>1</v>
      </c>
      <c r="J398" s="5" t="s">
        <v>1651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4">
        <v>2</v>
      </c>
      <c r="AH398" s="4">
        <v>2</v>
      </c>
      <c r="AI398" s="4">
        <v>1</v>
      </c>
      <c r="AJ398" s="4">
        <v>2</v>
      </c>
      <c r="AK398" s="4">
        <v>3</v>
      </c>
      <c r="AL398" s="4">
        <v>2</v>
      </c>
      <c r="AM398" s="4">
        <v>1</v>
      </c>
      <c r="AN398" s="4">
        <v>0</v>
      </c>
      <c r="AO398" s="4">
        <v>1</v>
      </c>
      <c r="AP398" s="4"/>
      <c r="AQ398" s="4">
        <v>0</v>
      </c>
      <c r="AR398" s="4">
        <v>1</v>
      </c>
      <c r="AS398" s="4">
        <f t="shared" si="13"/>
        <v>14</v>
      </c>
      <c r="AT398" s="4" t="s">
        <v>120</v>
      </c>
    </row>
    <row r="399" spans="1:46" x14ac:dyDescent="0.2">
      <c r="A399" s="4">
        <v>1415</v>
      </c>
      <c r="B399" s="4" t="s">
        <v>22</v>
      </c>
      <c r="C399" s="5" t="s">
        <v>267</v>
      </c>
      <c r="D399" s="5" t="s">
        <v>268</v>
      </c>
      <c r="E399" s="5" t="s">
        <v>118</v>
      </c>
      <c r="F399" s="5" t="s">
        <v>119</v>
      </c>
      <c r="G399" s="13">
        <v>46289</v>
      </c>
      <c r="H399" s="13">
        <v>46289</v>
      </c>
      <c r="I399" s="9">
        <f t="shared" si="12"/>
        <v>1</v>
      </c>
      <c r="J399" s="5" t="s">
        <v>1651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4">
        <v>3</v>
      </c>
      <c r="AH399" s="4">
        <v>2</v>
      </c>
      <c r="AI399" s="4">
        <v>1</v>
      </c>
      <c r="AJ399" s="4">
        <v>2</v>
      </c>
      <c r="AK399" s="4">
        <v>4</v>
      </c>
      <c r="AL399" s="4">
        <v>2</v>
      </c>
      <c r="AM399" s="4">
        <v>1</v>
      </c>
      <c r="AN399" s="4">
        <v>0</v>
      </c>
      <c r="AO399" s="4">
        <v>1</v>
      </c>
      <c r="AP399" s="4"/>
      <c r="AQ399" s="4">
        <v>1</v>
      </c>
      <c r="AR399" s="4">
        <v>1</v>
      </c>
      <c r="AS399" s="4">
        <f t="shared" si="13"/>
        <v>17</v>
      </c>
      <c r="AT399" s="4" t="s">
        <v>120</v>
      </c>
    </row>
    <row r="400" spans="1:46" x14ac:dyDescent="0.2">
      <c r="A400" s="4">
        <v>1460</v>
      </c>
      <c r="B400" s="4" t="s">
        <v>22</v>
      </c>
      <c r="C400" s="5" t="s">
        <v>301</v>
      </c>
      <c r="D400" s="5" t="s">
        <v>302</v>
      </c>
      <c r="E400" s="5" t="s">
        <v>118</v>
      </c>
      <c r="F400" s="5" t="s">
        <v>119</v>
      </c>
      <c r="G400" s="13">
        <v>46289</v>
      </c>
      <c r="H400" s="13">
        <v>46289</v>
      </c>
      <c r="I400" s="9">
        <f t="shared" si="12"/>
        <v>1</v>
      </c>
      <c r="J400" s="5" t="s">
        <v>1651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4">
        <v>2</v>
      </c>
      <c r="AH400" s="4">
        <v>1</v>
      </c>
      <c r="AI400" s="4">
        <v>1</v>
      </c>
      <c r="AJ400" s="4">
        <v>2</v>
      </c>
      <c r="AK400" s="4">
        <v>3</v>
      </c>
      <c r="AL400" s="4">
        <v>2</v>
      </c>
      <c r="AM400" s="4">
        <v>1</v>
      </c>
      <c r="AN400" s="4">
        <v>0</v>
      </c>
      <c r="AO400" s="4">
        <v>1</v>
      </c>
      <c r="AP400" s="4"/>
      <c r="AQ400" s="4">
        <v>1</v>
      </c>
      <c r="AR400" s="4">
        <v>1</v>
      </c>
      <c r="AS400" s="4">
        <f t="shared" si="13"/>
        <v>14</v>
      </c>
      <c r="AT400" s="4" t="s">
        <v>137</v>
      </c>
    </row>
    <row r="401" spans="1:46" x14ac:dyDescent="0.2">
      <c r="A401" s="4">
        <v>1507</v>
      </c>
      <c r="B401" s="4" t="s">
        <v>22</v>
      </c>
      <c r="C401" s="5" t="s">
        <v>345</v>
      </c>
      <c r="D401" s="5" t="s">
        <v>346</v>
      </c>
      <c r="E401" s="5" t="s">
        <v>330</v>
      </c>
      <c r="F401" s="5" t="s">
        <v>331</v>
      </c>
      <c r="G401" s="13">
        <v>46289</v>
      </c>
      <c r="H401" s="13">
        <v>46290</v>
      </c>
      <c r="I401" s="9">
        <f t="shared" si="12"/>
        <v>2</v>
      </c>
      <c r="J401" s="5" t="s">
        <v>1651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4">
        <v>9</v>
      </c>
      <c r="AH401" s="4">
        <v>10</v>
      </c>
      <c r="AI401" s="4">
        <v>1</v>
      </c>
      <c r="AJ401" s="4">
        <v>4</v>
      </c>
      <c r="AK401" s="4">
        <v>17</v>
      </c>
      <c r="AL401" s="4">
        <v>6</v>
      </c>
      <c r="AM401" s="4">
        <v>3</v>
      </c>
      <c r="AN401" s="4">
        <v>3</v>
      </c>
      <c r="AO401" s="4">
        <v>3</v>
      </c>
      <c r="AP401" s="4"/>
      <c r="AQ401" s="4">
        <v>1</v>
      </c>
      <c r="AR401" s="4">
        <v>1</v>
      </c>
      <c r="AS401" s="4">
        <f t="shared" si="13"/>
        <v>57</v>
      </c>
      <c r="AT401" s="9" t="s">
        <v>335</v>
      </c>
    </row>
    <row r="402" spans="1:46" x14ac:dyDescent="0.2">
      <c r="A402" s="4">
        <v>1516</v>
      </c>
      <c r="B402" s="4" t="s">
        <v>22</v>
      </c>
      <c r="C402" s="5" t="s">
        <v>360</v>
      </c>
      <c r="D402" s="5" t="s">
        <v>361</v>
      </c>
      <c r="E402" s="5" t="s">
        <v>330</v>
      </c>
      <c r="F402" s="5" t="s">
        <v>331</v>
      </c>
      <c r="G402" s="13">
        <v>46289</v>
      </c>
      <c r="H402" s="13">
        <v>46290</v>
      </c>
      <c r="I402" s="9">
        <f t="shared" si="12"/>
        <v>2</v>
      </c>
      <c r="J402" s="5" t="s">
        <v>1651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4">
        <v>9</v>
      </c>
      <c r="AH402" s="4">
        <v>9</v>
      </c>
      <c r="AI402" s="4">
        <v>1</v>
      </c>
      <c r="AJ402" s="4">
        <v>4</v>
      </c>
      <c r="AK402" s="4">
        <v>18</v>
      </c>
      <c r="AL402" s="4">
        <v>7</v>
      </c>
      <c r="AM402" s="4">
        <v>3</v>
      </c>
      <c r="AN402" s="4">
        <v>0</v>
      </c>
      <c r="AO402" s="4">
        <v>4</v>
      </c>
      <c r="AP402" s="4"/>
      <c r="AQ402" s="4">
        <v>0</v>
      </c>
      <c r="AR402" s="4">
        <v>1</v>
      </c>
      <c r="AS402" s="4">
        <f t="shared" si="13"/>
        <v>55</v>
      </c>
      <c r="AT402" s="9" t="s">
        <v>332</v>
      </c>
    </row>
    <row r="403" spans="1:46" x14ac:dyDescent="0.2">
      <c r="A403" s="4">
        <v>1554</v>
      </c>
      <c r="B403" s="4" t="s">
        <v>22</v>
      </c>
      <c r="C403" s="5" t="s">
        <v>409</v>
      </c>
      <c r="D403" s="5" t="s">
        <v>410</v>
      </c>
      <c r="E403" s="5" t="s">
        <v>330</v>
      </c>
      <c r="F403" s="5" t="s">
        <v>331</v>
      </c>
      <c r="G403" s="13">
        <v>46289</v>
      </c>
      <c r="H403" s="13">
        <v>46290</v>
      </c>
      <c r="I403" s="9">
        <f t="shared" si="12"/>
        <v>2</v>
      </c>
      <c r="J403" s="5" t="s">
        <v>1651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4">
        <v>3</v>
      </c>
      <c r="AH403" s="4">
        <v>1</v>
      </c>
      <c r="AI403" s="4">
        <v>1</v>
      </c>
      <c r="AJ403" s="4">
        <v>2</v>
      </c>
      <c r="AK403" s="4">
        <v>5</v>
      </c>
      <c r="AL403" s="4">
        <v>2</v>
      </c>
      <c r="AM403" s="4">
        <v>1</v>
      </c>
      <c r="AN403" s="4">
        <v>0</v>
      </c>
      <c r="AO403" s="4">
        <v>1</v>
      </c>
      <c r="AP403" s="4"/>
      <c r="AQ403" s="4">
        <v>0</v>
      </c>
      <c r="AR403" s="4">
        <v>1</v>
      </c>
      <c r="AS403" s="4">
        <f t="shared" si="13"/>
        <v>16</v>
      </c>
      <c r="AT403" s="9" t="s">
        <v>364</v>
      </c>
    </row>
    <row r="404" spans="1:46" x14ac:dyDescent="0.2">
      <c r="A404" s="4">
        <v>1593</v>
      </c>
      <c r="B404" s="4" t="s">
        <v>22</v>
      </c>
      <c r="C404" s="5" t="s">
        <v>469</v>
      </c>
      <c r="D404" s="5" t="s">
        <v>470</v>
      </c>
      <c r="E404" s="5" t="s">
        <v>330</v>
      </c>
      <c r="F404" s="5" t="s">
        <v>331</v>
      </c>
      <c r="G404" s="13">
        <v>46289</v>
      </c>
      <c r="H404" s="13">
        <v>46290</v>
      </c>
      <c r="I404" s="9">
        <f t="shared" si="12"/>
        <v>2</v>
      </c>
      <c r="J404" s="5" t="s">
        <v>1651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4">
        <v>4</v>
      </c>
      <c r="AH404" s="4">
        <v>3</v>
      </c>
      <c r="AI404" s="4">
        <v>1</v>
      </c>
      <c r="AJ404" s="4">
        <v>2</v>
      </c>
      <c r="AK404" s="4">
        <v>7</v>
      </c>
      <c r="AL404" s="4">
        <v>3</v>
      </c>
      <c r="AM404" s="4">
        <v>1</v>
      </c>
      <c r="AN404" s="4">
        <v>0</v>
      </c>
      <c r="AO404" s="4">
        <v>1</v>
      </c>
      <c r="AP404" s="7"/>
      <c r="AQ404" s="4">
        <v>0</v>
      </c>
      <c r="AR404" s="4">
        <v>1</v>
      </c>
      <c r="AS404" s="4">
        <f t="shared" si="13"/>
        <v>22</v>
      </c>
      <c r="AT404" s="9" t="s">
        <v>77</v>
      </c>
    </row>
    <row r="405" spans="1:46" x14ac:dyDescent="0.2">
      <c r="A405" s="4">
        <v>1832</v>
      </c>
      <c r="B405" s="4" t="s">
        <v>22</v>
      </c>
      <c r="C405" s="5" t="s">
        <v>516</v>
      </c>
      <c r="D405" s="5" t="s">
        <v>517</v>
      </c>
      <c r="E405" s="5" t="s">
        <v>215</v>
      </c>
      <c r="F405" s="5" t="s">
        <v>500</v>
      </c>
      <c r="G405" s="13">
        <v>46289</v>
      </c>
      <c r="H405" s="13">
        <v>46290</v>
      </c>
      <c r="I405" s="9">
        <f t="shared" si="12"/>
        <v>2</v>
      </c>
      <c r="J405" s="5" t="s">
        <v>1651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4">
        <v>3</v>
      </c>
      <c r="AH405" s="4">
        <v>1</v>
      </c>
      <c r="AI405" s="4">
        <v>1</v>
      </c>
      <c r="AJ405" s="4">
        <v>2</v>
      </c>
      <c r="AK405" s="4">
        <v>5</v>
      </c>
      <c r="AL405" s="4">
        <v>2</v>
      </c>
      <c r="AM405" s="4">
        <v>1</v>
      </c>
      <c r="AN405" s="4">
        <v>0</v>
      </c>
      <c r="AO405" s="4">
        <v>1</v>
      </c>
      <c r="AP405" s="4"/>
      <c r="AQ405" s="4">
        <v>0</v>
      </c>
      <c r="AR405" s="4">
        <v>1</v>
      </c>
      <c r="AS405" s="4">
        <f t="shared" si="13"/>
        <v>16</v>
      </c>
      <c r="AT405" s="9" t="s">
        <v>501</v>
      </c>
    </row>
    <row r="406" spans="1:46" x14ac:dyDescent="0.2">
      <c r="A406" s="4">
        <v>1846</v>
      </c>
      <c r="B406" s="4" t="s">
        <v>22</v>
      </c>
      <c r="C406" s="5" t="s">
        <v>526</v>
      </c>
      <c r="D406" s="5" t="s">
        <v>527</v>
      </c>
      <c r="E406" s="5" t="s">
        <v>215</v>
      </c>
      <c r="F406" s="5" t="s">
        <v>500</v>
      </c>
      <c r="G406" s="13">
        <v>46289</v>
      </c>
      <c r="H406" s="13">
        <v>46290</v>
      </c>
      <c r="I406" s="9">
        <f t="shared" si="12"/>
        <v>2</v>
      </c>
      <c r="J406" s="5" t="s">
        <v>1651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4">
        <v>4</v>
      </c>
      <c r="AH406" s="4">
        <v>1</v>
      </c>
      <c r="AI406" s="4">
        <v>1</v>
      </c>
      <c r="AJ406" s="4">
        <v>2</v>
      </c>
      <c r="AK406" s="4">
        <v>4</v>
      </c>
      <c r="AL406" s="4">
        <v>3</v>
      </c>
      <c r="AM406" s="4">
        <v>1</v>
      </c>
      <c r="AN406" s="4">
        <v>0</v>
      </c>
      <c r="AO406" s="4">
        <v>1</v>
      </c>
      <c r="AP406" s="4"/>
      <c r="AQ406" s="4">
        <v>0</v>
      </c>
      <c r="AR406" s="4">
        <v>1</v>
      </c>
      <c r="AS406" s="4">
        <f t="shared" si="13"/>
        <v>17</v>
      </c>
      <c r="AT406" s="9" t="s">
        <v>501</v>
      </c>
    </row>
    <row r="407" spans="1:46" x14ac:dyDescent="0.2">
      <c r="A407" s="4">
        <v>2435</v>
      </c>
      <c r="B407" s="4" t="s">
        <v>22</v>
      </c>
      <c r="C407" s="5" t="s">
        <v>637</v>
      </c>
      <c r="D407" s="5" t="s">
        <v>638</v>
      </c>
      <c r="E407" s="5" t="s">
        <v>604</v>
      </c>
      <c r="F407" s="5" t="s">
        <v>98</v>
      </c>
      <c r="G407" s="13">
        <v>46289</v>
      </c>
      <c r="H407" s="13">
        <v>46289</v>
      </c>
      <c r="I407" s="9">
        <f t="shared" si="12"/>
        <v>1</v>
      </c>
      <c r="J407" s="5" t="s">
        <v>1651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4">
        <v>4</v>
      </c>
      <c r="AH407" s="4">
        <v>6</v>
      </c>
      <c r="AI407" s="4">
        <v>1</v>
      </c>
      <c r="AJ407" s="4">
        <v>3</v>
      </c>
      <c r="AK407" s="4">
        <v>12</v>
      </c>
      <c r="AL407" s="4">
        <v>4</v>
      </c>
      <c r="AM407" s="4">
        <v>2</v>
      </c>
      <c r="AN407" s="4">
        <v>0</v>
      </c>
      <c r="AO407" s="4">
        <v>1</v>
      </c>
      <c r="AP407" s="4"/>
      <c r="AQ407" s="4">
        <v>0</v>
      </c>
      <c r="AR407" s="4">
        <v>1</v>
      </c>
      <c r="AS407" s="4">
        <f t="shared" si="13"/>
        <v>33</v>
      </c>
      <c r="AT407" s="9" t="s">
        <v>639</v>
      </c>
    </row>
    <row r="408" spans="1:46" x14ac:dyDescent="0.2">
      <c r="A408" s="4">
        <v>2757</v>
      </c>
      <c r="B408" s="4" t="s">
        <v>22</v>
      </c>
      <c r="C408" s="5" t="s">
        <v>686</v>
      </c>
      <c r="D408" s="5" t="s">
        <v>687</v>
      </c>
      <c r="E408" s="5" t="s">
        <v>661</v>
      </c>
      <c r="F408" s="5" t="s">
        <v>68</v>
      </c>
      <c r="G408" s="13">
        <v>46289</v>
      </c>
      <c r="H408" s="13">
        <v>46289</v>
      </c>
      <c r="I408" s="9">
        <f t="shared" si="12"/>
        <v>1</v>
      </c>
      <c r="J408" s="5" t="s">
        <v>1651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4">
        <v>2</v>
      </c>
      <c r="AH408" s="4">
        <v>2</v>
      </c>
      <c r="AI408" s="4">
        <v>1</v>
      </c>
      <c r="AJ408" s="4">
        <v>2</v>
      </c>
      <c r="AK408" s="4">
        <v>4</v>
      </c>
      <c r="AL408" s="4">
        <v>2</v>
      </c>
      <c r="AM408" s="4">
        <v>1</v>
      </c>
      <c r="AN408" s="4">
        <v>0</v>
      </c>
      <c r="AO408" s="4">
        <v>1</v>
      </c>
      <c r="AP408" s="4"/>
      <c r="AQ408" s="4">
        <v>0</v>
      </c>
      <c r="AR408" s="4">
        <v>1</v>
      </c>
      <c r="AS408" s="4">
        <f t="shared" si="13"/>
        <v>15</v>
      </c>
      <c r="AT408" s="9" t="s">
        <v>662</v>
      </c>
    </row>
    <row r="409" spans="1:46" x14ac:dyDescent="0.2">
      <c r="A409" s="4">
        <v>2775</v>
      </c>
      <c r="B409" s="4" t="s">
        <v>22</v>
      </c>
      <c r="C409" s="5" t="s">
        <v>703</v>
      </c>
      <c r="D409" s="5" t="s">
        <v>704</v>
      </c>
      <c r="E409" s="5" t="s">
        <v>661</v>
      </c>
      <c r="F409" s="5" t="s">
        <v>68</v>
      </c>
      <c r="G409" s="13">
        <v>46289</v>
      </c>
      <c r="H409" s="13">
        <v>46289</v>
      </c>
      <c r="I409" s="9">
        <f t="shared" si="12"/>
        <v>1</v>
      </c>
      <c r="J409" s="5" t="s">
        <v>1651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4">
        <v>3</v>
      </c>
      <c r="AH409" s="4">
        <v>1</v>
      </c>
      <c r="AI409" s="4">
        <v>1</v>
      </c>
      <c r="AJ409" s="4">
        <v>2</v>
      </c>
      <c r="AK409" s="4">
        <v>4</v>
      </c>
      <c r="AL409" s="4">
        <v>3</v>
      </c>
      <c r="AM409" s="4">
        <v>1</v>
      </c>
      <c r="AN409" s="4">
        <v>0</v>
      </c>
      <c r="AO409" s="4">
        <v>1</v>
      </c>
      <c r="AP409" s="4"/>
      <c r="AQ409" s="4">
        <v>0</v>
      </c>
      <c r="AR409" s="4">
        <v>1</v>
      </c>
      <c r="AS409" s="4">
        <f t="shared" si="13"/>
        <v>16</v>
      </c>
      <c r="AT409" s="9" t="s">
        <v>696</v>
      </c>
    </row>
    <row r="410" spans="1:46" x14ac:dyDescent="0.2">
      <c r="A410" s="4">
        <v>3109</v>
      </c>
      <c r="B410" s="4" t="s">
        <v>22</v>
      </c>
      <c r="C410" s="5" t="s">
        <v>721</v>
      </c>
      <c r="D410" s="5" t="s">
        <v>722</v>
      </c>
      <c r="E410" s="5" t="s">
        <v>36</v>
      </c>
      <c r="F410" s="5" t="s">
        <v>26</v>
      </c>
      <c r="G410" s="13">
        <v>46289</v>
      </c>
      <c r="H410" s="13">
        <v>46289</v>
      </c>
      <c r="I410" s="9">
        <f t="shared" si="12"/>
        <v>1</v>
      </c>
      <c r="J410" s="5" t="s">
        <v>1651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4">
        <v>3</v>
      </c>
      <c r="AH410" s="4">
        <v>1</v>
      </c>
      <c r="AI410" s="4">
        <v>1</v>
      </c>
      <c r="AJ410" s="4">
        <v>2</v>
      </c>
      <c r="AK410" s="4">
        <v>4</v>
      </c>
      <c r="AL410" s="4">
        <v>3</v>
      </c>
      <c r="AM410" s="4">
        <v>1</v>
      </c>
      <c r="AN410" s="4">
        <v>0</v>
      </c>
      <c r="AO410" s="4">
        <v>1</v>
      </c>
      <c r="AP410" s="4"/>
      <c r="AQ410" s="4">
        <v>0</v>
      </c>
      <c r="AR410" s="4">
        <v>1</v>
      </c>
      <c r="AS410" s="4">
        <f t="shared" si="13"/>
        <v>16</v>
      </c>
      <c r="AT410" s="9" t="s">
        <v>44</v>
      </c>
    </row>
    <row r="411" spans="1:46" x14ac:dyDescent="0.2">
      <c r="A411" s="4">
        <v>3144</v>
      </c>
      <c r="B411" s="4" t="s">
        <v>22</v>
      </c>
      <c r="C411" s="5" t="s">
        <v>777</v>
      </c>
      <c r="D411" s="5" t="s">
        <v>778</v>
      </c>
      <c r="E411" s="5" t="s">
        <v>36</v>
      </c>
      <c r="F411" s="5" t="s">
        <v>26</v>
      </c>
      <c r="G411" s="13">
        <v>46289</v>
      </c>
      <c r="H411" s="13">
        <v>46289</v>
      </c>
      <c r="I411" s="9">
        <f t="shared" si="12"/>
        <v>1</v>
      </c>
      <c r="J411" s="5" t="s">
        <v>1651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4">
        <v>2</v>
      </c>
      <c r="AH411" s="4">
        <v>2</v>
      </c>
      <c r="AI411" s="4">
        <v>1</v>
      </c>
      <c r="AJ411" s="4">
        <v>2</v>
      </c>
      <c r="AK411" s="4">
        <v>3</v>
      </c>
      <c r="AL411" s="4">
        <v>2</v>
      </c>
      <c r="AM411" s="4">
        <v>1</v>
      </c>
      <c r="AN411" s="4">
        <v>0</v>
      </c>
      <c r="AO411" s="4">
        <v>1</v>
      </c>
      <c r="AP411" s="4"/>
      <c r="AQ411" s="4">
        <v>0</v>
      </c>
      <c r="AR411" s="4">
        <v>1</v>
      </c>
      <c r="AS411" s="4">
        <f t="shared" si="13"/>
        <v>14</v>
      </c>
      <c r="AT411" s="9" t="s">
        <v>51</v>
      </c>
    </row>
    <row r="412" spans="1:46" x14ac:dyDescent="0.2">
      <c r="A412" s="4">
        <v>3156</v>
      </c>
      <c r="B412" s="4" t="s">
        <v>22</v>
      </c>
      <c r="C412" s="5" t="s">
        <v>797</v>
      </c>
      <c r="D412" s="5" t="s">
        <v>798</v>
      </c>
      <c r="E412" s="5" t="s">
        <v>36</v>
      </c>
      <c r="F412" s="5" t="s">
        <v>26</v>
      </c>
      <c r="G412" s="13">
        <v>46289</v>
      </c>
      <c r="H412" s="13">
        <v>46289</v>
      </c>
      <c r="I412" s="9">
        <f t="shared" si="12"/>
        <v>1</v>
      </c>
      <c r="J412" s="5" t="s">
        <v>1651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4">
        <v>3</v>
      </c>
      <c r="AH412" s="4">
        <v>2</v>
      </c>
      <c r="AI412" s="4">
        <v>1</v>
      </c>
      <c r="AJ412" s="4">
        <v>2</v>
      </c>
      <c r="AK412" s="4">
        <v>5</v>
      </c>
      <c r="AL412" s="4">
        <v>2</v>
      </c>
      <c r="AM412" s="4">
        <v>1</v>
      </c>
      <c r="AN412" s="4">
        <v>0</v>
      </c>
      <c r="AO412" s="4">
        <v>1</v>
      </c>
      <c r="AP412" s="4"/>
      <c r="AQ412" s="4">
        <v>0</v>
      </c>
      <c r="AR412" s="4">
        <v>1</v>
      </c>
      <c r="AS412" s="4">
        <f t="shared" si="13"/>
        <v>17</v>
      </c>
      <c r="AT412" s="9" t="s">
        <v>37</v>
      </c>
    </row>
    <row r="413" spans="1:46" x14ac:dyDescent="0.2">
      <c r="A413" s="4">
        <v>3178</v>
      </c>
      <c r="B413" s="4" t="s">
        <v>22</v>
      </c>
      <c r="C413" s="5" t="s">
        <v>829</v>
      </c>
      <c r="D413" s="5" t="s">
        <v>830</v>
      </c>
      <c r="E413" s="5" t="s">
        <v>36</v>
      </c>
      <c r="F413" s="5" t="s">
        <v>26</v>
      </c>
      <c r="G413" s="13">
        <v>46289</v>
      </c>
      <c r="H413" s="13">
        <v>46289</v>
      </c>
      <c r="I413" s="9">
        <f t="shared" si="12"/>
        <v>1</v>
      </c>
      <c r="J413" s="5" t="s">
        <v>1651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4">
        <v>3</v>
      </c>
      <c r="AH413" s="4">
        <v>2</v>
      </c>
      <c r="AI413" s="4">
        <v>1</v>
      </c>
      <c r="AJ413" s="4">
        <v>2</v>
      </c>
      <c r="AK413" s="4">
        <v>5</v>
      </c>
      <c r="AL413" s="4">
        <v>2</v>
      </c>
      <c r="AM413" s="4">
        <v>1</v>
      </c>
      <c r="AN413" s="4">
        <v>0</v>
      </c>
      <c r="AO413" s="4">
        <v>1</v>
      </c>
      <c r="AP413" s="4"/>
      <c r="AQ413" s="4">
        <v>0</v>
      </c>
      <c r="AR413" s="4">
        <v>1</v>
      </c>
      <c r="AS413" s="4">
        <f t="shared" si="13"/>
        <v>17</v>
      </c>
      <c r="AT413" s="9" t="s">
        <v>64</v>
      </c>
    </row>
    <row r="414" spans="1:46" x14ac:dyDescent="0.2">
      <c r="A414" s="4">
        <v>3909</v>
      </c>
      <c r="B414" s="4" t="s">
        <v>22</v>
      </c>
      <c r="C414" s="5" t="s">
        <v>889</v>
      </c>
      <c r="D414" s="5" t="s">
        <v>890</v>
      </c>
      <c r="E414" s="5" t="s">
        <v>873</v>
      </c>
      <c r="F414" s="5" t="s">
        <v>574</v>
      </c>
      <c r="G414" s="13">
        <v>46289</v>
      </c>
      <c r="H414" s="13">
        <v>46289</v>
      </c>
      <c r="I414" s="9">
        <f t="shared" si="12"/>
        <v>1</v>
      </c>
      <c r="J414" s="5" t="s">
        <v>1651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4">
        <v>2</v>
      </c>
      <c r="AH414" s="4">
        <v>1</v>
      </c>
      <c r="AI414" s="4">
        <v>1</v>
      </c>
      <c r="AJ414" s="4">
        <v>2</v>
      </c>
      <c r="AK414" s="4">
        <v>3</v>
      </c>
      <c r="AL414" s="4">
        <v>2</v>
      </c>
      <c r="AM414" s="4">
        <v>1</v>
      </c>
      <c r="AN414" s="4">
        <v>0</v>
      </c>
      <c r="AO414" s="4">
        <v>1</v>
      </c>
      <c r="AP414" s="4"/>
      <c r="AQ414" s="4">
        <v>0</v>
      </c>
      <c r="AR414" s="4">
        <v>1</v>
      </c>
      <c r="AS414" s="4">
        <f t="shared" si="13"/>
        <v>13</v>
      </c>
      <c r="AT414" s="9" t="s">
        <v>874</v>
      </c>
    </row>
    <row r="415" spans="1:46" x14ac:dyDescent="0.2">
      <c r="A415" s="4">
        <v>4830</v>
      </c>
      <c r="B415" s="4" t="s">
        <v>22</v>
      </c>
      <c r="C415" s="5" t="s">
        <v>543</v>
      </c>
      <c r="D415" s="5" t="s">
        <v>544</v>
      </c>
      <c r="E415" s="5" t="s">
        <v>286</v>
      </c>
      <c r="F415" s="5" t="s">
        <v>546</v>
      </c>
      <c r="G415" s="13">
        <v>46289</v>
      </c>
      <c r="H415" s="13">
        <v>46289</v>
      </c>
      <c r="I415" s="9">
        <f t="shared" si="12"/>
        <v>1</v>
      </c>
      <c r="J415" s="5" t="s">
        <v>1651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4">
        <v>5</v>
      </c>
      <c r="AH415" s="4">
        <v>3</v>
      </c>
      <c r="AI415" s="4">
        <v>1</v>
      </c>
      <c r="AJ415" s="4">
        <v>2</v>
      </c>
      <c r="AK415" s="4">
        <v>7</v>
      </c>
      <c r="AL415" s="4">
        <v>3</v>
      </c>
      <c r="AM415" s="4">
        <v>1</v>
      </c>
      <c r="AN415" s="4">
        <v>0</v>
      </c>
      <c r="AO415" s="4">
        <v>1</v>
      </c>
      <c r="AP415" s="4"/>
      <c r="AQ415" s="4">
        <v>0</v>
      </c>
      <c r="AR415" s="4">
        <v>1</v>
      </c>
      <c r="AS415" s="4">
        <f t="shared" si="13"/>
        <v>23</v>
      </c>
      <c r="AT415" s="9" t="s">
        <v>1034</v>
      </c>
    </row>
    <row r="416" spans="1:46" x14ac:dyDescent="0.2">
      <c r="A416" s="4">
        <v>5117</v>
      </c>
      <c r="B416" s="4" t="s">
        <v>22</v>
      </c>
      <c r="C416" s="5" t="s">
        <v>1128</v>
      </c>
      <c r="D416" s="5" t="s">
        <v>1129</v>
      </c>
      <c r="E416" s="5" t="s">
        <v>1107</v>
      </c>
      <c r="F416" s="5" t="s">
        <v>98</v>
      </c>
      <c r="G416" s="13">
        <v>46289</v>
      </c>
      <c r="H416" s="13">
        <v>46290</v>
      </c>
      <c r="I416" s="9">
        <f t="shared" si="12"/>
        <v>2</v>
      </c>
      <c r="J416" s="5" t="s">
        <v>1651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4">
        <v>3</v>
      </c>
      <c r="AH416" s="4">
        <v>1</v>
      </c>
      <c r="AI416" s="4">
        <v>1</v>
      </c>
      <c r="AJ416" s="4">
        <v>2</v>
      </c>
      <c r="AK416" s="4">
        <v>4</v>
      </c>
      <c r="AL416" s="4">
        <v>3</v>
      </c>
      <c r="AM416" s="4">
        <v>1</v>
      </c>
      <c r="AN416" s="4">
        <v>0</v>
      </c>
      <c r="AO416" s="4">
        <v>1</v>
      </c>
      <c r="AP416" s="4"/>
      <c r="AQ416" s="4">
        <v>0</v>
      </c>
      <c r="AR416" s="4">
        <v>1</v>
      </c>
      <c r="AS416" s="4">
        <f t="shared" si="13"/>
        <v>16</v>
      </c>
      <c r="AT416" s="9" t="s">
        <v>1111</v>
      </c>
    </row>
    <row r="417" spans="1:46" x14ac:dyDescent="0.2">
      <c r="A417" s="4">
        <v>5750</v>
      </c>
      <c r="B417" s="4" t="s">
        <v>22</v>
      </c>
      <c r="C417" s="5" t="s">
        <v>1205</v>
      </c>
      <c r="D417" s="5" t="s">
        <v>1206</v>
      </c>
      <c r="E417" s="5" t="s">
        <v>538</v>
      </c>
      <c r="F417" s="5" t="s">
        <v>500</v>
      </c>
      <c r="G417" s="13">
        <v>46289</v>
      </c>
      <c r="H417" s="13">
        <v>46290</v>
      </c>
      <c r="I417" s="9">
        <f t="shared" si="12"/>
        <v>2</v>
      </c>
      <c r="J417" s="5" t="s">
        <v>1651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4">
        <v>3</v>
      </c>
      <c r="AH417" s="4">
        <v>1</v>
      </c>
      <c r="AI417" s="4">
        <v>1</v>
      </c>
      <c r="AJ417" s="4">
        <v>2</v>
      </c>
      <c r="AK417" s="4">
        <v>4</v>
      </c>
      <c r="AL417" s="4">
        <v>2</v>
      </c>
      <c r="AM417" s="4">
        <v>1</v>
      </c>
      <c r="AN417" s="4">
        <v>0</v>
      </c>
      <c r="AO417" s="4">
        <v>1</v>
      </c>
      <c r="AP417" s="4"/>
      <c r="AQ417" s="4">
        <v>0</v>
      </c>
      <c r="AR417" s="4">
        <v>1</v>
      </c>
      <c r="AS417" s="4">
        <f t="shared" si="13"/>
        <v>15</v>
      </c>
      <c r="AT417" s="9" t="s">
        <v>1193</v>
      </c>
    </row>
    <row r="418" spans="1:46" x14ac:dyDescent="0.2">
      <c r="A418" s="4">
        <v>6320</v>
      </c>
      <c r="B418" s="4" t="s">
        <v>22</v>
      </c>
      <c r="C418" s="5" t="s">
        <v>1318</v>
      </c>
      <c r="D418" s="5" t="s">
        <v>1319</v>
      </c>
      <c r="E418" s="5" t="s">
        <v>1301</v>
      </c>
      <c r="F418" s="5" t="s">
        <v>68</v>
      </c>
      <c r="G418" s="13">
        <v>46289</v>
      </c>
      <c r="H418" s="13">
        <v>46289</v>
      </c>
      <c r="I418" s="9">
        <f t="shared" si="12"/>
        <v>1</v>
      </c>
      <c r="J418" s="5" t="s">
        <v>1651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4">
        <v>3</v>
      </c>
      <c r="AH418" s="4">
        <v>3</v>
      </c>
      <c r="AI418" s="4">
        <v>1</v>
      </c>
      <c r="AJ418" s="4">
        <v>2</v>
      </c>
      <c r="AK418" s="4">
        <v>6</v>
      </c>
      <c r="AL418" s="4">
        <v>3</v>
      </c>
      <c r="AM418" s="4">
        <v>1</v>
      </c>
      <c r="AN418" s="4">
        <v>0</v>
      </c>
      <c r="AO418" s="4">
        <v>1</v>
      </c>
      <c r="AP418" s="4"/>
      <c r="AQ418" s="4">
        <v>0</v>
      </c>
      <c r="AR418" s="4">
        <v>1</v>
      </c>
      <c r="AS418" s="4">
        <f t="shared" si="13"/>
        <v>20</v>
      </c>
      <c r="AT418" s="9" t="s">
        <v>1320</v>
      </c>
    </row>
    <row r="419" spans="1:46" x14ac:dyDescent="0.2">
      <c r="A419" s="4">
        <v>6649</v>
      </c>
      <c r="B419" s="4" t="s">
        <v>22</v>
      </c>
      <c r="C419" s="5" t="s">
        <v>1421</v>
      </c>
      <c r="D419" s="5" t="s">
        <v>1422</v>
      </c>
      <c r="E419" s="5" t="s">
        <v>1346</v>
      </c>
      <c r="F419" s="5" t="s">
        <v>574</v>
      </c>
      <c r="G419" s="13">
        <v>46289</v>
      </c>
      <c r="H419" s="13">
        <v>46289</v>
      </c>
      <c r="I419" s="9">
        <f t="shared" si="12"/>
        <v>1</v>
      </c>
      <c r="J419" s="5" t="s">
        <v>1651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4">
        <v>3</v>
      </c>
      <c r="AH419" s="4">
        <v>2</v>
      </c>
      <c r="AI419" s="4">
        <v>1</v>
      </c>
      <c r="AJ419" s="4">
        <v>2</v>
      </c>
      <c r="AK419" s="4">
        <v>6</v>
      </c>
      <c r="AL419" s="4">
        <v>2</v>
      </c>
      <c r="AM419" s="4">
        <v>1</v>
      </c>
      <c r="AN419" s="4">
        <v>0</v>
      </c>
      <c r="AO419" s="4">
        <v>1</v>
      </c>
      <c r="AP419" s="4"/>
      <c r="AQ419" s="4">
        <v>1</v>
      </c>
      <c r="AR419" s="4">
        <v>1</v>
      </c>
      <c r="AS419" s="4">
        <f t="shared" si="13"/>
        <v>19</v>
      </c>
      <c r="AT419" s="9" t="s">
        <v>1364</v>
      </c>
    </row>
    <row r="420" spans="1:46" x14ac:dyDescent="0.2">
      <c r="A420" s="4">
        <v>6922</v>
      </c>
      <c r="B420" s="4" t="s">
        <v>22</v>
      </c>
      <c r="C420" s="5" t="s">
        <v>1458</v>
      </c>
      <c r="D420" s="5" t="s">
        <v>1459</v>
      </c>
      <c r="E420" s="5" t="s">
        <v>545</v>
      </c>
      <c r="F420" s="5" t="s">
        <v>546</v>
      </c>
      <c r="G420" s="13">
        <v>46289</v>
      </c>
      <c r="H420" s="13">
        <v>46289</v>
      </c>
      <c r="I420" s="9">
        <f t="shared" si="12"/>
        <v>1</v>
      </c>
      <c r="J420" s="5" t="s">
        <v>1651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4">
        <v>5</v>
      </c>
      <c r="AH420" s="4">
        <v>4</v>
      </c>
      <c r="AI420" s="4">
        <v>1</v>
      </c>
      <c r="AJ420" s="4">
        <v>3</v>
      </c>
      <c r="AK420" s="4">
        <v>9</v>
      </c>
      <c r="AL420" s="4">
        <v>4</v>
      </c>
      <c r="AM420" s="4">
        <v>2</v>
      </c>
      <c r="AN420" s="4">
        <v>0</v>
      </c>
      <c r="AO420" s="4">
        <v>1</v>
      </c>
      <c r="AP420" s="4"/>
      <c r="AQ420" s="4">
        <v>0</v>
      </c>
      <c r="AR420" s="4">
        <v>1</v>
      </c>
      <c r="AS420" s="4">
        <f t="shared" si="13"/>
        <v>29</v>
      </c>
      <c r="AT420" s="9" t="s">
        <v>547</v>
      </c>
    </row>
    <row r="421" spans="1:46" x14ac:dyDescent="0.2">
      <c r="A421" s="4">
        <v>1385</v>
      </c>
      <c r="B421" s="4" t="s">
        <v>22</v>
      </c>
      <c r="C421" s="5" t="s">
        <v>230</v>
      </c>
      <c r="D421" s="5" t="s">
        <v>124</v>
      </c>
      <c r="E421" s="5" t="s">
        <v>118</v>
      </c>
      <c r="F421" s="5" t="s">
        <v>119</v>
      </c>
      <c r="G421" s="13">
        <v>46290</v>
      </c>
      <c r="H421" s="13">
        <v>46290</v>
      </c>
      <c r="I421" s="9">
        <f t="shared" si="12"/>
        <v>1</v>
      </c>
      <c r="J421" s="5" t="s">
        <v>1651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4">
        <v>3</v>
      </c>
      <c r="AH421" s="4">
        <v>1</v>
      </c>
      <c r="AI421" s="4">
        <v>1</v>
      </c>
      <c r="AJ421" s="4">
        <v>2</v>
      </c>
      <c r="AK421" s="4">
        <v>4</v>
      </c>
      <c r="AL421" s="4">
        <v>2</v>
      </c>
      <c r="AM421" s="4">
        <v>1</v>
      </c>
      <c r="AN421" s="4">
        <v>0</v>
      </c>
      <c r="AO421" s="4">
        <v>1</v>
      </c>
      <c r="AP421" s="4"/>
      <c r="AQ421" s="4">
        <v>0</v>
      </c>
      <c r="AR421" s="4">
        <v>1</v>
      </c>
      <c r="AS421" s="4">
        <f t="shared" si="13"/>
        <v>15</v>
      </c>
      <c r="AT421" s="4" t="s">
        <v>125</v>
      </c>
    </row>
    <row r="422" spans="1:46" x14ac:dyDescent="0.2">
      <c r="A422" s="4">
        <v>1414</v>
      </c>
      <c r="B422" s="4" t="s">
        <v>22</v>
      </c>
      <c r="C422" s="5" t="s">
        <v>265</v>
      </c>
      <c r="D422" s="5" t="s">
        <v>266</v>
      </c>
      <c r="E422" s="5" t="s">
        <v>118</v>
      </c>
      <c r="F422" s="5" t="s">
        <v>119</v>
      </c>
      <c r="G422" s="13">
        <v>46290</v>
      </c>
      <c r="H422" s="13">
        <v>46290</v>
      </c>
      <c r="I422" s="9">
        <f t="shared" si="12"/>
        <v>1</v>
      </c>
      <c r="J422" s="5" t="s">
        <v>1651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4">
        <v>2</v>
      </c>
      <c r="AH422" s="4">
        <v>1</v>
      </c>
      <c r="AI422" s="4">
        <v>1</v>
      </c>
      <c r="AJ422" s="4">
        <v>2</v>
      </c>
      <c r="AK422" s="4">
        <v>3</v>
      </c>
      <c r="AL422" s="4">
        <v>2</v>
      </c>
      <c r="AM422" s="4">
        <v>1</v>
      </c>
      <c r="AN422" s="4">
        <v>0</v>
      </c>
      <c r="AO422" s="4">
        <v>1</v>
      </c>
      <c r="AP422" s="4"/>
      <c r="AQ422" s="4">
        <v>0</v>
      </c>
      <c r="AR422" s="4">
        <v>1</v>
      </c>
      <c r="AS422" s="4">
        <f t="shared" si="13"/>
        <v>13</v>
      </c>
      <c r="AT422" s="4" t="s">
        <v>120</v>
      </c>
    </row>
    <row r="423" spans="1:46" x14ac:dyDescent="0.2">
      <c r="A423" s="4">
        <v>1422</v>
      </c>
      <c r="B423" s="4" t="s">
        <v>22</v>
      </c>
      <c r="C423" s="5" t="s">
        <v>271</v>
      </c>
      <c r="D423" s="5" t="s">
        <v>272</v>
      </c>
      <c r="E423" s="5" t="s">
        <v>118</v>
      </c>
      <c r="F423" s="5" t="s">
        <v>119</v>
      </c>
      <c r="G423" s="13">
        <v>46290</v>
      </c>
      <c r="H423" s="13">
        <v>46290</v>
      </c>
      <c r="I423" s="9">
        <f t="shared" si="12"/>
        <v>1</v>
      </c>
      <c r="J423" s="5" t="s">
        <v>1651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4">
        <v>2</v>
      </c>
      <c r="AH423" s="4">
        <v>1</v>
      </c>
      <c r="AI423" s="4">
        <v>1</v>
      </c>
      <c r="AJ423" s="4">
        <v>2</v>
      </c>
      <c r="AK423" s="4">
        <v>3</v>
      </c>
      <c r="AL423" s="4">
        <v>2</v>
      </c>
      <c r="AM423" s="4">
        <v>1</v>
      </c>
      <c r="AN423" s="4">
        <v>0</v>
      </c>
      <c r="AO423" s="4">
        <v>1</v>
      </c>
      <c r="AP423" s="4"/>
      <c r="AQ423" s="4">
        <v>0</v>
      </c>
      <c r="AR423" s="4">
        <v>1</v>
      </c>
      <c r="AS423" s="4">
        <f t="shared" si="13"/>
        <v>13</v>
      </c>
      <c r="AT423" s="4" t="s">
        <v>120</v>
      </c>
    </row>
    <row r="424" spans="1:46" x14ac:dyDescent="0.2">
      <c r="A424" s="4">
        <v>1428</v>
      </c>
      <c r="B424" s="4" t="s">
        <v>22</v>
      </c>
      <c r="C424" s="10" t="s">
        <v>277</v>
      </c>
      <c r="D424" s="10" t="s">
        <v>278</v>
      </c>
      <c r="E424" s="10" t="s">
        <v>118</v>
      </c>
      <c r="F424" s="10" t="s">
        <v>119</v>
      </c>
      <c r="G424" s="13">
        <v>46290</v>
      </c>
      <c r="H424" s="13">
        <v>46290</v>
      </c>
      <c r="I424" s="9">
        <f t="shared" si="12"/>
        <v>1</v>
      </c>
      <c r="J424" s="5" t="s">
        <v>1651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4">
        <v>5</v>
      </c>
      <c r="AH424" s="4">
        <v>3</v>
      </c>
      <c r="AI424" s="4">
        <v>1</v>
      </c>
      <c r="AJ424" s="4">
        <v>3</v>
      </c>
      <c r="AK424" s="4">
        <v>9</v>
      </c>
      <c r="AL424" s="4">
        <v>4</v>
      </c>
      <c r="AM424" s="4">
        <v>2</v>
      </c>
      <c r="AN424" s="4">
        <v>0</v>
      </c>
      <c r="AO424" s="4">
        <v>1</v>
      </c>
      <c r="AP424" s="8"/>
      <c r="AQ424" s="4">
        <v>1</v>
      </c>
      <c r="AR424" s="4">
        <v>1</v>
      </c>
      <c r="AS424" s="4">
        <f t="shared" si="13"/>
        <v>29</v>
      </c>
      <c r="AT424" s="4" t="s">
        <v>137</v>
      </c>
    </row>
    <row r="425" spans="1:46" x14ac:dyDescent="0.2">
      <c r="A425" s="4">
        <v>1511</v>
      </c>
      <c r="B425" s="4" t="s">
        <v>22</v>
      </c>
      <c r="C425" s="5" t="s">
        <v>352</v>
      </c>
      <c r="D425" s="5" t="s">
        <v>353</v>
      </c>
      <c r="E425" s="5" t="s">
        <v>330</v>
      </c>
      <c r="F425" s="5" t="s">
        <v>331</v>
      </c>
      <c r="G425" s="13">
        <v>46290</v>
      </c>
      <c r="H425" s="13">
        <v>46290</v>
      </c>
      <c r="I425" s="9">
        <f t="shared" si="12"/>
        <v>1</v>
      </c>
      <c r="J425" s="5" t="s">
        <v>1651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4">
        <v>5</v>
      </c>
      <c r="AH425" s="4">
        <v>4</v>
      </c>
      <c r="AI425" s="4">
        <v>1</v>
      </c>
      <c r="AJ425" s="4">
        <v>3</v>
      </c>
      <c r="AK425" s="4">
        <v>9</v>
      </c>
      <c r="AL425" s="4">
        <v>5</v>
      </c>
      <c r="AM425" s="4">
        <v>2</v>
      </c>
      <c r="AN425" s="4">
        <v>3</v>
      </c>
      <c r="AO425" s="4">
        <v>2</v>
      </c>
      <c r="AP425" s="4"/>
      <c r="AQ425" s="4">
        <v>0</v>
      </c>
      <c r="AR425" s="4">
        <v>1</v>
      </c>
      <c r="AS425" s="4">
        <f t="shared" si="13"/>
        <v>34</v>
      </c>
      <c r="AT425" s="9" t="s">
        <v>77</v>
      </c>
    </row>
    <row r="426" spans="1:46" x14ac:dyDescent="0.2">
      <c r="A426" s="4">
        <v>2103</v>
      </c>
      <c r="B426" s="4" t="s">
        <v>22</v>
      </c>
      <c r="C426" s="5" t="s">
        <v>550</v>
      </c>
      <c r="D426" s="5" t="s">
        <v>551</v>
      </c>
      <c r="E426" s="5" t="s">
        <v>545</v>
      </c>
      <c r="F426" s="5" t="s">
        <v>546</v>
      </c>
      <c r="G426" s="13">
        <v>46290</v>
      </c>
      <c r="H426" s="13">
        <v>46290</v>
      </c>
      <c r="I426" s="9">
        <f t="shared" si="12"/>
        <v>1</v>
      </c>
      <c r="J426" s="5" t="s">
        <v>1651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4">
        <v>2</v>
      </c>
      <c r="AH426" s="4">
        <v>2</v>
      </c>
      <c r="AI426" s="4">
        <v>1</v>
      </c>
      <c r="AJ426" s="4">
        <v>2</v>
      </c>
      <c r="AK426" s="4">
        <v>4</v>
      </c>
      <c r="AL426" s="4">
        <v>2</v>
      </c>
      <c r="AM426" s="4">
        <v>1</v>
      </c>
      <c r="AN426" s="4">
        <v>0</v>
      </c>
      <c r="AO426" s="4">
        <v>1</v>
      </c>
      <c r="AP426" s="4"/>
      <c r="AQ426" s="4">
        <v>0</v>
      </c>
      <c r="AR426" s="4">
        <v>1</v>
      </c>
      <c r="AS426" s="4">
        <f t="shared" si="13"/>
        <v>15</v>
      </c>
      <c r="AT426" s="9" t="s">
        <v>547</v>
      </c>
    </row>
    <row r="427" spans="1:46" x14ac:dyDescent="0.2">
      <c r="A427" s="4">
        <v>2115</v>
      </c>
      <c r="B427" s="4" t="s">
        <v>22</v>
      </c>
      <c r="C427" s="5" t="s">
        <v>151</v>
      </c>
      <c r="D427" s="5" t="s">
        <v>152</v>
      </c>
      <c r="E427" s="5" t="s">
        <v>545</v>
      </c>
      <c r="F427" s="5" t="s">
        <v>546</v>
      </c>
      <c r="G427" s="13">
        <v>46290</v>
      </c>
      <c r="H427" s="13">
        <v>46290</v>
      </c>
      <c r="I427" s="9">
        <f t="shared" si="12"/>
        <v>1</v>
      </c>
      <c r="J427" s="5" t="s">
        <v>1651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4">
        <v>2</v>
      </c>
      <c r="AH427" s="4">
        <v>2</v>
      </c>
      <c r="AI427" s="4">
        <v>1</v>
      </c>
      <c r="AJ427" s="4">
        <v>2</v>
      </c>
      <c r="AK427" s="4">
        <v>4</v>
      </c>
      <c r="AL427" s="4">
        <v>2</v>
      </c>
      <c r="AM427" s="4">
        <v>1</v>
      </c>
      <c r="AN427" s="4">
        <v>0</v>
      </c>
      <c r="AO427" s="4">
        <v>1</v>
      </c>
      <c r="AP427" s="4"/>
      <c r="AQ427" s="4">
        <v>0</v>
      </c>
      <c r="AR427" s="4">
        <v>1</v>
      </c>
      <c r="AS427" s="4">
        <f t="shared" si="13"/>
        <v>15</v>
      </c>
      <c r="AT427" s="9" t="s">
        <v>547</v>
      </c>
    </row>
    <row r="428" spans="1:46" x14ac:dyDescent="0.2">
      <c r="A428" s="4">
        <v>2773</v>
      </c>
      <c r="B428" s="4" t="s">
        <v>22</v>
      </c>
      <c r="C428" s="5" t="s">
        <v>701</v>
      </c>
      <c r="D428" s="5" t="s">
        <v>702</v>
      </c>
      <c r="E428" s="5" t="s">
        <v>661</v>
      </c>
      <c r="F428" s="5" t="s">
        <v>68</v>
      </c>
      <c r="G428" s="13">
        <v>46290</v>
      </c>
      <c r="H428" s="13">
        <v>46290</v>
      </c>
      <c r="I428" s="9">
        <f t="shared" si="12"/>
        <v>1</v>
      </c>
      <c r="J428" s="5" t="s">
        <v>1651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4">
        <v>2</v>
      </c>
      <c r="AH428" s="4">
        <v>1</v>
      </c>
      <c r="AI428" s="4">
        <v>1</v>
      </c>
      <c r="AJ428" s="4">
        <v>2</v>
      </c>
      <c r="AK428" s="4">
        <v>3</v>
      </c>
      <c r="AL428" s="4">
        <v>2</v>
      </c>
      <c r="AM428" s="4">
        <v>1</v>
      </c>
      <c r="AN428" s="4">
        <v>0</v>
      </c>
      <c r="AO428" s="4">
        <v>1</v>
      </c>
      <c r="AP428" s="4"/>
      <c r="AQ428" s="4">
        <v>0</v>
      </c>
      <c r="AR428" s="4">
        <v>1</v>
      </c>
      <c r="AS428" s="4">
        <f t="shared" si="13"/>
        <v>13</v>
      </c>
      <c r="AT428" s="9" t="s">
        <v>662</v>
      </c>
    </row>
    <row r="429" spans="1:46" x14ac:dyDescent="0.2">
      <c r="A429" s="4">
        <v>2790</v>
      </c>
      <c r="B429" s="4" t="s">
        <v>22</v>
      </c>
      <c r="C429" s="5" t="s">
        <v>711</v>
      </c>
      <c r="D429" s="5" t="s">
        <v>712</v>
      </c>
      <c r="E429" s="5" t="s">
        <v>661</v>
      </c>
      <c r="F429" s="5" t="s">
        <v>68</v>
      </c>
      <c r="G429" s="13">
        <v>46290</v>
      </c>
      <c r="H429" s="13">
        <v>46290</v>
      </c>
      <c r="I429" s="9">
        <f t="shared" si="12"/>
        <v>1</v>
      </c>
      <c r="J429" s="5" t="s">
        <v>1651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4">
        <v>2</v>
      </c>
      <c r="AH429" s="4">
        <v>2</v>
      </c>
      <c r="AI429" s="4">
        <v>1</v>
      </c>
      <c r="AJ429" s="4">
        <v>2</v>
      </c>
      <c r="AK429" s="4">
        <v>4</v>
      </c>
      <c r="AL429" s="4">
        <v>2</v>
      </c>
      <c r="AM429" s="4">
        <v>1</v>
      </c>
      <c r="AN429" s="4">
        <v>0</v>
      </c>
      <c r="AO429" s="4">
        <v>1</v>
      </c>
      <c r="AP429" s="4"/>
      <c r="AQ429" s="4">
        <v>0</v>
      </c>
      <c r="AR429" s="4">
        <v>1</v>
      </c>
      <c r="AS429" s="4">
        <f t="shared" si="13"/>
        <v>15</v>
      </c>
      <c r="AT429" s="9" t="s">
        <v>696</v>
      </c>
    </row>
    <row r="430" spans="1:46" x14ac:dyDescent="0.2">
      <c r="A430" s="4">
        <v>3106</v>
      </c>
      <c r="B430" s="4" t="s">
        <v>22</v>
      </c>
      <c r="C430" s="5" t="s">
        <v>717</v>
      </c>
      <c r="D430" s="5" t="s">
        <v>718</v>
      </c>
      <c r="E430" s="5" t="s">
        <v>36</v>
      </c>
      <c r="F430" s="5" t="s">
        <v>26</v>
      </c>
      <c r="G430" s="13">
        <v>46290</v>
      </c>
      <c r="H430" s="13">
        <v>46290</v>
      </c>
      <c r="I430" s="9">
        <f t="shared" si="12"/>
        <v>1</v>
      </c>
      <c r="J430" s="5" t="s">
        <v>1651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4">
        <v>3</v>
      </c>
      <c r="AH430" s="4">
        <v>1</v>
      </c>
      <c r="AI430" s="4">
        <v>1</v>
      </c>
      <c r="AJ430" s="4">
        <v>2</v>
      </c>
      <c r="AK430" s="4">
        <v>4</v>
      </c>
      <c r="AL430" s="4">
        <v>3</v>
      </c>
      <c r="AM430" s="4">
        <v>1</v>
      </c>
      <c r="AN430" s="4">
        <v>0</v>
      </c>
      <c r="AO430" s="4">
        <v>1</v>
      </c>
      <c r="AP430" s="4"/>
      <c r="AQ430" s="4">
        <v>0</v>
      </c>
      <c r="AR430" s="4">
        <v>1</v>
      </c>
      <c r="AS430" s="4">
        <f t="shared" si="13"/>
        <v>16</v>
      </c>
      <c r="AT430" s="9" t="s">
        <v>44</v>
      </c>
    </row>
    <row r="431" spans="1:46" x14ac:dyDescent="0.2">
      <c r="A431" s="4">
        <v>3149</v>
      </c>
      <c r="B431" s="4" t="s">
        <v>22</v>
      </c>
      <c r="C431" s="5" t="s">
        <v>785</v>
      </c>
      <c r="D431" s="5" t="s">
        <v>786</v>
      </c>
      <c r="E431" s="5" t="s">
        <v>36</v>
      </c>
      <c r="F431" s="5" t="s">
        <v>26</v>
      </c>
      <c r="G431" s="13">
        <v>46290</v>
      </c>
      <c r="H431" s="13">
        <v>46290</v>
      </c>
      <c r="I431" s="9">
        <f t="shared" si="12"/>
        <v>1</v>
      </c>
      <c r="J431" s="5" t="s">
        <v>1651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4">
        <v>3</v>
      </c>
      <c r="AH431" s="4">
        <v>1</v>
      </c>
      <c r="AI431" s="4">
        <v>1</v>
      </c>
      <c r="AJ431" s="4">
        <v>2</v>
      </c>
      <c r="AK431" s="4">
        <v>4</v>
      </c>
      <c r="AL431" s="4">
        <v>3</v>
      </c>
      <c r="AM431" s="4">
        <v>1</v>
      </c>
      <c r="AN431" s="4">
        <v>0</v>
      </c>
      <c r="AO431" s="4">
        <v>1</v>
      </c>
      <c r="AP431" s="4"/>
      <c r="AQ431" s="4">
        <v>1</v>
      </c>
      <c r="AR431" s="4">
        <v>1</v>
      </c>
      <c r="AS431" s="4">
        <f t="shared" si="13"/>
        <v>17</v>
      </c>
      <c r="AT431" s="9" t="s">
        <v>64</v>
      </c>
    </row>
    <row r="432" spans="1:46" x14ac:dyDescent="0.2">
      <c r="A432" s="4">
        <v>3153</v>
      </c>
      <c r="B432" s="4" t="s">
        <v>22</v>
      </c>
      <c r="C432" s="5" t="s">
        <v>791</v>
      </c>
      <c r="D432" s="5" t="s">
        <v>792</v>
      </c>
      <c r="E432" s="5" t="s">
        <v>36</v>
      </c>
      <c r="F432" s="5" t="s">
        <v>26</v>
      </c>
      <c r="G432" s="13">
        <v>46290</v>
      </c>
      <c r="H432" s="13">
        <v>46290</v>
      </c>
      <c r="I432" s="9">
        <f t="shared" si="12"/>
        <v>1</v>
      </c>
      <c r="J432" s="5" t="s">
        <v>1651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4">
        <v>4</v>
      </c>
      <c r="AH432" s="4">
        <v>2</v>
      </c>
      <c r="AI432" s="4">
        <v>1</v>
      </c>
      <c r="AJ432" s="4">
        <v>2</v>
      </c>
      <c r="AK432" s="4">
        <v>6</v>
      </c>
      <c r="AL432" s="4">
        <v>3</v>
      </c>
      <c r="AM432" s="4">
        <v>1</v>
      </c>
      <c r="AN432" s="4">
        <v>0</v>
      </c>
      <c r="AO432" s="4">
        <v>1</v>
      </c>
      <c r="AP432" s="4"/>
      <c r="AQ432" s="4">
        <v>0</v>
      </c>
      <c r="AR432" s="4">
        <v>1</v>
      </c>
      <c r="AS432" s="4">
        <f t="shared" si="13"/>
        <v>20</v>
      </c>
      <c r="AT432" s="9" t="s">
        <v>37</v>
      </c>
    </row>
    <row r="433" spans="1:46" x14ac:dyDescent="0.2">
      <c r="A433" s="4">
        <v>3176</v>
      </c>
      <c r="B433" s="4" t="s">
        <v>22</v>
      </c>
      <c r="C433" s="5" t="s">
        <v>827</v>
      </c>
      <c r="D433" s="5" t="s">
        <v>828</v>
      </c>
      <c r="E433" s="5" t="s">
        <v>36</v>
      </c>
      <c r="F433" s="5" t="s">
        <v>26</v>
      </c>
      <c r="G433" s="13">
        <v>46290</v>
      </c>
      <c r="H433" s="13">
        <v>46290</v>
      </c>
      <c r="I433" s="9">
        <f t="shared" si="12"/>
        <v>1</v>
      </c>
      <c r="J433" s="5" t="s">
        <v>1651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4">
        <v>3</v>
      </c>
      <c r="AH433" s="4">
        <v>1</v>
      </c>
      <c r="AI433" s="4">
        <v>1</v>
      </c>
      <c r="AJ433" s="4">
        <v>2</v>
      </c>
      <c r="AK433" s="4">
        <v>4</v>
      </c>
      <c r="AL433" s="4">
        <v>3</v>
      </c>
      <c r="AM433" s="4">
        <v>1</v>
      </c>
      <c r="AN433" s="4">
        <v>0</v>
      </c>
      <c r="AO433" s="4">
        <v>1</v>
      </c>
      <c r="AP433" s="4"/>
      <c r="AQ433" s="4">
        <v>0</v>
      </c>
      <c r="AR433" s="4">
        <v>1</v>
      </c>
      <c r="AS433" s="4">
        <f t="shared" si="13"/>
        <v>16</v>
      </c>
      <c r="AT433" s="9" t="s">
        <v>51</v>
      </c>
    </row>
    <row r="434" spans="1:46" x14ac:dyDescent="0.2">
      <c r="A434" s="4">
        <v>6370</v>
      </c>
      <c r="B434" s="4" t="s">
        <v>22</v>
      </c>
      <c r="C434" s="5" t="s">
        <v>1338</v>
      </c>
      <c r="D434" s="5" t="s">
        <v>1339</v>
      </c>
      <c r="E434" s="5" t="s">
        <v>1301</v>
      </c>
      <c r="F434" s="5" t="s">
        <v>68</v>
      </c>
      <c r="G434" s="13">
        <v>46290</v>
      </c>
      <c r="H434" s="13">
        <v>46290</v>
      </c>
      <c r="I434" s="9">
        <f t="shared" si="12"/>
        <v>1</v>
      </c>
      <c r="J434" s="5" t="s">
        <v>1651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4">
        <v>2</v>
      </c>
      <c r="AH434" s="4">
        <v>3</v>
      </c>
      <c r="AI434" s="4">
        <v>1</v>
      </c>
      <c r="AJ434" s="4">
        <v>2</v>
      </c>
      <c r="AK434" s="4">
        <v>4</v>
      </c>
      <c r="AL434" s="4">
        <v>2</v>
      </c>
      <c r="AM434" s="4">
        <v>1</v>
      </c>
      <c r="AN434" s="4">
        <v>0</v>
      </c>
      <c r="AO434" s="4">
        <v>1</v>
      </c>
      <c r="AP434" s="7"/>
      <c r="AQ434" s="4">
        <v>0</v>
      </c>
      <c r="AR434" s="4">
        <v>1</v>
      </c>
      <c r="AS434" s="4">
        <f t="shared" si="13"/>
        <v>16</v>
      </c>
      <c r="AT434" s="9" t="s">
        <v>1320</v>
      </c>
    </row>
    <row r="435" spans="1:46" x14ac:dyDescent="0.2">
      <c r="A435" s="4">
        <v>6372</v>
      </c>
      <c r="B435" s="4" t="s">
        <v>22</v>
      </c>
      <c r="C435" s="5" t="s">
        <v>1300</v>
      </c>
      <c r="D435" s="5" t="s">
        <v>1301</v>
      </c>
      <c r="E435" s="5" t="s">
        <v>1301</v>
      </c>
      <c r="F435" s="5" t="s">
        <v>68</v>
      </c>
      <c r="G435" s="13">
        <v>46290</v>
      </c>
      <c r="H435" s="13">
        <v>46290</v>
      </c>
      <c r="I435" s="9">
        <f t="shared" si="12"/>
        <v>1</v>
      </c>
      <c r="J435" s="5" t="s">
        <v>1651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4">
        <v>3</v>
      </c>
      <c r="AH435" s="4">
        <v>1</v>
      </c>
      <c r="AI435" s="4">
        <v>1</v>
      </c>
      <c r="AJ435" s="4">
        <v>2</v>
      </c>
      <c r="AK435" s="4">
        <v>5</v>
      </c>
      <c r="AL435" s="4">
        <v>2</v>
      </c>
      <c r="AM435" s="4">
        <v>1</v>
      </c>
      <c r="AN435" s="4">
        <v>0</v>
      </c>
      <c r="AO435" s="4">
        <v>1</v>
      </c>
      <c r="AP435" s="7"/>
      <c r="AQ435" s="4">
        <v>0</v>
      </c>
      <c r="AR435" s="4">
        <v>1</v>
      </c>
      <c r="AS435" s="4">
        <f t="shared" si="13"/>
        <v>16</v>
      </c>
      <c r="AT435" s="9" t="s">
        <v>69</v>
      </c>
    </row>
    <row r="436" spans="1:46" x14ac:dyDescent="0.2">
      <c r="A436" s="4">
        <v>8665</v>
      </c>
      <c r="B436" s="4" t="s">
        <v>22</v>
      </c>
      <c r="C436" s="5" t="s">
        <v>1626</v>
      </c>
      <c r="D436" s="5" t="s">
        <v>1627</v>
      </c>
      <c r="E436" s="5" t="s">
        <v>1600</v>
      </c>
      <c r="F436" s="5" t="s">
        <v>331</v>
      </c>
      <c r="G436" s="13">
        <v>46290</v>
      </c>
      <c r="H436" s="13">
        <v>46293</v>
      </c>
      <c r="I436" s="9">
        <f t="shared" si="12"/>
        <v>2</v>
      </c>
      <c r="J436" s="5" t="s">
        <v>1651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4">
        <v>4</v>
      </c>
      <c r="AH436" s="4">
        <v>2</v>
      </c>
      <c r="AI436" s="4">
        <v>1</v>
      </c>
      <c r="AJ436" s="4">
        <v>3</v>
      </c>
      <c r="AK436" s="4">
        <v>6</v>
      </c>
      <c r="AL436" s="4">
        <v>4</v>
      </c>
      <c r="AM436" s="4">
        <v>2</v>
      </c>
      <c r="AN436" s="4">
        <v>0</v>
      </c>
      <c r="AO436" s="4">
        <v>1</v>
      </c>
      <c r="AP436" s="4"/>
      <c r="AQ436" s="4">
        <v>0</v>
      </c>
      <c r="AR436" s="4">
        <v>1</v>
      </c>
      <c r="AS436" s="4">
        <f t="shared" si="13"/>
        <v>23</v>
      </c>
      <c r="AT436" s="9" t="s">
        <v>1601</v>
      </c>
    </row>
    <row r="437" spans="1:46" x14ac:dyDescent="0.2">
      <c r="A437" s="4">
        <v>70</v>
      </c>
      <c r="B437" s="4" t="s">
        <v>22</v>
      </c>
      <c r="C437" s="5" t="s">
        <v>29</v>
      </c>
      <c r="D437" s="5" t="s">
        <v>24</v>
      </c>
      <c r="E437" s="5" t="s">
        <v>25</v>
      </c>
      <c r="F437" s="5" t="s">
        <v>26</v>
      </c>
      <c r="G437" s="13">
        <v>46293</v>
      </c>
      <c r="H437" s="13">
        <v>46295</v>
      </c>
      <c r="I437" s="9">
        <f t="shared" si="12"/>
        <v>3</v>
      </c>
      <c r="J437" s="5" t="s">
        <v>1651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4">
        <v>11</v>
      </c>
      <c r="AH437" s="4">
        <v>6</v>
      </c>
      <c r="AI437" s="4">
        <v>1</v>
      </c>
      <c r="AJ437" s="4">
        <v>4</v>
      </c>
      <c r="AK437" s="4">
        <v>17</v>
      </c>
      <c r="AL437" s="4">
        <v>9</v>
      </c>
      <c r="AM437" s="4">
        <v>3</v>
      </c>
      <c r="AN437" s="4">
        <v>0</v>
      </c>
      <c r="AO437" s="4">
        <v>4</v>
      </c>
      <c r="AP437" s="4"/>
      <c r="AQ437" s="4">
        <v>1</v>
      </c>
      <c r="AR437" s="4">
        <v>0</v>
      </c>
      <c r="AS437" s="4">
        <f t="shared" si="13"/>
        <v>56</v>
      </c>
      <c r="AT437" s="5" t="s">
        <v>27</v>
      </c>
    </row>
    <row r="438" spans="1:46" x14ac:dyDescent="0.2">
      <c r="A438" s="4">
        <v>1246</v>
      </c>
      <c r="B438" s="4" t="s">
        <v>22</v>
      </c>
      <c r="C438" s="5" t="s">
        <v>100</v>
      </c>
      <c r="D438" s="5" t="s">
        <v>101</v>
      </c>
      <c r="E438" s="5" t="s">
        <v>67</v>
      </c>
      <c r="F438" s="5" t="s">
        <v>68</v>
      </c>
      <c r="G438" s="13">
        <v>46293</v>
      </c>
      <c r="H438" s="13">
        <v>46293</v>
      </c>
      <c r="I438" s="9">
        <f t="shared" si="12"/>
        <v>1</v>
      </c>
      <c r="J438" s="5" t="s">
        <v>1651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4">
        <v>2</v>
      </c>
      <c r="AH438" s="4">
        <v>2</v>
      </c>
      <c r="AI438" s="4">
        <v>1</v>
      </c>
      <c r="AJ438" s="4">
        <v>3</v>
      </c>
      <c r="AK438" s="4">
        <v>4</v>
      </c>
      <c r="AL438" s="4">
        <v>2</v>
      </c>
      <c r="AM438" s="4">
        <v>1</v>
      </c>
      <c r="AN438" s="4">
        <v>0</v>
      </c>
      <c r="AO438" s="4">
        <v>1</v>
      </c>
      <c r="AP438" s="4"/>
      <c r="AQ438" s="4">
        <v>0</v>
      </c>
      <c r="AR438" s="4">
        <v>1</v>
      </c>
      <c r="AS438" s="4">
        <f t="shared" si="13"/>
        <v>16</v>
      </c>
      <c r="AT438" s="5" t="s">
        <v>93</v>
      </c>
    </row>
    <row r="439" spans="1:46" x14ac:dyDescent="0.2">
      <c r="A439" s="4">
        <v>1314</v>
      </c>
      <c r="B439" s="4" t="s">
        <v>22</v>
      </c>
      <c r="C439" s="5" t="s">
        <v>131</v>
      </c>
      <c r="D439" s="5" t="s">
        <v>132</v>
      </c>
      <c r="E439" s="5" t="s">
        <v>118</v>
      </c>
      <c r="F439" s="5" t="s">
        <v>119</v>
      </c>
      <c r="G439" s="13">
        <v>46293</v>
      </c>
      <c r="H439" s="13">
        <v>46293</v>
      </c>
      <c r="I439" s="9">
        <f t="shared" si="12"/>
        <v>1</v>
      </c>
      <c r="J439" s="5" t="s">
        <v>1651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4">
        <v>2</v>
      </c>
      <c r="AH439" s="4">
        <v>2</v>
      </c>
      <c r="AI439" s="4">
        <v>1</v>
      </c>
      <c r="AJ439" s="4">
        <v>2</v>
      </c>
      <c r="AK439" s="4">
        <v>4</v>
      </c>
      <c r="AL439" s="4">
        <v>2</v>
      </c>
      <c r="AM439" s="4">
        <v>1</v>
      </c>
      <c r="AN439" s="4">
        <v>1</v>
      </c>
      <c r="AO439" s="4">
        <v>1</v>
      </c>
      <c r="AP439" s="4"/>
      <c r="AQ439" s="4">
        <v>0</v>
      </c>
      <c r="AR439" s="4">
        <v>1</v>
      </c>
      <c r="AS439" s="4">
        <f t="shared" si="13"/>
        <v>16</v>
      </c>
      <c r="AT439" s="4" t="s">
        <v>120</v>
      </c>
    </row>
    <row r="440" spans="1:46" x14ac:dyDescent="0.2">
      <c r="A440" s="4">
        <v>1361</v>
      </c>
      <c r="B440" s="4" t="s">
        <v>22</v>
      </c>
      <c r="C440" s="5" t="s">
        <v>194</v>
      </c>
      <c r="D440" s="5" t="s">
        <v>195</v>
      </c>
      <c r="E440" s="5" t="s">
        <v>118</v>
      </c>
      <c r="F440" s="5" t="s">
        <v>119</v>
      </c>
      <c r="G440" s="13">
        <v>46293</v>
      </c>
      <c r="H440" s="13">
        <v>46293</v>
      </c>
      <c r="I440" s="9">
        <f t="shared" si="12"/>
        <v>1</v>
      </c>
      <c r="J440" s="5" t="s">
        <v>1651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4">
        <v>2</v>
      </c>
      <c r="AH440" s="4">
        <v>1</v>
      </c>
      <c r="AI440" s="4">
        <v>1</v>
      </c>
      <c r="AJ440" s="4">
        <v>2</v>
      </c>
      <c r="AK440" s="4">
        <v>3</v>
      </c>
      <c r="AL440" s="4">
        <v>2</v>
      </c>
      <c r="AM440" s="4">
        <v>1</v>
      </c>
      <c r="AN440" s="4">
        <v>0</v>
      </c>
      <c r="AO440" s="4">
        <v>1</v>
      </c>
      <c r="AP440" s="4"/>
      <c r="AQ440" s="4">
        <v>1</v>
      </c>
      <c r="AR440" s="4">
        <v>1</v>
      </c>
      <c r="AS440" s="4">
        <f t="shared" si="13"/>
        <v>14</v>
      </c>
      <c r="AT440" s="4" t="s">
        <v>120</v>
      </c>
    </row>
    <row r="441" spans="1:46" x14ac:dyDescent="0.2">
      <c r="A441" s="4">
        <v>1387</v>
      </c>
      <c r="B441" s="4" t="s">
        <v>22</v>
      </c>
      <c r="C441" s="5" t="s">
        <v>233</v>
      </c>
      <c r="D441" s="5" t="s">
        <v>234</v>
      </c>
      <c r="E441" s="5" t="s">
        <v>118</v>
      </c>
      <c r="F441" s="5" t="s">
        <v>119</v>
      </c>
      <c r="G441" s="13">
        <v>46293</v>
      </c>
      <c r="H441" s="13">
        <v>46293</v>
      </c>
      <c r="I441" s="9">
        <f t="shared" si="12"/>
        <v>1</v>
      </c>
      <c r="J441" s="5" t="s">
        <v>1651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4">
        <v>3</v>
      </c>
      <c r="AH441" s="4">
        <v>3</v>
      </c>
      <c r="AI441" s="4">
        <v>1</v>
      </c>
      <c r="AJ441" s="4">
        <v>2</v>
      </c>
      <c r="AK441" s="4">
        <v>6</v>
      </c>
      <c r="AL441" s="4">
        <v>2</v>
      </c>
      <c r="AM441" s="4">
        <v>1</v>
      </c>
      <c r="AN441" s="4">
        <v>0</v>
      </c>
      <c r="AO441" s="4">
        <v>1</v>
      </c>
      <c r="AP441" s="4"/>
      <c r="AQ441" s="4">
        <v>0</v>
      </c>
      <c r="AR441" s="4">
        <v>1</v>
      </c>
      <c r="AS441" s="4">
        <f t="shared" si="13"/>
        <v>19</v>
      </c>
      <c r="AT441" s="4" t="s">
        <v>125</v>
      </c>
    </row>
    <row r="442" spans="1:46" x14ac:dyDescent="0.2">
      <c r="A442" s="4">
        <v>1510</v>
      </c>
      <c r="B442" s="4" t="s">
        <v>22</v>
      </c>
      <c r="C442" s="5" t="s">
        <v>349</v>
      </c>
      <c r="D442" s="5" t="s">
        <v>350</v>
      </c>
      <c r="E442" s="5" t="s">
        <v>330</v>
      </c>
      <c r="F442" s="5" t="s">
        <v>26</v>
      </c>
      <c r="G442" s="13">
        <v>46293</v>
      </c>
      <c r="H442" s="13">
        <v>46294</v>
      </c>
      <c r="I442" s="9">
        <f t="shared" si="12"/>
        <v>2</v>
      </c>
      <c r="J442" s="5" t="s">
        <v>1651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4">
        <v>2</v>
      </c>
      <c r="AH442" s="4">
        <v>2</v>
      </c>
      <c r="AI442" s="4">
        <v>1</v>
      </c>
      <c r="AJ442" s="4">
        <v>2</v>
      </c>
      <c r="AK442" s="4">
        <v>4</v>
      </c>
      <c r="AL442" s="4">
        <v>2</v>
      </c>
      <c r="AM442" s="4">
        <v>1</v>
      </c>
      <c r="AN442" s="4">
        <v>0</v>
      </c>
      <c r="AO442" s="4">
        <v>1</v>
      </c>
      <c r="AP442" s="4"/>
      <c r="AQ442" s="4">
        <v>0</v>
      </c>
      <c r="AR442" s="4">
        <v>1</v>
      </c>
      <c r="AS442" s="4">
        <f t="shared" si="13"/>
        <v>15</v>
      </c>
      <c r="AT442" s="9" t="s">
        <v>77</v>
      </c>
    </row>
    <row r="443" spans="1:46" x14ac:dyDescent="0.2">
      <c r="A443" s="4">
        <v>2770</v>
      </c>
      <c r="B443" s="4" t="s">
        <v>22</v>
      </c>
      <c r="C443" s="5" t="s">
        <v>694</v>
      </c>
      <c r="D443" s="5" t="s">
        <v>695</v>
      </c>
      <c r="E443" s="5" t="s">
        <v>661</v>
      </c>
      <c r="F443" s="5" t="s">
        <v>68</v>
      </c>
      <c r="G443" s="13">
        <v>46293</v>
      </c>
      <c r="H443" s="13">
        <v>46293</v>
      </c>
      <c r="I443" s="9">
        <f t="shared" si="12"/>
        <v>1</v>
      </c>
      <c r="J443" s="5" t="s">
        <v>1651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4">
        <v>4</v>
      </c>
      <c r="AH443" s="4">
        <v>6</v>
      </c>
      <c r="AI443" s="4">
        <v>1</v>
      </c>
      <c r="AJ443" s="4">
        <v>3</v>
      </c>
      <c r="AK443" s="4">
        <v>10</v>
      </c>
      <c r="AL443" s="4">
        <v>4</v>
      </c>
      <c r="AM443" s="4">
        <v>2</v>
      </c>
      <c r="AN443" s="4">
        <v>0</v>
      </c>
      <c r="AO443" s="4">
        <v>2</v>
      </c>
      <c r="AP443" s="4"/>
      <c r="AQ443" s="4">
        <v>1</v>
      </c>
      <c r="AR443" s="4">
        <v>1</v>
      </c>
      <c r="AS443" s="4">
        <f t="shared" si="13"/>
        <v>33</v>
      </c>
      <c r="AT443" s="9" t="s">
        <v>696</v>
      </c>
    </row>
    <row r="444" spans="1:46" x14ac:dyDescent="0.2">
      <c r="A444" s="4">
        <v>3113</v>
      </c>
      <c r="B444" s="4" t="s">
        <v>22</v>
      </c>
      <c r="C444" s="5" t="s">
        <v>727</v>
      </c>
      <c r="D444" s="5" t="s">
        <v>728</v>
      </c>
      <c r="E444" s="5" t="s">
        <v>36</v>
      </c>
      <c r="F444" s="5" t="s">
        <v>26</v>
      </c>
      <c r="G444" s="13">
        <v>46293</v>
      </c>
      <c r="H444" s="13">
        <v>46293</v>
      </c>
      <c r="I444" s="9">
        <f t="shared" si="12"/>
        <v>1</v>
      </c>
      <c r="J444" s="5" t="s">
        <v>1651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4">
        <v>3</v>
      </c>
      <c r="AH444" s="4">
        <v>3</v>
      </c>
      <c r="AI444" s="4">
        <v>1</v>
      </c>
      <c r="AJ444" s="4">
        <v>2</v>
      </c>
      <c r="AK444" s="4">
        <v>6</v>
      </c>
      <c r="AL444" s="4">
        <v>2</v>
      </c>
      <c r="AM444" s="4">
        <v>1</v>
      </c>
      <c r="AN444" s="4">
        <v>0</v>
      </c>
      <c r="AO444" s="4">
        <v>1</v>
      </c>
      <c r="AP444" s="7"/>
      <c r="AQ444" s="4">
        <v>0</v>
      </c>
      <c r="AR444" s="4">
        <v>1</v>
      </c>
      <c r="AS444" s="4">
        <f t="shared" si="13"/>
        <v>19</v>
      </c>
      <c r="AT444" s="9" t="s">
        <v>37</v>
      </c>
    </row>
    <row r="445" spans="1:46" x14ac:dyDescent="0.2">
      <c r="A445" s="4">
        <v>3120</v>
      </c>
      <c r="B445" s="4" t="s">
        <v>22</v>
      </c>
      <c r="C445" s="5" t="s">
        <v>739</v>
      </c>
      <c r="D445" s="5" t="s">
        <v>740</v>
      </c>
      <c r="E445" s="5" t="s">
        <v>36</v>
      </c>
      <c r="F445" s="5" t="s">
        <v>26</v>
      </c>
      <c r="G445" s="13">
        <v>46293</v>
      </c>
      <c r="H445" s="13">
        <v>46293</v>
      </c>
      <c r="I445" s="9">
        <f t="shared" si="12"/>
        <v>1</v>
      </c>
      <c r="J445" s="5" t="s">
        <v>1651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4">
        <v>2</v>
      </c>
      <c r="AH445" s="4">
        <v>1</v>
      </c>
      <c r="AI445" s="4">
        <v>1</v>
      </c>
      <c r="AJ445" s="4">
        <v>2</v>
      </c>
      <c r="AK445" s="4">
        <v>3</v>
      </c>
      <c r="AL445" s="4">
        <v>2</v>
      </c>
      <c r="AM445" s="4">
        <v>1</v>
      </c>
      <c r="AN445" s="4">
        <v>0</v>
      </c>
      <c r="AO445" s="4">
        <v>1</v>
      </c>
      <c r="AP445" s="4"/>
      <c r="AQ445" s="4">
        <v>0</v>
      </c>
      <c r="AR445" s="4">
        <v>1</v>
      </c>
      <c r="AS445" s="4">
        <f t="shared" si="13"/>
        <v>13</v>
      </c>
      <c r="AT445" s="9" t="s">
        <v>51</v>
      </c>
    </row>
    <row r="446" spans="1:46" x14ac:dyDescent="0.2">
      <c r="A446" s="4">
        <v>3121</v>
      </c>
      <c r="B446" s="4" t="s">
        <v>22</v>
      </c>
      <c r="C446" s="5" t="s">
        <v>741</v>
      </c>
      <c r="D446" s="5" t="s">
        <v>742</v>
      </c>
      <c r="E446" s="5" t="s">
        <v>36</v>
      </c>
      <c r="F446" s="5" t="s">
        <v>26</v>
      </c>
      <c r="G446" s="13">
        <v>46293</v>
      </c>
      <c r="H446" s="13">
        <v>46293</v>
      </c>
      <c r="I446" s="9">
        <f t="shared" si="12"/>
        <v>1</v>
      </c>
      <c r="J446" s="5" t="s">
        <v>1651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4">
        <v>4</v>
      </c>
      <c r="AH446" s="4">
        <v>3</v>
      </c>
      <c r="AI446" s="4">
        <v>1</v>
      </c>
      <c r="AJ446" s="4">
        <v>2</v>
      </c>
      <c r="AK446" s="4">
        <v>7</v>
      </c>
      <c r="AL446" s="4">
        <v>3</v>
      </c>
      <c r="AM446" s="4">
        <v>1</v>
      </c>
      <c r="AN446" s="4">
        <v>0</v>
      </c>
      <c r="AO446" s="4">
        <v>1</v>
      </c>
      <c r="AP446" s="4"/>
      <c r="AQ446" s="4">
        <v>0</v>
      </c>
      <c r="AR446" s="4">
        <v>1</v>
      </c>
      <c r="AS446" s="4">
        <f t="shared" si="13"/>
        <v>22</v>
      </c>
      <c r="AT446" s="9" t="s">
        <v>64</v>
      </c>
    </row>
    <row r="447" spans="1:46" x14ac:dyDescent="0.2">
      <c r="A447" s="4">
        <v>3124</v>
      </c>
      <c r="B447" s="4" t="s">
        <v>22</v>
      </c>
      <c r="C447" s="5" t="s">
        <v>747</v>
      </c>
      <c r="D447" s="5" t="s">
        <v>748</v>
      </c>
      <c r="E447" s="5" t="s">
        <v>36</v>
      </c>
      <c r="F447" s="5" t="s">
        <v>26</v>
      </c>
      <c r="G447" s="13">
        <v>46293</v>
      </c>
      <c r="H447" s="13">
        <v>46293</v>
      </c>
      <c r="I447" s="9">
        <f t="shared" si="12"/>
        <v>1</v>
      </c>
      <c r="J447" s="5" t="s">
        <v>1651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4">
        <v>4</v>
      </c>
      <c r="AH447" s="4">
        <v>3</v>
      </c>
      <c r="AI447" s="4">
        <v>1</v>
      </c>
      <c r="AJ447" s="4">
        <v>2</v>
      </c>
      <c r="AK447" s="4">
        <v>8</v>
      </c>
      <c r="AL447" s="4">
        <v>3</v>
      </c>
      <c r="AM447" s="4">
        <v>1</v>
      </c>
      <c r="AN447" s="4">
        <v>0</v>
      </c>
      <c r="AO447" s="4">
        <v>1</v>
      </c>
      <c r="AP447" s="4"/>
      <c r="AQ447" s="4">
        <v>0</v>
      </c>
      <c r="AR447" s="4">
        <v>1</v>
      </c>
      <c r="AS447" s="4">
        <f t="shared" si="13"/>
        <v>23</v>
      </c>
      <c r="AT447" s="9" t="s">
        <v>44</v>
      </c>
    </row>
    <row r="448" spans="1:46" x14ac:dyDescent="0.2">
      <c r="A448" s="4">
        <v>3942</v>
      </c>
      <c r="B448" s="4" t="s">
        <v>22</v>
      </c>
      <c r="C448" s="5" t="s">
        <v>926</v>
      </c>
      <c r="D448" s="5" t="s">
        <v>927</v>
      </c>
      <c r="E448" s="5" t="s">
        <v>873</v>
      </c>
      <c r="F448" s="5" t="s">
        <v>574</v>
      </c>
      <c r="G448" s="13">
        <v>46293</v>
      </c>
      <c r="H448" s="13">
        <v>46294</v>
      </c>
      <c r="I448" s="9">
        <f t="shared" si="12"/>
        <v>2</v>
      </c>
      <c r="J448" s="5" t="s">
        <v>1651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4">
        <v>10</v>
      </c>
      <c r="AH448" s="4">
        <v>9</v>
      </c>
      <c r="AI448" s="4">
        <v>1</v>
      </c>
      <c r="AJ448" s="4">
        <v>4</v>
      </c>
      <c r="AK448" s="4">
        <v>17</v>
      </c>
      <c r="AL448" s="4">
        <v>8</v>
      </c>
      <c r="AM448" s="4">
        <v>3</v>
      </c>
      <c r="AN448" s="4">
        <v>0</v>
      </c>
      <c r="AO448" s="4">
        <v>5</v>
      </c>
      <c r="AP448" s="4"/>
      <c r="AQ448" s="4">
        <v>2</v>
      </c>
      <c r="AR448" s="4">
        <v>1</v>
      </c>
      <c r="AS448" s="4">
        <f t="shared" si="13"/>
        <v>59</v>
      </c>
      <c r="AT448" s="9" t="s">
        <v>874</v>
      </c>
    </row>
    <row r="449" spans="1:46" x14ac:dyDescent="0.2">
      <c r="A449" s="4">
        <v>4542</v>
      </c>
      <c r="B449" s="4" t="s">
        <v>22</v>
      </c>
      <c r="C449" s="5" t="s">
        <v>1023</v>
      </c>
      <c r="D449" s="5" t="s">
        <v>1024</v>
      </c>
      <c r="E449" s="5" t="s">
        <v>981</v>
      </c>
      <c r="F449" s="5" t="s">
        <v>26</v>
      </c>
      <c r="G449" s="13">
        <v>46293</v>
      </c>
      <c r="H449" s="13">
        <v>46294</v>
      </c>
      <c r="I449" s="9">
        <f t="shared" si="12"/>
        <v>2</v>
      </c>
      <c r="J449" s="5" t="s">
        <v>1651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4">
        <v>2</v>
      </c>
      <c r="AH449" s="4">
        <v>1</v>
      </c>
      <c r="AI449" s="4">
        <v>1</v>
      </c>
      <c r="AJ449" s="4">
        <v>2</v>
      </c>
      <c r="AK449" s="4">
        <v>4</v>
      </c>
      <c r="AL449" s="4">
        <v>2</v>
      </c>
      <c r="AM449" s="4">
        <v>1</v>
      </c>
      <c r="AN449" s="4">
        <v>0</v>
      </c>
      <c r="AO449" s="4">
        <v>1</v>
      </c>
      <c r="AP449" s="4"/>
      <c r="AQ449" s="4">
        <v>0</v>
      </c>
      <c r="AR449" s="4">
        <v>1</v>
      </c>
      <c r="AS449" s="4">
        <f t="shared" si="13"/>
        <v>14</v>
      </c>
      <c r="AT449" s="9" t="s">
        <v>985</v>
      </c>
    </row>
    <row r="450" spans="1:46" x14ac:dyDescent="0.2">
      <c r="A450" s="4">
        <v>5111</v>
      </c>
      <c r="B450" s="4" t="s">
        <v>22</v>
      </c>
      <c r="C450" s="5" t="s">
        <v>1117</v>
      </c>
      <c r="D450" s="5" t="s">
        <v>1118</v>
      </c>
      <c r="E450" s="5" t="s">
        <v>1107</v>
      </c>
      <c r="F450" s="5" t="s">
        <v>98</v>
      </c>
      <c r="G450" s="13">
        <v>46293</v>
      </c>
      <c r="H450" s="13">
        <v>46294</v>
      </c>
      <c r="I450" s="9">
        <f t="shared" ref="I450:I513" si="14">NETWORKDAYS(G450,H450)</f>
        <v>2</v>
      </c>
      <c r="J450" s="5" t="s">
        <v>1651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4">
        <v>3</v>
      </c>
      <c r="AH450" s="4">
        <v>3</v>
      </c>
      <c r="AI450" s="4">
        <v>1</v>
      </c>
      <c r="AJ450" s="4">
        <v>2</v>
      </c>
      <c r="AK450" s="4">
        <v>7</v>
      </c>
      <c r="AL450" s="4">
        <v>3</v>
      </c>
      <c r="AM450" s="4">
        <v>1</v>
      </c>
      <c r="AN450" s="4">
        <v>0</v>
      </c>
      <c r="AO450" s="4">
        <v>1</v>
      </c>
      <c r="AP450" s="4"/>
      <c r="AQ450" s="4">
        <v>0</v>
      </c>
      <c r="AR450" s="4">
        <v>1</v>
      </c>
      <c r="AS450" s="4">
        <f t="shared" si="13"/>
        <v>21</v>
      </c>
      <c r="AT450" s="9" t="s">
        <v>1114</v>
      </c>
    </row>
    <row r="451" spans="1:46" x14ac:dyDescent="0.2">
      <c r="A451" s="4">
        <v>6032</v>
      </c>
      <c r="B451" s="4" t="s">
        <v>22</v>
      </c>
      <c r="C451" s="9" t="s">
        <v>1242</v>
      </c>
      <c r="D451" s="9" t="s">
        <v>1243</v>
      </c>
      <c r="E451" s="9" t="s">
        <v>1213</v>
      </c>
      <c r="F451" s="5" t="s">
        <v>98</v>
      </c>
      <c r="G451" s="13">
        <v>46293</v>
      </c>
      <c r="H451" s="13">
        <v>46294</v>
      </c>
      <c r="I451" s="9">
        <f t="shared" si="14"/>
        <v>2</v>
      </c>
      <c r="J451" s="5" t="s">
        <v>1651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4">
        <v>5</v>
      </c>
      <c r="AH451" s="4">
        <v>5</v>
      </c>
      <c r="AI451" s="4">
        <v>1</v>
      </c>
      <c r="AJ451" s="4">
        <v>3</v>
      </c>
      <c r="AK451" s="4">
        <v>9</v>
      </c>
      <c r="AL451" s="4">
        <v>4</v>
      </c>
      <c r="AM451" s="4">
        <v>2</v>
      </c>
      <c r="AN451" s="4">
        <v>0</v>
      </c>
      <c r="AO451" s="4">
        <v>1</v>
      </c>
      <c r="AP451" s="4"/>
      <c r="AQ451" s="4">
        <v>1</v>
      </c>
      <c r="AR451" s="4">
        <v>1</v>
      </c>
      <c r="AS451" s="4">
        <f t="shared" ref="AS451:AS514" si="15">SUM(AG451:AQ451)</f>
        <v>31</v>
      </c>
      <c r="AT451" s="9" t="s">
        <v>332</v>
      </c>
    </row>
    <row r="452" spans="1:46" x14ac:dyDescent="0.2">
      <c r="A452" s="4">
        <v>6033</v>
      </c>
      <c r="B452" s="4" t="s">
        <v>22</v>
      </c>
      <c r="C452" s="5" t="s">
        <v>1244</v>
      </c>
      <c r="D452" s="5" t="s">
        <v>1245</v>
      </c>
      <c r="E452" s="5" t="s">
        <v>1213</v>
      </c>
      <c r="F452" s="5" t="s">
        <v>331</v>
      </c>
      <c r="G452" s="13">
        <v>46293</v>
      </c>
      <c r="H452" s="13">
        <v>46294</v>
      </c>
      <c r="I452" s="9">
        <f t="shared" si="14"/>
        <v>2</v>
      </c>
      <c r="J452" s="5" t="s">
        <v>1651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4">
        <v>2</v>
      </c>
      <c r="AH452" s="4">
        <v>2</v>
      </c>
      <c r="AI452" s="4">
        <v>1</v>
      </c>
      <c r="AJ452" s="4">
        <v>2</v>
      </c>
      <c r="AK452" s="4">
        <v>4</v>
      </c>
      <c r="AL452" s="4">
        <v>2</v>
      </c>
      <c r="AM452" s="4">
        <v>1</v>
      </c>
      <c r="AN452" s="4">
        <v>0</v>
      </c>
      <c r="AO452" s="4">
        <v>1</v>
      </c>
      <c r="AP452" s="4"/>
      <c r="AQ452" s="4">
        <v>0</v>
      </c>
      <c r="AR452" s="4">
        <v>1</v>
      </c>
      <c r="AS452" s="4">
        <f t="shared" si="15"/>
        <v>15</v>
      </c>
      <c r="AT452" s="9" t="s">
        <v>335</v>
      </c>
    </row>
    <row r="453" spans="1:46" x14ac:dyDescent="0.2">
      <c r="A453" s="4">
        <v>6037</v>
      </c>
      <c r="B453" s="4" t="s">
        <v>22</v>
      </c>
      <c r="C453" s="5" t="s">
        <v>1248</v>
      </c>
      <c r="D453" s="5" t="s">
        <v>1249</v>
      </c>
      <c r="E453" s="5" t="s">
        <v>1213</v>
      </c>
      <c r="F453" s="5" t="s">
        <v>98</v>
      </c>
      <c r="G453" s="13">
        <v>46293</v>
      </c>
      <c r="H453" s="13">
        <v>46294</v>
      </c>
      <c r="I453" s="9">
        <f t="shared" si="14"/>
        <v>2</v>
      </c>
      <c r="J453" s="5" t="s">
        <v>1651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4">
        <v>3</v>
      </c>
      <c r="AH453" s="4">
        <v>2</v>
      </c>
      <c r="AI453" s="4">
        <v>1</v>
      </c>
      <c r="AJ453" s="4">
        <v>2</v>
      </c>
      <c r="AK453" s="4">
        <v>5</v>
      </c>
      <c r="AL453" s="4">
        <v>3</v>
      </c>
      <c r="AM453" s="4">
        <v>1</v>
      </c>
      <c r="AN453" s="4">
        <v>0</v>
      </c>
      <c r="AO453" s="4">
        <v>1</v>
      </c>
      <c r="AP453" s="4"/>
      <c r="AQ453" s="4">
        <v>0</v>
      </c>
      <c r="AR453" s="4">
        <v>1</v>
      </c>
      <c r="AS453" s="4">
        <f t="shared" si="15"/>
        <v>18</v>
      </c>
      <c r="AT453" s="9" t="s">
        <v>364</v>
      </c>
    </row>
    <row r="454" spans="1:46" x14ac:dyDescent="0.2">
      <c r="A454" s="4">
        <v>6039</v>
      </c>
      <c r="B454" s="4" t="s">
        <v>22</v>
      </c>
      <c r="C454" s="5" t="s">
        <v>259</v>
      </c>
      <c r="D454" s="5" t="s">
        <v>260</v>
      </c>
      <c r="E454" s="5" t="s">
        <v>1213</v>
      </c>
      <c r="F454" s="5" t="s">
        <v>98</v>
      </c>
      <c r="G454" s="13">
        <v>46293</v>
      </c>
      <c r="H454" s="13">
        <v>46294</v>
      </c>
      <c r="I454" s="9">
        <f t="shared" si="14"/>
        <v>2</v>
      </c>
      <c r="J454" s="5" t="s">
        <v>1651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4">
        <v>2</v>
      </c>
      <c r="AH454" s="4">
        <v>2</v>
      </c>
      <c r="AI454" s="4">
        <v>1</v>
      </c>
      <c r="AJ454" s="4">
        <v>2</v>
      </c>
      <c r="AK454" s="4">
        <v>4</v>
      </c>
      <c r="AL454" s="4">
        <v>2</v>
      </c>
      <c r="AM454" s="4">
        <v>1</v>
      </c>
      <c r="AN454" s="4">
        <v>0</v>
      </c>
      <c r="AO454" s="4">
        <v>1</v>
      </c>
      <c r="AP454" s="4"/>
      <c r="AQ454" s="4">
        <v>0</v>
      </c>
      <c r="AR454" s="4">
        <v>1</v>
      </c>
      <c r="AS454" s="4">
        <f t="shared" si="15"/>
        <v>15</v>
      </c>
      <c r="AT454" s="9" t="s">
        <v>342</v>
      </c>
    </row>
    <row r="455" spans="1:46" x14ac:dyDescent="0.2">
      <c r="A455" s="4">
        <v>6921</v>
      </c>
      <c r="B455" s="4" t="s">
        <v>22</v>
      </c>
      <c r="C455" s="5" t="s">
        <v>1456</v>
      </c>
      <c r="D455" s="5" t="s">
        <v>1457</v>
      </c>
      <c r="E455" s="5" t="s">
        <v>545</v>
      </c>
      <c r="F455" s="5" t="s">
        <v>546</v>
      </c>
      <c r="G455" s="13">
        <v>46293</v>
      </c>
      <c r="H455" s="13">
        <v>46293</v>
      </c>
      <c r="I455" s="9">
        <f t="shared" si="14"/>
        <v>1</v>
      </c>
      <c r="J455" s="5" t="s">
        <v>1651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4">
        <v>4</v>
      </c>
      <c r="AH455" s="4">
        <v>3</v>
      </c>
      <c r="AI455" s="4">
        <v>1</v>
      </c>
      <c r="AJ455" s="4">
        <v>3</v>
      </c>
      <c r="AK455" s="4">
        <v>9</v>
      </c>
      <c r="AL455" s="4">
        <v>4</v>
      </c>
      <c r="AM455" s="4">
        <v>2</v>
      </c>
      <c r="AN455" s="4">
        <v>0</v>
      </c>
      <c r="AO455" s="4">
        <v>1</v>
      </c>
      <c r="AP455" s="4"/>
      <c r="AQ455" s="4">
        <v>1</v>
      </c>
      <c r="AR455" s="4">
        <v>1</v>
      </c>
      <c r="AS455" s="4">
        <f t="shared" si="15"/>
        <v>28</v>
      </c>
      <c r="AT455" s="9" t="s">
        <v>547</v>
      </c>
    </row>
    <row r="456" spans="1:46" x14ac:dyDescent="0.2">
      <c r="A456" s="4">
        <v>7310</v>
      </c>
      <c r="B456" s="4" t="s">
        <v>22</v>
      </c>
      <c r="C456" s="5" t="s">
        <v>1523</v>
      </c>
      <c r="D456" s="5" t="s">
        <v>1524</v>
      </c>
      <c r="E456" s="5" t="s">
        <v>1519</v>
      </c>
      <c r="F456" s="5" t="s">
        <v>26</v>
      </c>
      <c r="G456" s="13">
        <v>46293</v>
      </c>
      <c r="H456" s="13">
        <v>46294</v>
      </c>
      <c r="I456" s="9">
        <f t="shared" si="14"/>
        <v>2</v>
      </c>
      <c r="J456" s="5" t="s">
        <v>1651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4">
        <v>2</v>
      </c>
      <c r="AH456" s="4">
        <v>1</v>
      </c>
      <c r="AI456" s="4">
        <v>1</v>
      </c>
      <c r="AJ456" s="4">
        <v>2</v>
      </c>
      <c r="AK456" s="4">
        <v>3</v>
      </c>
      <c r="AL456" s="4">
        <v>2</v>
      </c>
      <c r="AM456" s="4">
        <v>1</v>
      </c>
      <c r="AN456" s="4">
        <v>0</v>
      </c>
      <c r="AO456" s="4">
        <v>1</v>
      </c>
      <c r="AP456" s="4"/>
      <c r="AQ456" s="4">
        <v>0</v>
      </c>
      <c r="AR456" s="4">
        <v>1</v>
      </c>
      <c r="AS456" s="4">
        <f t="shared" si="15"/>
        <v>13</v>
      </c>
      <c r="AT456" s="9" t="s">
        <v>1520</v>
      </c>
    </row>
    <row r="457" spans="1:46" x14ac:dyDescent="0.2">
      <c r="A457" s="4">
        <v>8420</v>
      </c>
      <c r="B457" s="4" t="s">
        <v>22</v>
      </c>
      <c r="C457" s="5" t="s">
        <v>1582</v>
      </c>
      <c r="D457" s="5" t="s">
        <v>1583</v>
      </c>
      <c r="E457" s="5" t="s">
        <v>1584</v>
      </c>
      <c r="F457" s="5" t="s">
        <v>26</v>
      </c>
      <c r="G457" s="13">
        <v>46293</v>
      </c>
      <c r="H457" s="13">
        <v>46295</v>
      </c>
      <c r="I457" s="9">
        <f t="shared" si="14"/>
        <v>3</v>
      </c>
      <c r="J457" s="5" t="s">
        <v>1651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4">
        <v>4</v>
      </c>
      <c r="AH457" s="4">
        <v>1</v>
      </c>
      <c r="AI457" s="4">
        <v>1</v>
      </c>
      <c r="AJ457" s="4">
        <v>3</v>
      </c>
      <c r="AK457" s="4">
        <v>5</v>
      </c>
      <c r="AL457" s="4">
        <v>3</v>
      </c>
      <c r="AM457" s="4">
        <v>2</v>
      </c>
      <c r="AN457" s="4">
        <v>0</v>
      </c>
      <c r="AO457" s="4">
        <v>1</v>
      </c>
      <c r="AP457" s="4"/>
      <c r="AQ457" s="4">
        <v>0</v>
      </c>
      <c r="AR457" s="4">
        <v>1</v>
      </c>
      <c r="AS457" s="4">
        <f t="shared" si="15"/>
        <v>20</v>
      </c>
      <c r="AT457" s="9" t="s">
        <v>1585</v>
      </c>
    </row>
    <row r="458" spans="1:46" x14ac:dyDescent="0.2">
      <c r="A458" s="4">
        <v>1331</v>
      </c>
      <c r="B458" s="4" t="s">
        <v>22</v>
      </c>
      <c r="C458" s="5" t="s">
        <v>153</v>
      </c>
      <c r="D458" s="5" t="s">
        <v>124</v>
      </c>
      <c r="E458" s="5" t="s">
        <v>118</v>
      </c>
      <c r="F458" s="5" t="s">
        <v>119</v>
      </c>
      <c r="G458" s="13">
        <v>46294</v>
      </c>
      <c r="H458" s="13">
        <v>46296</v>
      </c>
      <c r="I458" s="9">
        <f t="shared" si="14"/>
        <v>3</v>
      </c>
      <c r="J458" s="5" t="s">
        <v>1651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4">
        <v>5</v>
      </c>
      <c r="AH458" s="4">
        <v>5</v>
      </c>
      <c r="AI458" s="4">
        <v>1</v>
      </c>
      <c r="AJ458" s="4">
        <v>3</v>
      </c>
      <c r="AK458" s="4">
        <v>10</v>
      </c>
      <c r="AL458" s="4">
        <v>5</v>
      </c>
      <c r="AM458" s="4">
        <v>2</v>
      </c>
      <c r="AN458" s="4">
        <v>0</v>
      </c>
      <c r="AO458" s="4">
        <v>1</v>
      </c>
      <c r="AP458" s="4"/>
      <c r="AQ458" s="4">
        <v>0</v>
      </c>
      <c r="AR458" s="4">
        <v>1</v>
      </c>
      <c r="AS458" s="4">
        <f t="shared" si="15"/>
        <v>32</v>
      </c>
      <c r="AT458" s="4" t="s">
        <v>125</v>
      </c>
    </row>
    <row r="459" spans="1:46" x14ac:dyDescent="0.2">
      <c r="A459" s="4">
        <v>1398</v>
      </c>
      <c r="B459" s="4" t="s">
        <v>22</v>
      </c>
      <c r="C459" s="5" t="s">
        <v>255</v>
      </c>
      <c r="D459" s="5" t="s">
        <v>256</v>
      </c>
      <c r="E459" s="5" t="s">
        <v>118</v>
      </c>
      <c r="F459" s="5" t="s">
        <v>119</v>
      </c>
      <c r="G459" s="13">
        <v>46294</v>
      </c>
      <c r="H459" s="13">
        <v>46294</v>
      </c>
      <c r="I459" s="9">
        <f t="shared" si="14"/>
        <v>1</v>
      </c>
      <c r="J459" s="5" t="s">
        <v>1651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4">
        <v>4</v>
      </c>
      <c r="AH459" s="4">
        <v>5</v>
      </c>
      <c r="AI459" s="4">
        <v>1</v>
      </c>
      <c r="AJ459" s="4">
        <v>3</v>
      </c>
      <c r="AK459" s="4">
        <v>9</v>
      </c>
      <c r="AL459" s="4">
        <v>4</v>
      </c>
      <c r="AM459" s="4">
        <v>2</v>
      </c>
      <c r="AN459" s="4">
        <v>0</v>
      </c>
      <c r="AO459" s="4">
        <v>1</v>
      </c>
      <c r="AP459" s="4"/>
      <c r="AQ459" s="4">
        <v>1</v>
      </c>
      <c r="AR459" s="4">
        <v>1</v>
      </c>
      <c r="AS459" s="4">
        <f t="shared" si="15"/>
        <v>30</v>
      </c>
      <c r="AT459" s="4" t="s">
        <v>120</v>
      </c>
    </row>
    <row r="460" spans="1:46" x14ac:dyDescent="0.2">
      <c r="A460" s="4">
        <v>1420</v>
      </c>
      <c r="B460" s="4" t="s">
        <v>22</v>
      </c>
      <c r="C460" s="5" t="s">
        <v>269</v>
      </c>
      <c r="D460" s="5" t="s">
        <v>270</v>
      </c>
      <c r="E460" s="5" t="s">
        <v>118</v>
      </c>
      <c r="F460" s="5" t="s">
        <v>119</v>
      </c>
      <c r="G460" s="13">
        <v>46294</v>
      </c>
      <c r="H460" s="13">
        <v>46294</v>
      </c>
      <c r="I460" s="9">
        <f t="shared" si="14"/>
        <v>1</v>
      </c>
      <c r="J460" s="5" t="s">
        <v>1651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4">
        <v>4</v>
      </c>
      <c r="AH460" s="4">
        <v>3</v>
      </c>
      <c r="AI460" s="4">
        <v>1</v>
      </c>
      <c r="AJ460" s="4">
        <v>2</v>
      </c>
      <c r="AK460" s="4">
        <v>7</v>
      </c>
      <c r="AL460" s="4">
        <v>3</v>
      </c>
      <c r="AM460" s="4">
        <v>1</v>
      </c>
      <c r="AN460" s="4">
        <v>0</v>
      </c>
      <c r="AO460" s="4">
        <v>1</v>
      </c>
      <c r="AP460" s="4"/>
      <c r="AQ460" s="4">
        <v>1</v>
      </c>
      <c r="AR460" s="4">
        <v>1</v>
      </c>
      <c r="AS460" s="4">
        <f t="shared" si="15"/>
        <v>23</v>
      </c>
      <c r="AT460" s="4" t="s">
        <v>137</v>
      </c>
    </row>
    <row r="461" spans="1:46" x14ac:dyDescent="0.2">
      <c r="A461" s="4">
        <v>1466</v>
      </c>
      <c r="B461" s="4" t="s">
        <v>22</v>
      </c>
      <c r="C461" s="5" t="s">
        <v>305</v>
      </c>
      <c r="D461" s="5" t="s">
        <v>306</v>
      </c>
      <c r="E461" s="5" t="s">
        <v>118</v>
      </c>
      <c r="F461" s="5" t="s">
        <v>119</v>
      </c>
      <c r="G461" s="13">
        <v>46294</v>
      </c>
      <c r="H461" s="13">
        <v>46294</v>
      </c>
      <c r="I461" s="9">
        <f t="shared" si="14"/>
        <v>1</v>
      </c>
      <c r="J461" s="5" t="s">
        <v>1651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4">
        <v>2</v>
      </c>
      <c r="AH461" s="4">
        <v>1</v>
      </c>
      <c r="AI461" s="4">
        <v>1</v>
      </c>
      <c r="AJ461" s="4">
        <v>2</v>
      </c>
      <c r="AK461" s="4">
        <v>3</v>
      </c>
      <c r="AL461" s="4">
        <v>2</v>
      </c>
      <c r="AM461" s="4">
        <v>1</v>
      </c>
      <c r="AN461" s="4">
        <v>0</v>
      </c>
      <c r="AO461" s="4">
        <v>1</v>
      </c>
      <c r="AP461" s="4"/>
      <c r="AQ461" s="4">
        <v>0</v>
      </c>
      <c r="AR461" s="4">
        <v>1</v>
      </c>
      <c r="AS461" s="4">
        <f t="shared" si="15"/>
        <v>13</v>
      </c>
      <c r="AT461" s="4" t="s">
        <v>120</v>
      </c>
    </row>
    <row r="462" spans="1:46" x14ac:dyDescent="0.2">
      <c r="A462" s="4">
        <v>1825</v>
      </c>
      <c r="B462" s="4" t="s">
        <v>22</v>
      </c>
      <c r="C462" s="5" t="s">
        <v>512</v>
      </c>
      <c r="D462" s="5" t="s">
        <v>513</v>
      </c>
      <c r="E462" s="5" t="s">
        <v>215</v>
      </c>
      <c r="F462" s="5" t="s">
        <v>500</v>
      </c>
      <c r="G462" s="13">
        <v>46294</v>
      </c>
      <c r="H462" s="13">
        <v>46295</v>
      </c>
      <c r="I462" s="9">
        <f t="shared" si="14"/>
        <v>2</v>
      </c>
      <c r="J462" s="5" t="s">
        <v>1651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4">
        <v>3</v>
      </c>
      <c r="AH462" s="4">
        <v>3</v>
      </c>
      <c r="AI462" s="4">
        <v>1</v>
      </c>
      <c r="AJ462" s="4">
        <v>2</v>
      </c>
      <c r="AK462" s="4">
        <v>6</v>
      </c>
      <c r="AL462" s="4">
        <v>2</v>
      </c>
      <c r="AM462" s="4">
        <v>1</v>
      </c>
      <c r="AN462" s="4">
        <v>0</v>
      </c>
      <c r="AO462" s="4">
        <v>1</v>
      </c>
      <c r="AP462" s="4"/>
      <c r="AQ462" s="4">
        <v>1</v>
      </c>
      <c r="AR462" s="4">
        <v>1</v>
      </c>
      <c r="AS462" s="4">
        <f t="shared" si="15"/>
        <v>20</v>
      </c>
      <c r="AT462" s="9" t="s">
        <v>501</v>
      </c>
    </row>
    <row r="463" spans="1:46" x14ac:dyDescent="0.2">
      <c r="A463" s="4">
        <v>1835</v>
      </c>
      <c r="B463" s="4" t="s">
        <v>22</v>
      </c>
      <c r="C463" s="5" t="s">
        <v>522</v>
      </c>
      <c r="D463" s="5" t="s">
        <v>523</v>
      </c>
      <c r="E463" s="5" t="s">
        <v>215</v>
      </c>
      <c r="F463" s="5" t="s">
        <v>500</v>
      </c>
      <c r="G463" s="13">
        <v>46294</v>
      </c>
      <c r="H463" s="13">
        <v>46295</v>
      </c>
      <c r="I463" s="9">
        <f t="shared" si="14"/>
        <v>2</v>
      </c>
      <c r="J463" s="5" t="s">
        <v>1651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4">
        <v>4</v>
      </c>
      <c r="AH463" s="4">
        <v>4</v>
      </c>
      <c r="AI463" s="4">
        <v>1</v>
      </c>
      <c r="AJ463" s="4">
        <v>3</v>
      </c>
      <c r="AK463" s="4">
        <v>8</v>
      </c>
      <c r="AL463" s="4">
        <v>4</v>
      </c>
      <c r="AM463" s="4">
        <v>2</v>
      </c>
      <c r="AN463" s="4">
        <v>0</v>
      </c>
      <c r="AO463" s="4">
        <v>2</v>
      </c>
      <c r="AP463" s="4"/>
      <c r="AQ463" s="4">
        <v>1</v>
      </c>
      <c r="AR463" s="4">
        <v>1</v>
      </c>
      <c r="AS463" s="4">
        <f t="shared" si="15"/>
        <v>29</v>
      </c>
      <c r="AT463" s="9" t="s">
        <v>501</v>
      </c>
    </row>
    <row r="464" spans="1:46" x14ac:dyDescent="0.2">
      <c r="A464" s="4">
        <v>2128</v>
      </c>
      <c r="B464" s="4" t="s">
        <v>22</v>
      </c>
      <c r="C464" s="5" t="s">
        <v>579</v>
      </c>
      <c r="D464" s="5" t="s">
        <v>580</v>
      </c>
      <c r="E464" s="5" t="s">
        <v>545</v>
      </c>
      <c r="F464" s="5" t="s">
        <v>546</v>
      </c>
      <c r="G464" s="13">
        <v>46294</v>
      </c>
      <c r="H464" s="13">
        <v>46294</v>
      </c>
      <c r="I464" s="9">
        <f t="shared" si="14"/>
        <v>1</v>
      </c>
      <c r="J464" s="5" t="s">
        <v>1651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4">
        <v>3</v>
      </c>
      <c r="AH464" s="4">
        <v>2</v>
      </c>
      <c r="AI464" s="4">
        <v>1</v>
      </c>
      <c r="AJ464" s="4">
        <v>2</v>
      </c>
      <c r="AK464" s="4">
        <v>4</v>
      </c>
      <c r="AL464" s="4">
        <v>3</v>
      </c>
      <c r="AM464" s="4">
        <v>1</v>
      </c>
      <c r="AN464" s="4">
        <v>0</v>
      </c>
      <c r="AO464" s="4">
        <v>1</v>
      </c>
      <c r="AP464" s="7"/>
      <c r="AQ464" s="4">
        <v>0</v>
      </c>
      <c r="AR464" s="4">
        <v>1</v>
      </c>
      <c r="AS464" s="4">
        <f t="shared" si="15"/>
        <v>17</v>
      </c>
      <c r="AT464" s="9" t="s">
        <v>547</v>
      </c>
    </row>
    <row r="465" spans="1:46" x14ac:dyDescent="0.2">
      <c r="A465" s="4">
        <v>3142</v>
      </c>
      <c r="B465" s="4" t="s">
        <v>22</v>
      </c>
      <c r="C465" s="5" t="s">
        <v>773</v>
      </c>
      <c r="D465" s="5" t="s">
        <v>774</v>
      </c>
      <c r="E465" s="5" t="s">
        <v>36</v>
      </c>
      <c r="F465" s="5" t="s">
        <v>26</v>
      </c>
      <c r="G465" s="13">
        <v>46294</v>
      </c>
      <c r="H465" s="13">
        <v>46294</v>
      </c>
      <c r="I465" s="9">
        <f t="shared" si="14"/>
        <v>1</v>
      </c>
      <c r="J465" s="5" t="s">
        <v>1651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4">
        <v>5</v>
      </c>
      <c r="AH465" s="4">
        <v>3</v>
      </c>
      <c r="AI465" s="4">
        <v>1</v>
      </c>
      <c r="AJ465" s="4">
        <v>3</v>
      </c>
      <c r="AK465" s="4">
        <v>8</v>
      </c>
      <c r="AL465" s="4">
        <v>4</v>
      </c>
      <c r="AM465" s="4">
        <v>2</v>
      </c>
      <c r="AN465" s="4">
        <v>0</v>
      </c>
      <c r="AO465" s="4">
        <v>1</v>
      </c>
      <c r="AP465" s="4"/>
      <c r="AQ465" s="4">
        <v>0</v>
      </c>
      <c r="AR465" s="4">
        <v>1</v>
      </c>
      <c r="AS465" s="4">
        <f t="shared" si="15"/>
        <v>27</v>
      </c>
      <c r="AT465" s="9" t="s">
        <v>44</v>
      </c>
    </row>
    <row r="466" spans="1:46" x14ac:dyDescent="0.2">
      <c r="A466" s="4">
        <v>3159</v>
      </c>
      <c r="B466" s="4" t="s">
        <v>22</v>
      </c>
      <c r="C466" s="5" t="s">
        <v>803</v>
      </c>
      <c r="D466" s="5" t="s">
        <v>804</v>
      </c>
      <c r="E466" s="5" t="s">
        <v>36</v>
      </c>
      <c r="F466" s="5" t="s">
        <v>26</v>
      </c>
      <c r="G466" s="13">
        <v>46294</v>
      </c>
      <c r="H466" s="13">
        <v>46294</v>
      </c>
      <c r="I466" s="9">
        <f t="shared" si="14"/>
        <v>1</v>
      </c>
      <c r="J466" s="5" t="s">
        <v>1651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4">
        <v>3</v>
      </c>
      <c r="AH466" s="4">
        <v>3</v>
      </c>
      <c r="AI466" s="4">
        <v>1</v>
      </c>
      <c r="AJ466" s="4">
        <v>2</v>
      </c>
      <c r="AK466" s="4">
        <v>6</v>
      </c>
      <c r="AL466" s="4">
        <v>3</v>
      </c>
      <c r="AM466" s="4">
        <v>1</v>
      </c>
      <c r="AN466" s="4">
        <v>0</v>
      </c>
      <c r="AO466" s="4">
        <v>1</v>
      </c>
      <c r="AP466" s="4"/>
      <c r="AQ466" s="4">
        <v>0</v>
      </c>
      <c r="AR466" s="4">
        <v>1</v>
      </c>
      <c r="AS466" s="4">
        <f t="shared" si="15"/>
        <v>20</v>
      </c>
      <c r="AT466" s="9" t="s">
        <v>51</v>
      </c>
    </row>
    <row r="467" spans="1:46" x14ac:dyDescent="0.2">
      <c r="A467" s="4">
        <v>3166</v>
      </c>
      <c r="B467" s="4" t="s">
        <v>22</v>
      </c>
      <c r="C467" s="5" t="s">
        <v>817</v>
      </c>
      <c r="D467" s="5" t="s">
        <v>818</v>
      </c>
      <c r="E467" s="5" t="s">
        <v>36</v>
      </c>
      <c r="F467" s="5" t="s">
        <v>26</v>
      </c>
      <c r="G467" s="13">
        <v>46294</v>
      </c>
      <c r="H467" s="13">
        <v>46294</v>
      </c>
      <c r="I467" s="9">
        <f t="shared" si="14"/>
        <v>1</v>
      </c>
      <c r="J467" s="5" t="s">
        <v>1651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4">
        <v>5</v>
      </c>
      <c r="AH467" s="4">
        <v>5</v>
      </c>
      <c r="AI467" s="4">
        <v>1</v>
      </c>
      <c r="AJ467" s="4">
        <v>3</v>
      </c>
      <c r="AK467" s="4">
        <v>10</v>
      </c>
      <c r="AL467" s="4">
        <v>4</v>
      </c>
      <c r="AM467" s="4">
        <v>2</v>
      </c>
      <c r="AN467" s="4">
        <v>0</v>
      </c>
      <c r="AO467" s="4">
        <v>1</v>
      </c>
      <c r="AP467" s="4"/>
      <c r="AQ467" s="4">
        <v>0</v>
      </c>
      <c r="AR467" s="4">
        <v>1</v>
      </c>
      <c r="AS467" s="4">
        <f t="shared" si="15"/>
        <v>31</v>
      </c>
      <c r="AT467" s="9" t="s">
        <v>37</v>
      </c>
    </row>
    <row r="468" spans="1:46" x14ac:dyDescent="0.2">
      <c r="A468" s="4">
        <v>3167</v>
      </c>
      <c r="B468" s="4" t="s">
        <v>22</v>
      </c>
      <c r="C468" s="5" t="s">
        <v>819</v>
      </c>
      <c r="D468" s="5" t="s">
        <v>820</v>
      </c>
      <c r="E468" s="5" t="s">
        <v>36</v>
      </c>
      <c r="F468" s="5" t="s">
        <v>26</v>
      </c>
      <c r="G468" s="13">
        <v>46294</v>
      </c>
      <c r="H468" s="13">
        <v>46294</v>
      </c>
      <c r="I468" s="9">
        <f t="shared" si="14"/>
        <v>1</v>
      </c>
      <c r="J468" s="5" t="s">
        <v>1651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4">
        <v>3</v>
      </c>
      <c r="AH468" s="4">
        <v>1</v>
      </c>
      <c r="AI468" s="4">
        <v>1</v>
      </c>
      <c r="AJ468" s="4">
        <v>2</v>
      </c>
      <c r="AK468" s="4">
        <v>4</v>
      </c>
      <c r="AL468" s="4">
        <v>3</v>
      </c>
      <c r="AM468" s="4">
        <v>1</v>
      </c>
      <c r="AN468" s="4">
        <v>0</v>
      </c>
      <c r="AO468" s="4">
        <v>1</v>
      </c>
      <c r="AP468" s="4"/>
      <c r="AQ468" s="4">
        <v>0</v>
      </c>
      <c r="AR468" s="4">
        <v>1</v>
      </c>
      <c r="AS468" s="4">
        <f t="shared" si="15"/>
        <v>16</v>
      </c>
      <c r="AT468" s="9" t="s">
        <v>64</v>
      </c>
    </row>
    <row r="469" spans="1:46" x14ac:dyDescent="0.2">
      <c r="A469" s="4">
        <v>3660</v>
      </c>
      <c r="B469" s="4" t="s">
        <v>22</v>
      </c>
      <c r="C469" s="5" t="s">
        <v>869</v>
      </c>
      <c r="D469" s="5" t="s">
        <v>870</v>
      </c>
      <c r="E469" s="5" t="s">
        <v>622</v>
      </c>
      <c r="F469" s="5" t="s">
        <v>68</v>
      </c>
      <c r="G469" s="13">
        <v>46294</v>
      </c>
      <c r="H469" s="13">
        <v>46294</v>
      </c>
      <c r="I469" s="9">
        <f t="shared" si="14"/>
        <v>1</v>
      </c>
      <c r="J469" s="5" t="s">
        <v>1651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4">
        <v>2</v>
      </c>
      <c r="AH469" s="4">
        <v>1</v>
      </c>
      <c r="AI469" s="4">
        <v>1</v>
      </c>
      <c r="AJ469" s="4">
        <v>2</v>
      </c>
      <c r="AK469" s="4">
        <v>3</v>
      </c>
      <c r="AL469" s="4">
        <v>2</v>
      </c>
      <c r="AM469" s="4">
        <v>1</v>
      </c>
      <c r="AN469" s="4">
        <v>0</v>
      </c>
      <c r="AO469" s="4">
        <v>1</v>
      </c>
      <c r="AP469" s="4"/>
      <c r="AQ469" s="4">
        <v>0</v>
      </c>
      <c r="AR469" s="4">
        <v>1</v>
      </c>
      <c r="AS469" s="4">
        <f t="shared" si="15"/>
        <v>13</v>
      </c>
      <c r="AT469" s="9" t="s">
        <v>623</v>
      </c>
    </row>
    <row r="470" spans="1:46" x14ac:dyDescent="0.2">
      <c r="A470" s="4">
        <v>4810</v>
      </c>
      <c r="B470" s="4" t="s">
        <v>22</v>
      </c>
      <c r="C470" s="5" t="s">
        <v>1039</v>
      </c>
      <c r="D470" s="5" t="s">
        <v>1040</v>
      </c>
      <c r="E470" s="5" t="s">
        <v>286</v>
      </c>
      <c r="F470" s="5" t="s">
        <v>546</v>
      </c>
      <c r="G470" s="13">
        <v>46294</v>
      </c>
      <c r="H470" s="13">
        <v>46294</v>
      </c>
      <c r="I470" s="9">
        <f t="shared" si="14"/>
        <v>1</v>
      </c>
      <c r="J470" s="5" t="s">
        <v>1651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4">
        <v>5</v>
      </c>
      <c r="AH470" s="4">
        <v>4</v>
      </c>
      <c r="AI470" s="4">
        <v>1</v>
      </c>
      <c r="AJ470" s="4">
        <v>3</v>
      </c>
      <c r="AK470" s="4">
        <v>8</v>
      </c>
      <c r="AL470" s="4">
        <v>4</v>
      </c>
      <c r="AM470" s="4">
        <v>2</v>
      </c>
      <c r="AN470" s="4">
        <v>0</v>
      </c>
      <c r="AO470" s="4">
        <v>2</v>
      </c>
      <c r="AP470" s="4"/>
      <c r="AQ470" s="4">
        <v>0</v>
      </c>
      <c r="AR470" s="4">
        <v>2</v>
      </c>
      <c r="AS470" s="4">
        <f t="shared" si="15"/>
        <v>29</v>
      </c>
      <c r="AT470" s="9" t="s">
        <v>1034</v>
      </c>
    </row>
    <row r="471" spans="1:46" x14ac:dyDescent="0.2">
      <c r="A471" s="4">
        <v>6035</v>
      </c>
      <c r="B471" s="4" t="s">
        <v>22</v>
      </c>
      <c r="C471" s="5" t="s">
        <v>1246</v>
      </c>
      <c r="D471" s="5" t="s">
        <v>1247</v>
      </c>
      <c r="E471" s="5" t="s">
        <v>1213</v>
      </c>
      <c r="F471" s="5" t="s">
        <v>331</v>
      </c>
      <c r="G471" s="13">
        <v>46294</v>
      </c>
      <c r="H471" s="13">
        <v>46295</v>
      </c>
      <c r="I471" s="9">
        <f t="shared" si="14"/>
        <v>2</v>
      </c>
      <c r="J471" s="5" t="s">
        <v>1651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4">
        <v>2</v>
      </c>
      <c r="AH471" s="4">
        <v>2</v>
      </c>
      <c r="AI471" s="4">
        <v>1</v>
      </c>
      <c r="AJ471" s="4">
        <v>2</v>
      </c>
      <c r="AK471" s="4">
        <v>4</v>
      </c>
      <c r="AL471" s="4">
        <v>2</v>
      </c>
      <c r="AM471" s="4">
        <v>1</v>
      </c>
      <c r="AN471" s="4">
        <v>0</v>
      </c>
      <c r="AO471" s="4">
        <v>1</v>
      </c>
      <c r="AP471" s="4"/>
      <c r="AQ471" s="4">
        <v>0</v>
      </c>
      <c r="AR471" s="4">
        <v>1</v>
      </c>
      <c r="AS471" s="4">
        <f t="shared" si="15"/>
        <v>15</v>
      </c>
      <c r="AT471" s="9" t="s">
        <v>335</v>
      </c>
    </row>
    <row r="472" spans="1:46" x14ac:dyDescent="0.2">
      <c r="A472" s="4">
        <v>6053</v>
      </c>
      <c r="B472" s="4" t="s">
        <v>22</v>
      </c>
      <c r="C472" s="5" t="s">
        <v>1271</v>
      </c>
      <c r="D472" s="5" t="s">
        <v>1272</v>
      </c>
      <c r="E472" s="5" t="s">
        <v>1213</v>
      </c>
      <c r="F472" s="5" t="s">
        <v>98</v>
      </c>
      <c r="G472" s="13">
        <v>46294</v>
      </c>
      <c r="H472" s="13">
        <v>46295</v>
      </c>
      <c r="I472" s="9">
        <f t="shared" si="14"/>
        <v>2</v>
      </c>
      <c r="J472" s="5" t="s">
        <v>1651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4">
        <v>2</v>
      </c>
      <c r="AH472" s="4">
        <v>1</v>
      </c>
      <c r="AI472" s="4">
        <v>1</v>
      </c>
      <c r="AJ472" s="4">
        <v>2</v>
      </c>
      <c r="AK472" s="4">
        <v>3</v>
      </c>
      <c r="AL472" s="4">
        <v>2</v>
      </c>
      <c r="AM472" s="4">
        <v>1</v>
      </c>
      <c r="AN472" s="4">
        <v>0</v>
      </c>
      <c r="AO472" s="4">
        <v>1</v>
      </c>
      <c r="AP472" s="4"/>
      <c r="AQ472" s="4">
        <v>0</v>
      </c>
      <c r="AR472" s="4">
        <v>1</v>
      </c>
      <c r="AS472" s="4">
        <f t="shared" si="15"/>
        <v>13</v>
      </c>
      <c r="AT472" s="9" t="s">
        <v>364</v>
      </c>
    </row>
    <row r="473" spans="1:46" x14ac:dyDescent="0.2">
      <c r="A473" s="4">
        <v>6066</v>
      </c>
      <c r="B473" s="4" t="s">
        <v>22</v>
      </c>
      <c r="C473" s="5" t="s">
        <v>1290</v>
      </c>
      <c r="D473" s="5" t="s">
        <v>1291</v>
      </c>
      <c r="E473" s="5" t="s">
        <v>1213</v>
      </c>
      <c r="F473" s="5" t="s">
        <v>98</v>
      </c>
      <c r="G473" s="13">
        <v>46294</v>
      </c>
      <c r="H473" s="13">
        <v>46295</v>
      </c>
      <c r="I473" s="9">
        <f t="shared" si="14"/>
        <v>2</v>
      </c>
      <c r="J473" s="5" t="s">
        <v>1651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4">
        <v>2</v>
      </c>
      <c r="AH473" s="4">
        <v>1</v>
      </c>
      <c r="AI473" s="4">
        <v>1</v>
      </c>
      <c r="AJ473" s="4">
        <v>2</v>
      </c>
      <c r="AK473" s="4">
        <v>3</v>
      </c>
      <c r="AL473" s="4">
        <v>2</v>
      </c>
      <c r="AM473" s="4">
        <v>1</v>
      </c>
      <c r="AN473" s="4">
        <v>0</v>
      </c>
      <c r="AO473" s="4">
        <v>1</v>
      </c>
      <c r="AP473" s="4"/>
      <c r="AQ473" s="4">
        <v>0</v>
      </c>
      <c r="AR473" s="4">
        <v>1</v>
      </c>
      <c r="AS473" s="4">
        <f t="shared" si="15"/>
        <v>13</v>
      </c>
      <c r="AT473" s="9" t="s">
        <v>342</v>
      </c>
    </row>
    <row r="474" spans="1:46" x14ac:dyDescent="0.2">
      <c r="A474" s="4">
        <v>6068</v>
      </c>
      <c r="B474" s="4" t="s">
        <v>22</v>
      </c>
      <c r="C474" s="5" t="s">
        <v>1294</v>
      </c>
      <c r="D474" s="5" t="s">
        <v>1295</v>
      </c>
      <c r="E474" s="5" t="s">
        <v>1213</v>
      </c>
      <c r="F474" s="5" t="s">
        <v>98</v>
      </c>
      <c r="G474" s="13">
        <v>46294</v>
      </c>
      <c r="H474" s="13">
        <v>46295</v>
      </c>
      <c r="I474" s="9">
        <f t="shared" si="14"/>
        <v>2</v>
      </c>
      <c r="J474" s="5" t="s">
        <v>1651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4">
        <v>3</v>
      </c>
      <c r="AH474" s="4">
        <v>4</v>
      </c>
      <c r="AI474" s="4">
        <v>1</v>
      </c>
      <c r="AJ474" s="4">
        <v>2</v>
      </c>
      <c r="AK474" s="4">
        <v>6</v>
      </c>
      <c r="AL474" s="4">
        <v>3</v>
      </c>
      <c r="AM474" s="4">
        <v>1</v>
      </c>
      <c r="AN474" s="4">
        <v>0</v>
      </c>
      <c r="AO474" s="4">
        <v>1</v>
      </c>
      <c r="AP474" s="7"/>
      <c r="AQ474" s="4">
        <v>0</v>
      </c>
      <c r="AR474" s="4">
        <v>1</v>
      </c>
      <c r="AS474" s="4">
        <f t="shared" si="15"/>
        <v>21</v>
      </c>
      <c r="AT474" s="9" t="s">
        <v>77</v>
      </c>
    </row>
    <row r="475" spans="1:46" x14ac:dyDescent="0.2">
      <c r="A475" s="4">
        <v>6360</v>
      </c>
      <c r="B475" s="4" t="s">
        <v>22</v>
      </c>
      <c r="C475" s="5" t="s">
        <v>1329</v>
      </c>
      <c r="D475" s="5" t="s">
        <v>1330</v>
      </c>
      <c r="E475" s="5" t="s">
        <v>1301</v>
      </c>
      <c r="F475" s="5" t="s">
        <v>68</v>
      </c>
      <c r="G475" s="13">
        <v>46294</v>
      </c>
      <c r="H475" s="13">
        <v>46294</v>
      </c>
      <c r="I475" s="9">
        <f t="shared" si="14"/>
        <v>1</v>
      </c>
      <c r="J475" s="5" t="s">
        <v>1651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4">
        <v>3</v>
      </c>
      <c r="AH475" s="4">
        <v>2</v>
      </c>
      <c r="AI475" s="4">
        <v>1</v>
      </c>
      <c r="AJ475" s="4">
        <v>3</v>
      </c>
      <c r="AK475" s="4">
        <v>5</v>
      </c>
      <c r="AL475" s="4">
        <v>3</v>
      </c>
      <c r="AM475" s="4">
        <v>2</v>
      </c>
      <c r="AN475" s="4">
        <v>0</v>
      </c>
      <c r="AO475" s="4">
        <v>1</v>
      </c>
      <c r="AP475" s="4"/>
      <c r="AQ475" s="4">
        <v>0</v>
      </c>
      <c r="AR475" s="4">
        <v>1</v>
      </c>
      <c r="AS475" s="4">
        <f t="shared" si="15"/>
        <v>20</v>
      </c>
      <c r="AT475" s="9" t="s">
        <v>696</v>
      </c>
    </row>
    <row r="476" spans="1:46" x14ac:dyDescent="0.2">
      <c r="A476" s="4">
        <v>6650</v>
      </c>
      <c r="B476" s="4" t="s">
        <v>22</v>
      </c>
      <c r="C476" s="5" t="s">
        <v>1423</v>
      </c>
      <c r="D476" s="5" t="s">
        <v>1424</v>
      </c>
      <c r="E476" s="5" t="s">
        <v>1346</v>
      </c>
      <c r="F476" s="5" t="s">
        <v>574</v>
      </c>
      <c r="G476" s="13">
        <v>46294</v>
      </c>
      <c r="H476" s="13">
        <v>46295</v>
      </c>
      <c r="I476" s="9">
        <f t="shared" si="14"/>
        <v>2</v>
      </c>
      <c r="J476" s="5" t="s">
        <v>1651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4">
        <v>3</v>
      </c>
      <c r="AH476" s="4">
        <v>4</v>
      </c>
      <c r="AI476" s="4">
        <v>1</v>
      </c>
      <c r="AJ476" s="4">
        <v>2</v>
      </c>
      <c r="AK476" s="4">
        <v>7</v>
      </c>
      <c r="AL476" s="4">
        <v>2</v>
      </c>
      <c r="AM476" s="4">
        <v>1</v>
      </c>
      <c r="AN476" s="4">
        <v>0</v>
      </c>
      <c r="AO476" s="4">
        <v>1</v>
      </c>
      <c r="AP476" s="4"/>
      <c r="AQ476" s="4">
        <v>0</v>
      </c>
      <c r="AR476" s="4">
        <v>1</v>
      </c>
      <c r="AS476" s="4">
        <f t="shared" si="15"/>
        <v>21</v>
      </c>
      <c r="AT476" s="9" t="s">
        <v>1354</v>
      </c>
    </row>
    <row r="477" spans="1:46" x14ac:dyDescent="0.2">
      <c r="A477" s="4">
        <v>6652</v>
      </c>
      <c r="B477" s="4" t="s">
        <v>22</v>
      </c>
      <c r="C477" s="5" t="s">
        <v>1427</v>
      </c>
      <c r="D477" s="5" t="s">
        <v>1428</v>
      </c>
      <c r="E477" s="5" t="s">
        <v>1346</v>
      </c>
      <c r="F477" s="5" t="s">
        <v>574</v>
      </c>
      <c r="G477" s="13">
        <v>46294</v>
      </c>
      <c r="H477" s="13">
        <v>46295</v>
      </c>
      <c r="I477" s="9">
        <f t="shared" si="14"/>
        <v>2</v>
      </c>
      <c r="J477" s="5" t="s">
        <v>1651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4">
        <v>3</v>
      </c>
      <c r="AH477" s="4">
        <v>1</v>
      </c>
      <c r="AI477" s="4">
        <v>1</v>
      </c>
      <c r="AJ477" s="4">
        <v>2</v>
      </c>
      <c r="AK477" s="4">
        <v>5</v>
      </c>
      <c r="AL477" s="4">
        <v>3</v>
      </c>
      <c r="AM477" s="4">
        <v>1</v>
      </c>
      <c r="AN477" s="4">
        <v>0</v>
      </c>
      <c r="AO477" s="4">
        <v>1</v>
      </c>
      <c r="AP477" s="4"/>
      <c r="AQ477" s="4">
        <v>0</v>
      </c>
      <c r="AR477" s="4">
        <v>1</v>
      </c>
      <c r="AS477" s="4">
        <f t="shared" si="15"/>
        <v>17</v>
      </c>
      <c r="AT477" s="9" t="s">
        <v>1364</v>
      </c>
    </row>
    <row r="478" spans="1:46" x14ac:dyDescent="0.2">
      <c r="A478" s="4">
        <v>8630</v>
      </c>
      <c r="B478" s="4" t="s">
        <v>22</v>
      </c>
      <c r="C478" s="5" t="s">
        <v>1612</v>
      </c>
      <c r="D478" s="5" t="s">
        <v>1613</v>
      </c>
      <c r="E478" s="5" t="s">
        <v>1600</v>
      </c>
      <c r="F478" s="5" t="s">
        <v>26</v>
      </c>
      <c r="G478" s="13">
        <v>46294</v>
      </c>
      <c r="H478" s="13">
        <v>46295</v>
      </c>
      <c r="I478" s="9">
        <f t="shared" si="14"/>
        <v>2</v>
      </c>
      <c r="J478" s="5" t="s">
        <v>1651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4">
        <v>3</v>
      </c>
      <c r="AH478" s="4">
        <v>1</v>
      </c>
      <c r="AI478" s="4">
        <v>1</v>
      </c>
      <c r="AJ478" s="4">
        <v>2</v>
      </c>
      <c r="AK478" s="4">
        <v>4</v>
      </c>
      <c r="AL478" s="4">
        <v>3</v>
      </c>
      <c r="AM478" s="4">
        <v>1</v>
      </c>
      <c r="AN478" s="4">
        <v>0</v>
      </c>
      <c r="AO478" s="4">
        <v>1</v>
      </c>
      <c r="AP478" s="7"/>
      <c r="AQ478" s="4">
        <v>0</v>
      </c>
      <c r="AR478" s="4">
        <v>1</v>
      </c>
      <c r="AS478" s="4">
        <f t="shared" si="15"/>
        <v>16</v>
      </c>
      <c r="AT478" s="9" t="s">
        <v>1601</v>
      </c>
    </row>
    <row r="479" spans="1:46" x14ac:dyDescent="0.2">
      <c r="A479" s="4">
        <v>980</v>
      </c>
      <c r="B479" s="4" t="s">
        <v>22</v>
      </c>
      <c r="C479" s="5" t="s">
        <v>62</v>
      </c>
      <c r="D479" s="5" t="s">
        <v>63</v>
      </c>
      <c r="E479" s="5" t="s">
        <v>36</v>
      </c>
      <c r="F479" s="5" t="s">
        <v>26</v>
      </c>
      <c r="G479" s="13">
        <v>46295</v>
      </c>
      <c r="H479" s="13">
        <v>46295</v>
      </c>
      <c r="I479" s="9">
        <f t="shared" si="14"/>
        <v>1</v>
      </c>
      <c r="J479" s="5" t="s">
        <v>1651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4">
        <v>2</v>
      </c>
      <c r="AH479" s="4">
        <v>2</v>
      </c>
      <c r="AI479" s="4">
        <v>1</v>
      </c>
      <c r="AJ479" s="4">
        <v>2</v>
      </c>
      <c r="AK479" s="4">
        <v>4</v>
      </c>
      <c r="AL479" s="4">
        <v>2</v>
      </c>
      <c r="AM479" s="4">
        <v>1</v>
      </c>
      <c r="AN479" s="4">
        <v>0</v>
      </c>
      <c r="AO479" s="4">
        <v>1</v>
      </c>
      <c r="AP479" s="4"/>
      <c r="AQ479" s="4">
        <v>0</v>
      </c>
      <c r="AR479" s="4">
        <v>1</v>
      </c>
      <c r="AS479" s="4">
        <f t="shared" si="15"/>
        <v>15</v>
      </c>
      <c r="AT479" s="5" t="s">
        <v>64</v>
      </c>
    </row>
    <row r="480" spans="1:46" x14ac:dyDescent="0.2">
      <c r="A480" s="4">
        <v>1352</v>
      </c>
      <c r="B480" s="4" t="s">
        <v>22</v>
      </c>
      <c r="C480" s="5" t="s">
        <v>178</v>
      </c>
      <c r="D480" s="5" t="s">
        <v>179</v>
      </c>
      <c r="E480" s="5" t="s">
        <v>118</v>
      </c>
      <c r="F480" s="5" t="s">
        <v>119</v>
      </c>
      <c r="G480" s="13">
        <v>46295</v>
      </c>
      <c r="H480" s="13">
        <v>46296</v>
      </c>
      <c r="I480" s="9">
        <f t="shared" si="14"/>
        <v>2</v>
      </c>
      <c r="J480" s="5" t="s">
        <v>1651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4">
        <v>7</v>
      </c>
      <c r="AH480" s="4">
        <v>7</v>
      </c>
      <c r="AI480" s="4">
        <v>1</v>
      </c>
      <c r="AJ480" s="4">
        <v>3</v>
      </c>
      <c r="AK480" s="4">
        <v>13</v>
      </c>
      <c r="AL480" s="4">
        <v>5</v>
      </c>
      <c r="AM480" s="4">
        <v>2</v>
      </c>
      <c r="AN480" s="4">
        <v>1</v>
      </c>
      <c r="AO480" s="4">
        <v>3</v>
      </c>
      <c r="AP480" s="4"/>
      <c r="AQ480" s="4">
        <v>0</v>
      </c>
      <c r="AR480" s="4">
        <v>1</v>
      </c>
      <c r="AS480" s="4">
        <f t="shared" si="15"/>
        <v>42</v>
      </c>
      <c r="AT480" s="4" t="s">
        <v>137</v>
      </c>
    </row>
    <row r="481" spans="1:46" x14ac:dyDescent="0.2">
      <c r="A481" s="4">
        <v>1424</v>
      </c>
      <c r="B481" s="4" t="s">
        <v>22</v>
      </c>
      <c r="C481" s="5" t="s">
        <v>273</v>
      </c>
      <c r="D481" s="5" t="s">
        <v>274</v>
      </c>
      <c r="E481" s="5" t="s">
        <v>118</v>
      </c>
      <c r="F481" s="5" t="s">
        <v>119</v>
      </c>
      <c r="G481" s="13">
        <v>46295</v>
      </c>
      <c r="H481" s="13">
        <v>46295</v>
      </c>
      <c r="I481" s="9">
        <f t="shared" si="14"/>
        <v>1</v>
      </c>
      <c r="J481" s="5" t="s">
        <v>1651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4">
        <v>4</v>
      </c>
      <c r="AH481" s="4">
        <v>2</v>
      </c>
      <c r="AI481" s="4">
        <v>1</v>
      </c>
      <c r="AJ481" s="4">
        <v>2</v>
      </c>
      <c r="AK481" s="4">
        <v>6</v>
      </c>
      <c r="AL481" s="4">
        <v>3</v>
      </c>
      <c r="AM481" s="4">
        <v>1</v>
      </c>
      <c r="AN481" s="4">
        <v>0</v>
      </c>
      <c r="AO481" s="4">
        <v>1</v>
      </c>
      <c r="AP481" s="4"/>
      <c r="AQ481" s="4">
        <v>0</v>
      </c>
      <c r="AR481" s="4">
        <v>1</v>
      </c>
      <c r="AS481" s="4">
        <f t="shared" si="15"/>
        <v>20</v>
      </c>
      <c r="AT481" s="4" t="s">
        <v>120</v>
      </c>
    </row>
    <row r="482" spans="1:46" x14ac:dyDescent="0.2">
      <c r="A482" s="4">
        <v>1482</v>
      </c>
      <c r="B482" s="4" t="s">
        <v>22</v>
      </c>
      <c r="C482" s="5" t="s">
        <v>321</v>
      </c>
      <c r="D482" s="5" t="s">
        <v>322</v>
      </c>
      <c r="E482" s="5" t="s">
        <v>118</v>
      </c>
      <c r="F482" s="5" t="s">
        <v>119</v>
      </c>
      <c r="G482" s="13">
        <v>46295</v>
      </c>
      <c r="H482" s="13">
        <v>46295</v>
      </c>
      <c r="I482" s="9">
        <f t="shared" si="14"/>
        <v>1</v>
      </c>
      <c r="J482" s="5" t="s">
        <v>1651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4">
        <v>2</v>
      </c>
      <c r="AH482" s="4">
        <v>1</v>
      </c>
      <c r="AI482" s="4">
        <v>1</v>
      </c>
      <c r="AJ482" s="4">
        <v>2</v>
      </c>
      <c r="AK482" s="4">
        <v>3</v>
      </c>
      <c r="AL482" s="4">
        <v>2</v>
      </c>
      <c r="AM482" s="4">
        <v>1</v>
      </c>
      <c r="AN482" s="4">
        <v>0</v>
      </c>
      <c r="AO482" s="4">
        <v>1</v>
      </c>
      <c r="AP482" s="4"/>
      <c r="AQ482" s="4">
        <v>0</v>
      </c>
      <c r="AR482" s="4">
        <v>1</v>
      </c>
      <c r="AS482" s="4">
        <f t="shared" si="15"/>
        <v>13</v>
      </c>
      <c r="AT482" s="4" t="s">
        <v>120</v>
      </c>
    </row>
    <row r="483" spans="1:46" x14ac:dyDescent="0.2">
      <c r="A483" s="4">
        <v>2120</v>
      </c>
      <c r="B483" s="4" t="s">
        <v>22</v>
      </c>
      <c r="C483" s="5" t="s">
        <v>572</v>
      </c>
      <c r="D483" s="5" t="s">
        <v>573</v>
      </c>
      <c r="E483" s="5" t="s">
        <v>545</v>
      </c>
      <c r="F483" s="5" t="s">
        <v>574</v>
      </c>
      <c r="G483" s="13">
        <v>46295</v>
      </c>
      <c r="H483" s="13">
        <v>46295</v>
      </c>
      <c r="I483" s="9">
        <f t="shared" si="14"/>
        <v>1</v>
      </c>
      <c r="J483" s="5" t="s">
        <v>1651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4">
        <v>2</v>
      </c>
      <c r="AH483" s="4">
        <v>1</v>
      </c>
      <c r="AI483" s="4">
        <v>1</v>
      </c>
      <c r="AJ483" s="4">
        <v>2</v>
      </c>
      <c r="AK483" s="4">
        <v>3</v>
      </c>
      <c r="AL483" s="4">
        <v>2</v>
      </c>
      <c r="AM483" s="4">
        <v>1</v>
      </c>
      <c r="AN483" s="4">
        <v>0</v>
      </c>
      <c r="AO483" s="4">
        <v>1</v>
      </c>
      <c r="AP483" s="4"/>
      <c r="AQ483" s="4">
        <v>0</v>
      </c>
      <c r="AR483" s="4">
        <v>1</v>
      </c>
      <c r="AS483" s="4">
        <f t="shared" si="15"/>
        <v>13</v>
      </c>
      <c r="AT483" s="9" t="s">
        <v>547</v>
      </c>
    </row>
    <row r="484" spans="1:46" x14ac:dyDescent="0.2">
      <c r="A484" s="4">
        <v>2140</v>
      </c>
      <c r="B484" s="4" t="s">
        <v>22</v>
      </c>
      <c r="C484" s="5" t="s">
        <v>587</v>
      </c>
      <c r="D484" s="5" t="s">
        <v>588</v>
      </c>
      <c r="E484" s="5" t="s">
        <v>545</v>
      </c>
      <c r="F484" s="5" t="s">
        <v>574</v>
      </c>
      <c r="G484" s="13">
        <v>46295</v>
      </c>
      <c r="H484" s="13">
        <v>46295</v>
      </c>
      <c r="I484" s="9">
        <f t="shared" si="14"/>
        <v>1</v>
      </c>
      <c r="J484" s="5" t="s">
        <v>1651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4">
        <v>2</v>
      </c>
      <c r="AH484" s="4">
        <v>2</v>
      </c>
      <c r="AI484" s="4">
        <v>1</v>
      </c>
      <c r="AJ484" s="4">
        <v>2</v>
      </c>
      <c r="AK484" s="4">
        <v>3</v>
      </c>
      <c r="AL484" s="4">
        <v>2</v>
      </c>
      <c r="AM484" s="4">
        <v>1</v>
      </c>
      <c r="AN484" s="4">
        <v>0</v>
      </c>
      <c r="AO484" s="4">
        <v>1</v>
      </c>
      <c r="AP484" s="4"/>
      <c r="AQ484" s="4">
        <v>0</v>
      </c>
      <c r="AR484" s="4">
        <v>1</v>
      </c>
      <c r="AS484" s="4">
        <f t="shared" si="15"/>
        <v>14</v>
      </c>
      <c r="AT484" s="9" t="s">
        <v>547</v>
      </c>
    </row>
    <row r="485" spans="1:46" x14ac:dyDescent="0.2">
      <c r="A485" s="4">
        <v>3138</v>
      </c>
      <c r="B485" s="4" t="s">
        <v>22</v>
      </c>
      <c r="C485" s="5" t="s">
        <v>765</v>
      </c>
      <c r="D485" s="5" t="s">
        <v>766</v>
      </c>
      <c r="E485" s="5" t="s">
        <v>36</v>
      </c>
      <c r="F485" s="5" t="s">
        <v>26</v>
      </c>
      <c r="G485" s="13">
        <v>46295</v>
      </c>
      <c r="H485" s="13">
        <v>46295</v>
      </c>
      <c r="I485" s="9">
        <f t="shared" si="14"/>
        <v>1</v>
      </c>
      <c r="J485" s="5" t="s">
        <v>1651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4">
        <v>2</v>
      </c>
      <c r="AH485" s="4">
        <v>1</v>
      </c>
      <c r="AI485" s="4">
        <v>1</v>
      </c>
      <c r="AJ485" s="4">
        <v>2</v>
      </c>
      <c r="AK485" s="4">
        <v>3</v>
      </c>
      <c r="AL485" s="4">
        <v>2</v>
      </c>
      <c r="AM485" s="4">
        <v>1</v>
      </c>
      <c r="AN485" s="4">
        <v>0</v>
      </c>
      <c r="AO485" s="4">
        <v>1</v>
      </c>
      <c r="AP485" s="4"/>
      <c r="AQ485" s="4">
        <v>0</v>
      </c>
      <c r="AR485" s="4">
        <v>1</v>
      </c>
      <c r="AS485" s="4">
        <f t="shared" si="15"/>
        <v>13</v>
      </c>
      <c r="AT485" s="9" t="s">
        <v>51</v>
      </c>
    </row>
    <row r="486" spans="1:46" x14ac:dyDescent="0.2">
      <c r="A486" s="4">
        <v>3155</v>
      </c>
      <c r="B486" s="4" t="s">
        <v>22</v>
      </c>
      <c r="C486" s="5" t="s">
        <v>795</v>
      </c>
      <c r="D486" s="5" t="s">
        <v>796</v>
      </c>
      <c r="E486" s="5" t="s">
        <v>36</v>
      </c>
      <c r="F486" s="5" t="s">
        <v>26</v>
      </c>
      <c r="G486" s="13">
        <v>46295</v>
      </c>
      <c r="H486" s="13">
        <v>46295</v>
      </c>
      <c r="I486" s="9">
        <f t="shared" si="14"/>
        <v>1</v>
      </c>
      <c r="J486" s="5" t="s">
        <v>1651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4">
        <v>2</v>
      </c>
      <c r="AH486" s="4">
        <v>1</v>
      </c>
      <c r="AI486" s="4">
        <v>1</v>
      </c>
      <c r="AJ486" s="4">
        <v>2</v>
      </c>
      <c r="AK486" s="4">
        <v>3</v>
      </c>
      <c r="AL486" s="4">
        <v>2</v>
      </c>
      <c r="AM486" s="4">
        <v>1</v>
      </c>
      <c r="AN486" s="4">
        <v>0</v>
      </c>
      <c r="AO486" s="4">
        <v>1</v>
      </c>
      <c r="AP486" s="4"/>
      <c r="AQ486" s="4">
        <v>0</v>
      </c>
      <c r="AR486" s="4">
        <v>1</v>
      </c>
      <c r="AS486" s="4">
        <f t="shared" si="15"/>
        <v>13</v>
      </c>
      <c r="AT486" s="9" t="s">
        <v>44</v>
      </c>
    </row>
    <row r="487" spans="1:46" x14ac:dyDescent="0.2">
      <c r="A487" s="4">
        <v>3163</v>
      </c>
      <c r="B487" s="4" t="s">
        <v>22</v>
      </c>
      <c r="C487" s="5" t="s">
        <v>811</v>
      </c>
      <c r="D487" s="5" t="s">
        <v>812</v>
      </c>
      <c r="E487" s="5" t="s">
        <v>36</v>
      </c>
      <c r="F487" s="5" t="s">
        <v>26</v>
      </c>
      <c r="G487" s="13">
        <v>46295</v>
      </c>
      <c r="H487" s="13">
        <v>46295</v>
      </c>
      <c r="I487" s="9">
        <f t="shared" si="14"/>
        <v>1</v>
      </c>
      <c r="J487" s="5" t="s">
        <v>1651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4">
        <v>6</v>
      </c>
      <c r="AH487" s="4">
        <v>4</v>
      </c>
      <c r="AI487" s="4">
        <v>1</v>
      </c>
      <c r="AJ487" s="4">
        <v>3</v>
      </c>
      <c r="AK487" s="4">
        <v>10</v>
      </c>
      <c r="AL487" s="4">
        <v>5</v>
      </c>
      <c r="AM487" s="4">
        <v>2</v>
      </c>
      <c r="AN487" s="4">
        <v>0</v>
      </c>
      <c r="AO487" s="4">
        <v>2</v>
      </c>
      <c r="AP487" s="4"/>
      <c r="AQ487" s="4">
        <v>1</v>
      </c>
      <c r="AR487" s="4">
        <v>1</v>
      </c>
      <c r="AS487" s="4">
        <f t="shared" si="15"/>
        <v>34</v>
      </c>
      <c r="AT487" s="9" t="s">
        <v>37</v>
      </c>
    </row>
    <row r="488" spans="1:46" x14ac:dyDescent="0.2">
      <c r="A488" s="4">
        <v>3655</v>
      </c>
      <c r="B488" s="4" t="s">
        <v>22</v>
      </c>
      <c r="C488" s="5" t="s">
        <v>868</v>
      </c>
      <c r="D488" s="5" t="s">
        <v>868</v>
      </c>
      <c r="E488" s="5" t="s">
        <v>622</v>
      </c>
      <c r="F488" s="5" t="s">
        <v>68</v>
      </c>
      <c r="G488" s="13">
        <v>46295</v>
      </c>
      <c r="H488" s="13">
        <v>46295</v>
      </c>
      <c r="I488" s="9">
        <f t="shared" si="14"/>
        <v>1</v>
      </c>
      <c r="J488" s="5" t="s">
        <v>1651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4">
        <v>2</v>
      </c>
      <c r="AH488" s="4">
        <v>1</v>
      </c>
      <c r="AI488" s="4">
        <v>1</v>
      </c>
      <c r="AJ488" s="4">
        <v>2</v>
      </c>
      <c r="AK488" s="4">
        <v>3</v>
      </c>
      <c r="AL488" s="4">
        <v>2</v>
      </c>
      <c r="AM488" s="4">
        <v>1</v>
      </c>
      <c r="AN488" s="4">
        <v>0</v>
      </c>
      <c r="AO488" s="4">
        <v>1</v>
      </c>
      <c r="AP488" s="4"/>
      <c r="AQ488" s="4">
        <v>0</v>
      </c>
      <c r="AR488" s="4">
        <v>1</v>
      </c>
      <c r="AS488" s="4">
        <f t="shared" si="15"/>
        <v>13</v>
      </c>
      <c r="AT488" s="9" t="s">
        <v>623</v>
      </c>
    </row>
    <row r="489" spans="1:46" x14ac:dyDescent="0.2">
      <c r="A489" s="4">
        <v>3943</v>
      </c>
      <c r="B489" s="4" t="s">
        <v>22</v>
      </c>
      <c r="C489" s="5" t="s">
        <v>928</v>
      </c>
      <c r="D489" s="5" t="s">
        <v>927</v>
      </c>
      <c r="E489" s="5" t="s">
        <v>873</v>
      </c>
      <c r="F489" s="5" t="s">
        <v>574</v>
      </c>
      <c r="G489" s="13">
        <v>46295</v>
      </c>
      <c r="H489" s="13">
        <v>46295</v>
      </c>
      <c r="I489" s="9">
        <f t="shared" si="14"/>
        <v>1</v>
      </c>
      <c r="J489" s="5" t="s">
        <v>1651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4">
        <v>3</v>
      </c>
      <c r="AH489" s="4">
        <v>3</v>
      </c>
      <c r="AI489" s="4">
        <v>1</v>
      </c>
      <c r="AJ489" s="4">
        <v>2</v>
      </c>
      <c r="AK489" s="4">
        <v>6</v>
      </c>
      <c r="AL489" s="4">
        <v>2</v>
      </c>
      <c r="AM489" s="4">
        <v>1</v>
      </c>
      <c r="AN489" s="4">
        <v>0</v>
      </c>
      <c r="AO489" s="4">
        <v>1</v>
      </c>
      <c r="AP489" s="4"/>
      <c r="AQ489" s="4">
        <v>0</v>
      </c>
      <c r="AR489" s="4">
        <v>1</v>
      </c>
      <c r="AS489" s="4">
        <f t="shared" si="15"/>
        <v>19</v>
      </c>
      <c r="AT489" s="9" t="s">
        <v>874</v>
      </c>
    </row>
    <row r="490" spans="1:46" x14ac:dyDescent="0.2">
      <c r="A490" s="4">
        <v>4543</v>
      </c>
      <c r="B490" s="4" t="s">
        <v>22</v>
      </c>
      <c r="C490" s="5" t="s">
        <v>1025</v>
      </c>
      <c r="D490" s="5" t="s">
        <v>1026</v>
      </c>
      <c r="E490" s="5" t="s">
        <v>981</v>
      </c>
      <c r="F490" s="5" t="s">
        <v>26</v>
      </c>
      <c r="G490" s="13">
        <v>46295</v>
      </c>
      <c r="H490" s="13">
        <v>46297</v>
      </c>
      <c r="I490" s="9">
        <f t="shared" si="14"/>
        <v>3</v>
      </c>
      <c r="J490" s="5" t="s">
        <v>1651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4">
        <v>2</v>
      </c>
      <c r="AH490" s="4">
        <v>1</v>
      </c>
      <c r="AI490" s="4">
        <v>1</v>
      </c>
      <c r="AJ490" s="4">
        <v>2</v>
      </c>
      <c r="AK490" s="4">
        <v>3</v>
      </c>
      <c r="AL490" s="4">
        <v>2</v>
      </c>
      <c r="AM490" s="4">
        <v>1</v>
      </c>
      <c r="AN490" s="4">
        <v>0</v>
      </c>
      <c r="AO490" s="4">
        <v>1</v>
      </c>
      <c r="AP490" s="4"/>
      <c r="AQ490" s="4">
        <v>0</v>
      </c>
      <c r="AR490" s="4">
        <v>1</v>
      </c>
      <c r="AS490" s="4">
        <f t="shared" si="15"/>
        <v>13</v>
      </c>
      <c r="AT490" s="9" t="s">
        <v>985</v>
      </c>
    </row>
    <row r="491" spans="1:46" x14ac:dyDescent="0.2">
      <c r="A491" s="4">
        <v>4811</v>
      </c>
      <c r="B491" s="4" t="s">
        <v>22</v>
      </c>
      <c r="C491" s="5" t="s">
        <v>1041</v>
      </c>
      <c r="D491" s="5" t="s">
        <v>1042</v>
      </c>
      <c r="E491" s="5" t="s">
        <v>286</v>
      </c>
      <c r="F491" s="5" t="s">
        <v>546</v>
      </c>
      <c r="G491" s="13">
        <v>46295</v>
      </c>
      <c r="H491" s="13">
        <v>46295</v>
      </c>
      <c r="I491" s="9">
        <f t="shared" si="14"/>
        <v>1</v>
      </c>
      <c r="J491" s="5" t="s">
        <v>1651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4">
        <v>2</v>
      </c>
      <c r="AH491" s="4">
        <v>1</v>
      </c>
      <c r="AI491" s="4">
        <v>1</v>
      </c>
      <c r="AJ491" s="4">
        <v>2</v>
      </c>
      <c r="AK491" s="4">
        <v>3</v>
      </c>
      <c r="AL491" s="4">
        <v>2</v>
      </c>
      <c r="AM491" s="4">
        <v>1</v>
      </c>
      <c r="AN491" s="4">
        <v>0</v>
      </c>
      <c r="AO491" s="4">
        <v>1</v>
      </c>
      <c r="AP491" s="7"/>
      <c r="AQ491" s="4">
        <v>1</v>
      </c>
      <c r="AR491" s="4">
        <v>1</v>
      </c>
      <c r="AS491" s="4">
        <f t="shared" si="15"/>
        <v>14</v>
      </c>
      <c r="AT491" s="9" t="s">
        <v>1034</v>
      </c>
    </row>
    <row r="492" spans="1:46" x14ac:dyDescent="0.2">
      <c r="A492" s="4">
        <v>6005</v>
      </c>
      <c r="B492" s="4" t="s">
        <v>22</v>
      </c>
      <c r="C492" s="5" t="s">
        <v>224</v>
      </c>
      <c r="D492" s="5" t="s">
        <v>225</v>
      </c>
      <c r="E492" s="5" t="s">
        <v>1213</v>
      </c>
      <c r="F492" s="5" t="s">
        <v>98</v>
      </c>
      <c r="G492" s="13">
        <v>46295</v>
      </c>
      <c r="H492" s="13">
        <v>46296</v>
      </c>
      <c r="I492" s="9">
        <f t="shared" si="14"/>
        <v>2</v>
      </c>
      <c r="J492" s="5" t="s">
        <v>1651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4">
        <v>4</v>
      </c>
      <c r="AH492" s="4">
        <v>3</v>
      </c>
      <c r="AI492" s="4">
        <v>1</v>
      </c>
      <c r="AJ492" s="4">
        <v>2</v>
      </c>
      <c r="AK492" s="4">
        <v>7</v>
      </c>
      <c r="AL492" s="4">
        <v>3</v>
      </c>
      <c r="AM492" s="4">
        <v>1</v>
      </c>
      <c r="AN492" s="4">
        <v>0</v>
      </c>
      <c r="AO492" s="4">
        <v>1</v>
      </c>
      <c r="AP492" s="4"/>
      <c r="AQ492" s="4">
        <v>1</v>
      </c>
      <c r="AR492" s="4">
        <v>1</v>
      </c>
      <c r="AS492" s="4">
        <f t="shared" si="15"/>
        <v>23</v>
      </c>
      <c r="AT492" s="9" t="s">
        <v>364</v>
      </c>
    </row>
    <row r="493" spans="1:46" x14ac:dyDescent="0.2">
      <c r="A493" s="4">
        <v>6011</v>
      </c>
      <c r="B493" s="4" t="s">
        <v>22</v>
      </c>
      <c r="C493" s="5" t="s">
        <v>1216</v>
      </c>
      <c r="D493" s="5" t="s">
        <v>1217</v>
      </c>
      <c r="E493" s="5" t="s">
        <v>1213</v>
      </c>
      <c r="F493" s="5" t="s">
        <v>98</v>
      </c>
      <c r="G493" s="13">
        <v>46295</v>
      </c>
      <c r="H493" s="13">
        <v>46296</v>
      </c>
      <c r="I493" s="9">
        <f t="shared" si="14"/>
        <v>2</v>
      </c>
      <c r="J493" s="5" t="s">
        <v>1651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4">
        <v>6</v>
      </c>
      <c r="AH493" s="4">
        <v>5</v>
      </c>
      <c r="AI493" s="4">
        <v>1</v>
      </c>
      <c r="AJ493" s="4">
        <v>4</v>
      </c>
      <c r="AK493" s="4">
        <v>11</v>
      </c>
      <c r="AL493" s="4">
        <v>5</v>
      </c>
      <c r="AM493" s="4">
        <v>3</v>
      </c>
      <c r="AN493" s="4">
        <v>0</v>
      </c>
      <c r="AO493" s="4">
        <v>1</v>
      </c>
      <c r="AP493" s="4"/>
      <c r="AQ493" s="4">
        <v>0</v>
      </c>
      <c r="AR493" s="4">
        <v>1</v>
      </c>
      <c r="AS493" s="4">
        <f t="shared" si="15"/>
        <v>36</v>
      </c>
      <c r="AT493" s="9" t="s">
        <v>335</v>
      </c>
    </row>
    <row r="494" spans="1:46" x14ac:dyDescent="0.2">
      <c r="A494" s="4">
        <v>6013</v>
      </c>
      <c r="B494" s="4" t="s">
        <v>22</v>
      </c>
      <c r="C494" s="5" t="s">
        <v>1219</v>
      </c>
      <c r="D494" s="5" t="s">
        <v>1220</v>
      </c>
      <c r="E494" s="5" t="s">
        <v>1213</v>
      </c>
      <c r="F494" s="5" t="s">
        <v>98</v>
      </c>
      <c r="G494" s="13">
        <v>46295</v>
      </c>
      <c r="H494" s="13">
        <v>46296</v>
      </c>
      <c r="I494" s="9">
        <f t="shared" si="14"/>
        <v>2</v>
      </c>
      <c r="J494" s="5" t="s">
        <v>1651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4">
        <v>5</v>
      </c>
      <c r="AH494" s="4">
        <v>4</v>
      </c>
      <c r="AI494" s="4">
        <v>1</v>
      </c>
      <c r="AJ494" s="4">
        <v>3</v>
      </c>
      <c r="AK494" s="4">
        <v>9</v>
      </c>
      <c r="AL494" s="4">
        <v>5</v>
      </c>
      <c r="AM494" s="4">
        <v>2</v>
      </c>
      <c r="AN494" s="4">
        <v>0</v>
      </c>
      <c r="AO494" s="4">
        <v>2</v>
      </c>
      <c r="AP494" s="4"/>
      <c r="AQ494" s="4">
        <v>0</v>
      </c>
      <c r="AR494" s="4">
        <v>1</v>
      </c>
      <c r="AS494" s="4">
        <f t="shared" si="15"/>
        <v>31</v>
      </c>
      <c r="AT494" s="9" t="s">
        <v>77</v>
      </c>
    </row>
    <row r="495" spans="1:46" x14ac:dyDescent="0.2">
      <c r="A495" s="4">
        <v>6015</v>
      </c>
      <c r="B495" s="4" t="s">
        <v>22</v>
      </c>
      <c r="C495" s="5" t="s">
        <v>1223</v>
      </c>
      <c r="D495" s="5" t="s">
        <v>1224</v>
      </c>
      <c r="E495" s="5" t="s">
        <v>1213</v>
      </c>
      <c r="F495" s="5" t="s">
        <v>98</v>
      </c>
      <c r="G495" s="13">
        <v>46295</v>
      </c>
      <c r="H495" s="13">
        <v>46296</v>
      </c>
      <c r="I495" s="9">
        <f t="shared" si="14"/>
        <v>2</v>
      </c>
      <c r="J495" s="5" t="s">
        <v>1651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4">
        <v>6</v>
      </c>
      <c r="AH495" s="4">
        <v>7</v>
      </c>
      <c r="AI495" s="4">
        <v>1</v>
      </c>
      <c r="AJ495" s="4">
        <v>4</v>
      </c>
      <c r="AK495" s="4">
        <v>13</v>
      </c>
      <c r="AL495" s="4">
        <v>6</v>
      </c>
      <c r="AM495" s="4">
        <v>3</v>
      </c>
      <c r="AN495" s="4">
        <v>0</v>
      </c>
      <c r="AO495" s="4">
        <v>2</v>
      </c>
      <c r="AP495" s="4"/>
      <c r="AQ495" s="4">
        <v>0</v>
      </c>
      <c r="AR495" s="4">
        <v>1</v>
      </c>
      <c r="AS495" s="4">
        <f t="shared" si="15"/>
        <v>42</v>
      </c>
      <c r="AT495" s="9" t="s">
        <v>332</v>
      </c>
    </row>
    <row r="496" spans="1:46" x14ac:dyDescent="0.2">
      <c r="A496" s="4">
        <v>6335</v>
      </c>
      <c r="B496" s="4" t="s">
        <v>22</v>
      </c>
      <c r="C496" s="5" t="s">
        <v>1323</v>
      </c>
      <c r="D496" s="5" t="s">
        <v>1324</v>
      </c>
      <c r="E496" s="5" t="s">
        <v>1301</v>
      </c>
      <c r="F496" s="5" t="s">
        <v>68</v>
      </c>
      <c r="G496" s="13">
        <v>46295</v>
      </c>
      <c r="H496" s="13">
        <v>46295</v>
      </c>
      <c r="I496" s="9">
        <f t="shared" si="14"/>
        <v>1</v>
      </c>
      <c r="J496" s="5" t="s">
        <v>1651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4">
        <v>2</v>
      </c>
      <c r="AH496" s="4">
        <v>2</v>
      </c>
      <c r="AI496" s="4">
        <v>1</v>
      </c>
      <c r="AJ496" s="4">
        <v>2</v>
      </c>
      <c r="AK496" s="4">
        <v>4</v>
      </c>
      <c r="AL496" s="4">
        <v>2</v>
      </c>
      <c r="AM496" s="4">
        <v>1</v>
      </c>
      <c r="AN496" s="4">
        <v>0</v>
      </c>
      <c r="AO496" s="4">
        <v>1</v>
      </c>
      <c r="AP496" s="4"/>
      <c r="AQ496" s="4">
        <v>0</v>
      </c>
      <c r="AR496" s="4">
        <v>1</v>
      </c>
      <c r="AS496" s="4">
        <f t="shared" si="15"/>
        <v>15</v>
      </c>
      <c r="AT496" s="9" t="s">
        <v>696</v>
      </c>
    </row>
    <row r="497" spans="1:46" x14ac:dyDescent="0.2">
      <c r="A497" s="4">
        <v>750</v>
      </c>
      <c r="B497" s="4" t="s">
        <v>22</v>
      </c>
      <c r="C497" s="5" t="s">
        <v>45</v>
      </c>
      <c r="D497" s="5" t="s">
        <v>24</v>
      </c>
      <c r="E497" s="5" t="s">
        <v>25</v>
      </c>
      <c r="F497" s="5" t="s">
        <v>26</v>
      </c>
      <c r="G497" s="13">
        <v>46296</v>
      </c>
      <c r="H497" s="13">
        <v>46296</v>
      </c>
      <c r="I497" s="9">
        <f t="shared" si="14"/>
        <v>1</v>
      </c>
      <c r="J497" s="5" t="s">
        <v>1651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4">
        <v>2</v>
      </c>
      <c r="AH497" s="4">
        <v>2</v>
      </c>
      <c r="AI497" s="4">
        <v>1</v>
      </c>
      <c r="AJ497" s="4">
        <v>2</v>
      </c>
      <c r="AK497" s="4">
        <v>4</v>
      </c>
      <c r="AL497" s="4">
        <v>2</v>
      </c>
      <c r="AM497" s="4">
        <v>1</v>
      </c>
      <c r="AN497" s="4">
        <v>0</v>
      </c>
      <c r="AO497" s="4">
        <v>1</v>
      </c>
      <c r="AP497" s="4"/>
      <c r="AQ497" s="4">
        <v>0</v>
      </c>
      <c r="AR497" s="4">
        <v>1</v>
      </c>
      <c r="AS497" s="4">
        <f t="shared" si="15"/>
        <v>15</v>
      </c>
      <c r="AT497" s="5" t="s">
        <v>27</v>
      </c>
    </row>
    <row r="498" spans="1:46" x14ac:dyDescent="0.2">
      <c r="A498" s="4">
        <v>900</v>
      </c>
      <c r="B498" s="4" t="s">
        <v>22</v>
      </c>
      <c r="C498" s="5" t="s">
        <v>49</v>
      </c>
      <c r="D498" s="5" t="s">
        <v>50</v>
      </c>
      <c r="E498" s="5" t="s">
        <v>36</v>
      </c>
      <c r="F498" s="5" t="s">
        <v>26</v>
      </c>
      <c r="G498" s="13">
        <v>46296</v>
      </c>
      <c r="H498" s="13">
        <v>46296</v>
      </c>
      <c r="I498" s="9">
        <f t="shared" si="14"/>
        <v>1</v>
      </c>
      <c r="J498" s="5" t="s">
        <v>1651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4">
        <v>5</v>
      </c>
      <c r="AH498" s="4">
        <v>7</v>
      </c>
      <c r="AI498" s="4">
        <v>1</v>
      </c>
      <c r="AJ498" s="4">
        <v>3</v>
      </c>
      <c r="AK498" s="4">
        <v>12</v>
      </c>
      <c r="AL498" s="4">
        <v>5</v>
      </c>
      <c r="AM498" s="4">
        <v>2</v>
      </c>
      <c r="AN498" s="4">
        <v>0</v>
      </c>
      <c r="AO498" s="4">
        <v>3</v>
      </c>
      <c r="AP498" s="4"/>
      <c r="AQ498" s="4">
        <v>0</v>
      </c>
      <c r="AR498" s="4">
        <v>1</v>
      </c>
      <c r="AS498" s="4">
        <f t="shared" si="15"/>
        <v>38</v>
      </c>
      <c r="AT498" s="5" t="s">
        <v>51</v>
      </c>
    </row>
    <row r="499" spans="1:46" x14ac:dyDescent="0.2">
      <c r="A499" s="4">
        <v>1462</v>
      </c>
      <c r="B499" s="4" t="s">
        <v>22</v>
      </c>
      <c r="C499" s="5" t="s">
        <v>303</v>
      </c>
      <c r="D499" s="5" t="s">
        <v>304</v>
      </c>
      <c r="E499" s="5" t="s">
        <v>118</v>
      </c>
      <c r="F499" s="5" t="s">
        <v>119</v>
      </c>
      <c r="G499" s="13">
        <v>46296</v>
      </c>
      <c r="H499" s="13">
        <v>46296</v>
      </c>
      <c r="I499" s="9">
        <f t="shared" si="14"/>
        <v>1</v>
      </c>
      <c r="J499" s="5" t="s">
        <v>1651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4">
        <v>2</v>
      </c>
      <c r="AH499" s="4">
        <v>1</v>
      </c>
      <c r="AI499" s="4">
        <v>1</v>
      </c>
      <c r="AJ499" s="4">
        <v>2</v>
      </c>
      <c r="AK499" s="4">
        <v>3</v>
      </c>
      <c r="AL499" s="4">
        <v>2</v>
      </c>
      <c r="AM499" s="4">
        <v>1</v>
      </c>
      <c r="AN499" s="4">
        <v>0</v>
      </c>
      <c r="AO499" s="4">
        <v>1</v>
      </c>
      <c r="AP499" s="4"/>
      <c r="AQ499" s="4">
        <v>0</v>
      </c>
      <c r="AR499" s="4">
        <v>1</v>
      </c>
      <c r="AS499" s="4">
        <f t="shared" si="15"/>
        <v>13</v>
      </c>
      <c r="AT499" s="4" t="s">
        <v>120</v>
      </c>
    </row>
    <row r="500" spans="1:46" x14ac:dyDescent="0.2">
      <c r="A500" s="4">
        <v>1487</v>
      </c>
      <c r="B500" s="4" t="s">
        <v>22</v>
      </c>
      <c r="C500" s="5" t="s">
        <v>327</v>
      </c>
      <c r="D500" s="5" t="s">
        <v>327</v>
      </c>
      <c r="E500" s="5" t="s">
        <v>118</v>
      </c>
      <c r="F500" s="5" t="s">
        <v>119</v>
      </c>
      <c r="G500" s="13">
        <v>46296</v>
      </c>
      <c r="H500" s="13">
        <v>46296</v>
      </c>
      <c r="I500" s="9">
        <f t="shared" si="14"/>
        <v>1</v>
      </c>
      <c r="J500" s="5" t="s">
        <v>1651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4">
        <v>2</v>
      </c>
      <c r="AH500" s="4">
        <v>3</v>
      </c>
      <c r="AI500" s="4">
        <v>1</v>
      </c>
      <c r="AJ500" s="4">
        <v>2</v>
      </c>
      <c r="AK500" s="4">
        <v>5</v>
      </c>
      <c r="AL500" s="4">
        <v>2</v>
      </c>
      <c r="AM500" s="4">
        <v>1</v>
      </c>
      <c r="AN500" s="4">
        <v>0</v>
      </c>
      <c r="AO500" s="4">
        <v>1</v>
      </c>
      <c r="AP500" s="4"/>
      <c r="AQ500" s="4">
        <v>0</v>
      </c>
      <c r="AR500" s="4">
        <v>1</v>
      </c>
      <c r="AS500" s="4">
        <f t="shared" si="15"/>
        <v>17</v>
      </c>
      <c r="AT500" s="4" t="s">
        <v>120</v>
      </c>
    </row>
    <row r="501" spans="1:46" x14ac:dyDescent="0.2">
      <c r="A501" s="4">
        <v>1610</v>
      </c>
      <c r="B501" s="4" t="s">
        <v>22</v>
      </c>
      <c r="C501" s="5" t="s">
        <v>475</v>
      </c>
      <c r="D501" s="5" t="s">
        <v>474</v>
      </c>
      <c r="E501" s="5" t="s">
        <v>72</v>
      </c>
      <c r="F501" s="5" t="s">
        <v>68</v>
      </c>
      <c r="G501" s="13">
        <v>46296</v>
      </c>
      <c r="H501" s="13">
        <v>46297</v>
      </c>
      <c r="I501" s="9">
        <f t="shared" si="14"/>
        <v>2</v>
      </c>
      <c r="J501" s="5" t="s">
        <v>1651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4">
        <v>6</v>
      </c>
      <c r="AH501" s="4">
        <v>5</v>
      </c>
      <c r="AI501" s="4">
        <v>1</v>
      </c>
      <c r="AJ501" s="4">
        <v>3</v>
      </c>
      <c r="AK501" s="4">
        <v>11</v>
      </c>
      <c r="AL501" s="4">
        <v>5</v>
      </c>
      <c r="AM501" s="4">
        <v>2</v>
      </c>
      <c r="AN501" s="4">
        <v>1</v>
      </c>
      <c r="AO501" s="4">
        <v>2</v>
      </c>
      <c r="AP501" s="4"/>
      <c r="AQ501" s="4">
        <v>0</v>
      </c>
      <c r="AR501" s="4">
        <v>1</v>
      </c>
      <c r="AS501" s="4">
        <f t="shared" si="15"/>
        <v>36</v>
      </c>
      <c r="AT501" s="9" t="s">
        <v>476</v>
      </c>
    </row>
    <row r="502" spans="1:46" x14ac:dyDescent="0.2">
      <c r="A502" s="4">
        <v>1862</v>
      </c>
      <c r="B502" s="4" t="s">
        <v>22</v>
      </c>
      <c r="C502" s="5" t="s">
        <v>509</v>
      </c>
      <c r="D502" s="5" t="s">
        <v>538</v>
      </c>
      <c r="E502" s="5" t="s">
        <v>215</v>
      </c>
      <c r="F502" s="5" t="s">
        <v>500</v>
      </c>
      <c r="G502" s="13">
        <v>46296</v>
      </c>
      <c r="H502" s="13">
        <v>46297</v>
      </c>
      <c r="I502" s="9">
        <f t="shared" si="14"/>
        <v>2</v>
      </c>
      <c r="J502" s="5" t="s">
        <v>1651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4">
        <v>3</v>
      </c>
      <c r="AH502" s="4">
        <v>1</v>
      </c>
      <c r="AI502" s="4">
        <v>1</v>
      </c>
      <c r="AJ502" s="4">
        <v>2</v>
      </c>
      <c r="AK502" s="4">
        <v>4</v>
      </c>
      <c r="AL502" s="4">
        <v>2</v>
      </c>
      <c r="AM502" s="4">
        <v>1</v>
      </c>
      <c r="AN502" s="4">
        <v>0</v>
      </c>
      <c r="AO502" s="4">
        <v>1</v>
      </c>
      <c r="AP502" s="4"/>
      <c r="AQ502" s="4">
        <v>0</v>
      </c>
      <c r="AR502" s="4">
        <v>1</v>
      </c>
      <c r="AS502" s="4">
        <f t="shared" si="15"/>
        <v>15</v>
      </c>
      <c r="AT502" s="9" t="s">
        <v>501</v>
      </c>
    </row>
    <row r="503" spans="1:46" x14ac:dyDescent="0.2">
      <c r="A503" s="4">
        <v>1870</v>
      </c>
      <c r="B503" s="4" t="s">
        <v>22</v>
      </c>
      <c r="C503" s="5" t="s">
        <v>541</v>
      </c>
      <c r="D503" s="5" t="s">
        <v>542</v>
      </c>
      <c r="E503" s="5" t="s">
        <v>215</v>
      </c>
      <c r="F503" s="5" t="s">
        <v>500</v>
      </c>
      <c r="G503" s="13">
        <v>46296</v>
      </c>
      <c r="H503" s="13">
        <v>46297</v>
      </c>
      <c r="I503" s="9">
        <f t="shared" si="14"/>
        <v>2</v>
      </c>
      <c r="J503" s="5" t="s">
        <v>1651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4">
        <v>2</v>
      </c>
      <c r="AH503" s="4">
        <v>1</v>
      </c>
      <c r="AI503" s="4">
        <v>1</v>
      </c>
      <c r="AJ503" s="4">
        <v>2</v>
      </c>
      <c r="AK503" s="4">
        <v>3</v>
      </c>
      <c r="AL503" s="4">
        <v>2</v>
      </c>
      <c r="AM503" s="4">
        <v>1</v>
      </c>
      <c r="AN503" s="4">
        <v>0</v>
      </c>
      <c r="AO503" s="4">
        <v>1</v>
      </c>
      <c r="AP503" s="4"/>
      <c r="AQ503" s="4">
        <v>0</v>
      </c>
      <c r="AR503" s="4">
        <v>1</v>
      </c>
      <c r="AS503" s="4">
        <f t="shared" si="15"/>
        <v>13</v>
      </c>
      <c r="AT503" s="9" t="s">
        <v>501</v>
      </c>
    </row>
    <row r="504" spans="1:46" x14ac:dyDescent="0.2">
      <c r="A504" s="4">
        <v>2107</v>
      </c>
      <c r="B504" s="4" t="s">
        <v>22</v>
      </c>
      <c r="C504" s="5" t="s">
        <v>554</v>
      </c>
      <c r="D504" s="5" t="s">
        <v>555</v>
      </c>
      <c r="E504" s="5" t="s">
        <v>545</v>
      </c>
      <c r="F504" s="5" t="s">
        <v>546</v>
      </c>
      <c r="G504" s="13">
        <v>46296</v>
      </c>
      <c r="H504" s="13">
        <v>46296</v>
      </c>
      <c r="I504" s="9">
        <f t="shared" si="14"/>
        <v>1</v>
      </c>
      <c r="J504" s="5" t="s">
        <v>1651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4">
        <v>2</v>
      </c>
      <c r="AH504" s="4">
        <v>1</v>
      </c>
      <c r="AI504" s="4">
        <v>1</v>
      </c>
      <c r="AJ504" s="4">
        <v>2</v>
      </c>
      <c r="AK504" s="4">
        <v>3</v>
      </c>
      <c r="AL504" s="4">
        <v>2</v>
      </c>
      <c r="AM504" s="4">
        <v>1</v>
      </c>
      <c r="AN504" s="4">
        <v>0</v>
      </c>
      <c r="AO504" s="4">
        <v>1</v>
      </c>
      <c r="AP504" s="4"/>
      <c r="AQ504" s="4">
        <v>0</v>
      </c>
      <c r="AR504" s="4">
        <v>1</v>
      </c>
      <c r="AS504" s="4">
        <f t="shared" si="15"/>
        <v>13</v>
      </c>
      <c r="AT504" s="9" t="s">
        <v>547</v>
      </c>
    </row>
    <row r="505" spans="1:46" x14ac:dyDescent="0.2">
      <c r="A505" s="4">
        <v>2402</v>
      </c>
      <c r="B505" s="4" t="s">
        <v>22</v>
      </c>
      <c r="C505" s="5" t="s">
        <v>606</v>
      </c>
      <c r="D505" s="5" t="s">
        <v>607</v>
      </c>
      <c r="E505" s="5" t="s">
        <v>604</v>
      </c>
      <c r="F505" s="5" t="s">
        <v>68</v>
      </c>
      <c r="G505" s="13">
        <v>46296</v>
      </c>
      <c r="H505" s="13">
        <v>46296</v>
      </c>
      <c r="I505" s="9">
        <f t="shared" si="14"/>
        <v>1</v>
      </c>
      <c r="J505" s="5" t="s">
        <v>1651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4">
        <v>3</v>
      </c>
      <c r="AH505" s="4">
        <v>2</v>
      </c>
      <c r="AI505" s="4">
        <v>1</v>
      </c>
      <c r="AJ505" s="4">
        <v>2</v>
      </c>
      <c r="AK505" s="4">
        <v>5</v>
      </c>
      <c r="AL505" s="4">
        <v>2</v>
      </c>
      <c r="AM505" s="4">
        <v>1</v>
      </c>
      <c r="AN505" s="4">
        <v>0</v>
      </c>
      <c r="AO505" s="4">
        <v>1</v>
      </c>
      <c r="AP505" s="4"/>
      <c r="AQ505" s="4">
        <v>0</v>
      </c>
      <c r="AR505" s="4">
        <v>1</v>
      </c>
      <c r="AS505" s="4">
        <f t="shared" si="15"/>
        <v>17</v>
      </c>
      <c r="AT505" s="9" t="s">
        <v>608</v>
      </c>
    </row>
    <row r="506" spans="1:46" x14ac:dyDescent="0.2">
      <c r="A506" s="4">
        <v>3101</v>
      </c>
      <c r="B506" s="4" t="s">
        <v>22</v>
      </c>
      <c r="C506" s="5" t="s">
        <v>713</v>
      </c>
      <c r="D506" s="5" t="s">
        <v>714</v>
      </c>
      <c r="E506" s="5" t="s">
        <v>36</v>
      </c>
      <c r="F506" s="5" t="s">
        <v>26</v>
      </c>
      <c r="G506" s="13">
        <v>46296</v>
      </c>
      <c r="H506" s="13">
        <v>46296</v>
      </c>
      <c r="I506" s="9">
        <f t="shared" si="14"/>
        <v>1</v>
      </c>
      <c r="J506" s="5" t="s">
        <v>1651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4">
        <v>2</v>
      </c>
      <c r="AH506" s="4">
        <v>1</v>
      </c>
      <c r="AI506" s="4">
        <v>1</v>
      </c>
      <c r="AJ506" s="4">
        <v>2</v>
      </c>
      <c r="AK506" s="4">
        <v>3</v>
      </c>
      <c r="AL506" s="4">
        <v>2</v>
      </c>
      <c r="AM506" s="4">
        <v>1</v>
      </c>
      <c r="AN506" s="4">
        <v>0</v>
      </c>
      <c r="AO506" s="4">
        <v>1</v>
      </c>
      <c r="AP506" s="4"/>
      <c r="AQ506" s="4">
        <v>0</v>
      </c>
      <c r="AR506" s="4">
        <v>1</v>
      </c>
      <c r="AS506" s="4">
        <f t="shared" si="15"/>
        <v>13</v>
      </c>
      <c r="AT506" s="9" t="s">
        <v>64</v>
      </c>
    </row>
    <row r="507" spans="1:46" x14ac:dyDescent="0.2">
      <c r="A507" s="4">
        <v>3115</v>
      </c>
      <c r="B507" s="4" t="s">
        <v>22</v>
      </c>
      <c r="C507" s="5" t="s">
        <v>731</v>
      </c>
      <c r="D507" s="5" t="s">
        <v>732</v>
      </c>
      <c r="E507" s="5" t="s">
        <v>36</v>
      </c>
      <c r="F507" s="5" t="s">
        <v>26</v>
      </c>
      <c r="G507" s="13">
        <v>46296</v>
      </c>
      <c r="H507" s="13">
        <v>46296</v>
      </c>
      <c r="I507" s="9">
        <f t="shared" si="14"/>
        <v>1</v>
      </c>
      <c r="J507" s="5" t="s">
        <v>1651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4">
        <v>3</v>
      </c>
      <c r="AH507" s="4">
        <v>1</v>
      </c>
      <c r="AI507" s="4">
        <v>1</v>
      </c>
      <c r="AJ507" s="4">
        <v>2</v>
      </c>
      <c r="AK507" s="4">
        <v>4</v>
      </c>
      <c r="AL507" s="4">
        <v>3</v>
      </c>
      <c r="AM507" s="4">
        <v>1</v>
      </c>
      <c r="AN507" s="4">
        <v>0</v>
      </c>
      <c r="AO507" s="4">
        <v>1</v>
      </c>
      <c r="AP507" s="4"/>
      <c r="AQ507" s="4">
        <v>0</v>
      </c>
      <c r="AR507" s="4">
        <v>1</v>
      </c>
      <c r="AS507" s="4">
        <f t="shared" si="15"/>
        <v>16</v>
      </c>
      <c r="AT507" s="9" t="s">
        <v>44</v>
      </c>
    </row>
    <row r="508" spans="1:46" x14ac:dyDescent="0.2">
      <c r="A508" s="4">
        <v>3945</v>
      </c>
      <c r="B508" s="4" t="s">
        <v>22</v>
      </c>
      <c r="C508" s="5" t="s">
        <v>929</v>
      </c>
      <c r="D508" s="5" t="s">
        <v>525</v>
      </c>
      <c r="E508" s="5" t="s">
        <v>873</v>
      </c>
      <c r="F508" s="5" t="s">
        <v>574</v>
      </c>
      <c r="G508" s="13">
        <v>46296</v>
      </c>
      <c r="H508" s="13">
        <v>46296</v>
      </c>
      <c r="I508" s="9">
        <f t="shared" si="14"/>
        <v>1</v>
      </c>
      <c r="J508" s="5" t="s">
        <v>1651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4">
        <v>3</v>
      </c>
      <c r="AH508" s="4">
        <v>2</v>
      </c>
      <c r="AI508" s="4">
        <v>1</v>
      </c>
      <c r="AJ508" s="4">
        <v>2</v>
      </c>
      <c r="AK508" s="4">
        <v>5</v>
      </c>
      <c r="AL508" s="4">
        <v>2</v>
      </c>
      <c r="AM508" s="4">
        <v>1</v>
      </c>
      <c r="AN508" s="4">
        <v>0</v>
      </c>
      <c r="AO508" s="4">
        <v>1</v>
      </c>
      <c r="AP508" s="4"/>
      <c r="AQ508" s="4">
        <v>0</v>
      </c>
      <c r="AR508" s="4">
        <v>1</v>
      </c>
      <c r="AS508" s="4">
        <f t="shared" si="15"/>
        <v>17</v>
      </c>
      <c r="AT508" s="9" t="s">
        <v>874</v>
      </c>
    </row>
    <row r="509" spans="1:46" x14ac:dyDescent="0.2">
      <c r="A509" s="4">
        <v>4844</v>
      </c>
      <c r="B509" s="4" t="s">
        <v>22</v>
      </c>
      <c r="C509" s="5" t="s">
        <v>1070</v>
      </c>
      <c r="D509" s="5" t="s">
        <v>1071</v>
      </c>
      <c r="E509" s="5" t="s">
        <v>286</v>
      </c>
      <c r="F509" s="5" t="s">
        <v>546</v>
      </c>
      <c r="G509" s="13">
        <v>46296</v>
      </c>
      <c r="H509" s="13">
        <v>46296</v>
      </c>
      <c r="I509" s="9">
        <f t="shared" si="14"/>
        <v>1</v>
      </c>
      <c r="J509" s="5" t="s">
        <v>1651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4">
        <v>3</v>
      </c>
      <c r="AH509" s="4">
        <v>1</v>
      </c>
      <c r="AI509" s="4">
        <v>1</v>
      </c>
      <c r="AJ509" s="4">
        <v>2</v>
      </c>
      <c r="AK509" s="4">
        <v>4</v>
      </c>
      <c r="AL509" s="4">
        <v>2</v>
      </c>
      <c r="AM509" s="4">
        <v>1</v>
      </c>
      <c r="AN509" s="4">
        <v>0</v>
      </c>
      <c r="AO509" s="4">
        <v>1</v>
      </c>
      <c r="AP509" s="7"/>
      <c r="AQ509" s="4">
        <v>0</v>
      </c>
      <c r="AR509" s="4">
        <v>1</v>
      </c>
      <c r="AS509" s="4">
        <f t="shared" si="15"/>
        <v>15</v>
      </c>
      <c r="AT509" s="9" t="s">
        <v>1034</v>
      </c>
    </row>
    <row r="510" spans="1:46" x14ac:dyDescent="0.2">
      <c r="A510" s="4">
        <v>5180</v>
      </c>
      <c r="B510" s="4" t="s">
        <v>22</v>
      </c>
      <c r="C510" s="5" t="s">
        <v>1167</v>
      </c>
      <c r="D510" s="5" t="s">
        <v>1168</v>
      </c>
      <c r="E510" s="5" t="s">
        <v>1107</v>
      </c>
      <c r="F510" s="5" t="s">
        <v>98</v>
      </c>
      <c r="G510" s="13">
        <v>46296</v>
      </c>
      <c r="H510" s="13">
        <v>46296</v>
      </c>
      <c r="I510" s="9">
        <f t="shared" si="14"/>
        <v>1</v>
      </c>
      <c r="J510" s="5" t="s">
        <v>1651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4">
        <v>2</v>
      </c>
      <c r="AH510" s="4">
        <v>1</v>
      </c>
      <c r="AI510" s="4">
        <v>1</v>
      </c>
      <c r="AJ510" s="4">
        <v>2</v>
      </c>
      <c r="AK510" s="4">
        <v>3</v>
      </c>
      <c r="AL510" s="4">
        <v>2</v>
      </c>
      <c r="AM510" s="4">
        <v>1</v>
      </c>
      <c r="AN510" s="4">
        <v>0</v>
      </c>
      <c r="AO510" s="4">
        <v>1</v>
      </c>
      <c r="AP510" s="4"/>
      <c r="AQ510" s="4">
        <v>0</v>
      </c>
      <c r="AR510" s="4">
        <v>1</v>
      </c>
      <c r="AS510" s="4">
        <f t="shared" si="15"/>
        <v>13</v>
      </c>
      <c r="AT510" s="9" t="s">
        <v>1114</v>
      </c>
    </row>
    <row r="511" spans="1:46" x14ac:dyDescent="0.2">
      <c r="A511" s="4">
        <v>5765</v>
      </c>
      <c r="B511" s="4" t="s">
        <v>22</v>
      </c>
      <c r="C511" s="5" t="s">
        <v>1209</v>
      </c>
      <c r="D511" s="5" t="s">
        <v>1210</v>
      </c>
      <c r="E511" s="5" t="s">
        <v>538</v>
      </c>
      <c r="F511" s="5" t="s">
        <v>500</v>
      </c>
      <c r="G511" s="13">
        <v>46296</v>
      </c>
      <c r="H511" s="13">
        <v>46297</v>
      </c>
      <c r="I511" s="9">
        <f t="shared" si="14"/>
        <v>2</v>
      </c>
      <c r="J511" s="5" t="s">
        <v>1651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4">
        <v>4</v>
      </c>
      <c r="AH511" s="4">
        <v>1</v>
      </c>
      <c r="AI511" s="4">
        <v>1</v>
      </c>
      <c r="AJ511" s="4">
        <v>2</v>
      </c>
      <c r="AK511" s="4">
        <v>6</v>
      </c>
      <c r="AL511" s="4">
        <v>3</v>
      </c>
      <c r="AM511" s="4">
        <v>1</v>
      </c>
      <c r="AN511" s="4">
        <v>0</v>
      </c>
      <c r="AO511" s="4">
        <v>1</v>
      </c>
      <c r="AP511" s="4"/>
      <c r="AQ511" s="4">
        <v>0</v>
      </c>
      <c r="AR511" s="4">
        <v>1</v>
      </c>
      <c r="AS511" s="4">
        <f t="shared" si="15"/>
        <v>19</v>
      </c>
      <c r="AT511" s="9" t="s">
        <v>1193</v>
      </c>
    </row>
    <row r="512" spans="1:46" x14ac:dyDescent="0.2">
      <c r="A512" s="4">
        <v>6017</v>
      </c>
      <c r="B512" s="4" t="s">
        <v>22</v>
      </c>
      <c r="C512" s="5" t="s">
        <v>1227</v>
      </c>
      <c r="D512" s="5" t="s">
        <v>1228</v>
      </c>
      <c r="E512" s="5" t="s">
        <v>1213</v>
      </c>
      <c r="F512" s="5" t="s">
        <v>98</v>
      </c>
      <c r="G512" s="13">
        <v>46296</v>
      </c>
      <c r="H512" s="13">
        <v>46297</v>
      </c>
      <c r="I512" s="9">
        <f t="shared" si="14"/>
        <v>2</v>
      </c>
      <c r="J512" s="5" t="s">
        <v>1651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4">
        <v>6</v>
      </c>
      <c r="AH512" s="4">
        <v>5</v>
      </c>
      <c r="AI512" s="4">
        <v>1</v>
      </c>
      <c r="AJ512" s="4">
        <v>4</v>
      </c>
      <c r="AK512" s="4">
        <v>10</v>
      </c>
      <c r="AL512" s="4">
        <v>6</v>
      </c>
      <c r="AM512" s="4">
        <v>3</v>
      </c>
      <c r="AN512" s="4">
        <v>1</v>
      </c>
      <c r="AO512" s="4">
        <v>1</v>
      </c>
      <c r="AP512" s="4"/>
      <c r="AQ512" s="4">
        <v>1</v>
      </c>
      <c r="AR512" s="4">
        <v>1</v>
      </c>
      <c r="AS512" s="4">
        <f t="shared" si="15"/>
        <v>38</v>
      </c>
      <c r="AT512" s="9" t="s">
        <v>364</v>
      </c>
    </row>
    <row r="513" spans="1:46" x14ac:dyDescent="0.2">
      <c r="A513" s="4">
        <v>6366</v>
      </c>
      <c r="B513" s="4" t="s">
        <v>22</v>
      </c>
      <c r="C513" s="5" t="s">
        <v>1335</v>
      </c>
      <c r="D513" s="5" t="s">
        <v>1336</v>
      </c>
      <c r="E513" s="5" t="s">
        <v>1301</v>
      </c>
      <c r="F513" s="5" t="s">
        <v>68</v>
      </c>
      <c r="G513" s="13">
        <v>46296</v>
      </c>
      <c r="H513" s="13">
        <v>46296</v>
      </c>
      <c r="I513" s="9">
        <f t="shared" si="14"/>
        <v>1</v>
      </c>
      <c r="J513" s="5" t="s">
        <v>1651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4">
        <v>3</v>
      </c>
      <c r="AH513" s="4">
        <v>3</v>
      </c>
      <c r="AI513" s="4">
        <v>1</v>
      </c>
      <c r="AJ513" s="4">
        <v>2</v>
      </c>
      <c r="AK513" s="4">
        <v>6</v>
      </c>
      <c r="AL513" s="4">
        <v>3</v>
      </c>
      <c r="AM513" s="4">
        <v>1</v>
      </c>
      <c r="AN513" s="4">
        <v>0</v>
      </c>
      <c r="AO513" s="4">
        <v>1</v>
      </c>
      <c r="AP513" s="4"/>
      <c r="AQ513" s="4">
        <v>0</v>
      </c>
      <c r="AR513" s="4">
        <v>1</v>
      </c>
      <c r="AS513" s="4">
        <f t="shared" si="15"/>
        <v>20</v>
      </c>
      <c r="AT513" s="9" t="s">
        <v>696</v>
      </c>
    </row>
    <row r="514" spans="1:46" x14ac:dyDescent="0.2">
      <c r="A514" s="4">
        <v>6910</v>
      </c>
      <c r="B514" s="4" t="s">
        <v>22</v>
      </c>
      <c r="C514" s="5" t="s">
        <v>1443</v>
      </c>
      <c r="D514" s="5" t="s">
        <v>1444</v>
      </c>
      <c r="E514" s="5" t="s">
        <v>1175</v>
      </c>
      <c r="F514" s="5" t="s">
        <v>546</v>
      </c>
      <c r="G514" s="13">
        <v>46296</v>
      </c>
      <c r="H514" s="13">
        <v>46296</v>
      </c>
      <c r="I514" s="9">
        <f t="shared" ref="I514:I577" si="16">NETWORKDAYS(G514,H514)</f>
        <v>1</v>
      </c>
      <c r="J514" s="5" t="s">
        <v>1651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4">
        <v>3</v>
      </c>
      <c r="AH514" s="4">
        <v>1</v>
      </c>
      <c r="AI514" s="4">
        <v>1</v>
      </c>
      <c r="AJ514" s="4">
        <v>2</v>
      </c>
      <c r="AK514" s="4">
        <v>4</v>
      </c>
      <c r="AL514" s="4">
        <v>2</v>
      </c>
      <c r="AM514" s="4">
        <v>1</v>
      </c>
      <c r="AN514" s="4">
        <v>0</v>
      </c>
      <c r="AO514" s="4">
        <v>1</v>
      </c>
      <c r="AP514" s="4"/>
      <c r="AQ514" s="4">
        <v>0</v>
      </c>
      <c r="AR514" s="4">
        <v>1</v>
      </c>
      <c r="AS514" s="4">
        <f t="shared" si="15"/>
        <v>15</v>
      </c>
      <c r="AT514" s="9" t="s">
        <v>1442</v>
      </c>
    </row>
    <row r="515" spans="1:46" x14ac:dyDescent="0.2">
      <c r="A515" s="4">
        <v>8660</v>
      </c>
      <c r="B515" s="4" t="s">
        <v>22</v>
      </c>
      <c r="C515" s="5" t="s">
        <v>1622</v>
      </c>
      <c r="D515" s="5" t="s">
        <v>1623</v>
      </c>
      <c r="E515" s="5" t="s">
        <v>1600</v>
      </c>
      <c r="F515" s="5" t="s">
        <v>331</v>
      </c>
      <c r="G515" s="13">
        <v>46296</v>
      </c>
      <c r="H515" s="13">
        <v>46297</v>
      </c>
      <c r="I515" s="9">
        <f t="shared" si="16"/>
        <v>2</v>
      </c>
      <c r="J515" s="5" t="s">
        <v>1651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4">
        <v>3</v>
      </c>
      <c r="AH515" s="4">
        <v>1</v>
      </c>
      <c r="AI515" s="4">
        <v>1</v>
      </c>
      <c r="AJ515" s="4">
        <v>2</v>
      </c>
      <c r="AK515" s="4">
        <v>4</v>
      </c>
      <c r="AL515" s="4">
        <v>2</v>
      </c>
      <c r="AM515" s="4">
        <v>1</v>
      </c>
      <c r="AN515" s="4">
        <v>0</v>
      </c>
      <c r="AO515" s="4">
        <v>1</v>
      </c>
      <c r="AP515" s="4"/>
      <c r="AQ515" s="4">
        <v>0</v>
      </c>
      <c r="AR515" s="4">
        <v>1</v>
      </c>
      <c r="AS515" s="4">
        <f t="shared" ref="AS515:AS578" si="17">SUM(AG515:AQ515)</f>
        <v>15</v>
      </c>
      <c r="AT515" s="9" t="s">
        <v>1601</v>
      </c>
    </row>
    <row r="516" spans="1:46" x14ac:dyDescent="0.2">
      <c r="A516" s="4">
        <v>280</v>
      </c>
      <c r="B516" s="4" t="s">
        <v>22</v>
      </c>
      <c r="C516" s="5" t="s">
        <v>33</v>
      </c>
      <c r="D516" s="5" t="s">
        <v>24</v>
      </c>
      <c r="E516" s="5" t="s">
        <v>25</v>
      </c>
      <c r="F516" s="5" t="s">
        <v>26</v>
      </c>
      <c r="G516" s="13">
        <v>46297</v>
      </c>
      <c r="H516" s="13">
        <v>46297</v>
      </c>
      <c r="I516" s="9">
        <f t="shared" si="16"/>
        <v>1</v>
      </c>
      <c r="J516" s="5" t="s">
        <v>1651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4">
        <v>3</v>
      </c>
      <c r="AH516" s="4">
        <v>2</v>
      </c>
      <c r="AI516" s="4">
        <v>1</v>
      </c>
      <c r="AJ516" s="4">
        <v>2</v>
      </c>
      <c r="AK516" s="4">
        <v>5</v>
      </c>
      <c r="AL516" s="4">
        <v>3</v>
      </c>
      <c r="AM516" s="4">
        <v>1</v>
      </c>
      <c r="AN516" s="4">
        <v>0</v>
      </c>
      <c r="AO516" s="4">
        <v>1</v>
      </c>
      <c r="AP516" s="4"/>
      <c r="AQ516" s="4">
        <v>0</v>
      </c>
      <c r="AR516" s="4">
        <v>1</v>
      </c>
      <c r="AS516" s="4">
        <f t="shared" si="17"/>
        <v>18</v>
      </c>
      <c r="AT516" s="5" t="s">
        <v>27</v>
      </c>
    </row>
    <row r="517" spans="1:46" x14ac:dyDescent="0.2">
      <c r="A517" s="4">
        <v>1323</v>
      </c>
      <c r="B517" s="4" t="s">
        <v>22</v>
      </c>
      <c r="C517" s="5" t="s">
        <v>144</v>
      </c>
      <c r="D517" s="5" t="s">
        <v>124</v>
      </c>
      <c r="E517" s="5" t="s">
        <v>118</v>
      </c>
      <c r="F517" s="5" t="s">
        <v>119</v>
      </c>
      <c r="G517" s="13">
        <v>46297</v>
      </c>
      <c r="H517" s="13">
        <v>46304</v>
      </c>
      <c r="I517" s="9">
        <f t="shared" si="16"/>
        <v>6</v>
      </c>
      <c r="J517" s="5" t="s">
        <v>1651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4">
        <v>11</v>
      </c>
      <c r="AH517" s="4">
        <v>1</v>
      </c>
      <c r="AI517" s="4">
        <v>1</v>
      </c>
      <c r="AJ517" s="4">
        <v>9</v>
      </c>
      <c r="AK517" s="4">
        <v>12</v>
      </c>
      <c r="AL517" s="4">
        <v>8</v>
      </c>
      <c r="AM517" s="4">
        <v>8</v>
      </c>
      <c r="AN517" s="4">
        <v>0</v>
      </c>
      <c r="AO517" s="4">
        <v>0</v>
      </c>
      <c r="AP517" s="4"/>
      <c r="AQ517" s="4">
        <v>0</v>
      </c>
      <c r="AR517" s="4">
        <v>1</v>
      </c>
      <c r="AS517" s="4">
        <f t="shared" si="17"/>
        <v>50</v>
      </c>
      <c r="AT517" s="4" t="s">
        <v>125</v>
      </c>
    </row>
    <row r="518" spans="1:46" x14ac:dyDescent="0.2">
      <c r="A518" s="4">
        <v>1356</v>
      </c>
      <c r="B518" s="4" t="s">
        <v>22</v>
      </c>
      <c r="C518" s="5" t="s">
        <v>186</v>
      </c>
      <c r="D518" s="5" t="s">
        <v>187</v>
      </c>
      <c r="E518" s="5" t="s">
        <v>118</v>
      </c>
      <c r="F518" s="5" t="s">
        <v>119</v>
      </c>
      <c r="G518" s="13">
        <v>46297</v>
      </c>
      <c r="H518" s="13">
        <v>46297</v>
      </c>
      <c r="I518" s="9">
        <f t="shared" si="16"/>
        <v>1</v>
      </c>
      <c r="J518" s="5" t="s">
        <v>1651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4">
        <v>3</v>
      </c>
      <c r="AH518" s="4">
        <v>1</v>
      </c>
      <c r="AI518" s="4">
        <v>1</v>
      </c>
      <c r="AJ518" s="4">
        <v>2</v>
      </c>
      <c r="AK518" s="4">
        <v>4</v>
      </c>
      <c r="AL518" s="4">
        <v>2</v>
      </c>
      <c r="AM518" s="4">
        <v>1</v>
      </c>
      <c r="AN518" s="4">
        <v>0</v>
      </c>
      <c r="AO518" s="4">
        <v>1</v>
      </c>
      <c r="AP518" s="4"/>
      <c r="AQ518" s="4">
        <v>0</v>
      </c>
      <c r="AR518" s="4">
        <v>1</v>
      </c>
      <c r="AS518" s="4">
        <f t="shared" si="17"/>
        <v>15</v>
      </c>
      <c r="AT518" s="4" t="s">
        <v>137</v>
      </c>
    </row>
    <row r="519" spans="1:46" x14ac:dyDescent="0.2">
      <c r="A519" s="4">
        <v>1378</v>
      </c>
      <c r="B519" s="4" t="s">
        <v>22</v>
      </c>
      <c r="C519" s="5" t="s">
        <v>218</v>
      </c>
      <c r="D519" s="5" t="s">
        <v>219</v>
      </c>
      <c r="E519" s="5" t="s">
        <v>118</v>
      </c>
      <c r="F519" s="5" t="s">
        <v>119</v>
      </c>
      <c r="G519" s="13">
        <v>46297</v>
      </c>
      <c r="H519" s="13">
        <v>46297</v>
      </c>
      <c r="I519" s="9">
        <f t="shared" si="16"/>
        <v>1</v>
      </c>
      <c r="J519" s="5" t="s">
        <v>1651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4">
        <v>2</v>
      </c>
      <c r="AH519" s="4">
        <v>1</v>
      </c>
      <c r="AI519" s="4">
        <v>1</v>
      </c>
      <c r="AJ519" s="4">
        <v>2</v>
      </c>
      <c r="AK519" s="4">
        <v>3</v>
      </c>
      <c r="AL519" s="4">
        <v>2</v>
      </c>
      <c r="AM519" s="4">
        <v>1</v>
      </c>
      <c r="AN519" s="4">
        <v>0</v>
      </c>
      <c r="AO519" s="4">
        <v>1</v>
      </c>
      <c r="AP519" s="4"/>
      <c r="AQ519" s="4">
        <v>0</v>
      </c>
      <c r="AR519" s="4">
        <v>1</v>
      </c>
      <c r="AS519" s="4">
        <f t="shared" si="17"/>
        <v>13</v>
      </c>
      <c r="AT519" s="4" t="s">
        <v>120</v>
      </c>
    </row>
    <row r="520" spans="1:46" x14ac:dyDescent="0.2">
      <c r="A520" s="4">
        <v>2416</v>
      </c>
      <c r="B520" s="4" t="s">
        <v>22</v>
      </c>
      <c r="C520" s="5" t="s">
        <v>627</v>
      </c>
      <c r="D520" s="5" t="s">
        <v>628</v>
      </c>
      <c r="E520" s="5" t="s">
        <v>604</v>
      </c>
      <c r="F520" s="5" t="s">
        <v>68</v>
      </c>
      <c r="G520" s="13">
        <v>46297</v>
      </c>
      <c r="H520" s="13">
        <v>46297</v>
      </c>
      <c r="I520" s="9">
        <f t="shared" si="16"/>
        <v>1</v>
      </c>
      <c r="J520" s="5" t="s">
        <v>1651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4">
        <v>3</v>
      </c>
      <c r="AH520" s="4">
        <v>3</v>
      </c>
      <c r="AI520" s="4">
        <v>1</v>
      </c>
      <c r="AJ520" s="4">
        <v>2</v>
      </c>
      <c r="AK520" s="4">
        <v>6</v>
      </c>
      <c r="AL520" s="4">
        <v>3</v>
      </c>
      <c r="AM520" s="4">
        <v>1</v>
      </c>
      <c r="AN520" s="4">
        <v>0</v>
      </c>
      <c r="AO520" s="4">
        <v>1</v>
      </c>
      <c r="AP520" s="4"/>
      <c r="AQ520" s="4">
        <v>0</v>
      </c>
      <c r="AR520" s="4">
        <v>1</v>
      </c>
      <c r="AS520" s="4">
        <f t="shared" si="17"/>
        <v>20</v>
      </c>
      <c r="AT520" s="9" t="s">
        <v>608</v>
      </c>
    </row>
    <row r="521" spans="1:46" x14ac:dyDescent="0.2">
      <c r="A521" s="4">
        <v>3107</v>
      </c>
      <c r="B521" s="4" t="s">
        <v>22</v>
      </c>
      <c r="C521" s="5" t="s">
        <v>719</v>
      </c>
      <c r="D521" s="5" t="s">
        <v>720</v>
      </c>
      <c r="E521" s="5" t="s">
        <v>36</v>
      </c>
      <c r="F521" s="5" t="s">
        <v>26</v>
      </c>
      <c r="G521" s="13">
        <v>46297</v>
      </c>
      <c r="H521" s="13">
        <v>46297</v>
      </c>
      <c r="I521" s="9">
        <f t="shared" si="16"/>
        <v>1</v>
      </c>
      <c r="J521" s="5" t="s">
        <v>1651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4">
        <v>4</v>
      </c>
      <c r="AH521" s="4">
        <v>2</v>
      </c>
      <c r="AI521" s="4">
        <v>1</v>
      </c>
      <c r="AJ521" s="4">
        <v>2</v>
      </c>
      <c r="AK521" s="4">
        <v>6</v>
      </c>
      <c r="AL521" s="4">
        <v>3</v>
      </c>
      <c r="AM521" s="4">
        <v>1</v>
      </c>
      <c r="AN521" s="4">
        <v>0</v>
      </c>
      <c r="AO521" s="4">
        <v>1</v>
      </c>
      <c r="AP521" s="4"/>
      <c r="AQ521" s="4">
        <v>0</v>
      </c>
      <c r="AR521" s="4">
        <v>1</v>
      </c>
      <c r="AS521" s="4">
        <f t="shared" si="17"/>
        <v>20</v>
      </c>
      <c r="AT521" s="9" t="s">
        <v>44</v>
      </c>
    </row>
    <row r="522" spans="1:46" x14ac:dyDescent="0.2">
      <c r="A522" s="4">
        <v>3940</v>
      </c>
      <c r="B522" s="4" t="s">
        <v>22</v>
      </c>
      <c r="C522" s="5" t="s">
        <v>924</v>
      </c>
      <c r="D522" s="5" t="s">
        <v>925</v>
      </c>
      <c r="E522" s="5" t="s">
        <v>873</v>
      </c>
      <c r="F522" s="5" t="s">
        <v>574</v>
      </c>
      <c r="G522" s="13">
        <v>46297</v>
      </c>
      <c r="H522" s="13">
        <v>46297</v>
      </c>
      <c r="I522" s="9">
        <f t="shared" si="16"/>
        <v>1</v>
      </c>
      <c r="J522" s="5" t="s">
        <v>1651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4">
        <v>3</v>
      </c>
      <c r="AH522" s="4">
        <v>2</v>
      </c>
      <c r="AI522" s="4">
        <v>1</v>
      </c>
      <c r="AJ522" s="4">
        <v>2</v>
      </c>
      <c r="AK522" s="4">
        <v>4</v>
      </c>
      <c r="AL522" s="4">
        <v>2</v>
      </c>
      <c r="AM522" s="4">
        <v>1</v>
      </c>
      <c r="AN522" s="4">
        <v>0</v>
      </c>
      <c r="AO522" s="4">
        <v>1</v>
      </c>
      <c r="AP522" s="7"/>
      <c r="AQ522" s="4">
        <v>0</v>
      </c>
      <c r="AR522" s="4">
        <v>1</v>
      </c>
      <c r="AS522" s="4">
        <f t="shared" si="17"/>
        <v>16</v>
      </c>
      <c r="AT522" s="9" t="s">
        <v>874</v>
      </c>
    </row>
    <row r="523" spans="1:46" x14ac:dyDescent="0.2">
      <c r="A523" s="4">
        <v>3965</v>
      </c>
      <c r="B523" s="4" t="s">
        <v>22</v>
      </c>
      <c r="C523" s="5" t="s">
        <v>944</v>
      </c>
      <c r="D523" s="5" t="s">
        <v>945</v>
      </c>
      <c r="E523" s="5" t="s">
        <v>873</v>
      </c>
      <c r="F523" s="5" t="s">
        <v>574</v>
      </c>
      <c r="G523" s="13">
        <v>46297</v>
      </c>
      <c r="H523" s="13">
        <v>46297</v>
      </c>
      <c r="I523" s="9">
        <f t="shared" si="16"/>
        <v>1</v>
      </c>
      <c r="J523" s="5" t="s">
        <v>1651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4">
        <v>4</v>
      </c>
      <c r="AH523" s="4">
        <v>3</v>
      </c>
      <c r="AI523" s="4">
        <v>1</v>
      </c>
      <c r="AJ523" s="4">
        <v>3</v>
      </c>
      <c r="AK523" s="4">
        <v>7</v>
      </c>
      <c r="AL523" s="4">
        <v>4</v>
      </c>
      <c r="AM523" s="4">
        <v>2</v>
      </c>
      <c r="AN523" s="4">
        <v>0</v>
      </c>
      <c r="AO523" s="4">
        <v>1</v>
      </c>
      <c r="AP523" s="4"/>
      <c r="AQ523" s="4">
        <v>1</v>
      </c>
      <c r="AR523" s="4">
        <v>1</v>
      </c>
      <c r="AS523" s="4">
        <f t="shared" si="17"/>
        <v>26</v>
      </c>
      <c r="AT523" s="9" t="s">
        <v>874</v>
      </c>
    </row>
    <row r="524" spans="1:46" x14ac:dyDescent="0.2">
      <c r="A524" s="4">
        <v>4880</v>
      </c>
      <c r="B524" s="4" t="s">
        <v>22</v>
      </c>
      <c r="C524" s="5" t="s">
        <v>1095</v>
      </c>
      <c r="D524" s="5" t="s">
        <v>1096</v>
      </c>
      <c r="E524" s="5" t="s">
        <v>286</v>
      </c>
      <c r="F524" s="5" t="s">
        <v>546</v>
      </c>
      <c r="G524" s="13">
        <v>46297</v>
      </c>
      <c r="H524" s="13">
        <v>46297</v>
      </c>
      <c r="I524" s="9">
        <f t="shared" si="16"/>
        <v>1</v>
      </c>
      <c r="J524" s="5" t="s">
        <v>1651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4">
        <v>3</v>
      </c>
      <c r="AH524" s="4">
        <v>3</v>
      </c>
      <c r="AI524" s="4">
        <v>1</v>
      </c>
      <c r="AJ524" s="4">
        <v>2</v>
      </c>
      <c r="AK524" s="4">
        <v>7</v>
      </c>
      <c r="AL524" s="4">
        <v>3</v>
      </c>
      <c r="AM524" s="4">
        <v>1</v>
      </c>
      <c r="AN524" s="4">
        <v>0</v>
      </c>
      <c r="AO524" s="4">
        <v>1</v>
      </c>
      <c r="AP524" s="4"/>
      <c r="AQ524" s="4">
        <v>1</v>
      </c>
      <c r="AR524" s="4">
        <v>1</v>
      </c>
      <c r="AS524" s="4">
        <f t="shared" si="17"/>
        <v>22</v>
      </c>
      <c r="AT524" s="9" t="s">
        <v>1034</v>
      </c>
    </row>
    <row r="525" spans="1:46" x14ac:dyDescent="0.2">
      <c r="A525" s="4">
        <v>6063</v>
      </c>
      <c r="B525" s="4" t="s">
        <v>22</v>
      </c>
      <c r="C525" s="5" t="s">
        <v>1284</v>
      </c>
      <c r="D525" s="5" t="s">
        <v>1285</v>
      </c>
      <c r="E525" s="5" t="s">
        <v>1213</v>
      </c>
      <c r="F525" s="5" t="s">
        <v>98</v>
      </c>
      <c r="G525" s="13">
        <v>46297</v>
      </c>
      <c r="H525" s="13">
        <v>46297</v>
      </c>
      <c r="I525" s="9">
        <f t="shared" si="16"/>
        <v>1</v>
      </c>
      <c r="J525" s="5" t="s">
        <v>1651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4">
        <v>3</v>
      </c>
      <c r="AH525" s="4">
        <v>2</v>
      </c>
      <c r="AI525" s="4">
        <v>1</v>
      </c>
      <c r="AJ525" s="4">
        <v>2</v>
      </c>
      <c r="AK525" s="4">
        <v>5</v>
      </c>
      <c r="AL525" s="4">
        <v>3</v>
      </c>
      <c r="AM525" s="4">
        <v>1</v>
      </c>
      <c r="AN525" s="4">
        <v>0</v>
      </c>
      <c r="AO525" s="4">
        <v>1</v>
      </c>
      <c r="AP525" s="4"/>
      <c r="AQ525" s="4">
        <v>0</v>
      </c>
      <c r="AR525" s="4">
        <v>1</v>
      </c>
      <c r="AS525" s="4">
        <f t="shared" si="17"/>
        <v>18</v>
      </c>
      <c r="AT525" s="9" t="s">
        <v>335</v>
      </c>
    </row>
    <row r="526" spans="1:46" x14ac:dyDescent="0.2">
      <c r="A526" s="4">
        <v>6931</v>
      </c>
      <c r="B526" s="4" t="s">
        <v>22</v>
      </c>
      <c r="C526" s="5" t="s">
        <v>1465</v>
      </c>
      <c r="D526" s="5" t="s">
        <v>1466</v>
      </c>
      <c r="E526" s="5" t="s">
        <v>1175</v>
      </c>
      <c r="F526" s="5" t="s">
        <v>546</v>
      </c>
      <c r="G526" s="13">
        <v>46297</v>
      </c>
      <c r="H526" s="13">
        <v>46297</v>
      </c>
      <c r="I526" s="9">
        <f t="shared" si="16"/>
        <v>1</v>
      </c>
      <c r="J526" s="5" t="s">
        <v>1651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4">
        <v>2</v>
      </c>
      <c r="AH526" s="4">
        <v>2</v>
      </c>
      <c r="AI526" s="4">
        <v>1</v>
      </c>
      <c r="AJ526" s="4">
        <v>2</v>
      </c>
      <c r="AK526" s="4">
        <v>4</v>
      </c>
      <c r="AL526" s="4">
        <v>2</v>
      </c>
      <c r="AM526" s="4">
        <v>1</v>
      </c>
      <c r="AN526" s="4">
        <v>0</v>
      </c>
      <c r="AO526" s="4">
        <v>1</v>
      </c>
      <c r="AP526" s="4"/>
      <c r="AQ526" s="4">
        <v>0</v>
      </c>
      <c r="AR526" s="4">
        <v>1</v>
      </c>
      <c r="AS526" s="4">
        <f t="shared" si="17"/>
        <v>15</v>
      </c>
      <c r="AT526" s="9" t="s">
        <v>1442</v>
      </c>
    </row>
    <row r="527" spans="1:46" x14ac:dyDescent="0.2">
      <c r="A527" s="4">
        <v>20</v>
      </c>
      <c r="B527" s="4" t="s">
        <v>22</v>
      </c>
      <c r="C527" s="5" t="s">
        <v>28</v>
      </c>
      <c r="D527" s="5" t="s">
        <v>24</v>
      </c>
      <c r="E527" s="5" t="s">
        <v>25</v>
      </c>
      <c r="F527" s="5" t="s">
        <v>26</v>
      </c>
      <c r="G527" s="13">
        <v>46300</v>
      </c>
      <c r="H527" s="13">
        <v>46301</v>
      </c>
      <c r="I527" s="9">
        <f t="shared" si="16"/>
        <v>2</v>
      </c>
      <c r="J527" s="5" t="s">
        <v>1651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4">
        <v>8</v>
      </c>
      <c r="AH527" s="4">
        <v>1</v>
      </c>
      <c r="AI527" s="4">
        <v>1</v>
      </c>
      <c r="AJ527" s="4">
        <v>6</v>
      </c>
      <c r="AK527" s="4">
        <v>9</v>
      </c>
      <c r="AL527" s="4">
        <v>5</v>
      </c>
      <c r="AM527" s="4">
        <v>5</v>
      </c>
      <c r="AN527" s="4">
        <v>0</v>
      </c>
      <c r="AO527" s="4">
        <v>0</v>
      </c>
      <c r="AP527" s="4"/>
      <c r="AQ527" s="4">
        <v>0</v>
      </c>
      <c r="AR527" s="4">
        <v>1</v>
      </c>
      <c r="AS527" s="4">
        <f t="shared" si="17"/>
        <v>35</v>
      </c>
      <c r="AT527" s="5" t="s">
        <v>27</v>
      </c>
    </row>
    <row r="528" spans="1:46" x14ac:dyDescent="0.2">
      <c r="A528" s="4">
        <v>1218</v>
      </c>
      <c r="B528" s="4" t="s">
        <v>22</v>
      </c>
      <c r="C528" s="5" t="s">
        <v>86</v>
      </c>
      <c r="D528" s="5" t="s">
        <v>87</v>
      </c>
      <c r="E528" s="5" t="s">
        <v>67</v>
      </c>
      <c r="F528" s="5" t="s">
        <v>68</v>
      </c>
      <c r="G528" s="13">
        <v>46300</v>
      </c>
      <c r="H528" s="13">
        <v>46300</v>
      </c>
      <c r="I528" s="9">
        <f t="shared" si="16"/>
        <v>1</v>
      </c>
      <c r="J528" s="5" t="s">
        <v>1651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4">
        <v>4</v>
      </c>
      <c r="AH528" s="4">
        <v>3</v>
      </c>
      <c r="AI528" s="4">
        <v>1</v>
      </c>
      <c r="AJ528" s="4">
        <v>3</v>
      </c>
      <c r="AK528" s="4">
        <v>8</v>
      </c>
      <c r="AL528" s="4">
        <v>4</v>
      </c>
      <c r="AM528" s="4">
        <v>2</v>
      </c>
      <c r="AN528" s="4">
        <v>0</v>
      </c>
      <c r="AO528" s="4">
        <v>1</v>
      </c>
      <c r="AP528" s="7"/>
      <c r="AQ528" s="4">
        <v>0</v>
      </c>
      <c r="AR528" s="4">
        <v>1</v>
      </c>
      <c r="AS528" s="4">
        <f t="shared" si="17"/>
        <v>26</v>
      </c>
      <c r="AT528" s="5" t="s">
        <v>83</v>
      </c>
    </row>
    <row r="529" spans="1:46" x14ac:dyDescent="0.2">
      <c r="A529" s="4">
        <v>1391</v>
      </c>
      <c r="B529" s="4" t="s">
        <v>22</v>
      </c>
      <c r="C529" s="5" t="s">
        <v>241</v>
      </c>
      <c r="D529" s="5" t="s">
        <v>242</v>
      </c>
      <c r="E529" s="5" t="s">
        <v>118</v>
      </c>
      <c r="F529" s="5" t="s">
        <v>68</v>
      </c>
      <c r="G529" s="13">
        <v>46300</v>
      </c>
      <c r="H529" s="13">
        <v>46300</v>
      </c>
      <c r="I529" s="9">
        <f t="shared" si="16"/>
        <v>1</v>
      </c>
      <c r="J529" s="5" t="s">
        <v>1651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4">
        <v>3</v>
      </c>
      <c r="AH529" s="4">
        <v>3</v>
      </c>
      <c r="AI529" s="4">
        <v>1</v>
      </c>
      <c r="AJ529" s="4">
        <v>2</v>
      </c>
      <c r="AK529" s="4">
        <v>6</v>
      </c>
      <c r="AL529" s="4">
        <v>3</v>
      </c>
      <c r="AM529" s="4">
        <v>1</v>
      </c>
      <c r="AN529" s="4">
        <v>0</v>
      </c>
      <c r="AO529" s="4">
        <v>1</v>
      </c>
      <c r="AP529" s="4"/>
      <c r="AQ529" s="4">
        <v>0</v>
      </c>
      <c r="AR529" s="4">
        <v>1</v>
      </c>
      <c r="AS529" s="4">
        <f t="shared" si="17"/>
        <v>20</v>
      </c>
      <c r="AT529" s="4" t="s">
        <v>137</v>
      </c>
    </row>
    <row r="530" spans="1:46" x14ac:dyDescent="0.2">
      <c r="A530" s="4">
        <v>1620</v>
      </c>
      <c r="B530" s="4" t="s">
        <v>22</v>
      </c>
      <c r="C530" s="5" t="s">
        <v>301</v>
      </c>
      <c r="D530" s="5" t="s">
        <v>302</v>
      </c>
      <c r="E530" s="5" t="s">
        <v>72</v>
      </c>
      <c r="F530" s="5" t="s">
        <v>68</v>
      </c>
      <c r="G530" s="13">
        <v>46300</v>
      </c>
      <c r="H530" s="13">
        <v>46300</v>
      </c>
      <c r="I530" s="9">
        <f t="shared" si="16"/>
        <v>1</v>
      </c>
      <c r="J530" s="5" t="s">
        <v>1651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4">
        <v>4</v>
      </c>
      <c r="AH530" s="4">
        <v>3</v>
      </c>
      <c r="AI530" s="4">
        <v>1</v>
      </c>
      <c r="AJ530" s="4">
        <v>2</v>
      </c>
      <c r="AK530" s="4">
        <v>7</v>
      </c>
      <c r="AL530" s="4">
        <v>3</v>
      </c>
      <c r="AM530" s="4">
        <v>1</v>
      </c>
      <c r="AN530" s="4">
        <v>0</v>
      </c>
      <c r="AO530" s="4">
        <v>1</v>
      </c>
      <c r="AP530" s="4"/>
      <c r="AQ530" s="4">
        <v>1</v>
      </c>
      <c r="AR530" s="4">
        <v>1</v>
      </c>
      <c r="AS530" s="4">
        <f t="shared" si="17"/>
        <v>23</v>
      </c>
      <c r="AT530" s="9" t="s">
        <v>477</v>
      </c>
    </row>
    <row r="531" spans="1:46" x14ac:dyDescent="0.2">
      <c r="A531" s="4">
        <v>2174</v>
      </c>
      <c r="B531" s="4" t="s">
        <v>22</v>
      </c>
      <c r="C531" s="5" t="s">
        <v>595</v>
      </c>
      <c r="D531" s="5" t="s">
        <v>596</v>
      </c>
      <c r="E531" s="5" t="s">
        <v>545</v>
      </c>
      <c r="F531" s="5" t="s">
        <v>546</v>
      </c>
      <c r="G531" s="13">
        <v>46300</v>
      </c>
      <c r="H531" s="13">
        <v>46300</v>
      </c>
      <c r="I531" s="9">
        <f t="shared" si="16"/>
        <v>1</v>
      </c>
      <c r="J531" s="5" t="s">
        <v>1651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4">
        <v>2</v>
      </c>
      <c r="AH531" s="4">
        <v>1</v>
      </c>
      <c r="AI531" s="4">
        <v>1</v>
      </c>
      <c r="AJ531" s="4">
        <v>2</v>
      </c>
      <c r="AK531" s="4">
        <v>4</v>
      </c>
      <c r="AL531" s="4">
        <v>2</v>
      </c>
      <c r="AM531" s="4">
        <v>1</v>
      </c>
      <c r="AN531" s="4">
        <v>0</v>
      </c>
      <c r="AO531" s="4">
        <v>1</v>
      </c>
      <c r="AP531" s="4"/>
      <c r="AQ531" s="4">
        <v>0</v>
      </c>
      <c r="AR531" s="4">
        <v>1</v>
      </c>
      <c r="AS531" s="4">
        <f t="shared" si="17"/>
        <v>14</v>
      </c>
      <c r="AT531" s="9" t="s">
        <v>547</v>
      </c>
    </row>
    <row r="532" spans="1:46" x14ac:dyDescent="0.2">
      <c r="A532" s="4">
        <v>3952</v>
      </c>
      <c r="B532" s="4" t="s">
        <v>22</v>
      </c>
      <c r="C532" s="5" t="s">
        <v>934</v>
      </c>
      <c r="D532" s="5" t="s">
        <v>935</v>
      </c>
      <c r="E532" s="5" t="s">
        <v>873</v>
      </c>
      <c r="F532" s="5" t="s">
        <v>574</v>
      </c>
      <c r="G532" s="13">
        <v>46300</v>
      </c>
      <c r="H532" s="13">
        <v>46300</v>
      </c>
      <c r="I532" s="9">
        <f t="shared" si="16"/>
        <v>1</v>
      </c>
      <c r="J532" s="5" t="s">
        <v>1651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4">
        <v>8</v>
      </c>
      <c r="AH532" s="4">
        <v>3</v>
      </c>
      <c r="AI532" s="4">
        <v>1</v>
      </c>
      <c r="AJ532" s="4">
        <v>3</v>
      </c>
      <c r="AK532" s="4">
        <v>10</v>
      </c>
      <c r="AL532" s="4">
        <v>6</v>
      </c>
      <c r="AM532" s="4">
        <v>2</v>
      </c>
      <c r="AN532" s="4">
        <v>0</v>
      </c>
      <c r="AO532" s="4">
        <v>2</v>
      </c>
      <c r="AP532" s="4"/>
      <c r="AQ532" s="4">
        <v>1</v>
      </c>
      <c r="AR532" s="4">
        <v>1</v>
      </c>
      <c r="AS532" s="4">
        <f t="shared" si="17"/>
        <v>36</v>
      </c>
      <c r="AT532" s="9" t="s">
        <v>874</v>
      </c>
    </row>
    <row r="533" spans="1:46" x14ac:dyDescent="0.2">
      <c r="A533" s="4">
        <v>6042</v>
      </c>
      <c r="B533" s="4" t="s">
        <v>22</v>
      </c>
      <c r="C533" s="5" t="s">
        <v>1256</v>
      </c>
      <c r="D533" s="5" t="s">
        <v>1257</v>
      </c>
      <c r="E533" s="5" t="s">
        <v>1213</v>
      </c>
      <c r="F533" s="5" t="s">
        <v>98</v>
      </c>
      <c r="G533" s="13">
        <v>46300</v>
      </c>
      <c r="H533" s="13">
        <v>46302</v>
      </c>
      <c r="I533" s="9">
        <f t="shared" si="16"/>
        <v>3</v>
      </c>
      <c r="J533" s="5" t="s">
        <v>1651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4">
        <v>10</v>
      </c>
      <c r="AH533" s="4">
        <v>7</v>
      </c>
      <c r="AI533" s="4">
        <v>1</v>
      </c>
      <c r="AJ533" s="4">
        <v>4</v>
      </c>
      <c r="AK533" s="4">
        <v>16</v>
      </c>
      <c r="AL533" s="4">
        <v>7</v>
      </c>
      <c r="AM533" s="4">
        <v>3</v>
      </c>
      <c r="AN533" s="4">
        <v>0</v>
      </c>
      <c r="AO533" s="4">
        <v>3</v>
      </c>
      <c r="AP533" s="4"/>
      <c r="AQ533" s="4">
        <v>1</v>
      </c>
      <c r="AR533" s="4">
        <v>1</v>
      </c>
      <c r="AS533" s="4">
        <f t="shared" si="17"/>
        <v>52</v>
      </c>
      <c r="AT533" s="9" t="s">
        <v>77</v>
      </c>
    </row>
    <row r="534" spans="1:46" x14ac:dyDescent="0.2">
      <c r="A534" s="4">
        <v>6048</v>
      </c>
      <c r="B534" s="4" t="s">
        <v>22</v>
      </c>
      <c r="C534" s="5" t="s">
        <v>1265</v>
      </c>
      <c r="D534" s="5" t="s">
        <v>1266</v>
      </c>
      <c r="E534" s="5" t="s">
        <v>1213</v>
      </c>
      <c r="F534" s="5" t="s">
        <v>98</v>
      </c>
      <c r="G534" s="13">
        <v>46300</v>
      </c>
      <c r="H534" s="13">
        <v>46301</v>
      </c>
      <c r="I534" s="9">
        <f t="shared" si="16"/>
        <v>2</v>
      </c>
      <c r="J534" s="5" t="s">
        <v>1651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4">
        <v>4</v>
      </c>
      <c r="AH534" s="4">
        <v>3</v>
      </c>
      <c r="AI534" s="4">
        <v>1</v>
      </c>
      <c r="AJ534" s="4">
        <v>3</v>
      </c>
      <c r="AK534" s="4">
        <v>6</v>
      </c>
      <c r="AL534" s="4">
        <v>4</v>
      </c>
      <c r="AM534" s="4">
        <v>2</v>
      </c>
      <c r="AN534" s="4">
        <v>0</v>
      </c>
      <c r="AO534" s="4">
        <v>1</v>
      </c>
      <c r="AP534" s="7"/>
      <c r="AQ534" s="4">
        <v>0</v>
      </c>
      <c r="AR534" s="4">
        <v>1</v>
      </c>
      <c r="AS534" s="4">
        <f t="shared" si="17"/>
        <v>24</v>
      </c>
      <c r="AT534" s="9" t="s">
        <v>335</v>
      </c>
    </row>
    <row r="535" spans="1:46" x14ac:dyDescent="0.2">
      <c r="A535" s="4">
        <v>6064</v>
      </c>
      <c r="B535" s="4" t="s">
        <v>22</v>
      </c>
      <c r="C535" s="5" t="s">
        <v>1286</v>
      </c>
      <c r="D535" s="5" t="s">
        <v>1287</v>
      </c>
      <c r="E535" s="5" t="s">
        <v>1213</v>
      </c>
      <c r="F535" s="5" t="s">
        <v>98</v>
      </c>
      <c r="G535" s="13">
        <v>46300</v>
      </c>
      <c r="H535" s="13">
        <v>46301</v>
      </c>
      <c r="I535" s="9">
        <f t="shared" si="16"/>
        <v>2</v>
      </c>
      <c r="J535" s="5" t="s">
        <v>1651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4">
        <v>2</v>
      </c>
      <c r="AH535" s="4">
        <v>1</v>
      </c>
      <c r="AI535" s="4">
        <v>1</v>
      </c>
      <c r="AJ535" s="4">
        <v>2</v>
      </c>
      <c r="AK535" s="4">
        <v>3</v>
      </c>
      <c r="AL535" s="4">
        <v>2</v>
      </c>
      <c r="AM535" s="4">
        <v>1</v>
      </c>
      <c r="AN535" s="4">
        <v>0</v>
      </c>
      <c r="AO535" s="4">
        <v>1</v>
      </c>
      <c r="AP535" s="4"/>
      <c r="AQ535" s="4">
        <v>0</v>
      </c>
      <c r="AR535" s="4">
        <v>1</v>
      </c>
      <c r="AS535" s="4">
        <f t="shared" si="17"/>
        <v>13</v>
      </c>
      <c r="AT535" s="9" t="s">
        <v>364</v>
      </c>
    </row>
    <row r="536" spans="1:46" x14ac:dyDescent="0.2">
      <c r="A536" s="4">
        <v>6078</v>
      </c>
      <c r="B536" s="4" t="s">
        <v>22</v>
      </c>
      <c r="C536" s="5" t="s">
        <v>1304</v>
      </c>
      <c r="D536" s="5" t="s">
        <v>1305</v>
      </c>
      <c r="E536" s="5" t="s">
        <v>1213</v>
      </c>
      <c r="F536" s="5" t="s">
        <v>98</v>
      </c>
      <c r="G536" s="13">
        <v>46300</v>
      </c>
      <c r="H536" s="13">
        <v>46301</v>
      </c>
      <c r="I536" s="9">
        <f t="shared" si="16"/>
        <v>2</v>
      </c>
      <c r="J536" s="5" t="s">
        <v>1651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4">
        <v>2</v>
      </c>
      <c r="AH536" s="4">
        <v>2</v>
      </c>
      <c r="AI536" s="4">
        <v>1</v>
      </c>
      <c r="AJ536" s="4">
        <v>2</v>
      </c>
      <c r="AK536" s="4">
        <v>3</v>
      </c>
      <c r="AL536" s="4">
        <v>2</v>
      </c>
      <c r="AM536" s="4">
        <v>1</v>
      </c>
      <c r="AN536" s="4">
        <v>0</v>
      </c>
      <c r="AO536" s="4">
        <v>1</v>
      </c>
      <c r="AP536" s="4"/>
      <c r="AQ536" s="4">
        <v>0</v>
      </c>
      <c r="AR536" s="4">
        <v>1</v>
      </c>
      <c r="AS536" s="4">
        <f t="shared" si="17"/>
        <v>14</v>
      </c>
      <c r="AT536" s="9" t="s">
        <v>332</v>
      </c>
    </row>
    <row r="537" spans="1:46" x14ac:dyDescent="0.2">
      <c r="A537" s="4">
        <v>6303</v>
      </c>
      <c r="B537" s="4" t="s">
        <v>22</v>
      </c>
      <c r="C537" s="5" t="s">
        <v>1311</v>
      </c>
      <c r="D537" s="5" t="s">
        <v>1312</v>
      </c>
      <c r="E537" s="5" t="s">
        <v>1301</v>
      </c>
      <c r="F537" s="5" t="s">
        <v>68</v>
      </c>
      <c r="G537" s="13">
        <v>46300</v>
      </c>
      <c r="H537" s="13">
        <v>46302</v>
      </c>
      <c r="I537" s="9">
        <f t="shared" si="16"/>
        <v>3</v>
      </c>
      <c r="J537" s="5" t="s">
        <v>1651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4">
        <v>11</v>
      </c>
      <c r="AH537" s="4">
        <v>10</v>
      </c>
      <c r="AI537" s="4">
        <v>2</v>
      </c>
      <c r="AJ537" s="4">
        <v>3</v>
      </c>
      <c r="AK537" s="4">
        <v>17</v>
      </c>
      <c r="AL537" s="4">
        <v>8</v>
      </c>
      <c r="AM537" s="4">
        <v>3</v>
      </c>
      <c r="AN537" s="4">
        <v>0</v>
      </c>
      <c r="AO537" s="4">
        <v>3</v>
      </c>
      <c r="AP537" s="4"/>
      <c r="AQ537" s="4">
        <v>0</v>
      </c>
      <c r="AR537" s="4">
        <v>1</v>
      </c>
      <c r="AS537" s="4">
        <f t="shared" si="17"/>
        <v>57</v>
      </c>
      <c r="AT537" s="9" t="s">
        <v>696</v>
      </c>
    </row>
    <row r="538" spans="1:46" x14ac:dyDescent="0.2">
      <c r="A538" s="4">
        <v>6928</v>
      </c>
      <c r="B538" s="4" t="s">
        <v>22</v>
      </c>
      <c r="C538" s="5" t="s">
        <v>1463</v>
      </c>
      <c r="D538" s="5" t="s">
        <v>1464</v>
      </c>
      <c r="E538" s="5" t="s">
        <v>1175</v>
      </c>
      <c r="F538" s="5" t="s">
        <v>546</v>
      </c>
      <c r="G538" s="13">
        <v>46300</v>
      </c>
      <c r="H538" s="13">
        <v>46300</v>
      </c>
      <c r="I538" s="9">
        <f t="shared" si="16"/>
        <v>1</v>
      </c>
      <c r="J538" s="5" t="s">
        <v>1651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4">
        <v>3</v>
      </c>
      <c r="AH538" s="4">
        <v>3</v>
      </c>
      <c r="AI538" s="4">
        <v>1</v>
      </c>
      <c r="AJ538" s="4">
        <v>2</v>
      </c>
      <c r="AK538" s="4">
        <v>6</v>
      </c>
      <c r="AL538" s="4">
        <v>2</v>
      </c>
      <c r="AM538" s="4">
        <v>1</v>
      </c>
      <c r="AN538" s="4">
        <v>0</v>
      </c>
      <c r="AO538" s="4">
        <v>1</v>
      </c>
      <c r="AP538" s="4"/>
      <c r="AQ538" s="4">
        <v>0</v>
      </c>
      <c r="AR538" s="4">
        <v>1</v>
      </c>
      <c r="AS538" s="4">
        <f t="shared" si="17"/>
        <v>19</v>
      </c>
      <c r="AT538" s="9" t="s">
        <v>1442</v>
      </c>
    </row>
    <row r="539" spans="1:46" x14ac:dyDescent="0.2">
      <c r="A539" s="4">
        <v>8610</v>
      </c>
      <c r="B539" s="4" t="s">
        <v>22</v>
      </c>
      <c r="C539" s="5" t="s">
        <v>1604</v>
      </c>
      <c r="D539" s="5" t="s">
        <v>1605</v>
      </c>
      <c r="E539" s="5" t="s">
        <v>1600</v>
      </c>
      <c r="F539" s="5" t="s">
        <v>331</v>
      </c>
      <c r="G539" s="13">
        <v>46300</v>
      </c>
      <c r="H539" s="13">
        <v>46301</v>
      </c>
      <c r="I539" s="9">
        <f t="shared" si="16"/>
        <v>2</v>
      </c>
      <c r="J539" s="5" t="s">
        <v>1651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4">
        <v>3</v>
      </c>
      <c r="AH539" s="4">
        <v>2</v>
      </c>
      <c r="AI539" s="4">
        <v>1</v>
      </c>
      <c r="AJ539" s="4">
        <v>2</v>
      </c>
      <c r="AK539" s="4">
        <v>6</v>
      </c>
      <c r="AL539" s="4">
        <v>2</v>
      </c>
      <c r="AM539" s="4">
        <v>1</v>
      </c>
      <c r="AN539" s="4">
        <v>0</v>
      </c>
      <c r="AO539" s="4">
        <v>1</v>
      </c>
      <c r="AP539" s="4"/>
      <c r="AQ539" s="4">
        <v>0</v>
      </c>
      <c r="AR539" s="4">
        <v>1</v>
      </c>
      <c r="AS539" s="4">
        <f t="shared" si="17"/>
        <v>18</v>
      </c>
      <c r="AT539" s="9" t="s">
        <v>1601</v>
      </c>
    </row>
    <row r="540" spans="1:46" x14ac:dyDescent="0.2">
      <c r="A540" s="4">
        <v>1267</v>
      </c>
      <c r="B540" s="4" t="s">
        <v>22</v>
      </c>
      <c r="C540" s="5" t="s">
        <v>112</v>
      </c>
      <c r="D540" s="5" t="s">
        <v>113</v>
      </c>
      <c r="E540" s="5" t="s">
        <v>67</v>
      </c>
      <c r="F540" s="5" t="s">
        <v>68</v>
      </c>
      <c r="G540" s="13">
        <v>46301</v>
      </c>
      <c r="H540" s="13">
        <v>46301</v>
      </c>
      <c r="I540" s="9">
        <f t="shared" si="16"/>
        <v>1</v>
      </c>
      <c r="J540" s="5" t="s">
        <v>1651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4">
        <v>2</v>
      </c>
      <c r="AH540" s="4">
        <v>1</v>
      </c>
      <c r="AI540" s="4">
        <v>1</v>
      </c>
      <c r="AJ540" s="4">
        <v>2</v>
      </c>
      <c r="AK540" s="4">
        <v>3</v>
      </c>
      <c r="AL540" s="4">
        <v>2</v>
      </c>
      <c r="AM540" s="4">
        <v>1</v>
      </c>
      <c r="AN540" s="4">
        <v>0</v>
      </c>
      <c r="AO540" s="4">
        <v>1</v>
      </c>
      <c r="AP540" s="4"/>
      <c r="AQ540" s="4">
        <v>0</v>
      </c>
      <c r="AR540" s="4">
        <v>1</v>
      </c>
      <c r="AS540" s="4">
        <f t="shared" si="17"/>
        <v>13</v>
      </c>
      <c r="AT540" s="5" t="s">
        <v>83</v>
      </c>
    </row>
    <row r="541" spans="1:46" x14ac:dyDescent="0.2">
      <c r="A541" s="4">
        <v>1471</v>
      </c>
      <c r="B541" s="4" t="s">
        <v>22</v>
      </c>
      <c r="C541" s="5" t="s">
        <v>309</v>
      </c>
      <c r="D541" s="5" t="s">
        <v>310</v>
      </c>
      <c r="E541" s="5" t="s">
        <v>118</v>
      </c>
      <c r="F541" s="5" t="s">
        <v>119</v>
      </c>
      <c r="G541" s="13">
        <v>46301</v>
      </c>
      <c r="H541" s="13">
        <v>46301</v>
      </c>
      <c r="I541" s="9">
        <f t="shared" si="16"/>
        <v>1</v>
      </c>
      <c r="J541" s="5" t="s">
        <v>1651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4">
        <v>2</v>
      </c>
      <c r="AH541" s="4">
        <v>1</v>
      </c>
      <c r="AI541" s="4">
        <v>1</v>
      </c>
      <c r="AJ541" s="4">
        <v>2</v>
      </c>
      <c r="AK541" s="4">
        <v>3</v>
      </c>
      <c r="AL541" s="4">
        <v>2</v>
      </c>
      <c r="AM541" s="4">
        <v>1</v>
      </c>
      <c r="AN541" s="4">
        <v>0</v>
      </c>
      <c r="AO541" s="4">
        <v>1</v>
      </c>
      <c r="AP541" s="4"/>
      <c r="AQ541" s="4">
        <v>0</v>
      </c>
      <c r="AR541" s="4">
        <v>1</v>
      </c>
      <c r="AS541" s="4">
        <f t="shared" si="17"/>
        <v>13</v>
      </c>
      <c r="AT541" s="4" t="s">
        <v>120</v>
      </c>
    </row>
    <row r="542" spans="1:46" x14ac:dyDescent="0.2">
      <c r="A542" s="4">
        <v>1474</v>
      </c>
      <c r="B542" s="4" t="s">
        <v>22</v>
      </c>
      <c r="C542" s="5" t="s">
        <v>313</v>
      </c>
      <c r="D542" s="5" t="s">
        <v>314</v>
      </c>
      <c r="E542" s="5" t="s">
        <v>118</v>
      </c>
      <c r="F542" s="5" t="s">
        <v>119</v>
      </c>
      <c r="G542" s="13">
        <v>46301</v>
      </c>
      <c r="H542" s="13">
        <v>46301</v>
      </c>
      <c r="I542" s="9">
        <f t="shared" si="16"/>
        <v>1</v>
      </c>
      <c r="J542" s="5" t="s">
        <v>1651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4">
        <v>2</v>
      </c>
      <c r="AH542" s="4">
        <v>1</v>
      </c>
      <c r="AI542" s="4">
        <v>1</v>
      </c>
      <c r="AJ542" s="4">
        <v>2</v>
      </c>
      <c r="AK542" s="4">
        <v>3</v>
      </c>
      <c r="AL542" s="4">
        <v>2</v>
      </c>
      <c r="AM542" s="4">
        <v>1</v>
      </c>
      <c r="AN542" s="4">
        <v>0</v>
      </c>
      <c r="AO542" s="4">
        <v>1</v>
      </c>
      <c r="AP542" s="4"/>
      <c r="AQ542" s="4">
        <v>0</v>
      </c>
      <c r="AR542" s="4">
        <v>1</v>
      </c>
      <c r="AS542" s="4">
        <f t="shared" si="17"/>
        <v>13</v>
      </c>
      <c r="AT542" s="4" t="s">
        <v>120</v>
      </c>
    </row>
    <row r="543" spans="1:46" x14ac:dyDescent="0.2">
      <c r="A543" s="4">
        <v>1503</v>
      </c>
      <c r="B543" s="4" t="s">
        <v>22</v>
      </c>
      <c r="C543" s="5" t="s">
        <v>336</v>
      </c>
      <c r="D543" s="5" t="s">
        <v>337</v>
      </c>
      <c r="E543" s="5" t="s">
        <v>330</v>
      </c>
      <c r="F543" s="5" t="s">
        <v>331</v>
      </c>
      <c r="G543" s="13">
        <v>46301</v>
      </c>
      <c r="H543" s="13">
        <v>46311</v>
      </c>
      <c r="I543" s="9">
        <f t="shared" si="16"/>
        <v>9</v>
      </c>
      <c r="J543" s="5" t="s">
        <v>1651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4">
        <v>14</v>
      </c>
      <c r="AH543" s="4">
        <v>15</v>
      </c>
      <c r="AI543" s="4">
        <v>1</v>
      </c>
      <c r="AJ543" s="4">
        <v>5</v>
      </c>
      <c r="AK543" s="4">
        <v>28</v>
      </c>
      <c r="AL543" s="4">
        <v>11</v>
      </c>
      <c r="AM543" s="4">
        <v>4</v>
      </c>
      <c r="AN543" s="4">
        <v>1</v>
      </c>
      <c r="AO543" s="4">
        <v>6</v>
      </c>
      <c r="AP543" s="4"/>
      <c r="AQ543" s="4">
        <v>1</v>
      </c>
      <c r="AR543" s="4">
        <v>1</v>
      </c>
      <c r="AS543" s="4">
        <f t="shared" si="17"/>
        <v>86</v>
      </c>
      <c r="AT543" s="9" t="str">
        <f>UPPER("Carlos Enrique Cuchivaguen Forero")</f>
        <v>CARLOS ENRIQUE CUCHIVAGUEN FORERO</v>
      </c>
    </row>
    <row r="544" spans="1:46" x14ac:dyDescent="0.2">
      <c r="A544" s="4">
        <v>1601</v>
      </c>
      <c r="B544" s="4" t="s">
        <v>22</v>
      </c>
      <c r="C544" s="5" t="s">
        <v>473</v>
      </c>
      <c r="D544" s="5" t="s">
        <v>474</v>
      </c>
      <c r="E544" s="5" t="s">
        <v>72</v>
      </c>
      <c r="F544" s="5" t="s">
        <v>68</v>
      </c>
      <c r="G544" s="13">
        <v>46301</v>
      </c>
      <c r="H544" s="13">
        <v>46311</v>
      </c>
      <c r="I544" s="9">
        <f t="shared" si="16"/>
        <v>9</v>
      </c>
      <c r="J544" s="5" t="s">
        <v>1651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4">
        <v>18</v>
      </c>
      <c r="AH544" s="4">
        <v>6</v>
      </c>
      <c r="AI544" s="4">
        <v>1</v>
      </c>
      <c r="AJ544" s="4">
        <v>10</v>
      </c>
      <c r="AK544" s="4">
        <v>24</v>
      </c>
      <c r="AL544" s="4">
        <v>14</v>
      </c>
      <c r="AM544" s="4">
        <v>9</v>
      </c>
      <c r="AN544" s="4">
        <v>0</v>
      </c>
      <c r="AO544" s="4">
        <v>3</v>
      </c>
      <c r="AP544" s="4"/>
      <c r="AQ544" s="4">
        <v>1</v>
      </c>
      <c r="AR544" s="4">
        <v>1</v>
      </c>
      <c r="AS544" s="4">
        <f t="shared" si="17"/>
        <v>86</v>
      </c>
      <c r="AT544" s="9" t="str">
        <f>UPPER("José Contreras Valera")</f>
        <v>JOSÉ CONTRERAS VALERA</v>
      </c>
    </row>
    <row r="545" spans="1:46" x14ac:dyDescent="0.2">
      <c r="A545" s="4">
        <v>1660</v>
      </c>
      <c r="B545" s="4" t="s">
        <v>22</v>
      </c>
      <c r="C545" s="5" t="s">
        <v>496</v>
      </c>
      <c r="D545" s="5" t="s">
        <v>497</v>
      </c>
      <c r="E545" s="5" t="s">
        <v>72</v>
      </c>
      <c r="F545" s="5" t="s">
        <v>68</v>
      </c>
      <c r="G545" s="13">
        <v>46301</v>
      </c>
      <c r="H545" s="13">
        <v>46301</v>
      </c>
      <c r="I545" s="9">
        <f t="shared" si="16"/>
        <v>1</v>
      </c>
      <c r="J545" s="5" t="s">
        <v>1651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4">
        <v>5</v>
      </c>
      <c r="AH545" s="4">
        <v>3</v>
      </c>
      <c r="AI545" s="4">
        <v>1</v>
      </c>
      <c r="AJ545" s="4">
        <v>3</v>
      </c>
      <c r="AK545" s="4">
        <v>9</v>
      </c>
      <c r="AL545" s="4">
        <v>4</v>
      </c>
      <c r="AM545" s="4">
        <v>2</v>
      </c>
      <c r="AN545" s="4">
        <v>0</v>
      </c>
      <c r="AO545" s="4">
        <v>1</v>
      </c>
      <c r="AP545" s="4"/>
      <c r="AQ545" s="4">
        <v>0</v>
      </c>
      <c r="AR545" s="4">
        <v>1</v>
      </c>
      <c r="AS545" s="4">
        <f t="shared" si="17"/>
        <v>28</v>
      </c>
      <c r="AT545" s="9" t="s">
        <v>73</v>
      </c>
    </row>
    <row r="546" spans="1:46" x14ac:dyDescent="0.2">
      <c r="A546" s="4">
        <v>1855</v>
      </c>
      <c r="B546" s="4" t="s">
        <v>22</v>
      </c>
      <c r="C546" s="5" t="s">
        <v>532</v>
      </c>
      <c r="D546" s="5" t="s">
        <v>533</v>
      </c>
      <c r="E546" s="5" t="s">
        <v>215</v>
      </c>
      <c r="F546" s="5" t="s">
        <v>500</v>
      </c>
      <c r="G546" s="13">
        <v>46301</v>
      </c>
      <c r="H546" s="13">
        <v>46302</v>
      </c>
      <c r="I546" s="9">
        <f t="shared" si="16"/>
        <v>2</v>
      </c>
      <c r="J546" s="5" t="s">
        <v>1651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4">
        <v>3</v>
      </c>
      <c r="AH546" s="4">
        <v>2</v>
      </c>
      <c r="AI546" s="4">
        <v>1</v>
      </c>
      <c r="AJ546" s="4">
        <v>2</v>
      </c>
      <c r="AK546" s="4">
        <v>5</v>
      </c>
      <c r="AL546" s="4">
        <v>3</v>
      </c>
      <c r="AM546" s="4">
        <v>1</v>
      </c>
      <c r="AN546" s="4">
        <v>0</v>
      </c>
      <c r="AO546" s="4">
        <v>1</v>
      </c>
      <c r="AP546" s="4"/>
      <c r="AQ546" s="4">
        <v>1</v>
      </c>
      <c r="AR546" s="4">
        <v>1</v>
      </c>
      <c r="AS546" s="4">
        <f t="shared" si="17"/>
        <v>19</v>
      </c>
      <c r="AT546" s="9" t="s">
        <v>501</v>
      </c>
    </row>
    <row r="547" spans="1:46" x14ac:dyDescent="0.2">
      <c r="A547" s="4">
        <v>2108</v>
      </c>
      <c r="B547" s="4" t="s">
        <v>22</v>
      </c>
      <c r="C547" s="5" t="s">
        <v>556</v>
      </c>
      <c r="D547" s="5" t="s">
        <v>557</v>
      </c>
      <c r="E547" s="5" t="s">
        <v>545</v>
      </c>
      <c r="F547" s="5" t="s">
        <v>546</v>
      </c>
      <c r="G547" s="13">
        <v>46301</v>
      </c>
      <c r="H547" s="13">
        <v>46301</v>
      </c>
      <c r="I547" s="9">
        <f t="shared" si="16"/>
        <v>1</v>
      </c>
      <c r="J547" s="5" t="s">
        <v>1651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4">
        <v>3</v>
      </c>
      <c r="AH547" s="4">
        <v>1</v>
      </c>
      <c r="AI547" s="4">
        <v>1</v>
      </c>
      <c r="AJ547" s="4">
        <v>2</v>
      </c>
      <c r="AK547" s="4">
        <v>4</v>
      </c>
      <c r="AL547" s="4">
        <v>2</v>
      </c>
      <c r="AM547" s="4">
        <v>1</v>
      </c>
      <c r="AN547" s="4">
        <v>0</v>
      </c>
      <c r="AO547" s="4">
        <v>1</v>
      </c>
      <c r="AP547" s="4"/>
      <c r="AQ547" s="4">
        <v>0</v>
      </c>
      <c r="AR547" s="4">
        <v>1</v>
      </c>
      <c r="AS547" s="4">
        <f t="shared" si="17"/>
        <v>15</v>
      </c>
      <c r="AT547" s="9" t="s">
        <v>547</v>
      </c>
    </row>
    <row r="548" spans="1:46" x14ac:dyDescent="0.2">
      <c r="A548" s="4">
        <v>2109</v>
      </c>
      <c r="B548" s="4" t="s">
        <v>22</v>
      </c>
      <c r="C548" s="5" t="s">
        <v>558</v>
      </c>
      <c r="D548" s="5" t="s">
        <v>559</v>
      </c>
      <c r="E548" s="5" t="s">
        <v>545</v>
      </c>
      <c r="F548" s="5" t="s">
        <v>546</v>
      </c>
      <c r="G548" s="13">
        <v>46301</v>
      </c>
      <c r="H548" s="13">
        <v>46301</v>
      </c>
      <c r="I548" s="9">
        <f t="shared" si="16"/>
        <v>1</v>
      </c>
      <c r="J548" s="5" t="s">
        <v>1651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4">
        <v>2</v>
      </c>
      <c r="AH548" s="4">
        <v>1</v>
      </c>
      <c r="AI548" s="4">
        <v>1</v>
      </c>
      <c r="AJ548" s="4">
        <v>2</v>
      </c>
      <c r="AK548" s="4">
        <v>3</v>
      </c>
      <c r="AL548" s="4">
        <v>2</v>
      </c>
      <c r="AM548" s="4">
        <v>1</v>
      </c>
      <c r="AN548" s="4">
        <v>0</v>
      </c>
      <c r="AO548" s="4">
        <v>1</v>
      </c>
      <c r="AP548" s="4"/>
      <c r="AQ548" s="4">
        <v>0</v>
      </c>
      <c r="AR548" s="4">
        <v>1</v>
      </c>
      <c r="AS548" s="4">
        <f t="shared" si="17"/>
        <v>13</v>
      </c>
      <c r="AT548" s="9" t="s">
        <v>547</v>
      </c>
    </row>
    <row r="549" spans="1:46" x14ac:dyDescent="0.2">
      <c r="A549" s="4">
        <v>2403</v>
      </c>
      <c r="B549" s="4" t="s">
        <v>22</v>
      </c>
      <c r="C549" s="5" t="s">
        <v>609</v>
      </c>
      <c r="D549" s="5" t="s">
        <v>610</v>
      </c>
      <c r="E549" s="5" t="s">
        <v>604</v>
      </c>
      <c r="F549" s="5" t="s">
        <v>68</v>
      </c>
      <c r="G549" s="13">
        <v>46301</v>
      </c>
      <c r="H549" s="13">
        <v>46311</v>
      </c>
      <c r="I549" s="9">
        <f t="shared" si="16"/>
        <v>9</v>
      </c>
      <c r="J549" s="5" t="s">
        <v>1651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4">
        <v>9</v>
      </c>
      <c r="AH549" s="4">
        <v>10</v>
      </c>
      <c r="AI549" s="4">
        <v>1</v>
      </c>
      <c r="AJ549" s="4">
        <v>4</v>
      </c>
      <c r="AK549" s="4">
        <v>15</v>
      </c>
      <c r="AL549" s="4">
        <v>7</v>
      </c>
      <c r="AM549" s="4">
        <v>3</v>
      </c>
      <c r="AN549" s="4">
        <v>1</v>
      </c>
      <c r="AO549" s="4">
        <v>3</v>
      </c>
      <c r="AP549" s="4"/>
      <c r="AQ549" s="4">
        <v>0</v>
      </c>
      <c r="AR549" s="4">
        <v>1</v>
      </c>
      <c r="AS549" s="4">
        <f t="shared" si="17"/>
        <v>53</v>
      </c>
      <c r="AT549" s="9" t="str">
        <f>UPPER("Andrey Timothy Rodriguez Martinez")</f>
        <v>ANDREY TIMOTHY RODRIGUEZ MARTINEZ</v>
      </c>
    </row>
    <row r="550" spans="1:46" x14ac:dyDescent="0.2">
      <c r="A550" s="4">
        <v>2703</v>
      </c>
      <c r="B550" s="4" t="s">
        <v>22</v>
      </c>
      <c r="C550" s="5" t="s">
        <v>663</v>
      </c>
      <c r="D550" s="5" t="s">
        <v>664</v>
      </c>
      <c r="E550" s="5" t="s">
        <v>661</v>
      </c>
      <c r="F550" s="5" t="s">
        <v>68</v>
      </c>
      <c r="G550" s="13">
        <v>46301</v>
      </c>
      <c r="H550" s="13">
        <v>46311</v>
      </c>
      <c r="I550" s="9">
        <f t="shared" si="16"/>
        <v>9</v>
      </c>
      <c r="J550" s="5" t="s">
        <v>1651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4">
        <v>12</v>
      </c>
      <c r="AH550" s="4">
        <v>10</v>
      </c>
      <c r="AI550" s="4">
        <v>1</v>
      </c>
      <c r="AJ550" s="4">
        <v>5</v>
      </c>
      <c r="AK550" s="4">
        <v>19</v>
      </c>
      <c r="AL550" s="4">
        <v>8</v>
      </c>
      <c r="AM550" s="4">
        <v>4</v>
      </c>
      <c r="AN550" s="4">
        <v>0</v>
      </c>
      <c r="AO550" s="4">
        <v>4</v>
      </c>
      <c r="AP550" s="4"/>
      <c r="AQ550" s="4">
        <v>0</v>
      </c>
      <c r="AR550" s="4">
        <v>1</v>
      </c>
      <c r="AS550" s="4">
        <f t="shared" si="17"/>
        <v>63</v>
      </c>
      <c r="AT550" s="9" t="str">
        <f>UPPER("Miguel Angel Vega Arrieta")</f>
        <v>MIGUEL ANGEL VEGA ARRIETA</v>
      </c>
    </row>
    <row r="551" spans="1:46" x14ac:dyDescent="0.2">
      <c r="A551" s="4">
        <v>3301</v>
      </c>
      <c r="B551" s="4" t="s">
        <v>22</v>
      </c>
      <c r="C551" s="5" t="s">
        <v>840</v>
      </c>
      <c r="D551" s="5" t="s">
        <v>841</v>
      </c>
      <c r="E551" s="5" t="s">
        <v>842</v>
      </c>
      <c r="F551" s="5" t="s">
        <v>119</v>
      </c>
      <c r="G551" s="13">
        <v>46301</v>
      </c>
      <c r="H551" s="13">
        <v>46301</v>
      </c>
      <c r="I551" s="9">
        <f t="shared" si="16"/>
        <v>1</v>
      </c>
      <c r="J551" s="5" t="s">
        <v>1651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4">
        <v>2</v>
      </c>
      <c r="AH551" s="4">
        <v>1</v>
      </c>
      <c r="AI551" s="4">
        <v>1</v>
      </c>
      <c r="AJ551" s="4">
        <v>2</v>
      </c>
      <c r="AK551" s="4">
        <v>3</v>
      </c>
      <c r="AL551" s="4">
        <v>2</v>
      </c>
      <c r="AM551" s="4">
        <v>1</v>
      </c>
      <c r="AN551" s="4">
        <v>0</v>
      </c>
      <c r="AO551" s="4">
        <v>1</v>
      </c>
      <c r="AP551" s="4"/>
      <c r="AQ551" s="4">
        <v>0</v>
      </c>
      <c r="AR551" s="4">
        <v>1</v>
      </c>
      <c r="AS551" s="4">
        <f t="shared" si="17"/>
        <v>13</v>
      </c>
      <c r="AT551" s="9" t="s">
        <v>137</v>
      </c>
    </row>
    <row r="552" spans="1:46" x14ac:dyDescent="0.2">
      <c r="A552" s="4">
        <v>3905</v>
      </c>
      <c r="B552" s="4" t="s">
        <v>22</v>
      </c>
      <c r="C552" s="5" t="s">
        <v>884</v>
      </c>
      <c r="D552" s="5" t="s">
        <v>885</v>
      </c>
      <c r="E552" s="5" t="s">
        <v>873</v>
      </c>
      <c r="F552" s="5" t="s">
        <v>574</v>
      </c>
      <c r="G552" s="13">
        <v>46301</v>
      </c>
      <c r="H552" s="13">
        <v>46311</v>
      </c>
      <c r="I552" s="9">
        <f t="shared" si="16"/>
        <v>9</v>
      </c>
      <c r="J552" s="5" t="s">
        <v>1651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4">
        <v>12</v>
      </c>
      <c r="AH552" s="4">
        <v>12</v>
      </c>
      <c r="AI552" s="4">
        <v>1</v>
      </c>
      <c r="AJ552" s="4">
        <v>4</v>
      </c>
      <c r="AK552" s="4">
        <v>23</v>
      </c>
      <c r="AL552" s="4">
        <v>11</v>
      </c>
      <c r="AM552" s="4">
        <v>3</v>
      </c>
      <c r="AN552" s="4">
        <v>0</v>
      </c>
      <c r="AO552" s="4">
        <v>5</v>
      </c>
      <c r="AP552" s="4"/>
      <c r="AQ552" s="4">
        <v>0</v>
      </c>
      <c r="AR552" s="4">
        <v>1</v>
      </c>
      <c r="AS552" s="4">
        <f t="shared" si="17"/>
        <v>71</v>
      </c>
      <c r="AT552" s="9" t="str">
        <f>UPPER("Victor Alfonso Ulloa Acosta")</f>
        <v>VICTOR ALFONSO ULLOA ACOSTA</v>
      </c>
    </row>
    <row r="553" spans="1:46" x14ac:dyDescent="0.2">
      <c r="A553" s="4">
        <v>3967</v>
      </c>
      <c r="B553" s="4" t="s">
        <v>22</v>
      </c>
      <c r="C553" s="5" t="s">
        <v>946</v>
      </c>
      <c r="D553" s="5" t="s">
        <v>947</v>
      </c>
      <c r="E553" s="5" t="s">
        <v>873</v>
      </c>
      <c r="F553" s="5" t="s">
        <v>574</v>
      </c>
      <c r="G553" s="13">
        <v>46301</v>
      </c>
      <c r="H553" s="13">
        <v>46301</v>
      </c>
      <c r="I553" s="9">
        <f t="shared" si="16"/>
        <v>1</v>
      </c>
      <c r="J553" s="5" t="s">
        <v>1651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4">
        <v>4</v>
      </c>
      <c r="AH553" s="4">
        <v>1</v>
      </c>
      <c r="AI553" s="4">
        <v>1</v>
      </c>
      <c r="AJ553" s="4">
        <v>2</v>
      </c>
      <c r="AK553" s="4">
        <v>5</v>
      </c>
      <c r="AL553" s="4">
        <v>2</v>
      </c>
      <c r="AM553" s="4">
        <v>1</v>
      </c>
      <c r="AN553" s="4">
        <v>0</v>
      </c>
      <c r="AO553" s="4">
        <v>1</v>
      </c>
      <c r="AP553" s="4"/>
      <c r="AQ553" s="4">
        <v>0</v>
      </c>
      <c r="AR553" s="4">
        <v>1</v>
      </c>
      <c r="AS553" s="4">
        <f t="shared" si="17"/>
        <v>17</v>
      </c>
      <c r="AT553" s="9" t="s">
        <v>874</v>
      </c>
    </row>
    <row r="554" spans="1:46" x14ac:dyDescent="0.2">
      <c r="A554" s="4">
        <v>4501</v>
      </c>
      <c r="B554" s="4" t="s">
        <v>22</v>
      </c>
      <c r="C554" s="5" t="s">
        <v>979</v>
      </c>
      <c r="D554" s="5" t="s">
        <v>980</v>
      </c>
      <c r="E554" s="5" t="s">
        <v>981</v>
      </c>
      <c r="F554" s="5" t="s">
        <v>26</v>
      </c>
      <c r="G554" s="13">
        <v>46301</v>
      </c>
      <c r="H554" s="13">
        <v>46311</v>
      </c>
      <c r="I554" s="9">
        <f t="shared" si="16"/>
        <v>9</v>
      </c>
      <c r="J554" s="5" t="s">
        <v>1651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4">
        <v>14</v>
      </c>
      <c r="AH554" s="4">
        <v>12</v>
      </c>
      <c r="AI554" s="4">
        <v>1</v>
      </c>
      <c r="AJ554" s="4">
        <v>5</v>
      </c>
      <c r="AK554" s="4">
        <v>20</v>
      </c>
      <c r="AL554" s="4">
        <v>9</v>
      </c>
      <c r="AM554" s="4">
        <v>4</v>
      </c>
      <c r="AN554" s="4">
        <v>0</v>
      </c>
      <c r="AO554" s="4">
        <v>4</v>
      </c>
      <c r="AP554" s="4"/>
      <c r="AQ554" s="4">
        <v>0</v>
      </c>
      <c r="AR554" s="4">
        <v>1</v>
      </c>
      <c r="AS554" s="4">
        <f t="shared" si="17"/>
        <v>69</v>
      </c>
      <c r="AT554" s="9" t="s">
        <v>982</v>
      </c>
    </row>
    <row r="555" spans="1:46" x14ac:dyDescent="0.2">
      <c r="A555" s="4">
        <v>4801</v>
      </c>
      <c r="B555" s="4" t="s">
        <v>22</v>
      </c>
      <c r="C555" s="5" t="s">
        <v>1031</v>
      </c>
      <c r="D555" s="5" t="s">
        <v>1032</v>
      </c>
      <c r="E555" s="5" t="s">
        <v>286</v>
      </c>
      <c r="F555" s="5" t="s">
        <v>546</v>
      </c>
      <c r="G555" s="13">
        <v>46301</v>
      </c>
      <c r="H555" s="13">
        <v>46311</v>
      </c>
      <c r="I555" s="9">
        <f t="shared" si="16"/>
        <v>9</v>
      </c>
      <c r="J555" s="5" t="s">
        <v>1651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4">
        <v>14</v>
      </c>
      <c r="AH555" s="4">
        <v>12</v>
      </c>
      <c r="AI555" s="4">
        <v>1</v>
      </c>
      <c r="AJ555" s="4">
        <v>5</v>
      </c>
      <c r="AK555" s="4">
        <v>22</v>
      </c>
      <c r="AL555" s="4">
        <v>9</v>
      </c>
      <c r="AM555" s="4">
        <v>4</v>
      </c>
      <c r="AN555" s="4">
        <v>0</v>
      </c>
      <c r="AO555" s="4">
        <v>6</v>
      </c>
      <c r="AP555" s="4"/>
      <c r="AQ555" s="4">
        <v>0</v>
      </c>
      <c r="AR555" s="4">
        <v>1</v>
      </c>
      <c r="AS555" s="4">
        <f t="shared" si="17"/>
        <v>73</v>
      </c>
      <c r="AT555" s="9" t="str">
        <f>UPPER("Jimmy Fabian Erazo Ceron")</f>
        <v>JIMMY FABIAN ERAZO CERON</v>
      </c>
    </row>
    <row r="556" spans="1:46" x14ac:dyDescent="0.2">
      <c r="A556" s="4">
        <v>4874</v>
      </c>
      <c r="B556" s="4" t="s">
        <v>22</v>
      </c>
      <c r="C556" s="5" t="s">
        <v>1089</v>
      </c>
      <c r="D556" s="5" t="s">
        <v>1090</v>
      </c>
      <c r="E556" s="5" t="s">
        <v>286</v>
      </c>
      <c r="F556" s="5" t="s">
        <v>546</v>
      </c>
      <c r="G556" s="13">
        <v>46301</v>
      </c>
      <c r="H556" s="13">
        <v>46301</v>
      </c>
      <c r="I556" s="9">
        <f t="shared" si="16"/>
        <v>1</v>
      </c>
      <c r="J556" s="5" t="s">
        <v>1651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4">
        <v>4</v>
      </c>
      <c r="AH556" s="4">
        <v>3</v>
      </c>
      <c r="AI556" s="4">
        <v>1</v>
      </c>
      <c r="AJ556" s="4">
        <v>2</v>
      </c>
      <c r="AK556" s="4">
        <v>7</v>
      </c>
      <c r="AL556" s="4">
        <v>3</v>
      </c>
      <c r="AM556" s="4">
        <v>1</v>
      </c>
      <c r="AN556" s="4">
        <v>0</v>
      </c>
      <c r="AO556" s="4">
        <v>1</v>
      </c>
      <c r="AP556" s="7"/>
      <c r="AQ556" s="4">
        <v>1</v>
      </c>
      <c r="AR556" s="4">
        <v>1</v>
      </c>
      <c r="AS556" s="4">
        <f t="shared" si="17"/>
        <v>23</v>
      </c>
      <c r="AT556" s="9" t="s">
        <v>1034</v>
      </c>
    </row>
    <row r="557" spans="1:46" x14ac:dyDescent="0.2">
      <c r="A557" s="4">
        <v>5101</v>
      </c>
      <c r="B557" s="4" t="s">
        <v>22</v>
      </c>
      <c r="C557" s="5" t="s">
        <v>1105</v>
      </c>
      <c r="D557" s="5" t="s">
        <v>1106</v>
      </c>
      <c r="E557" s="5" t="s">
        <v>1107</v>
      </c>
      <c r="F557" s="5" t="s">
        <v>98</v>
      </c>
      <c r="G557" s="13">
        <v>46301</v>
      </c>
      <c r="H557" s="13">
        <v>46311</v>
      </c>
      <c r="I557" s="9">
        <f t="shared" si="16"/>
        <v>9</v>
      </c>
      <c r="J557" s="5" t="s">
        <v>1651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4">
        <v>15</v>
      </c>
      <c r="AH557" s="4">
        <v>9</v>
      </c>
      <c r="AI557" s="4">
        <v>2</v>
      </c>
      <c r="AJ557" s="4">
        <v>8</v>
      </c>
      <c r="AK557" s="4">
        <v>24</v>
      </c>
      <c r="AL557" s="4">
        <v>12</v>
      </c>
      <c r="AM557" s="4">
        <v>6</v>
      </c>
      <c r="AN557" s="4">
        <v>0</v>
      </c>
      <c r="AO557" s="4">
        <v>4</v>
      </c>
      <c r="AP557" s="4"/>
      <c r="AQ557" s="4">
        <v>1</v>
      </c>
      <c r="AR557" s="4">
        <v>1</v>
      </c>
      <c r="AS557" s="4">
        <f t="shared" si="17"/>
        <v>81</v>
      </c>
      <c r="AT557" s="9" t="s">
        <v>1108</v>
      </c>
    </row>
    <row r="558" spans="1:46" x14ac:dyDescent="0.2">
      <c r="A558" s="4">
        <v>5127</v>
      </c>
      <c r="B558" s="4" t="s">
        <v>22</v>
      </c>
      <c r="C558" s="5" t="s">
        <v>1146</v>
      </c>
      <c r="D558" s="5" t="s">
        <v>1147</v>
      </c>
      <c r="E558" s="5" t="s">
        <v>1107</v>
      </c>
      <c r="F558" s="5" t="s">
        <v>98</v>
      </c>
      <c r="G558" s="13">
        <v>46301</v>
      </c>
      <c r="H558" s="13">
        <v>46301</v>
      </c>
      <c r="I558" s="9">
        <f t="shared" si="16"/>
        <v>1</v>
      </c>
      <c r="J558" s="5" t="s">
        <v>1651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4">
        <v>2</v>
      </c>
      <c r="AH558" s="4">
        <v>1</v>
      </c>
      <c r="AI558" s="4">
        <v>1</v>
      </c>
      <c r="AJ558" s="4">
        <v>2</v>
      </c>
      <c r="AK558" s="4">
        <v>3</v>
      </c>
      <c r="AL558" s="4">
        <v>2</v>
      </c>
      <c r="AM558" s="4">
        <v>1</v>
      </c>
      <c r="AN558" s="4">
        <v>0</v>
      </c>
      <c r="AO558" s="4">
        <v>1</v>
      </c>
      <c r="AP558" s="4"/>
      <c r="AQ558" s="4">
        <v>0</v>
      </c>
      <c r="AR558" s="4">
        <v>1</v>
      </c>
      <c r="AS558" s="4">
        <f t="shared" si="17"/>
        <v>13</v>
      </c>
      <c r="AT558" s="9" t="s">
        <v>1111</v>
      </c>
    </row>
    <row r="559" spans="1:46" x14ac:dyDescent="0.2">
      <c r="A559" s="4">
        <v>5150</v>
      </c>
      <c r="B559" s="4" t="s">
        <v>22</v>
      </c>
      <c r="C559" s="5" t="s">
        <v>1157</v>
      </c>
      <c r="D559" s="5" t="s">
        <v>1158</v>
      </c>
      <c r="E559" s="5" t="s">
        <v>1107</v>
      </c>
      <c r="F559" s="5" t="s">
        <v>98</v>
      </c>
      <c r="G559" s="13">
        <v>46301</v>
      </c>
      <c r="H559" s="13">
        <v>46302</v>
      </c>
      <c r="I559" s="9">
        <f t="shared" si="16"/>
        <v>2</v>
      </c>
      <c r="J559" s="5" t="s">
        <v>1651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4">
        <v>4</v>
      </c>
      <c r="AH559" s="4">
        <v>3</v>
      </c>
      <c r="AI559" s="4">
        <v>1</v>
      </c>
      <c r="AJ559" s="4">
        <v>3</v>
      </c>
      <c r="AK559" s="4">
        <v>7</v>
      </c>
      <c r="AL559" s="4">
        <v>3</v>
      </c>
      <c r="AM559" s="4">
        <v>2</v>
      </c>
      <c r="AN559" s="4">
        <v>0</v>
      </c>
      <c r="AO559" s="4">
        <v>1</v>
      </c>
      <c r="AP559" s="4"/>
      <c r="AQ559" s="4">
        <v>0</v>
      </c>
      <c r="AR559" s="4">
        <v>1</v>
      </c>
      <c r="AS559" s="4">
        <f t="shared" si="17"/>
        <v>24</v>
      </c>
      <c r="AT559" s="9" t="s">
        <v>1114</v>
      </c>
    </row>
    <row r="560" spans="1:46" x14ac:dyDescent="0.2">
      <c r="A560" s="4">
        <v>6001</v>
      </c>
      <c r="B560" s="4" t="s">
        <v>22</v>
      </c>
      <c r="C560" s="5" t="s">
        <v>1211</v>
      </c>
      <c r="D560" s="5" t="s">
        <v>1212</v>
      </c>
      <c r="E560" s="5" t="s">
        <v>1213</v>
      </c>
      <c r="F560" s="5" t="s">
        <v>98</v>
      </c>
      <c r="G560" s="13">
        <v>46301</v>
      </c>
      <c r="H560" s="13">
        <v>46311</v>
      </c>
      <c r="I560" s="9">
        <f t="shared" si="16"/>
        <v>9</v>
      </c>
      <c r="J560" s="5" t="s">
        <v>1651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4">
        <v>17</v>
      </c>
      <c r="AH560" s="4">
        <v>9</v>
      </c>
      <c r="AI560" s="4">
        <v>1</v>
      </c>
      <c r="AJ560" s="4">
        <v>8</v>
      </c>
      <c r="AK560" s="4">
        <v>25</v>
      </c>
      <c r="AL560" s="4">
        <v>13</v>
      </c>
      <c r="AM560" s="4">
        <v>6</v>
      </c>
      <c r="AN560" s="4">
        <v>0</v>
      </c>
      <c r="AO560" s="4">
        <v>4</v>
      </c>
      <c r="AP560" s="4"/>
      <c r="AQ560" s="4">
        <v>1</v>
      </c>
      <c r="AR560" s="4">
        <v>1</v>
      </c>
      <c r="AS560" s="4">
        <f t="shared" si="17"/>
        <v>84</v>
      </c>
      <c r="AT560" s="9" t="str">
        <f>UPPER("Carlos Miguel Jimenez")</f>
        <v>CARLOS MIGUEL JIMENEZ</v>
      </c>
    </row>
    <row r="561" spans="1:46" x14ac:dyDescent="0.2">
      <c r="A561" s="4">
        <v>6027</v>
      </c>
      <c r="B561" s="4" t="s">
        <v>22</v>
      </c>
      <c r="C561" s="5" t="s">
        <v>1239</v>
      </c>
      <c r="D561" s="5" t="s">
        <v>157</v>
      </c>
      <c r="E561" s="5" t="s">
        <v>1213</v>
      </c>
      <c r="F561" s="5" t="s">
        <v>98</v>
      </c>
      <c r="G561" s="13">
        <v>46301</v>
      </c>
      <c r="H561" s="13">
        <v>46302</v>
      </c>
      <c r="I561" s="9">
        <f t="shared" si="16"/>
        <v>2</v>
      </c>
      <c r="J561" s="5" t="s">
        <v>1651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4">
        <v>2</v>
      </c>
      <c r="AH561" s="4">
        <v>1</v>
      </c>
      <c r="AI561" s="4">
        <v>1</v>
      </c>
      <c r="AJ561" s="4">
        <v>2</v>
      </c>
      <c r="AK561" s="4">
        <v>3</v>
      </c>
      <c r="AL561" s="4">
        <v>2</v>
      </c>
      <c r="AM561" s="4">
        <v>1</v>
      </c>
      <c r="AN561" s="4">
        <v>0</v>
      </c>
      <c r="AO561" s="4">
        <v>1</v>
      </c>
      <c r="AP561" s="4"/>
      <c r="AQ561" s="4">
        <v>0</v>
      </c>
      <c r="AR561" s="4">
        <v>1</v>
      </c>
      <c r="AS561" s="4">
        <f t="shared" si="17"/>
        <v>13</v>
      </c>
      <c r="AT561" s="9" t="s">
        <v>335</v>
      </c>
    </row>
    <row r="562" spans="1:46" x14ac:dyDescent="0.2">
      <c r="A562" s="4">
        <v>6077</v>
      </c>
      <c r="B562" s="4" t="s">
        <v>22</v>
      </c>
      <c r="C562" s="5" t="s">
        <v>1302</v>
      </c>
      <c r="D562" s="5" t="s">
        <v>1303</v>
      </c>
      <c r="E562" s="5" t="s">
        <v>1213</v>
      </c>
      <c r="F562" s="5" t="s">
        <v>98</v>
      </c>
      <c r="G562" s="13">
        <v>46301</v>
      </c>
      <c r="H562" s="13">
        <v>46302</v>
      </c>
      <c r="I562" s="9">
        <f t="shared" si="16"/>
        <v>2</v>
      </c>
      <c r="J562" s="5" t="s">
        <v>1651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4">
        <v>3</v>
      </c>
      <c r="AH562" s="4">
        <v>1</v>
      </c>
      <c r="AI562" s="4">
        <v>1</v>
      </c>
      <c r="AJ562" s="4">
        <v>2</v>
      </c>
      <c r="AK562" s="4">
        <v>4</v>
      </c>
      <c r="AL562" s="4">
        <v>2</v>
      </c>
      <c r="AM562" s="4">
        <v>1</v>
      </c>
      <c r="AN562" s="4">
        <v>0</v>
      </c>
      <c r="AO562" s="4">
        <v>1</v>
      </c>
      <c r="AP562" s="4"/>
      <c r="AQ562" s="4">
        <v>0</v>
      </c>
      <c r="AR562" s="4">
        <v>1</v>
      </c>
      <c r="AS562" s="4">
        <f t="shared" si="17"/>
        <v>15</v>
      </c>
      <c r="AT562" s="9" t="s">
        <v>77</v>
      </c>
    </row>
    <row r="563" spans="1:46" x14ac:dyDescent="0.2">
      <c r="A563" s="4">
        <v>6601</v>
      </c>
      <c r="B563" s="4" t="s">
        <v>22</v>
      </c>
      <c r="C563" s="5" t="s">
        <v>1344</v>
      </c>
      <c r="D563" s="5" t="s">
        <v>1345</v>
      </c>
      <c r="E563" s="5" t="s">
        <v>1346</v>
      </c>
      <c r="F563" s="5" t="s">
        <v>574</v>
      </c>
      <c r="G563" s="13">
        <v>46301</v>
      </c>
      <c r="H563" s="13">
        <v>46311</v>
      </c>
      <c r="I563" s="9">
        <f t="shared" si="16"/>
        <v>9</v>
      </c>
      <c r="J563" s="5" t="s">
        <v>1651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4">
        <v>17</v>
      </c>
      <c r="AH563" s="4">
        <v>15</v>
      </c>
      <c r="AI563" s="4">
        <v>1</v>
      </c>
      <c r="AJ563" s="4">
        <v>6</v>
      </c>
      <c r="AK563" s="4">
        <v>28</v>
      </c>
      <c r="AL563" s="4">
        <v>12</v>
      </c>
      <c r="AM563" s="4">
        <v>5</v>
      </c>
      <c r="AN563" s="4">
        <v>0</v>
      </c>
      <c r="AO563" s="4">
        <v>5</v>
      </c>
      <c r="AP563" s="4"/>
      <c r="AQ563" s="4">
        <v>1</v>
      </c>
      <c r="AR563" s="4">
        <v>1</v>
      </c>
      <c r="AS563" s="4">
        <f t="shared" si="17"/>
        <v>90</v>
      </c>
      <c r="AT563" s="9" t="str">
        <f>UPPER("William Fernando Aldana Niño")</f>
        <v>WILLIAM FERNANDO ALDANA NIÑO</v>
      </c>
    </row>
    <row r="564" spans="1:46" x14ac:dyDescent="0.2">
      <c r="A564" s="4">
        <v>6660</v>
      </c>
      <c r="B564" s="4" t="s">
        <v>22</v>
      </c>
      <c r="C564" s="5" t="s">
        <v>1432</v>
      </c>
      <c r="D564" s="5" t="s">
        <v>1433</v>
      </c>
      <c r="E564" s="5" t="s">
        <v>1346</v>
      </c>
      <c r="F564" s="5" t="s">
        <v>574</v>
      </c>
      <c r="G564" s="13">
        <v>46301</v>
      </c>
      <c r="H564" s="13">
        <v>46302</v>
      </c>
      <c r="I564" s="9">
        <f t="shared" si="16"/>
        <v>2</v>
      </c>
      <c r="J564" s="5" t="s">
        <v>1651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4">
        <v>5</v>
      </c>
      <c r="AH564" s="4">
        <v>2</v>
      </c>
      <c r="AI564" s="4">
        <v>1</v>
      </c>
      <c r="AJ564" s="4">
        <v>3</v>
      </c>
      <c r="AK564" s="4">
        <v>7</v>
      </c>
      <c r="AL564" s="4">
        <v>5</v>
      </c>
      <c r="AM564" s="4">
        <v>2</v>
      </c>
      <c r="AN564" s="4">
        <v>0</v>
      </c>
      <c r="AO564" s="4">
        <v>1</v>
      </c>
      <c r="AP564" s="7"/>
      <c r="AQ564" s="4">
        <v>0</v>
      </c>
      <c r="AR564" s="4">
        <v>1</v>
      </c>
      <c r="AS564" s="4">
        <f t="shared" si="17"/>
        <v>26</v>
      </c>
      <c r="AT564" s="9" t="s">
        <v>1354</v>
      </c>
    </row>
    <row r="565" spans="1:46" x14ac:dyDescent="0.2">
      <c r="A565" s="4">
        <v>6918</v>
      </c>
      <c r="B565" s="4" t="s">
        <v>22</v>
      </c>
      <c r="C565" s="5" t="s">
        <v>1452</v>
      </c>
      <c r="D565" s="5" t="s">
        <v>1453</v>
      </c>
      <c r="E565" s="5" t="s">
        <v>545</v>
      </c>
      <c r="F565" s="5" t="s">
        <v>546</v>
      </c>
      <c r="G565" s="13">
        <v>46301</v>
      </c>
      <c r="H565" s="13">
        <v>46311</v>
      </c>
      <c r="I565" s="9">
        <f t="shared" si="16"/>
        <v>9</v>
      </c>
      <c r="J565" s="5" t="s">
        <v>1651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4">
        <v>12</v>
      </c>
      <c r="AH565" s="4">
        <v>11</v>
      </c>
      <c r="AI565" s="4">
        <v>1</v>
      </c>
      <c r="AJ565" s="4">
        <v>4</v>
      </c>
      <c r="AK565" s="4">
        <v>17</v>
      </c>
      <c r="AL565" s="4">
        <v>8</v>
      </c>
      <c r="AM565" s="4">
        <v>3</v>
      </c>
      <c r="AN565" s="4">
        <v>0</v>
      </c>
      <c r="AO565" s="4">
        <v>4</v>
      </c>
      <c r="AP565" s="4"/>
      <c r="AQ565" s="4">
        <v>0</v>
      </c>
      <c r="AR565" s="4">
        <v>1</v>
      </c>
      <c r="AS565" s="4">
        <f t="shared" si="17"/>
        <v>60</v>
      </c>
      <c r="AT565" s="9" t="str">
        <f>UPPER("Mabel Botina Ibarra")</f>
        <v>MABEL BOTINA IBARRA</v>
      </c>
    </row>
    <row r="566" spans="1:46" x14ac:dyDescent="0.2">
      <c r="A566" s="4">
        <v>6976</v>
      </c>
      <c r="B566" s="4" t="s">
        <v>22</v>
      </c>
      <c r="C566" s="5" t="s">
        <v>1500</v>
      </c>
      <c r="D566" s="5" t="s">
        <v>1501</v>
      </c>
      <c r="E566" s="5" t="s">
        <v>1175</v>
      </c>
      <c r="F566" s="5" t="s">
        <v>546</v>
      </c>
      <c r="G566" s="13">
        <v>46301</v>
      </c>
      <c r="H566" s="13">
        <v>46301</v>
      </c>
      <c r="I566" s="9">
        <f t="shared" si="16"/>
        <v>1</v>
      </c>
      <c r="J566" s="5" t="s">
        <v>1651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4">
        <v>3</v>
      </c>
      <c r="AH566" s="4">
        <v>3</v>
      </c>
      <c r="AI566" s="4">
        <v>1</v>
      </c>
      <c r="AJ566" s="4">
        <v>2</v>
      </c>
      <c r="AK566" s="4">
        <v>6</v>
      </c>
      <c r="AL566" s="4">
        <v>3</v>
      </c>
      <c r="AM566" s="4">
        <v>1</v>
      </c>
      <c r="AN566" s="4">
        <v>0</v>
      </c>
      <c r="AO566" s="4">
        <v>1</v>
      </c>
      <c r="AP566" s="4"/>
      <c r="AQ566" s="4">
        <v>0</v>
      </c>
      <c r="AR566" s="4">
        <v>1</v>
      </c>
      <c r="AS566" s="4">
        <f t="shared" si="17"/>
        <v>20</v>
      </c>
      <c r="AT566" s="9" t="s">
        <v>1442</v>
      </c>
    </row>
    <row r="567" spans="1:46" x14ac:dyDescent="0.2">
      <c r="A567" s="4">
        <v>8315</v>
      </c>
      <c r="B567" s="4" t="s">
        <v>22</v>
      </c>
      <c r="C567" s="5" t="s">
        <v>401</v>
      </c>
      <c r="D567" s="5" t="s">
        <v>402</v>
      </c>
      <c r="E567" s="5" t="s">
        <v>1579</v>
      </c>
      <c r="F567" s="5" t="s">
        <v>26</v>
      </c>
      <c r="G567" s="13">
        <v>46301</v>
      </c>
      <c r="H567" s="13">
        <v>46302</v>
      </c>
      <c r="I567" s="9">
        <f t="shared" si="16"/>
        <v>2</v>
      </c>
      <c r="J567" s="5" t="s">
        <v>1651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4">
        <v>2</v>
      </c>
      <c r="AH567" s="4">
        <v>1</v>
      </c>
      <c r="AI567" s="4">
        <v>1</v>
      </c>
      <c r="AJ567" s="4">
        <v>2</v>
      </c>
      <c r="AK567" s="4">
        <v>3</v>
      </c>
      <c r="AL567" s="4">
        <v>2</v>
      </c>
      <c r="AM567" s="4">
        <v>1</v>
      </c>
      <c r="AN567" s="4">
        <v>0</v>
      </c>
      <c r="AO567" s="4">
        <v>1</v>
      </c>
      <c r="AP567" s="4"/>
      <c r="AQ567" s="4">
        <v>0</v>
      </c>
      <c r="AR567" s="4">
        <v>1</v>
      </c>
      <c r="AS567" s="4">
        <f t="shared" si="17"/>
        <v>13</v>
      </c>
      <c r="AT567" s="9" t="s">
        <v>1581</v>
      </c>
    </row>
    <row r="568" spans="1:46" x14ac:dyDescent="0.2">
      <c r="A568" s="4">
        <v>10</v>
      </c>
      <c r="B568" s="4" t="s">
        <v>22</v>
      </c>
      <c r="C568" s="5" t="s">
        <v>23</v>
      </c>
      <c r="D568" s="5" t="s">
        <v>24</v>
      </c>
      <c r="E568" s="5" t="s">
        <v>25</v>
      </c>
      <c r="F568" s="5" t="s">
        <v>26</v>
      </c>
      <c r="G568" s="13">
        <v>46302</v>
      </c>
      <c r="H568" s="13">
        <v>46304</v>
      </c>
      <c r="I568" s="9">
        <f t="shared" si="16"/>
        <v>3</v>
      </c>
      <c r="J568" s="5" t="s">
        <v>1651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4">
        <v>21</v>
      </c>
      <c r="AH568" s="4">
        <v>1</v>
      </c>
      <c r="AI568" s="4">
        <v>1</v>
      </c>
      <c r="AJ568" s="4">
        <v>12</v>
      </c>
      <c r="AK568" s="4">
        <v>23</v>
      </c>
      <c r="AL568" s="4">
        <v>9</v>
      </c>
      <c r="AM568" s="4">
        <v>9</v>
      </c>
      <c r="AN568" s="4">
        <v>0</v>
      </c>
      <c r="AO568" s="4">
        <v>0</v>
      </c>
      <c r="AP568" s="4"/>
      <c r="AQ568" s="4">
        <v>0</v>
      </c>
      <c r="AR568" s="4">
        <v>1</v>
      </c>
      <c r="AS568" s="4">
        <f t="shared" si="17"/>
        <v>76</v>
      </c>
      <c r="AT568" s="5" t="s">
        <v>27</v>
      </c>
    </row>
    <row r="569" spans="1:46" x14ac:dyDescent="0.2">
      <c r="A569" s="4">
        <v>1215</v>
      </c>
      <c r="B569" s="4" t="s">
        <v>22</v>
      </c>
      <c r="C569" s="5" t="s">
        <v>81</v>
      </c>
      <c r="D569" s="5" t="s">
        <v>82</v>
      </c>
      <c r="E569" s="5" t="s">
        <v>67</v>
      </c>
      <c r="F569" s="5" t="s">
        <v>68</v>
      </c>
      <c r="G569" s="13">
        <v>46302</v>
      </c>
      <c r="H569" s="13">
        <v>46302</v>
      </c>
      <c r="I569" s="9">
        <f t="shared" si="16"/>
        <v>1</v>
      </c>
      <c r="J569" s="5" t="s">
        <v>1651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4">
        <v>5</v>
      </c>
      <c r="AH569" s="4">
        <v>3</v>
      </c>
      <c r="AI569" s="4">
        <v>1</v>
      </c>
      <c r="AJ569" s="4">
        <v>3</v>
      </c>
      <c r="AK569" s="4">
        <v>10</v>
      </c>
      <c r="AL569" s="4">
        <v>4</v>
      </c>
      <c r="AM569" s="4">
        <v>2</v>
      </c>
      <c r="AN569" s="4">
        <v>0</v>
      </c>
      <c r="AO569" s="4">
        <v>1</v>
      </c>
      <c r="AP569" s="4"/>
      <c r="AQ569" s="4">
        <v>0</v>
      </c>
      <c r="AR569" s="4">
        <v>1</v>
      </c>
      <c r="AS569" s="4">
        <f t="shared" si="17"/>
        <v>29</v>
      </c>
      <c r="AT569" s="5" t="s">
        <v>83</v>
      </c>
    </row>
    <row r="570" spans="1:46" x14ac:dyDescent="0.2">
      <c r="A570" s="4">
        <v>1388</v>
      </c>
      <c r="B570" s="4" t="s">
        <v>22</v>
      </c>
      <c r="C570" s="5" t="s">
        <v>235</v>
      </c>
      <c r="D570" s="5" t="s">
        <v>236</v>
      </c>
      <c r="E570" s="5" t="s">
        <v>118</v>
      </c>
      <c r="F570" s="5" t="s">
        <v>119</v>
      </c>
      <c r="G570" s="13">
        <v>46302</v>
      </c>
      <c r="H570" s="13">
        <v>46302</v>
      </c>
      <c r="I570" s="9">
        <f t="shared" si="16"/>
        <v>1</v>
      </c>
      <c r="J570" s="5" t="s">
        <v>1651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4">
        <v>4</v>
      </c>
      <c r="AH570" s="4">
        <v>2</v>
      </c>
      <c r="AI570" s="4">
        <v>1</v>
      </c>
      <c r="AJ570" s="4">
        <v>2</v>
      </c>
      <c r="AK570" s="4">
        <v>6</v>
      </c>
      <c r="AL570" s="4">
        <v>4</v>
      </c>
      <c r="AM570" s="4">
        <v>1</v>
      </c>
      <c r="AN570" s="4">
        <v>0</v>
      </c>
      <c r="AO570" s="4">
        <v>1</v>
      </c>
      <c r="AP570" s="4"/>
      <c r="AQ570" s="4">
        <v>1</v>
      </c>
      <c r="AR570" s="4">
        <v>1</v>
      </c>
      <c r="AS570" s="4">
        <f t="shared" si="17"/>
        <v>22</v>
      </c>
      <c r="AT570" s="4" t="s">
        <v>120</v>
      </c>
    </row>
    <row r="571" spans="1:46" x14ac:dyDescent="0.2">
      <c r="A571" s="4">
        <v>1401</v>
      </c>
      <c r="B571" s="4" t="s">
        <v>22</v>
      </c>
      <c r="C571" s="5" t="s">
        <v>259</v>
      </c>
      <c r="D571" s="5" t="s">
        <v>260</v>
      </c>
      <c r="E571" s="5" t="s">
        <v>118</v>
      </c>
      <c r="F571" s="5" t="s">
        <v>119</v>
      </c>
      <c r="G571" s="13">
        <v>46302</v>
      </c>
      <c r="H571" s="13">
        <v>46302</v>
      </c>
      <c r="I571" s="9">
        <f t="shared" si="16"/>
        <v>1</v>
      </c>
      <c r="J571" s="5" t="s">
        <v>1651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4">
        <v>2</v>
      </c>
      <c r="AH571" s="4">
        <v>1</v>
      </c>
      <c r="AI571" s="4">
        <v>1</v>
      </c>
      <c r="AJ571" s="4">
        <v>2</v>
      </c>
      <c r="AK571" s="4">
        <v>3</v>
      </c>
      <c r="AL571" s="4">
        <v>2</v>
      </c>
      <c r="AM571" s="4">
        <v>1</v>
      </c>
      <c r="AN571" s="4">
        <v>0</v>
      </c>
      <c r="AO571" s="4">
        <v>1</v>
      </c>
      <c r="AP571" s="4"/>
      <c r="AQ571" s="4">
        <v>0</v>
      </c>
      <c r="AR571" s="4">
        <v>1</v>
      </c>
      <c r="AS571" s="4">
        <f t="shared" si="17"/>
        <v>13</v>
      </c>
      <c r="AT571" s="4" t="s">
        <v>120</v>
      </c>
    </row>
    <row r="572" spans="1:46" x14ac:dyDescent="0.2">
      <c r="A572" s="4">
        <v>1652</v>
      </c>
      <c r="B572" s="4" t="s">
        <v>22</v>
      </c>
      <c r="C572" s="5" t="s">
        <v>492</v>
      </c>
      <c r="D572" s="5" t="s">
        <v>493</v>
      </c>
      <c r="E572" s="5" t="s">
        <v>72</v>
      </c>
      <c r="F572" s="5" t="s">
        <v>68</v>
      </c>
      <c r="G572" s="13">
        <v>46302</v>
      </c>
      <c r="H572" s="13">
        <v>46302</v>
      </c>
      <c r="I572" s="9">
        <f t="shared" si="16"/>
        <v>1</v>
      </c>
      <c r="J572" s="5" t="s">
        <v>1651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4">
        <v>2</v>
      </c>
      <c r="AH572" s="4">
        <v>2</v>
      </c>
      <c r="AI572" s="4">
        <v>1</v>
      </c>
      <c r="AJ572" s="4">
        <v>2</v>
      </c>
      <c r="AK572" s="4">
        <v>3</v>
      </c>
      <c r="AL572" s="4">
        <v>2</v>
      </c>
      <c r="AM572" s="4">
        <v>1</v>
      </c>
      <c r="AN572" s="4">
        <v>0</v>
      </c>
      <c r="AO572" s="4">
        <v>1</v>
      </c>
      <c r="AP572" s="4"/>
      <c r="AQ572" s="4">
        <v>0</v>
      </c>
      <c r="AR572" s="4">
        <v>1</v>
      </c>
      <c r="AS572" s="4">
        <f t="shared" si="17"/>
        <v>14</v>
      </c>
      <c r="AT572" s="9" t="s">
        <v>477</v>
      </c>
    </row>
    <row r="573" spans="1:46" x14ac:dyDescent="0.2">
      <c r="A573" s="4">
        <v>2102</v>
      </c>
      <c r="B573" s="4" t="s">
        <v>22</v>
      </c>
      <c r="C573" s="5" t="s">
        <v>548</v>
      </c>
      <c r="D573" s="5" t="s">
        <v>549</v>
      </c>
      <c r="E573" s="5" t="s">
        <v>545</v>
      </c>
      <c r="F573" s="5" t="s">
        <v>546</v>
      </c>
      <c r="G573" s="13">
        <v>46302</v>
      </c>
      <c r="H573" s="13">
        <v>46302</v>
      </c>
      <c r="I573" s="9">
        <f t="shared" si="16"/>
        <v>1</v>
      </c>
      <c r="J573" s="5" t="s">
        <v>1651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4">
        <v>6</v>
      </c>
      <c r="AH573" s="4">
        <v>4</v>
      </c>
      <c r="AI573" s="4">
        <v>1</v>
      </c>
      <c r="AJ573" s="4">
        <v>3</v>
      </c>
      <c r="AK573" s="4">
        <v>10</v>
      </c>
      <c r="AL573" s="4">
        <v>5</v>
      </c>
      <c r="AM573" s="4">
        <v>2</v>
      </c>
      <c r="AN573" s="4">
        <v>0</v>
      </c>
      <c r="AO573" s="4">
        <v>2</v>
      </c>
      <c r="AP573" s="4"/>
      <c r="AQ573" s="4">
        <v>0</v>
      </c>
      <c r="AR573" s="4">
        <v>1</v>
      </c>
      <c r="AS573" s="4">
        <f t="shared" si="17"/>
        <v>33</v>
      </c>
      <c r="AT573" s="9" t="s">
        <v>547</v>
      </c>
    </row>
    <row r="574" spans="1:46" x14ac:dyDescent="0.2">
      <c r="A574" s="4">
        <v>3360</v>
      </c>
      <c r="B574" s="4" t="s">
        <v>22</v>
      </c>
      <c r="C574" s="5" t="s">
        <v>522</v>
      </c>
      <c r="D574" s="5" t="s">
        <v>523</v>
      </c>
      <c r="E574" s="5" t="s">
        <v>842</v>
      </c>
      <c r="F574" s="5" t="s">
        <v>119</v>
      </c>
      <c r="G574" s="13">
        <v>46302</v>
      </c>
      <c r="H574" s="13">
        <v>46302</v>
      </c>
      <c r="I574" s="9">
        <f t="shared" si="16"/>
        <v>1</v>
      </c>
      <c r="J574" s="5" t="s">
        <v>1651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4">
        <v>2</v>
      </c>
      <c r="AH574" s="4">
        <v>1</v>
      </c>
      <c r="AI574" s="4">
        <v>1</v>
      </c>
      <c r="AJ574" s="4">
        <v>2</v>
      </c>
      <c r="AK574" s="4">
        <v>3</v>
      </c>
      <c r="AL574" s="4">
        <v>2</v>
      </c>
      <c r="AM574" s="4">
        <v>1</v>
      </c>
      <c r="AN574" s="4">
        <v>0</v>
      </c>
      <c r="AO574" s="4">
        <v>1</v>
      </c>
      <c r="AP574" s="4"/>
      <c r="AQ574" s="4">
        <v>0</v>
      </c>
      <c r="AR574" s="4">
        <v>1</v>
      </c>
      <c r="AS574" s="4">
        <f t="shared" si="17"/>
        <v>13</v>
      </c>
      <c r="AT574" s="9" t="s">
        <v>137</v>
      </c>
    </row>
    <row r="575" spans="1:46" x14ac:dyDescent="0.2">
      <c r="A575" s="4">
        <v>4890</v>
      </c>
      <c r="B575" s="4" t="s">
        <v>22</v>
      </c>
      <c r="C575" s="5" t="s">
        <v>1101</v>
      </c>
      <c r="D575" s="5" t="s">
        <v>1102</v>
      </c>
      <c r="E575" s="5" t="s">
        <v>286</v>
      </c>
      <c r="F575" s="5" t="s">
        <v>546</v>
      </c>
      <c r="G575" s="13">
        <v>46302</v>
      </c>
      <c r="H575" s="13">
        <v>46302</v>
      </c>
      <c r="I575" s="9">
        <f t="shared" si="16"/>
        <v>1</v>
      </c>
      <c r="J575" s="5" t="s">
        <v>1651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4">
        <v>2</v>
      </c>
      <c r="AH575" s="4">
        <v>1</v>
      </c>
      <c r="AI575" s="4">
        <v>1</v>
      </c>
      <c r="AJ575" s="4">
        <v>2</v>
      </c>
      <c r="AK575" s="4">
        <v>3</v>
      </c>
      <c r="AL575" s="4">
        <v>2</v>
      </c>
      <c r="AM575" s="4">
        <v>1</v>
      </c>
      <c r="AN575" s="4">
        <v>0</v>
      </c>
      <c r="AO575" s="4">
        <v>1</v>
      </c>
      <c r="AP575" s="4"/>
      <c r="AQ575" s="4">
        <v>0</v>
      </c>
      <c r="AR575" s="4">
        <v>1</v>
      </c>
      <c r="AS575" s="4">
        <f t="shared" si="17"/>
        <v>13</v>
      </c>
      <c r="AT575" s="9" t="s">
        <v>1034</v>
      </c>
    </row>
    <row r="576" spans="1:46" x14ac:dyDescent="0.2">
      <c r="A576" s="4">
        <v>5145</v>
      </c>
      <c r="B576" s="4" t="s">
        <v>22</v>
      </c>
      <c r="C576" s="5" t="s">
        <v>1155</v>
      </c>
      <c r="D576" s="5" t="s">
        <v>1156</v>
      </c>
      <c r="E576" s="5" t="s">
        <v>1107</v>
      </c>
      <c r="F576" s="5" t="s">
        <v>98</v>
      </c>
      <c r="G576" s="13">
        <v>46302</v>
      </c>
      <c r="H576" s="13">
        <v>46303</v>
      </c>
      <c r="I576" s="9">
        <f t="shared" si="16"/>
        <v>2</v>
      </c>
      <c r="J576" s="5" t="s">
        <v>1651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4">
        <v>2</v>
      </c>
      <c r="AH576" s="4">
        <v>1</v>
      </c>
      <c r="AI576" s="4">
        <v>1</v>
      </c>
      <c r="AJ576" s="4">
        <v>2</v>
      </c>
      <c r="AK576" s="4">
        <v>3</v>
      </c>
      <c r="AL576" s="4">
        <v>2</v>
      </c>
      <c r="AM576" s="4">
        <v>1</v>
      </c>
      <c r="AN576" s="4">
        <v>0</v>
      </c>
      <c r="AO576" s="4">
        <v>1</v>
      </c>
      <c r="AP576" s="4"/>
      <c r="AQ576" s="4">
        <v>0</v>
      </c>
      <c r="AR576" s="4">
        <v>1</v>
      </c>
      <c r="AS576" s="4">
        <f t="shared" si="17"/>
        <v>13</v>
      </c>
      <c r="AT576" s="9" t="s">
        <v>1111</v>
      </c>
    </row>
    <row r="577" spans="1:46" x14ac:dyDescent="0.2">
      <c r="A577" s="4">
        <v>6079</v>
      </c>
      <c r="B577" s="4" t="s">
        <v>22</v>
      </c>
      <c r="C577" s="5" t="s">
        <v>1306</v>
      </c>
      <c r="D577" s="5" t="s">
        <v>1307</v>
      </c>
      <c r="E577" s="5" t="s">
        <v>1213</v>
      </c>
      <c r="F577" s="5" t="s">
        <v>98</v>
      </c>
      <c r="G577" s="13">
        <v>46302</v>
      </c>
      <c r="H577" s="13">
        <v>46303</v>
      </c>
      <c r="I577" s="9">
        <f t="shared" si="16"/>
        <v>2</v>
      </c>
      <c r="J577" s="5" t="s">
        <v>1651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4">
        <v>2</v>
      </c>
      <c r="AH577" s="4">
        <v>1</v>
      </c>
      <c r="AI577" s="4">
        <v>1</v>
      </c>
      <c r="AJ577" s="4">
        <v>2</v>
      </c>
      <c r="AK577" s="4">
        <v>3</v>
      </c>
      <c r="AL577" s="4">
        <v>2</v>
      </c>
      <c r="AM577" s="4">
        <v>1</v>
      </c>
      <c r="AN577" s="4">
        <v>0</v>
      </c>
      <c r="AO577" s="4">
        <v>1</v>
      </c>
      <c r="AP577" s="4"/>
      <c r="AQ577" s="4">
        <v>0</v>
      </c>
      <c r="AR577" s="4">
        <v>1</v>
      </c>
      <c r="AS577" s="4">
        <f t="shared" si="17"/>
        <v>13</v>
      </c>
      <c r="AT577" s="9" t="s">
        <v>332</v>
      </c>
    </row>
    <row r="578" spans="1:46" x14ac:dyDescent="0.2">
      <c r="A578" s="4">
        <v>8620</v>
      </c>
      <c r="B578" s="4" t="s">
        <v>22</v>
      </c>
      <c r="C578" s="5" t="s">
        <v>1608</v>
      </c>
      <c r="D578" s="5" t="s">
        <v>1609</v>
      </c>
      <c r="E578" s="5" t="s">
        <v>1600</v>
      </c>
      <c r="F578" s="5" t="s">
        <v>331</v>
      </c>
      <c r="G578" s="13">
        <v>46302</v>
      </c>
      <c r="H578" s="13">
        <v>46303</v>
      </c>
      <c r="I578" s="9">
        <f t="shared" ref="I578:I641" si="18">NETWORKDAYS(G578,H578)</f>
        <v>2</v>
      </c>
      <c r="J578" s="5" t="s">
        <v>1651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4">
        <v>3</v>
      </c>
      <c r="AH578" s="4">
        <v>3</v>
      </c>
      <c r="AI578" s="4">
        <v>1</v>
      </c>
      <c r="AJ578" s="4">
        <v>2</v>
      </c>
      <c r="AK578" s="4">
        <v>6</v>
      </c>
      <c r="AL578" s="4">
        <v>3</v>
      </c>
      <c r="AM578" s="4">
        <v>1</v>
      </c>
      <c r="AN578" s="4">
        <v>0</v>
      </c>
      <c r="AO578" s="4">
        <v>1</v>
      </c>
      <c r="AP578" s="4"/>
      <c r="AQ578" s="4">
        <v>0</v>
      </c>
      <c r="AR578" s="4">
        <v>1</v>
      </c>
      <c r="AS578" s="4">
        <f t="shared" si="17"/>
        <v>20</v>
      </c>
      <c r="AT578" s="9" t="s">
        <v>1601</v>
      </c>
    </row>
    <row r="579" spans="1:46" x14ac:dyDescent="0.2">
      <c r="A579" s="4">
        <v>1372</v>
      </c>
      <c r="B579" s="4" t="s">
        <v>22</v>
      </c>
      <c r="C579" s="5" t="s">
        <v>210</v>
      </c>
      <c r="D579" s="5" t="s">
        <v>211</v>
      </c>
      <c r="E579" s="5" t="s">
        <v>118</v>
      </c>
      <c r="F579" s="5" t="s">
        <v>119</v>
      </c>
      <c r="G579" s="13">
        <v>46303</v>
      </c>
      <c r="H579" s="13">
        <v>46303</v>
      </c>
      <c r="I579" s="9">
        <f t="shared" si="18"/>
        <v>1</v>
      </c>
      <c r="J579" s="5" t="s">
        <v>1651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4">
        <v>2</v>
      </c>
      <c r="AH579" s="4">
        <v>2</v>
      </c>
      <c r="AI579" s="4">
        <v>1</v>
      </c>
      <c r="AJ579" s="4">
        <v>2</v>
      </c>
      <c r="AK579" s="4">
        <v>4</v>
      </c>
      <c r="AL579" s="4">
        <v>2</v>
      </c>
      <c r="AM579" s="4">
        <v>1</v>
      </c>
      <c r="AN579" s="4">
        <v>0</v>
      </c>
      <c r="AO579" s="4">
        <v>1</v>
      </c>
      <c r="AP579" s="4"/>
      <c r="AQ579" s="4">
        <v>0</v>
      </c>
      <c r="AR579" s="4">
        <v>1</v>
      </c>
      <c r="AS579" s="4">
        <f t="shared" ref="AS579:AS642" si="19">SUM(AG579:AQ579)</f>
        <v>15</v>
      </c>
      <c r="AT579" s="4" t="s">
        <v>120</v>
      </c>
    </row>
    <row r="580" spans="1:46" x14ac:dyDescent="0.2">
      <c r="A580" s="4">
        <v>1390</v>
      </c>
      <c r="B580" s="4" t="s">
        <v>22</v>
      </c>
      <c r="C580" s="5" t="s">
        <v>239</v>
      </c>
      <c r="D580" s="5" t="s">
        <v>240</v>
      </c>
      <c r="E580" s="5" t="s">
        <v>118</v>
      </c>
      <c r="F580" s="5" t="s">
        <v>119</v>
      </c>
      <c r="G580" s="13">
        <v>46303</v>
      </c>
      <c r="H580" s="13">
        <v>46303</v>
      </c>
      <c r="I580" s="9">
        <f t="shared" si="18"/>
        <v>1</v>
      </c>
      <c r="J580" s="5" t="s">
        <v>1651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4">
        <v>3</v>
      </c>
      <c r="AH580" s="4">
        <v>4</v>
      </c>
      <c r="AI580" s="4">
        <v>1</v>
      </c>
      <c r="AJ580" s="4">
        <v>2</v>
      </c>
      <c r="AK580" s="4">
        <v>7</v>
      </c>
      <c r="AL580" s="4">
        <v>2</v>
      </c>
      <c r="AM580" s="4">
        <v>1</v>
      </c>
      <c r="AN580" s="4">
        <v>0</v>
      </c>
      <c r="AO580" s="4">
        <v>1</v>
      </c>
      <c r="AP580" s="4"/>
      <c r="AQ580" s="4">
        <v>1</v>
      </c>
      <c r="AR580" s="4">
        <v>1</v>
      </c>
      <c r="AS580" s="4">
        <f t="shared" si="19"/>
        <v>22</v>
      </c>
      <c r="AT580" s="4" t="s">
        <v>120</v>
      </c>
    </row>
    <row r="581" spans="1:46" x14ac:dyDescent="0.2">
      <c r="A581" s="4">
        <v>1630</v>
      </c>
      <c r="B581" s="4" t="s">
        <v>22</v>
      </c>
      <c r="C581" s="5" t="s">
        <v>484</v>
      </c>
      <c r="D581" s="5" t="s">
        <v>485</v>
      </c>
      <c r="E581" s="5" t="s">
        <v>72</v>
      </c>
      <c r="F581" s="5" t="s">
        <v>68</v>
      </c>
      <c r="G581" s="13">
        <v>46303</v>
      </c>
      <c r="H581" s="13">
        <v>46303</v>
      </c>
      <c r="I581" s="9">
        <f t="shared" si="18"/>
        <v>1</v>
      </c>
      <c r="J581" s="5" t="s">
        <v>1651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4">
        <v>2</v>
      </c>
      <c r="AH581" s="4">
        <v>1</v>
      </c>
      <c r="AI581" s="4">
        <v>1</v>
      </c>
      <c r="AJ581" s="4">
        <v>2</v>
      </c>
      <c r="AK581" s="4">
        <v>3</v>
      </c>
      <c r="AL581" s="4">
        <v>2</v>
      </c>
      <c r="AM581" s="4">
        <v>1</v>
      </c>
      <c r="AN581" s="4">
        <v>0</v>
      </c>
      <c r="AO581" s="4">
        <v>1</v>
      </c>
      <c r="AP581" s="4"/>
      <c r="AQ581" s="4">
        <v>0</v>
      </c>
      <c r="AR581" s="4">
        <v>1</v>
      </c>
      <c r="AS581" s="4">
        <f t="shared" si="19"/>
        <v>13</v>
      </c>
      <c r="AT581" s="9" t="s">
        <v>83</v>
      </c>
    </row>
    <row r="582" spans="1:46" x14ac:dyDescent="0.2">
      <c r="A582" s="4">
        <v>1840</v>
      </c>
      <c r="B582" s="4" t="s">
        <v>22</v>
      </c>
      <c r="C582" s="5" t="s">
        <v>524</v>
      </c>
      <c r="D582" s="5" t="s">
        <v>525</v>
      </c>
      <c r="E582" s="5" t="s">
        <v>215</v>
      </c>
      <c r="F582" s="5" t="s">
        <v>500</v>
      </c>
      <c r="G582" s="13">
        <v>46303</v>
      </c>
      <c r="H582" s="13">
        <v>46304</v>
      </c>
      <c r="I582" s="9">
        <f t="shared" si="18"/>
        <v>2</v>
      </c>
      <c r="J582" s="5" t="s">
        <v>1651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4">
        <v>3</v>
      </c>
      <c r="AH582" s="4">
        <v>1</v>
      </c>
      <c r="AI582" s="4">
        <v>1</v>
      </c>
      <c r="AJ582" s="4">
        <v>2</v>
      </c>
      <c r="AK582" s="4">
        <v>5</v>
      </c>
      <c r="AL582" s="4">
        <v>2</v>
      </c>
      <c r="AM582" s="4">
        <v>1</v>
      </c>
      <c r="AN582" s="4">
        <v>0</v>
      </c>
      <c r="AO582" s="4">
        <v>1</v>
      </c>
      <c r="AP582" s="7"/>
      <c r="AQ582" s="4">
        <v>0</v>
      </c>
      <c r="AR582" s="4">
        <v>1</v>
      </c>
      <c r="AS582" s="4">
        <f t="shared" si="19"/>
        <v>16</v>
      </c>
      <c r="AT582" s="9" t="s">
        <v>501</v>
      </c>
    </row>
    <row r="583" spans="1:46" x14ac:dyDescent="0.2">
      <c r="A583" s="4">
        <v>2116</v>
      </c>
      <c r="B583" s="4" t="s">
        <v>22</v>
      </c>
      <c r="C583" s="5" t="s">
        <v>568</v>
      </c>
      <c r="D583" s="5" t="s">
        <v>569</v>
      </c>
      <c r="E583" s="5" t="s">
        <v>545</v>
      </c>
      <c r="F583" s="5" t="s">
        <v>546</v>
      </c>
      <c r="G583" s="13">
        <v>46303</v>
      </c>
      <c r="H583" s="13">
        <v>46303</v>
      </c>
      <c r="I583" s="9">
        <f t="shared" si="18"/>
        <v>1</v>
      </c>
      <c r="J583" s="5" t="s">
        <v>1651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4">
        <v>3</v>
      </c>
      <c r="AH583" s="4">
        <v>2</v>
      </c>
      <c r="AI583" s="4">
        <v>1</v>
      </c>
      <c r="AJ583" s="4">
        <v>2</v>
      </c>
      <c r="AK583" s="4">
        <v>5</v>
      </c>
      <c r="AL583" s="4">
        <v>2</v>
      </c>
      <c r="AM583" s="4">
        <v>1</v>
      </c>
      <c r="AN583" s="4">
        <v>0</v>
      </c>
      <c r="AO583" s="4">
        <v>1</v>
      </c>
      <c r="AP583" s="4"/>
      <c r="AQ583" s="4">
        <v>0</v>
      </c>
      <c r="AR583" s="4">
        <v>1</v>
      </c>
      <c r="AS583" s="4">
        <f t="shared" si="19"/>
        <v>17</v>
      </c>
      <c r="AT583" s="9" t="s">
        <v>547</v>
      </c>
    </row>
    <row r="584" spans="1:46" x14ac:dyDescent="0.2">
      <c r="A584" s="4">
        <v>3370</v>
      </c>
      <c r="B584" s="4" t="s">
        <v>22</v>
      </c>
      <c r="C584" s="5" t="s">
        <v>854</v>
      </c>
      <c r="D584" s="5" t="s">
        <v>855</v>
      </c>
      <c r="E584" s="5" t="s">
        <v>842</v>
      </c>
      <c r="F584" s="5" t="s">
        <v>119</v>
      </c>
      <c r="G584" s="13">
        <v>46303</v>
      </c>
      <c r="H584" s="13">
        <v>46303</v>
      </c>
      <c r="I584" s="9">
        <f t="shared" si="18"/>
        <v>1</v>
      </c>
      <c r="J584" s="5" t="s">
        <v>1651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4">
        <v>2</v>
      </c>
      <c r="AH584" s="4">
        <v>1</v>
      </c>
      <c r="AI584" s="4">
        <v>1</v>
      </c>
      <c r="AJ584" s="4">
        <v>2</v>
      </c>
      <c r="AK584" s="4">
        <v>3</v>
      </c>
      <c r="AL584" s="4">
        <v>2</v>
      </c>
      <c r="AM584" s="4">
        <v>1</v>
      </c>
      <c r="AN584" s="4">
        <v>0</v>
      </c>
      <c r="AO584" s="4">
        <v>1</v>
      </c>
      <c r="AP584" s="4"/>
      <c r="AQ584" s="4">
        <v>0</v>
      </c>
      <c r="AR584" s="4">
        <v>1</v>
      </c>
      <c r="AS584" s="4">
        <f t="shared" si="19"/>
        <v>13</v>
      </c>
      <c r="AT584" s="9" t="s">
        <v>137</v>
      </c>
    </row>
    <row r="585" spans="1:46" x14ac:dyDescent="0.2">
      <c r="A585" s="4">
        <v>3947</v>
      </c>
      <c r="B585" s="4" t="s">
        <v>22</v>
      </c>
      <c r="C585" s="5" t="s">
        <v>930</v>
      </c>
      <c r="D585" s="5" t="s">
        <v>931</v>
      </c>
      <c r="E585" s="5" t="s">
        <v>873</v>
      </c>
      <c r="F585" s="5" t="s">
        <v>574</v>
      </c>
      <c r="G585" s="13">
        <v>46303</v>
      </c>
      <c r="H585" s="13">
        <v>46303</v>
      </c>
      <c r="I585" s="9">
        <f t="shared" si="18"/>
        <v>1</v>
      </c>
      <c r="J585" s="5" t="s">
        <v>1651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4">
        <v>4</v>
      </c>
      <c r="AH585" s="4">
        <v>1</v>
      </c>
      <c r="AI585" s="4">
        <v>1</v>
      </c>
      <c r="AJ585" s="4">
        <v>1</v>
      </c>
      <c r="AK585" s="4">
        <v>4</v>
      </c>
      <c r="AL585" s="4">
        <v>3</v>
      </c>
      <c r="AM585" s="4">
        <v>1</v>
      </c>
      <c r="AN585" s="4">
        <v>0</v>
      </c>
      <c r="AO585" s="4">
        <v>1</v>
      </c>
      <c r="AP585" s="4"/>
      <c r="AQ585" s="4">
        <v>0</v>
      </c>
      <c r="AR585" s="4">
        <v>1</v>
      </c>
      <c r="AS585" s="4">
        <f t="shared" si="19"/>
        <v>16</v>
      </c>
      <c r="AT585" s="9" t="s">
        <v>874</v>
      </c>
    </row>
    <row r="586" spans="1:46" x14ac:dyDescent="0.2">
      <c r="A586" s="4">
        <v>4872</v>
      </c>
      <c r="B586" s="4" t="s">
        <v>22</v>
      </c>
      <c r="C586" s="5" t="s">
        <v>1087</v>
      </c>
      <c r="D586" s="5" t="s">
        <v>1088</v>
      </c>
      <c r="E586" s="5" t="s">
        <v>286</v>
      </c>
      <c r="F586" s="5" t="s">
        <v>546</v>
      </c>
      <c r="G586" s="13">
        <v>46303</v>
      </c>
      <c r="H586" s="13">
        <v>46303</v>
      </c>
      <c r="I586" s="9">
        <f t="shared" si="18"/>
        <v>1</v>
      </c>
      <c r="J586" s="5" t="s">
        <v>1651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4">
        <v>3</v>
      </c>
      <c r="AH586" s="4">
        <v>2</v>
      </c>
      <c r="AI586" s="4">
        <v>1</v>
      </c>
      <c r="AJ586" s="4">
        <v>2</v>
      </c>
      <c r="AK586" s="4">
        <v>5</v>
      </c>
      <c r="AL586" s="4">
        <v>3</v>
      </c>
      <c r="AM586" s="4">
        <v>1</v>
      </c>
      <c r="AN586" s="4">
        <v>0</v>
      </c>
      <c r="AO586" s="4">
        <v>1</v>
      </c>
      <c r="AP586" s="7"/>
      <c r="AQ586" s="4">
        <v>1</v>
      </c>
      <c r="AR586" s="4">
        <v>1</v>
      </c>
      <c r="AS586" s="4">
        <f t="shared" si="19"/>
        <v>19</v>
      </c>
      <c r="AT586" s="9" t="s">
        <v>1034</v>
      </c>
    </row>
    <row r="587" spans="1:46" x14ac:dyDescent="0.2">
      <c r="A587" s="4">
        <v>6014</v>
      </c>
      <c r="B587" s="4" t="s">
        <v>22</v>
      </c>
      <c r="C587" s="5" t="s">
        <v>1221</v>
      </c>
      <c r="D587" s="5" t="s">
        <v>1222</v>
      </c>
      <c r="E587" s="5" t="s">
        <v>1213</v>
      </c>
      <c r="F587" s="5" t="s">
        <v>98</v>
      </c>
      <c r="G587" s="13">
        <v>46303</v>
      </c>
      <c r="H587" s="13">
        <v>46304</v>
      </c>
      <c r="I587" s="9">
        <f t="shared" si="18"/>
        <v>2</v>
      </c>
      <c r="J587" s="5" t="s">
        <v>1651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4">
        <v>4</v>
      </c>
      <c r="AH587" s="4">
        <v>3</v>
      </c>
      <c r="AI587" s="4">
        <v>1</v>
      </c>
      <c r="AJ587" s="4">
        <v>2</v>
      </c>
      <c r="AK587" s="4">
        <v>7</v>
      </c>
      <c r="AL587" s="4">
        <v>3</v>
      </c>
      <c r="AM587" s="4">
        <v>1</v>
      </c>
      <c r="AN587" s="4">
        <v>0</v>
      </c>
      <c r="AO587" s="4">
        <v>1</v>
      </c>
      <c r="AP587" s="4"/>
      <c r="AQ587" s="4">
        <v>1</v>
      </c>
      <c r="AR587" s="4">
        <v>1</v>
      </c>
      <c r="AS587" s="4">
        <f t="shared" si="19"/>
        <v>23</v>
      </c>
      <c r="AT587" s="9" t="s">
        <v>335</v>
      </c>
    </row>
    <row r="588" spans="1:46" x14ac:dyDescent="0.2">
      <c r="A588" s="4">
        <v>6025</v>
      </c>
      <c r="B588" s="4" t="s">
        <v>22</v>
      </c>
      <c r="C588" s="5" t="s">
        <v>1235</v>
      </c>
      <c r="D588" s="5" t="s">
        <v>1236</v>
      </c>
      <c r="E588" s="5" t="s">
        <v>1213</v>
      </c>
      <c r="F588" s="5" t="s">
        <v>98</v>
      </c>
      <c r="G588" s="13">
        <v>46303</v>
      </c>
      <c r="H588" s="13">
        <v>46304</v>
      </c>
      <c r="I588" s="9">
        <f t="shared" si="18"/>
        <v>2</v>
      </c>
      <c r="J588" s="5" t="s">
        <v>1651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4">
        <v>2</v>
      </c>
      <c r="AH588" s="4">
        <v>2</v>
      </c>
      <c r="AI588" s="4">
        <v>1</v>
      </c>
      <c r="AJ588" s="4">
        <v>2</v>
      </c>
      <c r="AK588" s="4">
        <v>3</v>
      </c>
      <c r="AL588" s="4">
        <v>2</v>
      </c>
      <c r="AM588" s="4">
        <v>1</v>
      </c>
      <c r="AN588" s="4">
        <v>0</v>
      </c>
      <c r="AO588" s="4">
        <v>1</v>
      </c>
      <c r="AP588" s="4"/>
      <c r="AQ588" s="4">
        <v>0</v>
      </c>
      <c r="AR588" s="4">
        <v>1</v>
      </c>
      <c r="AS588" s="4">
        <f t="shared" si="19"/>
        <v>14</v>
      </c>
      <c r="AT588" s="9" t="s">
        <v>332</v>
      </c>
    </row>
    <row r="589" spans="1:46" x14ac:dyDescent="0.2">
      <c r="A589" s="4">
        <v>6030</v>
      </c>
      <c r="B589" s="4" t="s">
        <v>22</v>
      </c>
      <c r="C589" s="5" t="s">
        <v>1240</v>
      </c>
      <c r="D589" s="5" t="s">
        <v>1241</v>
      </c>
      <c r="E589" s="5" t="s">
        <v>1213</v>
      </c>
      <c r="F589" s="5" t="s">
        <v>98</v>
      </c>
      <c r="G589" s="13">
        <v>46303</v>
      </c>
      <c r="H589" s="13">
        <v>46304</v>
      </c>
      <c r="I589" s="9">
        <f t="shared" si="18"/>
        <v>2</v>
      </c>
      <c r="J589" s="5" t="s">
        <v>1651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4">
        <v>3</v>
      </c>
      <c r="AH589" s="4">
        <v>2</v>
      </c>
      <c r="AI589" s="4">
        <v>1</v>
      </c>
      <c r="AJ589" s="4">
        <v>2</v>
      </c>
      <c r="AK589" s="4">
        <v>5</v>
      </c>
      <c r="AL589" s="4">
        <v>2</v>
      </c>
      <c r="AM589" s="4">
        <v>1</v>
      </c>
      <c r="AN589" s="4">
        <v>0</v>
      </c>
      <c r="AO589" s="4">
        <v>1</v>
      </c>
      <c r="AP589" s="4"/>
      <c r="AQ589" s="4">
        <v>0</v>
      </c>
      <c r="AR589" s="4">
        <v>1</v>
      </c>
      <c r="AS589" s="4">
        <f t="shared" si="19"/>
        <v>17</v>
      </c>
      <c r="AT589" s="9" t="s">
        <v>342</v>
      </c>
    </row>
    <row r="590" spans="1:46" x14ac:dyDescent="0.2">
      <c r="A590" s="4">
        <v>6065</v>
      </c>
      <c r="B590" s="4" t="s">
        <v>22</v>
      </c>
      <c r="C590" s="5" t="s">
        <v>1288</v>
      </c>
      <c r="D590" s="5" t="s">
        <v>1289</v>
      </c>
      <c r="E590" s="5" t="s">
        <v>1213</v>
      </c>
      <c r="F590" s="5" t="s">
        <v>98</v>
      </c>
      <c r="G590" s="13">
        <v>46303</v>
      </c>
      <c r="H590" s="13">
        <v>46304</v>
      </c>
      <c r="I590" s="9">
        <f t="shared" si="18"/>
        <v>2</v>
      </c>
      <c r="J590" s="5" t="s">
        <v>1651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4">
        <v>3</v>
      </c>
      <c r="AH590" s="4">
        <v>1</v>
      </c>
      <c r="AI590" s="4">
        <v>1</v>
      </c>
      <c r="AJ590" s="4">
        <v>2</v>
      </c>
      <c r="AK590" s="4">
        <v>3</v>
      </c>
      <c r="AL590" s="4">
        <v>2</v>
      </c>
      <c r="AM590" s="4">
        <v>1</v>
      </c>
      <c r="AN590" s="4">
        <v>0</v>
      </c>
      <c r="AO590" s="4">
        <v>1</v>
      </c>
      <c r="AP590" s="4"/>
      <c r="AQ590" s="4">
        <v>0</v>
      </c>
      <c r="AR590" s="4">
        <v>1</v>
      </c>
      <c r="AS590" s="4">
        <f t="shared" si="19"/>
        <v>14</v>
      </c>
      <c r="AT590" s="9" t="s">
        <v>77</v>
      </c>
    </row>
    <row r="591" spans="1:46" x14ac:dyDescent="0.2">
      <c r="A591" s="4">
        <v>6081</v>
      </c>
      <c r="B591" s="4" t="s">
        <v>22</v>
      </c>
      <c r="C591" s="5" t="s">
        <v>868</v>
      </c>
      <c r="D591" s="5" t="s">
        <v>1310</v>
      </c>
      <c r="E591" s="5" t="s">
        <v>1213</v>
      </c>
      <c r="F591" s="5" t="s">
        <v>98</v>
      </c>
      <c r="G591" s="13">
        <v>46303</v>
      </c>
      <c r="H591" s="13">
        <v>46304</v>
      </c>
      <c r="I591" s="9">
        <f t="shared" si="18"/>
        <v>2</v>
      </c>
      <c r="J591" s="5" t="s">
        <v>1651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4">
        <v>2</v>
      </c>
      <c r="AH591" s="4">
        <v>3</v>
      </c>
      <c r="AI591" s="4">
        <v>1</v>
      </c>
      <c r="AJ591" s="4">
        <v>2</v>
      </c>
      <c r="AK591" s="4">
        <v>5</v>
      </c>
      <c r="AL591" s="4">
        <v>2</v>
      </c>
      <c r="AM591" s="4">
        <v>1</v>
      </c>
      <c r="AN591" s="4">
        <v>0</v>
      </c>
      <c r="AO591" s="4">
        <v>1</v>
      </c>
      <c r="AP591" s="4"/>
      <c r="AQ591" s="4">
        <v>0</v>
      </c>
      <c r="AR591" s="4">
        <v>1</v>
      </c>
      <c r="AS591" s="4">
        <f t="shared" si="19"/>
        <v>17</v>
      </c>
      <c r="AT591" s="9" t="s">
        <v>335</v>
      </c>
    </row>
    <row r="592" spans="1:46" x14ac:dyDescent="0.2">
      <c r="A592" s="4">
        <v>1204</v>
      </c>
      <c r="B592" s="4" t="s">
        <v>22</v>
      </c>
      <c r="C592" s="5" t="s">
        <v>70</v>
      </c>
      <c r="D592" s="5" t="s">
        <v>71</v>
      </c>
      <c r="E592" s="5" t="s">
        <v>72</v>
      </c>
      <c r="F592" s="5" t="s">
        <v>68</v>
      </c>
      <c r="G592" s="13">
        <v>46304</v>
      </c>
      <c r="H592" s="13">
        <v>46304</v>
      </c>
      <c r="I592" s="9">
        <f t="shared" si="18"/>
        <v>1</v>
      </c>
      <c r="J592" s="5" t="s">
        <v>1651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4">
        <v>5</v>
      </c>
      <c r="AH592" s="4">
        <v>3</v>
      </c>
      <c r="AI592" s="4">
        <v>1</v>
      </c>
      <c r="AJ592" s="4">
        <v>3</v>
      </c>
      <c r="AK592" s="4">
        <v>8</v>
      </c>
      <c r="AL592" s="4">
        <v>4</v>
      </c>
      <c r="AM592" s="4">
        <v>2</v>
      </c>
      <c r="AN592" s="4">
        <v>0</v>
      </c>
      <c r="AO592" s="4">
        <v>1</v>
      </c>
      <c r="AP592" s="4"/>
      <c r="AQ592" s="4">
        <v>0</v>
      </c>
      <c r="AR592" s="4">
        <v>1</v>
      </c>
      <c r="AS592" s="4">
        <f t="shared" si="19"/>
        <v>27</v>
      </c>
      <c r="AT592" s="5" t="s">
        <v>73</v>
      </c>
    </row>
    <row r="593" spans="1:46" x14ac:dyDescent="0.2">
      <c r="A593" s="4">
        <v>1260</v>
      </c>
      <c r="B593" s="4" t="s">
        <v>22</v>
      </c>
      <c r="C593" s="5" t="s">
        <v>106</v>
      </c>
      <c r="D593" s="5" t="s">
        <v>107</v>
      </c>
      <c r="E593" s="5" t="s">
        <v>67</v>
      </c>
      <c r="F593" s="5" t="s">
        <v>68</v>
      </c>
      <c r="G593" s="13">
        <v>46304</v>
      </c>
      <c r="H593" s="13">
        <v>46304</v>
      </c>
      <c r="I593" s="9">
        <f t="shared" si="18"/>
        <v>1</v>
      </c>
      <c r="J593" s="5" t="s">
        <v>1651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4">
        <v>2</v>
      </c>
      <c r="AH593" s="4">
        <v>1</v>
      </c>
      <c r="AI593" s="4">
        <v>1</v>
      </c>
      <c r="AJ593" s="4">
        <v>2</v>
      </c>
      <c r="AK593" s="4">
        <v>4</v>
      </c>
      <c r="AL593" s="4">
        <v>2</v>
      </c>
      <c r="AM593" s="4">
        <v>1</v>
      </c>
      <c r="AN593" s="4">
        <v>0</v>
      </c>
      <c r="AO593" s="4">
        <v>1</v>
      </c>
      <c r="AP593" s="4"/>
      <c r="AQ593" s="4">
        <v>0</v>
      </c>
      <c r="AR593" s="4">
        <v>1</v>
      </c>
      <c r="AS593" s="4">
        <f t="shared" si="19"/>
        <v>14</v>
      </c>
      <c r="AT593" s="5" t="s">
        <v>83</v>
      </c>
    </row>
    <row r="594" spans="1:46" x14ac:dyDescent="0.2">
      <c r="A594" s="4">
        <v>1345</v>
      </c>
      <c r="B594" s="4" t="s">
        <v>22</v>
      </c>
      <c r="C594" s="5" t="s">
        <v>166</v>
      </c>
      <c r="D594" s="5" t="s">
        <v>167</v>
      </c>
      <c r="E594" s="5" t="s">
        <v>118</v>
      </c>
      <c r="F594" s="5" t="s">
        <v>119</v>
      </c>
      <c r="G594" s="13">
        <v>46304</v>
      </c>
      <c r="H594" s="13">
        <v>46304</v>
      </c>
      <c r="I594" s="9">
        <f t="shared" si="18"/>
        <v>1</v>
      </c>
      <c r="J594" s="5" t="s">
        <v>1651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4">
        <v>2</v>
      </c>
      <c r="AH594" s="4">
        <v>1</v>
      </c>
      <c r="AI594" s="4">
        <v>1</v>
      </c>
      <c r="AJ594" s="4">
        <v>2</v>
      </c>
      <c r="AK594" s="4">
        <v>3</v>
      </c>
      <c r="AL594" s="4">
        <v>2</v>
      </c>
      <c r="AM594" s="4">
        <v>1</v>
      </c>
      <c r="AN594" s="4">
        <v>0</v>
      </c>
      <c r="AO594" s="4">
        <v>1</v>
      </c>
      <c r="AP594" s="4"/>
      <c r="AQ594" s="4">
        <v>0</v>
      </c>
      <c r="AR594" s="4">
        <v>1</v>
      </c>
      <c r="AS594" s="4">
        <f t="shared" si="19"/>
        <v>13</v>
      </c>
      <c r="AT594" s="4" t="s">
        <v>120</v>
      </c>
    </row>
    <row r="595" spans="1:46" x14ac:dyDescent="0.2">
      <c r="A595" s="4">
        <v>2104</v>
      </c>
      <c r="B595" s="4" t="s">
        <v>22</v>
      </c>
      <c r="C595" s="5" t="s">
        <v>164</v>
      </c>
      <c r="D595" s="5" t="s">
        <v>67</v>
      </c>
      <c r="E595" s="5" t="s">
        <v>545</v>
      </c>
      <c r="F595" s="5" t="s">
        <v>546</v>
      </c>
      <c r="G595" s="13">
        <v>46304</v>
      </c>
      <c r="H595" s="13">
        <v>46304</v>
      </c>
      <c r="I595" s="9">
        <f t="shared" si="18"/>
        <v>1</v>
      </c>
      <c r="J595" s="5" t="s">
        <v>1651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4">
        <v>5</v>
      </c>
      <c r="AH595" s="4">
        <v>3</v>
      </c>
      <c r="AI595" s="4">
        <v>1</v>
      </c>
      <c r="AJ595" s="4">
        <v>3</v>
      </c>
      <c r="AK595" s="4">
        <v>8</v>
      </c>
      <c r="AL595" s="4">
        <v>4</v>
      </c>
      <c r="AM595" s="4">
        <v>2</v>
      </c>
      <c r="AN595" s="4">
        <v>0</v>
      </c>
      <c r="AO595" s="4">
        <v>1</v>
      </c>
      <c r="AP595" s="4"/>
      <c r="AQ595" s="4">
        <v>0</v>
      </c>
      <c r="AR595" s="4">
        <v>1</v>
      </c>
      <c r="AS595" s="4">
        <f t="shared" si="19"/>
        <v>27</v>
      </c>
      <c r="AT595" s="9" t="s">
        <v>547</v>
      </c>
    </row>
    <row r="596" spans="1:46" x14ac:dyDescent="0.2">
      <c r="A596" s="4">
        <v>3955</v>
      </c>
      <c r="B596" s="4" t="s">
        <v>22</v>
      </c>
      <c r="C596" s="5" t="s">
        <v>936</v>
      </c>
      <c r="D596" s="5" t="s">
        <v>937</v>
      </c>
      <c r="E596" s="5" t="s">
        <v>873</v>
      </c>
      <c r="F596" s="5" t="s">
        <v>574</v>
      </c>
      <c r="G596" s="13">
        <v>46304</v>
      </c>
      <c r="H596" s="13">
        <v>46304</v>
      </c>
      <c r="I596" s="9">
        <f t="shared" si="18"/>
        <v>1</v>
      </c>
      <c r="J596" s="5" t="s">
        <v>1651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4">
        <v>5</v>
      </c>
      <c r="AH596" s="4">
        <v>1</v>
      </c>
      <c r="AI596" s="4">
        <v>1</v>
      </c>
      <c r="AJ596" s="4">
        <v>1</v>
      </c>
      <c r="AK596" s="4">
        <v>7</v>
      </c>
      <c r="AL596" s="4">
        <v>3</v>
      </c>
      <c r="AM596" s="4">
        <v>1</v>
      </c>
      <c r="AN596" s="4">
        <v>0</v>
      </c>
      <c r="AO596" s="4">
        <v>1</v>
      </c>
      <c r="AP596" s="4"/>
      <c r="AQ596" s="4">
        <v>0</v>
      </c>
      <c r="AR596" s="4">
        <v>1</v>
      </c>
      <c r="AS596" s="4">
        <f t="shared" si="19"/>
        <v>20</v>
      </c>
      <c r="AT596" s="9" t="s">
        <v>874</v>
      </c>
    </row>
    <row r="597" spans="1:46" x14ac:dyDescent="0.2">
      <c r="A597" s="4">
        <v>4834</v>
      </c>
      <c r="B597" s="4" t="s">
        <v>22</v>
      </c>
      <c r="C597" s="5" t="s">
        <v>338</v>
      </c>
      <c r="D597" s="5" t="s">
        <v>339</v>
      </c>
      <c r="E597" s="5" t="s">
        <v>286</v>
      </c>
      <c r="F597" s="5" t="s">
        <v>546</v>
      </c>
      <c r="G597" s="13">
        <v>46304</v>
      </c>
      <c r="H597" s="13">
        <v>46304</v>
      </c>
      <c r="I597" s="9">
        <f t="shared" si="18"/>
        <v>1</v>
      </c>
      <c r="J597" s="5" t="s">
        <v>1651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4">
        <v>2</v>
      </c>
      <c r="AH597" s="4">
        <v>1</v>
      </c>
      <c r="AI597" s="4">
        <v>1</v>
      </c>
      <c r="AJ597" s="4">
        <v>2</v>
      </c>
      <c r="AK597" s="4">
        <v>3</v>
      </c>
      <c r="AL597" s="4">
        <v>2</v>
      </c>
      <c r="AM597" s="4">
        <v>1</v>
      </c>
      <c r="AN597" s="4">
        <v>0</v>
      </c>
      <c r="AO597" s="4">
        <v>1</v>
      </c>
      <c r="AP597" s="4"/>
      <c r="AQ597" s="4">
        <v>0</v>
      </c>
      <c r="AR597" s="4">
        <v>1</v>
      </c>
      <c r="AS597" s="4">
        <f t="shared" si="19"/>
        <v>13</v>
      </c>
      <c r="AT597" s="9" t="s">
        <v>1034</v>
      </c>
    </row>
    <row r="598" spans="1:46" x14ac:dyDescent="0.2">
      <c r="A598" s="4">
        <v>5445</v>
      </c>
      <c r="B598" s="4" t="s">
        <v>22</v>
      </c>
      <c r="C598" s="5" t="s">
        <v>1185</v>
      </c>
      <c r="D598" s="5" t="s">
        <v>1186</v>
      </c>
      <c r="E598" s="5" t="s">
        <v>1169</v>
      </c>
      <c r="F598" s="5" t="s">
        <v>500</v>
      </c>
      <c r="G598" s="13">
        <v>46304</v>
      </c>
      <c r="H598" s="13">
        <v>46304</v>
      </c>
      <c r="I598" s="9">
        <f t="shared" si="18"/>
        <v>1</v>
      </c>
      <c r="J598" s="5" t="s">
        <v>1651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4">
        <v>4</v>
      </c>
      <c r="AH598" s="4">
        <v>2</v>
      </c>
      <c r="AI598" s="4">
        <v>1</v>
      </c>
      <c r="AJ598" s="4">
        <v>3</v>
      </c>
      <c r="AK598" s="4">
        <v>6</v>
      </c>
      <c r="AL598" s="4">
        <v>3</v>
      </c>
      <c r="AM598" s="4">
        <v>2</v>
      </c>
      <c r="AN598" s="4">
        <v>0</v>
      </c>
      <c r="AO598" s="4">
        <v>1</v>
      </c>
      <c r="AP598" s="4"/>
      <c r="AQ598" s="4">
        <v>0</v>
      </c>
      <c r="AR598" s="4">
        <v>1</v>
      </c>
      <c r="AS598" s="4">
        <f t="shared" si="19"/>
        <v>22</v>
      </c>
      <c r="AT598" s="9" t="s">
        <v>1170</v>
      </c>
    </row>
    <row r="599" spans="1:46" x14ac:dyDescent="0.2">
      <c r="A599" s="4">
        <v>6010</v>
      </c>
      <c r="B599" s="4" t="s">
        <v>22</v>
      </c>
      <c r="C599" s="5" t="s">
        <v>1214</v>
      </c>
      <c r="D599" s="5" t="s">
        <v>1215</v>
      </c>
      <c r="E599" s="5" t="s">
        <v>1213</v>
      </c>
      <c r="F599" s="5" t="s">
        <v>98</v>
      </c>
      <c r="G599" s="13">
        <v>46304</v>
      </c>
      <c r="H599" s="13">
        <v>46308</v>
      </c>
      <c r="I599" s="9">
        <f t="shared" si="18"/>
        <v>3</v>
      </c>
      <c r="J599" s="5" t="s">
        <v>1651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4">
        <v>2</v>
      </c>
      <c r="AH599" s="4">
        <v>3</v>
      </c>
      <c r="AI599" s="4">
        <v>1</v>
      </c>
      <c r="AJ599" s="4">
        <v>2</v>
      </c>
      <c r="AK599" s="4">
        <v>5</v>
      </c>
      <c r="AL599" s="4">
        <v>2</v>
      </c>
      <c r="AM599" s="4">
        <v>1</v>
      </c>
      <c r="AN599" s="4">
        <v>0</v>
      </c>
      <c r="AO599" s="4">
        <v>1</v>
      </c>
      <c r="AP599" s="4"/>
      <c r="AQ599" s="4">
        <v>0</v>
      </c>
      <c r="AR599" s="4">
        <v>1</v>
      </c>
      <c r="AS599" s="4">
        <f t="shared" si="19"/>
        <v>17</v>
      </c>
      <c r="AT599" s="9" t="s">
        <v>332</v>
      </c>
    </row>
    <row r="600" spans="1:46" x14ac:dyDescent="0.2">
      <c r="A600" s="4">
        <v>6043</v>
      </c>
      <c r="B600" s="4" t="s">
        <v>22</v>
      </c>
      <c r="C600" s="5" t="s">
        <v>1258</v>
      </c>
      <c r="D600" s="5" t="s">
        <v>1259</v>
      </c>
      <c r="E600" s="5" t="s">
        <v>1213</v>
      </c>
      <c r="F600" s="5" t="s">
        <v>98</v>
      </c>
      <c r="G600" s="13">
        <v>46304</v>
      </c>
      <c r="H600" s="13">
        <v>46308</v>
      </c>
      <c r="I600" s="9">
        <f t="shared" si="18"/>
        <v>3</v>
      </c>
      <c r="J600" s="5" t="s">
        <v>1651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4">
        <v>2</v>
      </c>
      <c r="AH600" s="4">
        <v>1</v>
      </c>
      <c r="AI600" s="4">
        <v>1</v>
      </c>
      <c r="AJ600" s="4">
        <v>2</v>
      </c>
      <c r="AK600" s="4">
        <v>3</v>
      </c>
      <c r="AL600" s="4">
        <v>2</v>
      </c>
      <c r="AM600" s="4">
        <v>1</v>
      </c>
      <c r="AN600" s="4">
        <v>0</v>
      </c>
      <c r="AO600" s="4">
        <v>1</v>
      </c>
      <c r="AP600" s="4"/>
      <c r="AQ600" s="4">
        <v>0</v>
      </c>
      <c r="AR600" s="4">
        <v>1</v>
      </c>
      <c r="AS600" s="4">
        <f t="shared" si="19"/>
        <v>13</v>
      </c>
      <c r="AT600" s="9" t="s">
        <v>335</v>
      </c>
    </row>
    <row r="601" spans="1:46" x14ac:dyDescent="0.2">
      <c r="A601" s="4">
        <v>6044</v>
      </c>
      <c r="B601" s="4" t="s">
        <v>22</v>
      </c>
      <c r="C601" s="5" t="s">
        <v>1260</v>
      </c>
      <c r="D601" s="5" t="s">
        <v>1261</v>
      </c>
      <c r="E601" s="5" t="s">
        <v>1213</v>
      </c>
      <c r="F601" s="5" t="s">
        <v>98</v>
      </c>
      <c r="G601" s="13">
        <v>46304</v>
      </c>
      <c r="H601" s="13">
        <v>46308</v>
      </c>
      <c r="I601" s="9">
        <f t="shared" si="18"/>
        <v>3</v>
      </c>
      <c r="J601" s="5" t="s">
        <v>1651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4">
        <v>8</v>
      </c>
      <c r="AH601" s="4">
        <v>6</v>
      </c>
      <c r="AI601" s="4">
        <v>1</v>
      </c>
      <c r="AJ601" s="4">
        <v>4</v>
      </c>
      <c r="AK601" s="4">
        <v>15</v>
      </c>
      <c r="AL601" s="4">
        <v>6</v>
      </c>
      <c r="AM601" s="4">
        <v>3</v>
      </c>
      <c r="AN601" s="4">
        <v>0</v>
      </c>
      <c r="AO601" s="4">
        <v>3</v>
      </c>
      <c r="AP601" s="4"/>
      <c r="AQ601" s="4">
        <v>1</v>
      </c>
      <c r="AR601" s="4">
        <v>1</v>
      </c>
      <c r="AS601" s="4">
        <f t="shared" si="19"/>
        <v>47</v>
      </c>
      <c r="AT601" s="9" t="s">
        <v>364</v>
      </c>
    </row>
    <row r="602" spans="1:46" x14ac:dyDescent="0.2">
      <c r="A602" s="4">
        <v>6067</v>
      </c>
      <c r="B602" s="4" t="s">
        <v>22</v>
      </c>
      <c r="C602" s="5" t="s">
        <v>1292</v>
      </c>
      <c r="D602" s="5" t="s">
        <v>1293</v>
      </c>
      <c r="E602" s="5" t="s">
        <v>1213</v>
      </c>
      <c r="F602" s="5" t="s">
        <v>98</v>
      </c>
      <c r="G602" s="13">
        <v>46304</v>
      </c>
      <c r="H602" s="13">
        <v>46308</v>
      </c>
      <c r="I602" s="9">
        <f t="shared" si="18"/>
        <v>3</v>
      </c>
      <c r="J602" s="5" t="s">
        <v>1651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4">
        <v>2</v>
      </c>
      <c r="AH602" s="4">
        <v>1</v>
      </c>
      <c r="AI602" s="4">
        <v>1</v>
      </c>
      <c r="AJ602" s="4">
        <v>2</v>
      </c>
      <c r="AK602" s="4">
        <v>3</v>
      </c>
      <c r="AL602" s="4">
        <v>2</v>
      </c>
      <c r="AM602" s="4">
        <v>1</v>
      </c>
      <c r="AN602" s="4">
        <v>0</v>
      </c>
      <c r="AO602" s="4">
        <v>1</v>
      </c>
      <c r="AP602" s="4"/>
      <c r="AQ602" s="4">
        <v>0</v>
      </c>
      <c r="AR602" s="4">
        <v>1</v>
      </c>
      <c r="AS602" s="4">
        <f t="shared" si="19"/>
        <v>13</v>
      </c>
      <c r="AT602" s="9" t="s">
        <v>77</v>
      </c>
    </row>
    <row r="603" spans="1:46" x14ac:dyDescent="0.2">
      <c r="A603" s="4">
        <v>6975</v>
      </c>
      <c r="B603" s="4" t="s">
        <v>22</v>
      </c>
      <c r="C603" s="5" t="s">
        <v>1499</v>
      </c>
      <c r="D603" s="5" t="s">
        <v>495</v>
      </c>
      <c r="E603" s="5" t="s">
        <v>1175</v>
      </c>
      <c r="F603" s="5" t="s">
        <v>546</v>
      </c>
      <c r="G603" s="13">
        <v>46304</v>
      </c>
      <c r="H603" s="13">
        <v>46304</v>
      </c>
      <c r="I603" s="9">
        <f t="shared" si="18"/>
        <v>1</v>
      </c>
      <c r="J603" s="5" t="s">
        <v>1651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4">
        <v>2</v>
      </c>
      <c r="AH603" s="4">
        <v>1</v>
      </c>
      <c r="AI603" s="4">
        <v>1</v>
      </c>
      <c r="AJ603" s="4">
        <v>2</v>
      </c>
      <c r="AK603" s="4">
        <v>2</v>
      </c>
      <c r="AL603" s="4">
        <v>2</v>
      </c>
      <c r="AM603" s="4">
        <v>1</v>
      </c>
      <c r="AN603" s="4">
        <v>0</v>
      </c>
      <c r="AO603" s="4">
        <v>1</v>
      </c>
      <c r="AP603" s="4"/>
      <c r="AQ603" s="4">
        <v>0</v>
      </c>
      <c r="AR603" s="4">
        <v>1</v>
      </c>
      <c r="AS603" s="4">
        <f t="shared" si="19"/>
        <v>12</v>
      </c>
      <c r="AT603" s="9" t="s">
        <v>1442</v>
      </c>
    </row>
    <row r="604" spans="1:46" x14ac:dyDescent="0.2">
      <c r="A604" s="4">
        <v>8640</v>
      </c>
      <c r="B604" s="4" t="s">
        <v>22</v>
      </c>
      <c r="C604" s="5" t="s">
        <v>868</v>
      </c>
      <c r="D604" s="5" t="s">
        <v>1310</v>
      </c>
      <c r="E604" s="5" t="s">
        <v>1600</v>
      </c>
      <c r="F604" s="5" t="s">
        <v>331</v>
      </c>
      <c r="G604" s="13">
        <v>46304</v>
      </c>
      <c r="H604" s="13">
        <v>46308</v>
      </c>
      <c r="I604" s="9">
        <f t="shared" si="18"/>
        <v>3</v>
      </c>
      <c r="J604" s="5" t="s">
        <v>1651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4">
        <v>5</v>
      </c>
      <c r="AH604" s="4">
        <v>4</v>
      </c>
      <c r="AI604" s="4">
        <v>1</v>
      </c>
      <c r="AJ604" s="4">
        <v>3</v>
      </c>
      <c r="AK604" s="4">
        <v>9</v>
      </c>
      <c r="AL604" s="4">
        <v>4</v>
      </c>
      <c r="AM604" s="4">
        <v>2</v>
      </c>
      <c r="AN604" s="4">
        <v>0</v>
      </c>
      <c r="AO604" s="4">
        <v>2</v>
      </c>
      <c r="AP604" s="4"/>
      <c r="AQ604" s="4">
        <v>0</v>
      </c>
      <c r="AR604" s="4">
        <v>1</v>
      </c>
      <c r="AS604" s="4">
        <f t="shared" si="19"/>
        <v>30</v>
      </c>
      <c r="AT604" s="9" t="s">
        <v>1601</v>
      </c>
    </row>
    <row r="605" spans="1:46" x14ac:dyDescent="0.2">
      <c r="A605" s="4">
        <v>260</v>
      </c>
      <c r="B605" s="4" t="s">
        <v>22</v>
      </c>
      <c r="C605" s="5" t="s">
        <v>32</v>
      </c>
      <c r="D605" s="5" t="s">
        <v>24</v>
      </c>
      <c r="E605" s="5" t="s">
        <v>25</v>
      </c>
      <c r="F605" s="5" t="s">
        <v>26</v>
      </c>
      <c r="G605" s="13">
        <v>46308</v>
      </c>
      <c r="H605" s="13">
        <v>46309</v>
      </c>
      <c r="I605" s="9">
        <f t="shared" si="18"/>
        <v>2</v>
      </c>
      <c r="J605" s="5" t="s">
        <v>1651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4">
        <v>6</v>
      </c>
      <c r="AH605" s="4">
        <v>7</v>
      </c>
      <c r="AI605" s="4">
        <v>1</v>
      </c>
      <c r="AJ605" s="4">
        <v>5</v>
      </c>
      <c r="AK605" s="4">
        <v>14</v>
      </c>
      <c r="AL605" s="4">
        <v>5</v>
      </c>
      <c r="AM605" s="4">
        <v>3</v>
      </c>
      <c r="AN605" s="4">
        <v>0</v>
      </c>
      <c r="AO605" s="4">
        <v>1</v>
      </c>
      <c r="AP605" s="4"/>
      <c r="AQ605" s="4">
        <v>0</v>
      </c>
      <c r="AR605" s="4">
        <v>1</v>
      </c>
      <c r="AS605" s="4">
        <f t="shared" si="19"/>
        <v>42</v>
      </c>
      <c r="AT605" s="5" t="s">
        <v>27</v>
      </c>
    </row>
    <row r="606" spans="1:46" x14ac:dyDescent="0.2">
      <c r="A606" s="4">
        <v>1318</v>
      </c>
      <c r="B606" s="4" t="s">
        <v>22</v>
      </c>
      <c r="C606" s="5" t="s">
        <v>138</v>
      </c>
      <c r="D606" s="5" t="s">
        <v>139</v>
      </c>
      <c r="E606" s="5" t="s">
        <v>118</v>
      </c>
      <c r="F606" s="5" t="s">
        <v>68</v>
      </c>
      <c r="G606" s="13">
        <v>46308</v>
      </c>
      <c r="H606" s="13">
        <v>46309</v>
      </c>
      <c r="I606" s="9">
        <f t="shared" si="18"/>
        <v>2</v>
      </c>
      <c r="J606" s="5" t="s">
        <v>1651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4">
        <v>4</v>
      </c>
      <c r="AH606" s="4">
        <v>4</v>
      </c>
      <c r="AI606" s="4">
        <v>1</v>
      </c>
      <c r="AJ606" s="4">
        <v>3</v>
      </c>
      <c r="AK606" s="4">
        <v>8</v>
      </c>
      <c r="AL606" s="4">
        <v>3</v>
      </c>
      <c r="AM606" s="4">
        <v>2</v>
      </c>
      <c r="AN606" s="4">
        <v>0</v>
      </c>
      <c r="AO606" s="4">
        <v>1</v>
      </c>
      <c r="AP606" s="7"/>
      <c r="AQ606" s="4">
        <v>0</v>
      </c>
      <c r="AR606" s="4">
        <v>1</v>
      </c>
      <c r="AS606" s="4">
        <f t="shared" si="19"/>
        <v>26</v>
      </c>
      <c r="AT606" s="4" t="s">
        <v>137</v>
      </c>
    </row>
    <row r="607" spans="1:46" x14ac:dyDescent="0.2">
      <c r="A607" s="4">
        <v>1355</v>
      </c>
      <c r="B607" s="4" t="s">
        <v>22</v>
      </c>
      <c r="C607" s="5" t="s">
        <v>184</v>
      </c>
      <c r="D607" s="5" t="s">
        <v>185</v>
      </c>
      <c r="E607" s="5" t="s">
        <v>118</v>
      </c>
      <c r="F607" s="5" t="s">
        <v>119</v>
      </c>
      <c r="G607" s="13">
        <v>46308</v>
      </c>
      <c r="H607" s="13">
        <v>46308</v>
      </c>
      <c r="I607" s="9">
        <f t="shared" si="18"/>
        <v>1</v>
      </c>
      <c r="J607" s="5" t="s">
        <v>1651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4">
        <v>5</v>
      </c>
      <c r="AH607" s="4">
        <v>1</v>
      </c>
      <c r="AI607" s="4">
        <v>1</v>
      </c>
      <c r="AJ607" s="4">
        <v>3</v>
      </c>
      <c r="AK607" s="4">
        <v>6</v>
      </c>
      <c r="AL607" s="4">
        <v>4</v>
      </c>
      <c r="AM607" s="4">
        <v>2</v>
      </c>
      <c r="AN607" s="4">
        <v>0</v>
      </c>
      <c r="AO607" s="4">
        <v>1</v>
      </c>
      <c r="AP607" s="4"/>
      <c r="AQ607" s="4">
        <v>0</v>
      </c>
      <c r="AR607" s="4">
        <v>1</v>
      </c>
      <c r="AS607" s="4">
        <f t="shared" si="19"/>
        <v>23</v>
      </c>
      <c r="AT607" s="4" t="s">
        <v>125</v>
      </c>
    </row>
    <row r="608" spans="1:46" x14ac:dyDescent="0.2">
      <c r="A608" s="4">
        <v>2114</v>
      </c>
      <c r="B608" s="4" t="s">
        <v>22</v>
      </c>
      <c r="C608" s="5" t="s">
        <v>566</v>
      </c>
      <c r="D608" s="5" t="s">
        <v>567</v>
      </c>
      <c r="E608" s="5" t="s">
        <v>545</v>
      </c>
      <c r="F608" s="5" t="s">
        <v>546</v>
      </c>
      <c r="G608" s="13">
        <v>46308</v>
      </c>
      <c r="H608" s="13">
        <v>46308</v>
      </c>
      <c r="I608" s="9">
        <f t="shared" si="18"/>
        <v>1</v>
      </c>
      <c r="J608" s="5" t="s">
        <v>1651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4">
        <v>4</v>
      </c>
      <c r="AH608" s="4">
        <v>3</v>
      </c>
      <c r="AI608" s="4">
        <v>1</v>
      </c>
      <c r="AJ608" s="4">
        <v>3</v>
      </c>
      <c r="AK608" s="4">
        <v>7</v>
      </c>
      <c r="AL608" s="4">
        <v>3</v>
      </c>
      <c r="AM608" s="4">
        <v>2</v>
      </c>
      <c r="AN608" s="4">
        <v>0</v>
      </c>
      <c r="AO608" s="4">
        <v>1</v>
      </c>
      <c r="AP608" s="4"/>
      <c r="AQ608" s="4">
        <v>0</v>
      </c>
      <c r="AR608" s="4">
        <v>1</v>
      </c>
      <c r="AS608" s="4">
        <f t="shared" si="19"/>
        <v>24</v>
      </c>
      <c r="AT608" s="9" t="s">
        <v>547</v>
      </c>
    </row>
    <row r="609" spans="1:46" x14ac:dyDescent="0.2">
      <c r="A609" s="4">
        <v>3320</v>
      </c>
      <c r="B609" s="4" t="s">
        <v>22</v>
      </c>
      <c r="C609" s="5" t="s">
        <v>850</v>
      </c>
      <c r="D609" s="5" t="s">
        <v>851</v>
      </c>
      <c r="E609" s="5" t="s">
        <v>842</v>
      </c>
      <c r="F609" s="5" t="s">
        <v>119</v>
      </c>
      <c r="G609" s="13">
        <v>46308</v>
      </c>
      <c r="H609" s="13">
        <v>46309</v>
      </c>
      <c r="I609" s="9">
        <f t="shared" si="18"/>
        <v>2</v>
      </c>
      <c r="J609" s="5" t="s">
        <v>1651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4">
        <v>4</v>
      </c>
      <c r="AH609" s="4">
        <v>3</v>
      </c>
      <c r="AI609" s="4">
        <v>1</v>
      </c>
      <c r="AJ609" s="4">
        <v>2</v>
      </c>
      <c r="AK609" s="4">
        <v>10</v>
      </c>
      <c r="AL609" s="4">
        <v>3</v>
      </c>
      <c r="AM609" s="4">
        <v>2</v>
      </c>
      <c r="AN609" s="4">
        <v>0</v>
      </c>
      <c r="AO609" s="4">
        <v>1</v>
      </c>
      <c r="AP609" s="4"/>
      <c r="AQ609" s="4">
        <v>0</v>
      </c>
      <c r="AR609" s="4">
        <v>1</v>
      </c>
      <c r="AS609" s="4">
        <f t="shared" si="19"/>
        <v>26</v>
      </c>
      <c r="AT609" s="9" t="s">
        <v>845</v>
      </c>
    </row>
    <row r="610" spans="1:46" x14ac:dyDescent="0.2">
      <c r="A610" s="4">
        <v>6016</v>
      </c>
      <c r="B610" s="4" t="s">
        <v>22</v>
      </c>
      <c r="C610" s="5" t="s">
        <v>1225</v>
      </c>
      <c r="D610" s="5" t="s">
        <v>1226</v>
      </c>
      <c r="E610" s="5" t="s">
        <v>1213</v>
      </c>
      <c r="F610" s="5" t="s">
        <v>98</v>
      </c>
      <c r="G610" s="13">
        <v>46308</v>
      </c>
      <c r="H610" s="13">
        <v>46310</v>
      </c>
      <c r="I610" s="9">
        <f t="shared" si="18"/>
        <v>3</v>
      </c>
      <c r="J610" s="5" t="s">
        <v>1651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4">
        <v>4</v>
      </c>
      <c r="AH610" s="4">
        <v>3</v>
      </c>
      <c r="AI610" s="4">
        <v>1</v>
      </c>
      <c r="AJ610" s="4">
        <v>2</v>
      </c>
      <c r="AK610" s="4">
        <v>9</v>
      </c>
      <c r="AL610" s="4">
        <v>4</v>
      </c>
      <c r="AM610" s="4">
        <v>1</v>
      </c>
      <c r="AN610" s="4">
        <v>0</v>
      </c>
      <c r="AO610" s="4">
        <v>1</v>
      </c>
      <c r="AP610" s="4"/>
      <c r="AQ610" s="4">
        <v>0</v>
      </c>
      <c r="AR610" s="4">
        <v>1</v>
      </c>
      <c r="AS610" s="4">
        <f t="shared" si="19"/>
        <v>25</v>
      </c>
      <c r="AT610" s="9" t="s">
        <v>364</v>
      </c>
    </row>
    <row r="611" spans="1:46" x14ac:dyDescent="0.2">
      <c r="A611" s="4">
        <v>6041</v>
      </c>
      <c r="B611" s="4" t="s">
        <v>22</v>
      </c>
      <c r="C611" s="5" t="s">
        <v>1254</v>
      </c>
      <c r="D611" s="5" t="s">
        <v>1255</v>
      </c>
      <c r="E611" s="5" t="s">
        <v>1213</v>
      </c>
      <c r="F611" s="5" t="s">
        <v>98</v>
      </c>
      <c r="G611" s="13">
        <v>46308</v>
      </c>
      <c r="H611" s="13">
        <v>46309</v>
      </c>
      <c r="I611" s="9">
        <f t="shared" si="18"/>
        <v>2</v>
      </c>
      <c r="J611" s="5" t="s">
        <v>1651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4">
        <v>2</v>
      </c>
      <c r="AH611" s="4">
        <v>1</v>
      </c>
      <c r="AI611" s="4">
        <v>1</v>
      </c>
      <c r="AJ611" s="4">
        <v>2</v>
      </c>
      <c r="AK611" s="4">
        <v>3</v>
      </c>
      <c r="AL611" s="4">
        <v>2</v>
      </c>
      <c r="AM611" s="4">
        <v>1</v>
      </c>
      <c r="AN611" s="4">
        <v>0</v>
      </c>
      <c r="AO611" s="4">
        <v>1</v>
      </c>
      <c r="AP611" s="4"/>
      <c r="AQ611" s="4">
        <v>0</v>
      </c>
      <c r="AR611" s="4">
        <v>1</v>
      </c>
      <c r="AS611" s="4">
        <f t="shared" si="19"/>
        <v>13</v>
      </c>
      <c r="AT611" s="9" t="s">
        <v>335</v>
      </c>
    </row>
    <row r="612" spans="1:46" x14ac:dyDescent="0.2">
      <c r="A612" s="4">
        <v>6045</v>
      </c>
      <c r="B612" s="4" t="s">
        <v>22</v>
      </c>
      <c r="C612" s="5" t="s">
        <v>673</v>
      </c>
      <c r="D612" s="5" t="s">
        <v>1262</v>
      </c>
      <c r="E612" s="5" t="s">
        <v>1213</v>
      </c>
      <c r="F612" s="5" t="s">
        <v>98</v>
      </c>
      <c r="G612" s="13">
        <v>46308</v>
      </c>
      <c r="H612" s="13">
        <v>46309</v>
      </c>
      <c r="I612" s="9">
        <f t="shared" si="18"/>
        <v>2</v>
      </c>
      <c r="J612" s="5" t="s">
        <v>1651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4">
        <v>2</v>
      </c>
      <c r="AH612" s="4">
        <v>1</v>
      </c>
      <c r="AI612" s="4">
        <v>1</v>
      </c>
      <c r="AJ612" s="4">
        <v>2</v>
      </c>
      <c r="AK612" s="4">
        <v>4</v>
      </c>
      <c r="AL612" s="4">
        <v>2</v>
      </c>
      <c r="AM612" s="4">
        <v>1</v>
      </c>
      <c r="AN612" s="4">
        <v>0</v>
      </c>
      <c r="AO612" s="4">
        <v>1</v>
      </c>
      <c r="AP612" s="4"/>
      <c r="AQ612" s="4">
        <v>0</v>
      </c>
      <c r="AR612" s="4">
        <v>1</v>
      </c>
      <c r="AS612" s="4">
        <f t="shared" si="19"/>
        <v>14</v>
      </c>
      <c r="AT612" s="9" t="s">
        <v>342</v>
      </c>
    </row>
    <row r="613" spans="1:46" x14ac:dyDescent="0.2">
      <c r="A613" s="4">
        <v>6054</v>
      </c>
      <c r="B613" s="4" t="s">
        <v>22</v>
      </c>
      <c r="C613" s="5" t="s">
        <v>218</v>
      </c>
      <c r="D613" s="5" t="s">
        <v>219</v>
      </c>
      <c r="E613" s="5" t="s">
        <v>1213</v>
      </c>
      <c r="F613" s="5" t="s">
        <v>98</v>
      </c>
      <c r="G613" s="13">
        <v>46308</v>
      </c>
      <c r="H613" s="13">
        <v>46309</v>
      </c>
      <c r="I613" s="9">
        <f t="shared" si="18"/>
        <v>2</v>
      </c>
      <c r="J613" s="5" t="s">
        <v>1651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4">
        <v>2</v>
      </c>
      <c r="AH613" s="4">
        <v>1</v>
      </c>
      <c r="AI613" s="4">
        <v>1</v>
      </c>
      <c r="AJ613" s="4">
        <v>2</v>
      </c>
      <c r="AK613" s="4">
        <v>3</v>
      </c>
      <c r="AL613" s="4">
        <v>2</v>
      </c>
      <c r="AM613" s="4">
        <v>1</v>
      </c>
      <c r="AN613" s="4">
        <v>1</v>
      </c>
      <c r="AO613" s="4">
        <v>1</v>
      </c>
      <c r="AP613" s="4"/>
      <c r="AQ613" s="4">
        <v>0</v>
      </c>
      <c r="AR613" s="4">
        <v>1</v>
      </c>
      <c r="AS613" s="4">
        <f t="shared" si="19"/>
        <v>14</v>
      </c>
      <c r="AT613" s="9" t="s">
        <v>77</v>
      </c>
    </row>
    <row r="614" spans="1:46" x14ac:dyDescent="0.2">
      <c r="A614" s="4">
        <v>6072</v>
      </c>
      <c r="B614" s="4" t="s">
        <v>22</v>
      </c>
      <c r="C614" s="5" t="s">
        <v>1296</v>
      </c>
      <c r="D614" s="5" t="s">
        <v>1297</v>
      </c>
      <c r="E614" s="5" t="s">
        <v>1213</v>
      </c>
      <c r="F614" s="5" t="s">
        <v>98</v>
      </c>
      <c r="G614" s="13">
        <v>46308</v>
      </c>
      <c r="H614" s="13">
        <v>46309</v>
      </c>
      <c r="I614" s="9">
        <f t="shared" si="18"/>
        <v>2</v>
      </c>
      <c r="J614" s="5" t="s">
        <v>1651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4">
        <v>2</v>
      </c>
      <c r="AH614" s="4">
        <v>1</v>
      </c>
      <c r="AI614" s="4">
        <v>1</v>
      </c>
      <c r="AJ614" s="4">
        <v>2</v>
      </c>
      <c r="AK614" s="4">
        <v>3</v>
      </c>
      <c r="AL614" s="4">
        <v>2</v>
      </c>
      <c r="AM614" s="4">
        <v>1</v>
      </c>
      <c r="AN614" s="4">
        <v>0</v>
      </c>
      <c r="AO614" s="4">
        <v>1</v>
      </c>
      <c r="AP614" s="4"/>
      <c r="AQ614" s="4">
        <v>0</v>
      </c>
      <c r="AR614" s="4">
        <v>1</v>
      </c>
      <c r="AS614" s="4">
        <f t="shared" si="19"/>
        <v>13</v>
      </c>
      <c r="AT614" s="9" t="s">
        <v>332</v>
      </c>
    </row>
    <row r="615" spans="1:46" x14ac:dyDescent="0.2">
      <c r="A615" s="4">
        <v>6965</v>
      </c>
      <c r="B615" s="4" t="s">
        <v>22</v>
      </c>
      <c r="C615" s="4" t="s">
        <v>1489</v>
      </c>
      <c r="D615" s="4" t="s">
        <v>1490</v>
      </c>
      <c r="E615" s="4" t="s">
        <v>1175</v>
      </c>
      <c r="F615" s="4" t="s">
        <v>546</v>
      </c>
      <c r="G615" s="13">
        <v>46308</v>
      </c>
      <c r="H615" s="13">
        <v>46308</v>
      </c>
      <c r="I615" s="9">
        <f t="shared" si="18"/>
        <v>1</v>
      </c>
      <c r="J615" s="5" t="s">
        <v>1651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4">
        <v>5</v>
      </c>
      <c r="AH615" s="4">
        <v>3</v>
      </c>
      <c r="AI615" s="4">
        <v>1</v>
      </c>
      <c r="AJ615" s="4">
        <v>4</v>
      </c>
      <c r="AK615" s="4">
        <v>7</v>
      </c>
      <c r="AL615" s="4">
        <v>5</v>
      </c>
      <c r="AM615" s="4">
        <v>3</v>
      </c>
      <c r="AN615" s="4">
        <v>0</v>
      </c>
      <c r="AO615" s="4">
        <v>1</v>
      </c>
      <c r="AP615" s="11"/>
      <c r="AQ615" s="4">
        <v>1</v>
      </c>
      <c r="AR615" s="4">
        <v>1</v>
      </c>
      <c r="AS615" s="4">
        <f t="shared" si="19"/>
        <v>30</v>
      </c>
      <c r="AT615" s="9" t="s">
        <v>1442</v>
      </c>
    </row>
    <row r="616" spans="1:46" x14ac:dyDescent="0.2">
      <c r="A616" s="4">
        <v>1324</v>
      </c>
      <c r="B616" s="4" t="s">
        <v>22</v>
      </c>
      <c r="C616" s="5" t="s">
        <v>145</v>
      </c>
      <c r="D616" s="5" t="s">
        <v>146</v>
      </c>
      <c r="E616" s="5" t="s">
        <v>118</v>
      </c>
      <c r="F616" s="5" t="s">
        <v>119</v>
      </c>
      <c r="G616" s="13">
        <v>46309</v>
      </c>
      <c r="H616" s="13">
        <v>46309</v>
      </c>
      <c r="I616" s="9">
        <f t="shared" si="18"/>
        <v>1</v>
      </c>
      <c r="J616" s="5" t="s">
        <v>1651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4">
        <v>3</v>
      </c>
      <c r="AH616" s="4">
        <v>2</v>
      </c>
      <c r="AI616" s="4">
        <v>1</v>
      </c>
      <c r="AJ616" s="4">
        <v>2</v>
      </c>
      <c r="AK616" s="4">
        <v>5</v>
      </c>
      <c r="AL616" s="4">
        <v>2</v>
      </c>
      <c r="AM616" s="4">
        <v>1</v>
      </c>
      <c r="AN616" s="4">
        <v>0</v>
      </c>
      <c r="AO616" s="4">
        <v>1</v>
      </c>
      <c r="AP616" s="4"/>
      <c r="AQ616" s="4">
        <v>0</v>
      </c>
      <c r="AR616" s="4">
        <v>1</v>
      </c>
      <c r="AS616" s="4">
        <f t="shared" si="19"/>
        <v>17</v>
      </c>
      <c r="AT616" s="4" t="s">
        <v>125</v>
      </c>
    </row>
    <row r="617" spans="1:46" x14ac:dyDescent="0.2">
      <c r="A617" s="4">
        <v>1330</v>
      </c>
      <c r="B617" s="4" t="s">
        <v>22</v>
      </c>
      <c r="C617" s="5" t="s">
        <v>151</v>
      </c>
      <c r="D617" s="5" t="s">
        <v>152</v>
      </c>
      <c r="E617" s="5" t="s">
        <v>118</v>
      </c>
      <c r="F617" s="5" t="s">
        <v>119</v>
      </c>
      <c r="G617" s="13">
        <v>46309</v>
      </c>
      <c r="H617" s="13">
        <v>46309</v>
      </c>
      <c r="I617" s="9">
        <f t="shared" si="18"/>
        <v>1</v>
      </c>
      <c r="J617" s="5" t="s">
        <v>1651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4">
        <v>2</v>
      </c>
      <c r="AH617" s="4">
        <v>1</v>
      </c>
      <c r="AI617" s="4">
        <v>1</v>
      </c>
      <c r="AJ617" s="4">
        <v>2</v>
      </c>
      <c r="AK617" s="4">
        <v>3</v>
      </c>
      <c r="AL617" s="4">
        <v>2</v>
      </c>
      <c r="AM617" s="4">
        <v>1</v>
      </c>
      <c r="AN617" s="4">
        <v>0</v>
      </c>
      <c r="AO617" s="4">
        <v>1</v>
      </c>
      <c r="AP617" s="4"/>
      <c r="AQ617" s="4">
        <v>0</v>
      </c>
      <c r="AR617" s="4">
        <v>1</v>
      </c>
      <c r="AS617" s="4">
        <f t="shared" si="19"/>
        <v>13</v>
      </c>
      <c r="AT617" s="4" t="s">
        <v>120</v>
      </c>
    </row>
    <row r="618" spans="1:46" x14ac:dyDescent="0.2">
      <c r="A618" s="4">
        <v>1442</v>
      </c>
      <c r="B618" s="4" t="s">
        <v>22</v>
      </c>
      <c r="C618" s="5" t="s">
        <v>285</v>
      </c>
      <c r="D618" s="5" t="s">
        <v>286</v>
      </c>
      <c r="E618" s="5" t="s">
        <v>118</v>
      </c>
      <c r="F618" s="5" t="s">
        <v>119</v>
      </c>
      <c r="G618" s="13">
        <v>46309</v>
      </c>
      <c r="H618" s="13">
        <v>46309</v>
      </c>
      <c r="I618" s="9">
        <f t="shared" si="18"/>
        <v>1</v>
      </c>
      <c r="J618" s="5" t="s">
        <v>1651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4">
        <v>2</v>
      </c>
      <c r="AH618" s="4">
        <v>1</v>
      </c>
      <c r="AI618" s="4">
        <v>1</v>
      </c>
      <c r="AJ618" s="4">
        <v>2</v>
      </c>
      <c r="AK618" s="4">
        <v>3</v>
      </c>
      <c r="AL618" s="4">
        <v>2</v>
      </c>
      <c r="AM618" s="4">
        <v>1</v>
      </c>
      <c r="AN618" s="4">
        <v>0</v>
      </c>
      <c r="AO618" s="4">
        <v>1</v>
      </c>
      <c r="AP618" s="4"/>
      <c r="AQ618" s="4">
        <v>0</v>
      </c>
      <c r="AR618" s="4">
        <v>1</v>
      </c>
      <c r="AS618" s="4">
        <f t="shared" si="19"/>
        <v>13</v>
      </c>
      <c r="AT618" s="4" t="s">
        <v>120</v>
      </c>
    </row>
    <row r="619" spans="1:46" x14ac:dyDescent="0.2">
      <c r="A619" s="4">
        <v>1861</v>
      </c>
      <c r="B619" s="4" t="s">
        <v>22</v>
      </c>
      <c r="C619" s="5" t="s">
        <v>536</v>
      </c>
      <c r="D619" s="5" t="s">
        <v>537</v>
      </c>
      <c r="E619" s="5" t="s">
        <v>215</v>
      </c>
      <c r="F619" s="5" t="s">
        <v>500</v>
      </c>
      <c r="G619" s="13">
        <v>46309</v>
      </c>
      <c r="H619" s="13">
        <v>46309</v>
      </c>
      <c r="I619" s="9">
        <f t="shared" si="18"/>
        <v>1</v>
      </c>
      <c r="J619" s="5" t="s">
        <v>1651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4">
        <v>2</v>
      </c>
      <c r="AH619" s="4">
        <v>1</v>
      </c>
      <c r="AI619" s="4">
        <v>1</v>
      </c>
      <c r="AJ619" s="4">
        <v>2</v>
      </c>
      <c r="AK619" s="4">
        <v>4</v>
      </c>
      <c r="AL619" s="4">
        <v>2</v>
      </c>
      <c r="AM619" s="4">
        <v>1</v>
      </c>
      <c r="AN619" s="4">
        <v>0</v>
      </c>
      <c r="AO619" s="4">
        <v>1</v>
      </c>
      <c r="AP619" s="4"/>
      <c r="AQ619" s="4">
        <v>0</v>
      </c>
      <c r="AR619" s="4">
        <v>1</v>
      </c>
      <c r="AS619" s="4">
        <f t="shared" si="19"/>
        <v>14</v>
      </c>
      <c r="AT619" s="9" t="s">
        <v>501</v>
      </c>
    </row>
    <row r="620" spans="1:46" x14ac:dyDescent="0.2">
      <c r="A620" s="4">
        <v>2110</v>
      </c>
      <c r="B620" s="4" t="s">
        <v>22</v>
      </c>
      <c r="C620" s="5" t="s">
        <v>560</v>
      </c>
      <c r="D620" s="5" t="s">
        <v>561</v>
      </c>
      <c r="E620" s="5" t="s">
        <v>545</v>
      </c>
      <c r="F620" s="5" t="s">
        <v>546</v>
      </c>
      <c r="G620" s="13">
        <v>46309</v>
      </c>
      <c r="H620" s="13">
        <v>46309</v>
      </c>
      <c r="I620" s="9">
        <f t="shared" si="18"/>
        <v>1</v>
      </c>
      <c r="J620" s="5" t="s">
        <v>1651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4">
        <v>4</v>
      </c>
      <c r="AH620" s="4">
        <v>1</v>
      </c>
      <c r="AI620" s="4">
        <v>1</v>
      </c>
      <c r="AJ620" s="4">
        <v>2</v>
      </c>
      <c r="AK620" s="4">
        <v>6</v>
      </c>
      <c r="AL620" s="4">
        <v>3</v>
      </c>
      <c r="AM620" s="4">
        <v>1</v>
      </c>
      <c r="AN620" s="4">
        <v>0</v>
      </c>
      <c r="AO620" s="4">
        <v>1</v>
      </c>
      <c r="AP620" s="4"/>
      <c r="AQ620" s="4">
        <v>0</v>
      </c>
      <c r="AR620" s="4">
        <v>1</v>
      </c>
      <c r="AS620" s="4">
        <f t="shared" si="19"/>
        <v>19</v>
      </c>
      <c r="AT620" s="9" t="s">
        <v>547</v>
      </c>
    </row>
    <row r="621" spans="1:46" x14ac:dyDescent="0.2">
      <c r="A621" s="4">
        <v>3973</v>
      </c>
      <c r="B621" s="4" t="s">
        <v>22</v>
      </c>
      <c r="C621" s="5" t="s">
        <v>950</v>
      </c>
      <c r="D621" s="5" t="s">
        <v>951</v>
      </c>
      <c r="E621" s="5" t="s">
        <v>873</v>
      </c>
      <c r="F621" s="5" t="s">
        <v>574</v>
      </c>
      <c r="G621" s="13">
        <v>46309</v>
      </c>
      <c r="H621" s="13">
        <v>46309</v>
      </c>
      <c r="I621" s="9">
        <f t="shared" si="18"/>
        <v>1</v>
      </c>
      <c r="J621" s="5" t="s">
        <v>1651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4">
        <v>4</v>
      </c>
      <c r="AH621" s="4">
        <v>3</v>
      </c>
      <c r="AI621" s="4">
        <v>1</v>
      </c>
      <c r="AJ621" s="4">
        <v>2</v>
      </c>
      <c r="AK621" s="4">
        <v>7</v>
      </c>
      <c r="AL621" s="4">
        <v>3</v>
      </c>
      <c r="AM621" s="4">
        <v>1</v>
      </c>
      <c r="AN621" s="4">
        <v>0</v>
      </c>
      <c r="AO621" s="4">
        <v>1</v>
      </c>
      <c r="AP621" s="4"/>
      <c r="AQ621" s="4">
        <v>0</v>
      </c>
      <c r="AR621" s="4">
        <v>1</v>
      </c>
      <c r="AS621" s="4">
        <f t="shared" si="19"/>
        <v>22</v>
      </c>
      <c r="AT621" s="9" t="s">
        <v>874</v>
      </c>
    </row>
    <row r="622" spans="1:46" x14ac:dyDescent="0.2">
      <c r="A622" s="4">
        <v>4875</v>
      </c>
      <c r="B622" s="4" t="s">
        <v>22</v>
      </c>
      <c r="C622" s="5" t="s">
        <v>1091</v>
      </c>
      <c r="D622" s="5" t="s">
        <v>1092</v>
      </c>
      <c r="E622" s="5" t="s">
        <v>286</v>
      </c>
      <c r="F622" s="5" t="s">
        <v>546</v>
      </c>
      <c r="G622" s="13">
        <v>46309</v>
      </c>
      <c r="H622" s="13">
        <v>46309</v>
      </c>
      <c r="I622" s="9">
        <f t="shared" si="18"/>
        <v>1</v>
      </c>
      <c r="J622" s="5" t="s">
        <v>1651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4">
        <v>3</v>
      </c>
      <c r="AH622" s="4">
        <v>2</v>
      </c>
      <c r="AI622" s="4">
        <v>1</v>
      </c>
      <c r="AJ622" s="4">
        <v>2</v>
      </c>
      <c r="AK622" s="4">
        <v>5</v>
      </c>
      <c r="AL622" s="4">
        <v>2</v>
      </c>
      <c r="AM622" s="4">
        <v>1</v>
      </c>
      <c r="AN622" s="4">
        <v>0</v>
      </c>
      <c r="AO622" s="4">
        <v>1</v>
      </c>
      <c r="AP622" s="4"/>
      <c r="AQ622" s="4">
        <v>0</v>
      </c>
      <c r="AR622" s="4">
        <v>1</v>
      </c>
      <c r="AS622" s="4">
        <f t="shared" si="19"/>
        <v>17</v>
      </c>
      <c r="AT622" s="9" t="s">
        <v>1034</v>
      </c>
    </row>
    <row r="623" spans="1:46" x14ac:dyDescent="0.2">
      <c r="A623" s="4">
        <v>5108</v>
      </c>
      <c r="B623" s="4" t="s">
        <v>22</v>
      </c>
      <c r="C623" s="5" t="s">
        <v>1112</v>
      </c>
      <c r="D623" s="5" t="s">
        <v>1113</v>
      </c>
      <c r="E623" s="5" t="s">
        <v>1107</v>
      </c>
      <c r="F623" s="5" t="s">
        <v>98</v>
      </c>
      <c r="G623" s="13">
        <v>46309</v>
      </c>
      <c r="H623" s="13">
        <v>46309</v>
      </c>
      <c r="I623" s="9">
        <f t="shared" si="18"/>
        <v>1</v>
      </c>
      <c r="J623" s="5" t="s">
        <v>1651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4">
        <v>2</v>
      </c>
      <c r="AH623" s="4">
        <v>1</v>
      </c>
      <c r="AI623" s="4">
        <v>1</v>
      </c>
      <c r="AJ623" s="4">
        <v>2</v>
      </c>
      <c r="AK623" s="4">
        <v>3</v>
      </c>
      <c r="AL623" s="4">
        <v>2</v>
      </c>
      <c r="AM623" s="4">
        <v>1</v>
      </c>
      <c r="AN623" s="4">
        <v>0</v>
      </c>
      <c r="AO623" s="4">
        <v>1</v>
      </c>
      <c r="AP623" s="4"/>
      <c r="AQ623" s="4">
        <v>0</v>
      </c>
      <c r="AR623" s="4">
        <v>1</v>
      </c>
      <c r="AS623" s="4">
        <f t="shared" si="19"/>
        <v>13</v>
      </c>
      <c r="AT623" s="9" t="s">
        <v>1114</v>
      </c>
    </row>
    <row r="624" spans="1:46" x14ac:dyDescent="0.2">
      <c r="A624" s="4">
        <v>5114</v>
      </c>
      <c r="B624" s="4" t="s">
        <v>22</v>
      </c>
      <c r="C624" s="5" t="s">
        <v>1122</v>
      </c>
      <c r="D624" s="5" t="s">
        <v>1123</v>
      </c>
      <c r="E624" s="5" t="s">
        <v>1107</v>
      </c>
      <c r="F624" s="5" t="s">
        <v>98</v>
      </c>
      <c r="G624" s="13">
        <v>46309</v>
      </c>
      <c r="H624" s="13">
        <v>46309</v>
      </c>
      <c r="I624" s="9">
        <f t="shared" si="18"/>
        <v>1</v>
      </c>
      <c r="J624" s="5" t="s">
        <v>1651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4">
        <v>2</v>
      </c>
      <c r="AH624" s="4">
        <v>1</v>
      </c>
      <c r="AI624" s="4">
        <v>1</v>
      </c>
      <c r="AJ624" s="4">
        <v>2</v>
      </c>
      <c r="AK624" s="4">
        <v>3</v>
      </c>
      <c r="AL624" s="4">
        <v>2</v>
      </c>
      <c r="AM624" s="4">
        <v>1</v>
      </c>
      <c r="AN624" s="4">
        <v>0</v>
      </c>
      <c r="AO624" s="4">
        <v>1</v>
      </c>
      <c r="AP624" s="4"/>
      <c r="AQ624" s="4">
        <v>0</v>
      </c>
      <c r="AR624" s="4">
        <v>1</v>
      </c>
      <c r="AS624" s="4">
        <f t="shared" si="19"/>
        <v>13</v>
      </c>
      <c r="AT624" s="9" t="s">
        <v>1111</v>
      </c>
    </row>
    <row r="625" spans="1:46" x14ac:dyDescent="0.2">
      <c r="A625" s="4">
        <v>6046</v>
      </c>
      <c r="B625" s="4" t="s">
        <v>22</v>
      </c>
      <c r="C625" s="5" t="s">
        <v>1263</v>
      </c>
      <c r="D625" s="5" t="s">
        <v>1264</v>
      </c>
      <c r="E625" s="5" t="s">
        <v>1213</v>
      </c>
      <c r="F625" s="5" t="s">
        <v>331</v>
      </c>
      <c r="G625" s="13">
        <v>46309</v>
      </c>
      <c r="H625" s="13">
        <v>46310</v>
      </c>
      <c r="I625" s="9">
        <f t="shared" si="18"/>
        <v>2</v>
      </c>
      <c r="J625" s="5" t="s">
        <v>1651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4">
        <v>4</v>
      </c>
      <c r="AH625" s="4">
        <v>3</v>
      </c>
      <c r="AI625" s="4">
        <v>1</v>
      </c>
      <c r="AJ625" s="4">
        <v>2</v>
      </c>
      <c r="AK625" s="4">
        <v>8</v>
      </c>
      <c r="AL625" s="4">
        <v>3</v>
      </c>
      <c r="AM625" s="4">
        <v>1</v>
      </c>
      <c r="AN625" s="4">
        <v>0</v>
      </c>
      <c r="AO625" s="4">
        <v>1</v>
      </c>
      <c r="AP625" s="4"/>
      <c r="AQ625" s="4">
        <v>0</v>
      </c>
      <c r="AR625" s="4">
        <v>1</v>
      </c>
      <c r="AS625" s="4">
        <f t="shared" si="19"/>
        <v>23</v>
      </c>
      <c r="AT625" s="9" t="s">
        <v>332</v>
      </c>
    </row>
    <row r="626" spans="1:46" x14ac:dyDescent="0.2">
      <c r="A626" s="4">
        <v>6056</v>
      </c>
      <c r="B626" s="4" t="s">
        <v>22</v>
      </c>
      <c r="C626" s="5" t="s">
        <v>1275</v>
      </c>
      <c r="D626" s="5" t="s">
        <v>1276</v>
      </c>
      <c r="E626" s="5" t="s">
        <v>1213</v>
      </c>
      <c r="F626" s="5" t="s">
        <v>331</v>
      </c>
      <c r="G626" s="13">
        <v>46309</v>
      </c>
      <c r="H626" s="13">
        <v>46310</v>
      </c>
      <c r="I626" s="9">
        <f t="shared" si="18"/>
        <v>2</v>
      </c>
      <c r="J626" s="5" t="s">
        <v>1651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4">
        <v>2</v>
      </c>
      <c r="AH626" s="4">
        <v>1</v>
      </c>
      <c r="AI626" s="4">
        <v>1</v>
      </c>
      <c r="AJ626" s="4">
        <v>2</v>
      </c>
      <c r="AK626" s="4">
        <v>3</v>
      </c>
      <c r="AL626" s="4">
        <v>2</v>
      </c>
      <c r="AM626" s="4">
        <v>1</v>
      </c>
      <c r="AN626" s="4">
        <v>0</v>
      </c>
      <c r="AO626" s="4">
        <v>1</v>
      </c>
      <c r="AP626" s="4"/>
      <c r="AQ626" s="4">
        <v>0</v>
      </c>
      <c r="AR626" s="4">
        <v>1</v>
      </c>
      <c r="AS626" s="4">
        <f t="shared" si="19"/>
        <v>13</v>
      </c>
      <c r="AT626" s="9" t="s">
        <v>77</v>
      </c>
    </row>
    <row r="627" spans="1:46" x14ac:dyDescent="0.2">
      <c r="A627" s="4">
        <v>6074</v>
      </c>
      <c r="B627" s="4" t="s">
        <v>22</v>
      </c>
      <c r="C627" s="5" t="s">
        <v>1298</v>
      </c>
      <c r="D627" s="5" t="s">
        <v>1299</v>
      </c>
      <c r="E627" s="5" t="s">
        <v>1213</v>
      </c>
      <c r="F627" s="5" t="s">
        <v>331</v>
      </c>
      <c r="G627" s="13">
        <v>46309</v>
      </c>
      <c r="H627" s="13">
        <v>46310</v>
      </c>
      <c r="I627" s="9">
        <f t="shared" si="18"/>
        <v>2</v>
      </c>
      <c r="J627" s="5" t="s">
        <v>1651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4">
        <v>2</v>
      </c>
      <c r="AH627" s="4">
        <v>1</v>
      </c>
      <c r="AI627" s="4">
        <v>1</v>
      </c>
      <c r="AJ627" s="4">
        <v>2</v>
      </c>
      <c r="AK627" s="4">
        <v>3</v>
      </c>
      <c r="AL627" s="4">
        <v>2</v>
      </c>
      <c r="AM627" s="4">
        <v>1</v>
      </c>
      <c r="AN627" s="4">
        <v>0</v>
      </c>
      <c r="AO627" s="4">
        <v>1</v>
      </c>
      <c r="AP627" s="4"/>
      <c r="AQ627" s="4">
        <v>0</v>
      </c>
      <c r="AR627" s="4">
        <v>1</v>
      </c>
      <c r="AS627" s="4">
        <f t="shared" si="19"/>
        <v>13</v>
      </c>
      <c r="AT627" s="9" t="s">
        <v>335</v>
      </c>
    </row>
    <row r="628" spans="1:46" x14ac:dyDescent="0.2">
      <c r="A628" s="4">
        <v>6901</v>
      </c>
      <c r="B628" s="4" t="s">
        <v>22</v>
      </c>
      <c r="C628" s="5" t="s">
        <v>1438</v>
      </c>
      <c r="D628" s="5" t="s">
        <v>1439</v>
      </c>
      <c r="E628" s="5" t="s">
        <v>1175</v>
      </c>
      <c r="F628" s="5" t="s">
        <v>500</v>
      </c>
      <c r="G628" s="13">
        <v>46309</v>
      </c>
      <c r="H628" s="13">
        <v>46309</v>
      </c>
      <c r="I628" s="9">
        <f t="shared" si="18"/>
        <v>1</v>
      </c>
      <c r="J628" s="5" t="s">
        <v>1651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4">
        <v>3</v>
      </c>
      <c r="AH628" s="4">
        <v>1</v>
      </c>
      <c r="AI628" s="4">
        <v>1</v>
      </c>
      <c r="AJ628" s="4">
        <v>2</v>
      </c>
      <c r="AK628" s="4">
        <v>4</v>
      </c>
      <c r="AL628" s="4">
        <v>2</v>
      </c>
      <c r="AM628" s="4">
        <v>1</v>
      </c>
      <c r="AN628" s="4">
        <v>0</v>
      </c>
      <c r="AO628" s="4">
        <v>1</v>
      </c>
      <c r="AP628" s="4"/>
      <c r="AQ628" s="4">
        <v>0</v>
      </c>
      <c r="AR628" s="4">
        <v>1</v>
      </c>
      <c r="AS628" s="4">
        <f t="shared" si="19"/>
        <v>15</v>
      </c>
      <c r="AT628" s="9" t="s">
        <v>1170</v>
      </c>
    </row>
    <row r="629" spans="1:46" x14ac:dyDescent="0.2">
      <c r="A629" s="4">
        <v>6913</v>
      </c>
      <c r="B629" s="4" t="s">
        <v>22</v>
      </c>
      <c r="C629" s="5" t="s">
        <v>1445</v>
      </c>
      <c r="D629" s="5" t="s">
        <v>1446</v>
      </c>
      <c r="E629" s="5" t="s">
        <v>1175</v>
      </c>
      <c r="F629" s="5" t="s">
        <v>546</v>
      </c>
      <c r="G629" s="13">
        <v>46309</v>
      </c>
      <c r="H629" s="13">
        <v>46309</v>
      </c>
      <c r="I629" s="9">
        <f t="shared" si="18"/>
        <v>1</v>
      </c>
      <c r="J629" s="5" t="s">
        <v>1651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4">
        <v>3</v>
      </c>
      <c r="AH629" s="4">
        <v>1</v>
      </c>
      <c r="AI629" s="4">
        <v>1</v>
      </c>
      <c r="AJ629" s="4">
        <v>2</v>
      </c>
      <c r="AK629" s="4">
        <v>4</v>
      </c>
      <c r="AL629" s="4">
        <v>2</v>
      </c>
      <c r="AM629" s="4">
        <v>1</v>
      </c>
      <c r="AN629" s="4">
        <v>0</v>
      </c>
      <c r="AO629" s="4">
        <v>1</v>
      </c>
      <c r="AP629" s="4"/>
      <c r="AQ629" s="4">
        <v>0</v>
      </c>
      <c r="AR629" s="4">
        <v>1</v>
      </c>
      <c r="AS629" s="4">
        <f t="shared" si="19"/>
        <v>15</v>
      </c>
      <c r="AT629" s="9" t="s">
        <v>1442</v>
      </c>
    </row>
    <row r="630" spans="1:46" x14ac:dyDescent="0.2">
      <c r="A630" s="4">
        <v>8648</v>
      </c>
      <c r="B630" s="4" t="s">
        <v>22</v>
      </c>
      <c r="C630" s="5" t="s">
        <v>301</v>
      </c>
      <c r="D630" s="5" t="s">
        <v>302</v>
      </c>
      <c r="E630" s="5" t="s">
        <v>1600</v>
      </c>
      <c r="F630" s="5" t="s">
        <v>331</v>
      </c>
      <c r="G630" s="13">
        <v>46309</v>
      </c>
      <c r="H630" s="13">
        <v>46310</v>
      </c>
      <c r="I630" s="9">
        <f t="shared" si="18"/>
        <v>2</v>
      </c>
      <c r="J630" s="5" t="s">
        <v>1651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4">
        <v>2</v>
      </c>
      <c r="AH630" s="4">
        <v>1</v>
      </c>
      <c r="AI630" s="4">
        <v>1</v>
      </c>
      <c r="AJ630" s="4">
        <v>2</v>
      </c>
      <c r="AK630" s="4">
        <v>3</v>
      </c>
      <c r="AL630" s="4">
        <v>2</v>
      </c>
      <c r="AM630" s="4">
        <v>1</v>
      </c>
      <c r="AN630" s="4">
        <v>0</v>
      </c>
      <c r="AO630" s="4">
        <v>1</v>
      </c>
      <c r="AP630" s="4"/>
      <c r="AQ630" s="4">
        <v>0</v>
      </c>
      <c r="AR630" s="4">
        <v>1</v>
      </c>
      <c r="AS630" s="4">
        <f t="shared" si="19"/>
        <v>13</v>
      </c>
      <c r="AT630" s="9" t="s">
        <v>1601</v>
      </c>
    </row>
    <row r="631" spans="1:46" x14ac:dyDescent="0.2">
      <c r="A631" s="4">
        <v>590</v>
      </c>
      <c r="B631" s="4" t="s">
        <v>22</v>
      </c>
      <c r="C631" s="5" t="s">
        <v>39</v>
      </c>
      <c r="D631" s="5" t="s">
        <v>24</v>
      </c>
      <c r="E631" s="5" t="s">
        <v>25</v>
      </c>
      <c r="F631" s="5" t="s">
        <v>26</v>
      </c>
      <c r="G631" s="13">
        <v>46310</v>
      </c>
      <c r="H631" s="13">
        <v>46311</v>
      </c>
      <c r="I631" s="9">
        <f t="shared" si="18"/>
        <v>2</v>
      </c>
      <c r="J631" s="5" t="s">
        <v>1651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4">
        <v>5</v>
      </c>
      <c r="AH631" s="4">
        <v>7</v>
      </c>
      <c r="AI631" s="4">
        <v>1</v>
      </c>
      <c r="AJ631" s="4">
        <v>3</v>
      </c>
      <c r="AK631" s="4">
        <v>13</v>
      </c>
      <c r="AL631" s="4">
        <v>4</v>
      </c>
      <c r="AM631" s="4">
        <v>2</v>
      </c>
      <c r="AN631" s="4">
        <v>0</v>
      </c>
      <c r="AO631" s="4">
        <v>1</v>
      </c>
      <c r="AP631" s="4"/>
      <c r="AQ631" s="4">
        <v>0</v>
      </c>
      <c r="AR631" s="4">
        <v>1</v>
      </c>
      <c r="AS631" s="4">
        <f t="shared" si="19"/>
        <v>36</v>
      </c>
      <c r="AT631" s="5" t="s">
        <v>27</v>
      </c>
    </row>
    <row r="632" spans="1:46" x14ac:dyDescent="0.2">
      <c r="A632" s="4">
        <v>1302</v>
      </c>
      <c r="B632" s="4" t="s">
        <v>22</v>
      </c>
      <c r="C632" s="5" t="s">
        <v>121</v>
      </c>
      <c r="D632" s="5" t="s">
        <v>122</v>
      </c>
      <c r="E632" s="5" t="s">
        <v>118</v>
      </c>
      <c r="F632" s="5" t="s">
        <v>119</v>
      </c>
      <c r="G632" s="13">
        <v>46310</v>
      </c>
      <c r="H632" s="13">
        <v>46310</v>
      </c>
      <c r="I632" s="9">
        <f t="shared" si="18"/>
        <v>1</v>
      </c>
      <c r="J632" s="5" t="s">
        <v>1651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4">
        <v>2</v>
      </c>
      <c r="AH632" s="4">
        <v>2</v>
      </c>
      <c r="AI632" s="4">
        <v>1</v>
      </c>
      <c r="AJ632" s="4">
        <v>2</v>
      </c>
      <c r="AK632" s="4">
        <v>4</v>
      </c>
      <c r="AL632" s="4">
        <v>2</v>
      </c>
      <c r="AM632" s="4">
        <v>1</v>
      </c>
      <c r="AN632" s="4">
        <v>0</v>
      </c>
      <c r="AO632" s="4">
        <v>1</v>
      </c>
      <c r="AP632" s="4"/>
      <c r="AQ632" s="4">
        <v>1</v>
      </c>
      <c r="AR632" s="4">
        <v>1</v>
      </c>
      <c r="AS632" s="4">
        <f t="shared" si="19"/>
        <v>16</v>
      </c>
      <c r="AT632" s="4" t="s">
        <v>120</v>
      </c>
    </row>
    <row r="633" spans="1:46" x14ac:dyDescent="0.2">
      <c r="A633" s="4">
        <v>1346</v>
      </c>
      <c r="B633" s="4" t="s">
        <v>22</v>
      </c>
      <c r="C633" s="5" t="s">
        <v>168</v>
      </c>
      <c r="D633" s="5" t="s">
        <v>169</v>
      </c>
      <c r="E633" s="5" t="s">
        <v>118</v>
      </c>
      <c r="F633" s="5" t="s">
        <v>119</v>
      </c>
      <c r="G633" s="13">
        <v>46310</v>
      </c>
      <c r="H633" s="13">
        <v>46310</v>
      </c>
      <c r="I633" s="9">
        <f t="shared" si="18"/>
        <v>1</v>
      </c>
      <c r="J633" s="5" t="s">
        <v>1651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4">
        <v>3</v>
      </c>
      <c r="AH633" s="4">
        <v>4</v>
      </c>
      <c r="AI633" s="4">
        <v>1</v>
      </c>
      <c r="AJ633" s="4">
        <v>2</v>
      </c>
      <c r="AK633" s="4">
        <v>7</v>
      </c>
      <c r="AL633" s="4">
        <v>3</v>
      </c>
      <c r="AM633" s="4">
        <v>1</v>
      </c>
      <c r="AN633" s="4">
        <v>0</v>
      </c>
      <c r="AO633" s="4">
        <v>2</v>
      </c>
      <c r="AP633" s="4"/>
      <c r="AQ633" s="4">
        <v>0</v>
      </c>
      <c r="AR633" s="4">
        <v>1</v>
      </c>
      <c r="AS633" s="4">
        <f t="shared" si="19"/>
        <v>23</v>
      </c>
      <c r="AT633" s="4" t="s">
        <v>120</v>
      </c>
    </row>
    <row r="634" spans="1:46" x14ac:dyDescent="0.2">
      <c r="A634" s="4">
        <v>1375</v>
      </c>
      <c r="B634" s="4" t="s">
        <v>22</v>
      </c>
      <c r="C634" s="5" t="s">
        <v>214</v>
      </c>
      <c r="D634" s="5" t="s">
        <v>215</v>
      </c>
      <c r="E634" s="5" t="s">
        <v>118</v>
      </c>
      <c r="F634" s="5" t="s">
        <v>119</v>
      </c>
      <c r="G634" s="13">
        <v>46310</v>
      </c>
      <c r="H634" s="13">
        <v>46311</v>
      </c>
      <c r="I634" s="9">
        <f t="shared" si="18"/>
        <v>2</v>
      </c>
      <c r="J634" s="5" t="s">
        <v>1651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4">
        <v>3</v>
      </c>
      <c r="AH634" s="4">
        <v>4</v>
      </c>
      <c r="AI634" s="4">
        <v>1</v>
      </c>
      <c r="AJ634" s="4">
        <v>2</v>
      </c>
      <c r="AK634" s="4">
        <v>7</v>
      </c>
      <c r="AL634" s="4">
        <v>2</v>
      </c>
      <c r="AM634" s="4">
        <v>1</v>
      </c>
      <c r="AN634" s="4">
        <v>0</v>
      </c>
      <c r="AO634" s="4">
        <v>1</v>
      </c>
      <c r="AP634" s="4"/>
      <c r="AQ634" s="4">
        <v>0</v>
      </c>
      <c r="AR634" s="4">
        <v>1</v>
      </c>
      <c r="AS634" s="4">
        <f t="shared" si="19"/>
        <v>21</v>
      </c>
      <c r="AT634" s="4" t="s">
        <v>125</v>
      </c>
    </row>
    <row r="635" spans="1:46" x14ac:dyDescent="0.2">
      <c r="A635" s="4">
        <v>2105</v>
      </c>
      <c r="B635" s="4" t="s">
        <v>22</v>
      </c>
      <c r="C635" s="5" t="s">
        <v>552</v>
      </c>
      <c r="D635" s="5" t="s">
        <v>553</v>
      </c>
      <c r="E635" s="5" t="s">
        <v>545</v>
      </c>
      <c r="F635" s="5" t="s">
        <v>546</v>
      </c>
      <c r="G635" s="13">
        <v>46310</v>
      </c>
      <c r="H635" s="13">
        <v>46310</v>
      </c>
      <c r="I635" s="9">
        <f t="shared" si="18"/>
        <v>1</v>
      </c>
      <c r="J635" s="5" t="s">
        <v>1651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4">
        <v>4</v>
      </c>
      <c r="AH635" s="4">
        <v>2</v>
      </c>
      <c r="AI635" s="4">
        <v>1</v>
      </c>
      <c r="AJ635" s="4">
        <v>2</v>
      </c>
      <c r="AK635" s="4">
        <v>5</v>
      </c>
      <c r="AL635" s="4">
        <v>3</v>
      </c>
      <c r="AM635" s="4">
        <v>1</v>
      </c>
      <c r="AN635" s="4">
        <v>0</v>
      </c>
      <c r="AO635" s="4">
        <v>1</v>
      </c>
      <c r="AP635" s="4"/>
      <c r="AQ635" s="4">
        <v>1</v>
      </c>
      <c r="AR635" s="4">
        <v>1</v>
      </c>
      <c r="AS635" s="4">
        <f t="shared" si="19"/>
        <v>20</v>
      </c>
      <c r="AT635" s="9" t="s">
        <v>547</v>
      </c>
    </row>
    <row r="636" spans="1:46" x14ac:dyDescent="0.2">
      <c r="A636" s="4">
        <v>2139</v>
      </c>
      <c r="B636" s="4" t="s">
        <v>22</v>
      </c>
      <c r="C636" s="5" t="s">
        <v>585</v>
      </c>
      <c r="D636" s="5" t="s">
        <v>586</v>
      </c>
      <c r="E636" s="5" t="s">
        <v>545</v>
      </c>
      <c r="F636" s="5" t="s">
        <v>546</v>
      </c>
      <c r="G636" s="13">
        <v>46310</v>
      </c>
      <c r="H636" s="13">
        <v>46310</v>
      </c>
      <c r="I636" s="9">
        <f t="shared" si="18"/>
        <v>1</v>
      </c>
      <c r="J636" s="5" t="s">
        <v>1651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4">
        <v>2</v>
      </c>
      <c r="AH636" s="4">
        <v>1</v>
      </c>
      <c r="AI636" s="4">
        <v>1</v>
      </c>
      <c r="AJ636" s="4">
        <v>2</v>
      </c>
      <c r="AK636" s="4">
        <v>3</v>
      </c>
      <c r="AL636" s="4">
        <v>2</v>
      </c>
      <c r="AM636" s="4">
        <v>1</v>
      </c>
      <c r="AN636" s="4">
        <v>0</v>
      </c>
      <c r="AO636" s="4">
        <v>1</v>
      </c>
      <c r="AP636" s="4"/>
      <c r="AQ636" s="4">
        <v>0</v>
      </c>
      <c r="AR636" s="4">
        <v>1</v>
      </c>
      <c r="AS636" s="4">
        <f t="shared" si="19"/>
        <v>13</v>
      </c>
      <c r="AT636" s="9" t="s">
        <v>547</v>
      </c>
    </row>
    <row r="637" spans="1:46" x14ac:dyDescent="0.2">
      <c r="A637" s="4">
        <v>3315</v>
      </c>
      <c r="B637" s="4" t="s">
        <v>22</v>
      </c>
      <c r="C637" s="5" t="s">
        <v>848</v>
      </c>
      <c r="D637" s="5" t="s">
        <v>849</v>
      </c>
      <c r="E637" s="5" t="s">
        <v>842</v>
      </c>
      <c r="F637" s="5" t="s">
        <v>119</v>
      </c>
      <c r="G637" s="13">
        <v>46310</v>
      </c>
      <c r="H637" s="13">
        <v>46311</v>
      </c>
      <c r="I637" s="9">
        <f t="shared" si="18"/>
        <v>2</v>
      </c>
      <c r="J637" s="5" t="s">
        <v>1651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4">
        <v>2</v>
      </c>
      <c r="AH637" s="4">
        <v>1</v>
      </c>
      <c r="AI637" s="4">
        <v>1</v>
      </c>
      <c r="AJ637" s="4">
        <v>2</v>
      </c>
      <c r="AK637" s="4">
        <v>3</v>
      </c>
      <c r="AL637" s="4">
        <v>2</v>
      </c>
      <c r="AM637" s="4">
        <v>1</v>
      </c>
      <c r="AN637" s="4">
        <v>0</v>
      </c>
      <c r="AO637" s="4">
        <v>1</v>
      </c>
      <c r="AP637" s="4"/>
      <c r="AQ637" s="4">
        <v>0</v>
      </c>
      <c r="AR637" s="4">
        <v>1</v>
      </c>
      <c r="AS637" s="4">
        <f t="shared" si="19"/>
        <v>13</v>
      </c>
      <c r="AT637" s="9" t="s">
        <v>845</v>
      </c>
    </row>
    <row r="638" spans="1:46" x14ac:dyDescent="0.2">
      <c r="A638" s="4">
        <v>3920</v>
      </c>
      <c r="B638" s="4" t="s">
        <v>22</v>
      </c>
      <c r="C638" s="5" t="s">
        <v>218</v>
      </c>
      <c r="D638" s="5" t="s">
        <v>219</v>
      </c>
      <c r="E638" s="5" t="s">
        <v>873</v>
      </c>
      <c r="F638" s="5" t="s">
        <v>574</v>
      </c>
      <c r="G638" s="13">
        <v>46310</v>
      </c>
      <c r="H638" s="13">
        <v>46310</v>
      </c>
      <c r="I638" s="9">
        <f t="shared" si="18"/>
        <v>1</v>
      </c>
      <c r="J638" s="5" t="s">
        <v>1651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4">
        <v>3</v>
      </c>
      <c r="AH638" s="4">
        <v>3</v>
      </c>
      <c r="AI638" s="4">
        <v>1</v>
      </c>
      <c r="AJ638" s="4">
        <v>1</v>
      </c>
      <c r="AK638" s="4">
        <v>6</v>
      </c>
      <c r="AL638" s="4">
        <v>3</v>
      </c>
      <c r="AM638" s="4">
        <v>1</v>
      </c>
      <c r="AN638" s="4">
        <v>0</v>
      </c>
      <c r="AO638" s="4">
        <v>1</v>
      </c>
      <c r="AP638" s="7"/>
      <c r="AQ638" s="4">
        <v>0</v>
      </c>
      <c r="AR638" s="4">
        <v>1</v>
      </c>
      <c r="AS638" s="4">
        <f t="shared" si="19"/>
        <v>19</v>
      </c>
      <c r="AT638" s="9" t="s">
        <v>874</v>
      </c>
    </row>
    <row r="639" spans="1:46" x14ac:dyDescent="0.2">
      <c r="A639" s="4">
        <v>4840</v>
      </c>
      <c r="B639" s="4" t="s">
        <v>22</v>
      </c>
      <c r="C639" s="5" t="s">
        <v>1068</v>
      </c>
      <c r="D639" s="5" t="s">
        <v>1069</v>
      </c>
      <c r="E639" s="5" t="s">
        <v>286</v>
      </c>
      <c r="F639" s="5" t="s">
        <v>546</v>
      </c>
      <c r="G639" s="13">
        <v>46310</v>
      </c>
      <c r="H639" s="13">
        <v>46310</v>
      </c>
      <c r="I639" s="9">
        <f t="shared" si="18"/>
        <v>1</v>
      </c>
      <c r="J639" s="5" t="s">
        <v>1651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4">
        <v>3</v>
      </c>
      <c r="AH639" s="4">
        <v>3</v>
      </c>
      <c r="AI639" s="4">
        <v>1</v>
      </c>
      <c r="AJ639" s="4">
        <v>2</v>
      </c>
      <c r="AK639" s="4">
        <v>6</v>
      </c>
      <c r="AL639" s="4">
        <v>3</v>
      </c>
      <c r="AM639" s="4">
        <v>1</v>
      </c>
      <c r="AN639" s="4">
        <v>0</v>
      </c>
      <c r="AO639" s="4">
        <v>1</v>
      </c>
      <c r="AP639" s="7"/>
      <c r="AQ639" s="4">
        <v>0</v>
      </c>
      <c r="AR639" s="4">
        <v>1</v>
      </c>
      <c r="AS639" s="4">
        <f t="shared" si="19"/>
        <v>20</v>
      </c>
      <c r="AT639" s="9" t="s">
        <v>1034</v>
      </c>
    </row>
    <row r="640" spans="1:46" x14ac:dyDescent="0.2">
      <c r="A640" s="4">
        <v>5136</v>
      </c>
      <c r="B640" s="4" t="s">
        <v>22</v>
      </c>
      <c r="C640" s="5" t="s">
        <v>1153</v>
      </c>
      <c r="D640" s="5" t="s">
        <v>1154</v>
      </c>
      <c r="E640" s="5" t="s">
        <v>1107</v>
      </c>
      <c r="F640" s="5" t="s">
        <v>98</v>
      </c>
      <c r="G640" s="13">
        <v>46310</v>
      </c>
      <c r="H640" s="13">
        <v>46310</v>
      </c>
      <c r="I640" s="9">
        <f t="shared" si="18"/>
        <v>1</v>
      </c>
      <c r="J640" s="5" t="s">
        <v>1651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4">
        <v>2</v>
      </c>
      <c r="AH640" s="4">
        <v>1</v>
      </c>
      <c r="AI640" s="4">
        <v>1</v>
      </c>
      <c r="AJ640" s="4">
        <v>2</v>
      </c>
      <c r="AK640" s="4">
        <v>3</v>
      </c>
      <c r="AL640" s="4">
        <v>2</v>
      </c>
      <c r="AM640" s="4">
        <v>1</v>
      </c>
      <c r="AN640" s="4">
        <v>0</v>
      </c>
      <c r="AO640" s="4">
        <v>1</v>
      </c>
      <c r="AP640" s="4"/>
      <c r="AQ640" s="4">
        <v>0</v>
      </c>
      <c r="AR640" s="4">
        <v>1</v>
      </c>
      <c r="AS640" s="4">
        <f t="shared" si="19"/>
        <v>13</v>
      </c>
      <c r="AT640" s="9" t="s">
        <v>1111</v>
      </c>
    </row>
    <row r="641" spans="1:46" x14ac:dyDescent="0.2">
      <c r="A641" s="4">
        <v>5164</v>
      </c>
      <c r="B641" s="4" t="s">
        <v>22</v>
      </c>
      <c r="C641" s="5" t="s">
        <v>1161</v>
      </c>
      <c r="D641" s="5" t="s">
        <v>1162</v>
      </c>
      <c r="E641" s="5" t="s">
        <v>1107</v>
      </c>
      <c r="F641" s="5" t="s">
        <v>98</v>
      </c>
      <c r="G641" s="13">
        <v>46310</v>
      </c>
      <c r="H641" s="13">
        <v>46310</v>
      </c>
      <c r="I641" s="9">
        <f t="shared" si="18"/>
        <v>1</v>
      </c>
      <c r="J641" s="5" t="s">
        <v>1651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4">
        <v>2</v>
      </c>
      <c r="AH641" s="4">
        <v>2</v>
      </c>
      <c r="AI641" s="4">
        <v>1</v>
      </c>
      <c r="AJ641" s="4">
        <v>2</v>
      </c>
      <c r="AK641" s="4">
        <v>4</v>
      </c>
      <c r="AL641" s="4">
        <v>2</v>
      </c>
      <c r="AM641" s="4">
        <v>1</v>
      </c>
      <c r="AN641" s="4">
        <v>0</v>
      </c>
      <c r="AO641" s="4">
        <v>1</v>
      </c>
      <c r="AP641" s="4"/>
      <c r="AQ641" s="4">
        <v>0</v>
      </c>
      <c r="AR641" s="4">
        <v>1</v>
      </c>
      <c r="AS641" s="4">
        <f t="shared" si="19"/>
        <v>15</v>
      </c>
      <c r="AT641" s="9" t="s">
        <v>1114</v>
      </c>
    </row>
    <row r="642" spans="1:46" x14ac:dyDescent="0.2">
      <c r="A642" s="4">
        <v>5413</v>
      </c>
      <c r="B642" s="4" t="s">
        <v>22</v>
      </c>
      <c r="C642" s="5" t="s">
        <v>1176</v>
      </c>
      <c r="D642" s="5" t="s">
        <v>1177</v>
      </c>
      <c r="E642" s="5" t="s">
        <v>215</v>
      </c>
      <c r="F642" s="5" t="s">
        <v>500</v>
      </c>
      <c r="G642" s="13">
        <v>46310</v>
      </c>
      <c r="H642" s="13">
        <v>46311</v>
      </c>
      <c r="I642" s="9">
        <f t="shared" ref="I642:I705" si="20">NETWORKDAYS(G642,H642)</f>
        <v>2</v>
      </c>
      <c r="J642" s="5" t="s">
        <v>1651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4">
        <v>6</v>
      </c>
      <c r="AH642" s="4">
        <v>4</v>
      </c>
      <c r="AI642" s="4">
        <v>1</v>
      </c>
      <c r="AJ642" s="4">
        <v>2</v>
      </c>
      <c r="AK642" s="4">
        <v>11</v>
      </c>
      <c r="AL642" s="4">
        <v>5</v>
      </c>
      <c r="AM642" s="4">
        <v>1</v>
      </c>
      <c r="AN642" s="4">
        <v>0</v>
      </c>
      <c r="AO642" s="4">
        <v>2</v>
      </c>
      <c r="AP642" s="4"/>
      <c r="AQ642" s="4">
        <v>0</v>
      </c>
      <c r="AR642" s="4">
        <v>1</v>
      </c>
      <c r="AS642" s="4">
        <f t="shared" si="19"/>
        <v>32</v>
      </c>
      <c r="AT642" s="9" t="s">
        <v>501</v>
      </c>
    </row>
    <row r="643" spans="1:46" x14ac:dyDescent="0.2">
      <c r="A643" s="4">
        <v>5704</v>
      </c>
      <c r="B643" s="4" t="s">
        <v>22</v>
      </c>
      <c r="C643" s="5" t="s">
        <v>1194</v>
      </c>
      <c r="D643" s="5" t="s">
        <v>1192</v>
      </c>
      <c r="E643" s="5" t="s">
        <v>538</v>
      </c>
      <c r="F643" s="5" t="s">
        <v>500</v>
      </c>
      <c r="G643" s="13">
        <v>46310</v>
      </c>
      <c r="H643" s="13">
        <v>46311</v>
      </c>
      <c r="I643" s="9">
        <f t="shared" si="20"/>
        <v>2</v>
      </c>
      <c r="J643" s="5" t="s">
        <v>1651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4">
        <v>3</v>
      </c>
      <c r="AH643" s="4">
        <v>2</v>
      </c>
      <c r="AI643" s="4">
        <v>1</v>
      </c>
      <c r="AJ643" s="4">
        <v>2</v>
      </c>
      <c r="AK643" s="4">
        <v>5</v>
      </c>
      <c r="AL643" s="4">
        <v>2</v>
      </c>
      <c r="AM643" s="4">
        <v>1</v>
      </c>
      <c r="AN643" s="4">
        <v>0</v>
      </c>
      <c r="AO643" s="4">
        <v>1</v>
      </c>
      <c r="AP643" s="4"/>
      <c r="AQ643" s="4">
        <v>0</v>
      </c>
      <c r="AR643" s="4">
        <v>1</v>
      </c>
      <c r="AS643" s="4">
        <f t="shared" ref="AS643:AS706" si="21">SUM(AG643:AQ643)</f>
        <v>17</v>
      </c>
      <c r="AT643" s="9" t="s">
        <v>1193</v>
      </c>
    </row>
    <row r="644" spans="1:46" x14ac:dyDescent="0.2">
      <c r="A644" s="4">
        <v>6024</v>
      </c>
      <c r="B644" s="4" t="s">
        <v>22</v>
      </c>
      <c r="C644" s="5" t="s">
        <v>1233</v>
      </c>
      <c r="D644" s="5" t="s">
        <v>1234</v>
      </c>
      <c r="E644" s="5" t="s">
        <v>1213</v>
      </c>
      <c r="F644" s="5" t="s">
        <v>331</v>
      </c>
      <c r="G644" s="13">
        <v>46310</v>
      </c>
      <c r="H644" s="13">
        <v>46311</v>
      </c>
      <c r="I644" s="9">
        <f t="shared" si="20"/>
        <v>2</v>
      </c>
      <c r="J644" s="5" t="s">
        <v>1651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4">
        <v>4</v>
      </c>
      <c r="AH644" s="4">
        <v>5</v>
      </c>
      <c r="AI644" s="4">
        <v>1</v>
      </c>
      <c r="AJ644" s="4">
        <v>3</v>
      </c>
      <c r="AK644" s="4">
        <v>9</v>
      </c>
      <c r="AL644" s="4">
        <v>4</v>
      </c>
      <c r="AM644" s="4">
        <v>2</v>
      </c>
      <c r="AN644" s="4">
        <v>0</v>
      </c>
      <c r="AO644" s="4">
        <v>1</v>
      </c>
      <c r="AP644" s="4"/>
      <c r="AQ644" s="4">
        <v>1</v>
      </c>
      <c r="AR644" s="4">
        <v>1</v>
      </c>
      <c r="AS644" s="4">
        <f t="shared" si="21"/>
        <v>30</v>
      </c>
      <c r="AT644" s="9" t="s">
        <v>364</v>
      </c>
    </row>
    <row r="645" spans="1:46" x14ac:dyDescent="0.2">
      <c r="A645" s="4">
        <v>6057</v>
      </c>
      <c r="B645" s="4" t="s">
        <v>22</v>
      </c>
      <c r="C645" s="5" t="s">
        <v>1277</v>
      </c>
      <c r="D645" s="5" t="s">
        <v>1278</v>
      </c>
      <c r="E645" s="5" t="s">
        <v>1213</v>
      </c>
      <c r="F645" s="5" t="s">
        <v>331</v>
      </c>
      <c r="G645" s="13">
        <v>46310</v>
      </c>
      <c r="H645" s="13">
        <v>46311</v>
      </c>
      <c r="I645" s="9">
        <f t="shared" si="20"/>
        <v>2</v>
      </c>
      <c r="J645" s="5" t="s">
        <v>1651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4">
        <v>2</v>
      </c>
      <c r="AH645" s="4">
        <v>1</v>
      </c>
      <c r="AI645" s="4">
        <v>1</v>
      </c>
      <c r="AJ645" s="4">
        <v>2</v>
      </c>
      <c r="AK645" s="4">
        <v>3</v>
      </c>
      <c r="AL645" s="4">
        <v>2</v>
      </c>
      <c r="AM645" s="4">
        <v>1</v>
      </c>
      <c r="AN645" s="4">
        <v>0</v>
      </c>
      <c r="AO645" s="4">
        <v>1</v>
      </c>
      <c r="AP645" s="4"/>
      <c r="AQ645" s="4">
        <v>0</v>
      </c>
      <c r="AR645" s="4">
        <v>1</v>
      </c>
      <c r="AS645" s="4">
        <f t="shared" si="21"/>
        <v>13</v>
      </c>
      <c r="AT645" s="9" t="s">
        <v>335</v>
      </c>
    </row>
    <row r="646" spans="1:46" x14ac:dyDescent="0.2">
      <c r="A646" s="4">
        <v>6058</v>
      </c>
      <c r="B646" s="4" t="s">
        <v>22</v>
      </c>
      <c r="C646" s="5" t="s">
        <v>1279</v>
      </c>
      <c r="D646" s="5" t="s">
        <v>1280</v>
      </c>
      <c r="E646" s="5" t="s">
        <v>1213</v>
      </c>
      <c r="F646" s="5" t="s">
        <v>331</v>
      </c>
      <c r="G646" s="13">
        <v>46310</v>
      </c>
      <c r="H646" s="13">
        <v>46311</v>
      </c>
      <c r="I646" s="9">
        <f t="shared" si="20"/>
        <v>2</v>
      </c>
      <c r="J646" s="5" t="s">
        <v>1651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4">
        <v>3</v>
      </c>
      <c r="AH646" s="4">
        <v>2</v>
      </c>
      <c r="AI646" s="4">
        <v>1</v>
      </c>
      <c r="AJ646" s="4">
        <v>2</v>
      </c>
      <c r="AK646" s="4">
        <v>5</v>
      </c>
      <c r="AL646" s="4">
        <v>2</v>
      </c>
      <c r="AM646" s="4">
        <v>1</v>
      </c>
      <c r="AN646" s="4">
        <v>0</v>
      </c>
      <c r="AO646" s="4">
        <v>1</v>
      </c>
      <c r="AP646" s="4"/>
      <c r="AQ646" s="4">
        <v>0</v>
      </c>
      <c r="AR646" s="4">
        <v>1</v>
      </c>
      <c r="AS646" s="4">
        <f t="shared" si="21"/>
        <v>17</v>
      </c>
      <c r="AT646" s="9" t="s">
        <v>77</v>
      </c>
    </row>
    <row r="647" spans="1:46" x14ac:dyDescent="0.2">
      <c r="A647" s="4">
        <v>6060</v>
      </c>
      <c r="B647" s="4" t="s">
        <v>22</v>
      </c>
      <c r="C647" s="5" t="s">
        <v>1281</v>
      </c>
      <c r="D647" s="5" t="s">
        <v>619</v>
      </c>
      <c r="E647" s="5" t="s">
        <v>1213</v>
      </c>
      <c r="F647" s="5" t="s">
        <v>331</v>
      </c>
      <c r="G647" s="13">
        <v>46310</v>
      </c>
      <c r="H647" s="13">
        <v>46311</v>
      </c>
      <c r="I647" s="9">
        <f t="shared" si="20"/>
        <v>2</v>
      </c>
      <c r="J647" s="5" t="s">
        <v>1651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4">
        <v>2</v>
      </c>
      <c r="AH647" s="4">
        <v>1</v>
      </c>
      <c r="AI647" s="4">
        <v>1</v>
      </c>
      <c r="AJ647" s="4">
        <v>2</v>
      </c>
      <c r="AK647" s="4">
        <v>4</v>
      </c>
      <c r="AL647" s="4">
        <v>2</v>
      </c>
      <c r="AM647" s="4">
        <v>1</v>
      </c>
      <c r="AN647" s="4">
        <v>0</v>
      </c>
      <c r="AO647" s="4">
        <v>1</v>
      </c>
      <c r="AP647" s="4"/>
      <c r="AQ647" s="4">
        <v>0</v>
      </c>
      <c r="AR647" s="4">
        <v>1</v>
      </c>
      <c r="AS647" s="4">
        <f t="shared" si="21"/>
        <v>14</v>
      </c>
      <c r="AT647" s="9" t="s">
        <v>332</v>
      </c>
    </row>
    <row r="648" spans="1:46" x14ac:dyDescent="0.2">
      <c r="A648" s="4">
        <v>6982</v>
      </c>
      <c r="B648" s="4" t="s">
        <v>22</v>
      </c>
      <c r="C648" s="5" t="s">
        <v>1506</v>
      </c>
      <c r="D648" s="5" t="s">
        <v>1507</v>
      </c>
      <c r="E648" s="5" t="s">
        <v>1175</v>
      </c>
      <c r="F648" s="5" t="s">
        <v>500</v>
      </c>
      <c r="G648" s="13">
        <v>46310</v>
      </c>
      <c r="H648" s="13">
        <v>46310</v>
      </c>
      <c r="I648" s="9">
        <f t="shared" si="20"/>
        <v>1</v>
      </c>
      <c r="J648" s="5" t="s">
        <v>1651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4">
        <v>2</v>
      </c>
      <c r="AH648" s="4">
        <v>1</v>
      </c>
      <c r="AI648" s="4">
        <v>1</v>
      </c>
      <c r="AJ648" s="4">
        <v>2</v>
      </c>
      <c r="AK648" s="4">
        <v>2</v>
      </c>
      <c r="AL648" s="4">
        <v>2</v>
      </c>
      <c r="AM648" s="4">
        <v>1</v>
      </c>
      <c r="AN648" s="4">
        <v>0</v>
      </c>
      <c r="AO648" s="4">
        <v>1</v>
      </c>
      <c r="AP648" s="4"/>
      <c r="AQ648" s="4">
        <v>0</v>
      </c>
      <c r="AR648" s="4">
        <v>1</v>
      </c>
      <c r="AS648" s="4">
        <f t="shared" si="21"/>
        <v>12</v>
      </c>
      <c r="AT648" s="9" t="s">
        <v>1170</v>
      </c>
    </row>
    <row r="649" spans="1:46" x14ac:dyDescent="0.2">
      <c r="A649" s="4">
        <v>1382</v>
      </c>
      <c r="B649" s="4" t="s">
        <v>22</v>
      </c>
      <c r="C649" s="5" t="s">
        <v>226</v>
      </c>
      <c r="D649" s="5" t="s">
        <v>227</v>
      </c>
      <c r="E649" s="5" t="s">
        <v>118</v>
      </c>
      <c r="F649" s="5" t="s">
        <v>119</v>
      </c>
      <c r="G649" s="13">
        <v>46311</v>
      </c>
      <c r="H649" s="13">
        <v>46311</v>
      </c>
      <c r="I649" s="9">
        <f t="shared" si="20"/>
        <v>1</v>
      </c>
      <c r="J649" s="5" t="s">
        <v>1651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4">
        <v>3</v>
      </c>
      <c r="AH649" s="4">
        <v>3</v>
      </c>
      <c r="AI649" s="4">
        <v>1</v>
      </c>
      <c r="AJ649" s="4">
        <v>2</v>
      </c>
      <c r="AK649" s="4">
        <v>5</v>
      </c>
      <c r="AL649" s="4">
        <v>2</v>
      </c>
      <c r="AM649" s="4">
        <v>1</v>
      </c>
      <c r="AN649" s="4">
        <v>0</v>
      </c>
      <c r="AO649" s="4">
        <v>1</v>
      </c>
      <c r="AP649" s="4"/>
      <c r="AQ649" s="4">
        <v>0</v>
      </c>
      <c r="AR649" s="4">
        <v>1</v>
      </c>
      <c r="AS649" s="4">
        <f t="shared" si="21"/>
        <v>18</v>
      </c>
      <c r="AT649" s="4" t="s">
        <v>120</v>
      </c>
    </row>
    <row r="650" spans="1:46" x14ac:dyDescent="0.2">
      <c r="A650" s="4">
        <v>2106</v>
      </c>
      <c r="B650" s="4" t="s">
        <v>22</v>
      </c>
      <c r="C650" s="5" t="s">
        <v>96</v>
      </c>
      <c r="D650" s="5" t="s">
        <v>97</v>
      </c>
      <c r="E650" s="5" t="s">
        <v>545</v>
      </c>
      <c r="F650" s="5" t="s">
        <v>546</v>
      </c>
      <c r="G650" s="13">
        <v>46311</v>
      </c>
      <c r="H650" s="13">
        <v>46311</v>
      </c>
      <c r="I650" s="9">
        <f t="shared" si="20"/>
        <v>1</v>
      </c>
      <c r="J650" s="5" t="s">
        <v>1651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4">
        <v>4</v>
      </c>
      <c r="AH650" s="4">
        <v>4</v>
      </c>
      <c r="AI650" s="4">
        <v>1</v>
      </c>
      <c r="AJ650" s="4">
        <v>2</v>
      </c>
      <c r="AK650" s="4">
        <v>8</v>
      </c>
      <c r="AL650" s="4">
        <v>3</v>
      </c>
      <c r="AM650" s="4">
        <v>1</v>
      </c>
      <c r="AN650" s="4">
        <v>0</v>
      </c>
      <c r="AO650" s="4">
        <v>1</v>
      </c>
      <c r="AP650" s="4"/>
      <c r="AQ650" s="4">
        <v>0</v>
      </c>
      <c r="AR650" s="4">
        <v>1</v>
      </c>
      <c r="AS650" s="4">
        <f t="shared" si="21"/>
        <v>24</v>
      </c>
      <c r="AT650" s="9" t="s">
        <v>547</v>
      </c>
    </row>
    <row r="651" spans="1:46" x14ac:dyDescent="0.2">
      <c r="A651" s="4">
        <v>3901</v>
      </c>
      <c r="B651" s="4" t="s">
        <v>22</v>
      </c>
      <c r="C651" s="5" t="s">
        <v>871</v>
      </c>
      <c r="D651" s="5" t="s">
        <v>872</v>
      </c>
      <c r="E651" s="5" t="s">
        <v>873</v>
      </c>
      <c r="F651" s="5" t="s">
        <v>574</v>
      </c>
      <c r="G651" s="13">
        <v>46311</v>
      </c>
      <c r="H651" s="13">
        <v>46311</v>
      </c>
      <c r="I651" s="9">
        <f t="shared" si="20"/>
        <v>1</v>
      </c>
      <c r="J651" s="5" t="s">
        <v>1651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4">
        <v>6</v>
      </c>
      <c r="AH651" s="4">
        <v>3</v>
      </c>
      <c r="AI651" s="4">
        <v>1</v>
      </c>
      <c r="AJ651" s="4">
        <v>3</v>
      </c>
      <c r="AK651" s="4">
        <v>9</v>
      </c>
      <c r="AL651" s="4">
        <v>4</v>
      </c>
      <c r="AM651" s="4">
        <v>2</v>
      </c>
      <c r="AN651" s="4">
        <v>0</v>
      </c>
      <c r="AO651" s="4">
        <v>2</v>
      </c>
      <c r="AP651" s="7"/>
      <c r="AQ651" s="4">
        <v>0</v>
      </c>
      <c r="AR651" s="4">
        <v>1</v>
      </c>
      <c r="AS651" s="4">
        <f t="shared" si="21"/>
        <v>30</v>
      </c>
      <c r="AT651" s="9" t="s">
        <v>874</v>
      </c>
    </row>
    <row r="652" spans="1:46" x14ac:dyDescent="0.2">
      <c r="A652" s="4">
        <v>6029</v>
      </c>
      <c r="B652" s="4" t="s">
        <v>22</v>
      </c>
      <c r="C652" s="5" t="s">
        <v>164</v>
      </c>
      <c r="D652" s="5" t="s">
        <v>67</v>
      </c>
      <c r="E652" s="5" t="s">
        <v>1213</v>
      </c>
      <c r="F652" s="5" t="s">
        <v>331</v>
      </c>
      <c r="G652" s="13">
        <v>46311</v>
      </c>
      <c r="H652" s="13">
        <v>46311</v>
      </c>
      <c r="I652" s="9">
        <f t="shared" si="20"/>
        <v>1</v>
      </c>
      <c r="J652" s="5" t="s">
        <v>1651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4">
        <v>4</v>
      </c>
      <c r="AH652" s="4">
        <v>3</v>
      </c>
      <c r="AI652" s="4">
        <v>1</v>
      </c>
      <c r="AJ652" s="4">
        <v>2</v>
      </c>
      <c r="AK652" s="4">
        <v>7</v>
      </c>
      <c r="AL652" s="4">
        <v>3</v>
      </c>
      <c r="AM652" s="4">
        <v>1</v>
      </c>
      <c r="AN652" s="4">
        <v>2</v>
      </c>
      <c r="AO652" s="4">
        <v>2</v>
      </c>
      <c r="AP652" s="4"/>
      <c r="AQ652" s="4">
        <v>0</v>
      </c>
      <c r="AR652" s="4">
        <v>1</v>
      </c>
      <c r="AS652" s="4">
        <f t="shared" si="21"/>
        <v>25</v>
      </c>
      <c r="AT652" s="9" t="s">
        <v>364</v>
      </c>
    </row>
    <row r="653" spans="1:46" x14ac:dyDescent="0.2">
      <c r="A653" s="4">
        <v>6050</v>
      </c>
      <c r="B653" s="4" t="s">
        <v>22</v>
      </c>
      <c r="C653" s="5" t="s">
        <v>1267</v>
      </c>
      <c r="D653" s="5" t="s">
        <v>1268</v>
      </c>
      <c r="E653" s="5" t="s">
        <v>1213</v>
      </c>
      <c r="F653" s="5" t="s">
        <v>331</v>
      </c>
      <c r="G653" s="13">
        <v>46311</v>
      </c>
      <c r="H653" s="13">
        <v>46311</v>
      </c>
      <c r="I653" s="9">
        <f t="shared" si="20"/>
        <v>1</v>
      </c>
      <c r="J653" s="5" t="s">
        <v>1651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4">
        <v>2</v>
      </c>
      <c r="AH653" s="4">
        <v>1</v>
      </c>
      <c r="AI653" s="4">
        <v>1</v>
      </c>
      <c r="AJ653" s="4">
        <v>2</v>
      </c>
      <c r="AK653" s="4">
        <v>3</v>
      </c>
      <c r="AL653" s="4">
        <v>2</v>
      </c>
      <c r="AM653" s="4">
        <v>1</v>
      </c>
      <c r="AN653" s="4">
        <v>0</v>
      </c>
      <c r="AO653" s="4">
        <v>1</v>
      </c>
      <c r="AP653" s="4"/>
      <c r="AQ653" s="4">
        <v>0</v>
      </c>
      <c r="AR653" s="4">
        <v>1</v>
      </c>
      <c r="AS653" s="4">
        <f t="shared" si="21"/>
        <v>13</v>
      </c>
      <c r="AT653" s="9" t="s">
        <v>335</v>
      </c>
    </row>
    <row r="654" spans="1:46" x14ac:dyDescent="0.2">
      <c r="A654" s="4">
        <v>6052</v>
      </c>
      <c r="B654" s="4" t="s">
        <v>22</v>
      </c>
      <c r="C654" s="5" t="s">
        <v>1269</v>
      </c>
      <c r="D654" s="5" t="s">
        <v>1270</v>
      </c>
      <c r="E654" s="5" t="s">
        <v>1213</v>
      </c>
      <c r="F654" s="5" t="s">
        <v>331</v>
      </c>
      <c r="G654" s="13">
        <v>46311</v>
      </c>
      <c r="H654" s="13">
        <v>46311</v>
      </c>
      <c r="I654" s="9">
        <f t="shared" si="20"/>
        <v>1</v>
      </c>
      <c r="J654" s="5" t="s">
        <v>1651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4">
        <v>2</v>
      </c>
      <c r="AH654" s="4">
        <v>1</v>
      </c>
      <c r="AI654" s="4">
        <v>1</v>
      </c>
      <c r="AJ654" s="4">
        <v>2</v>
      </c>
      <c r="AK654" s="4">
        <v>3</v>
      </c>
      <c r="AL654" s="4">
        <v>2</v>
      </c>
      <c r="AM654" s="4">
        <v>1</v>
      </c>
      <c r="AN654" s="4">
        <v>0</v>
      </c>
      <c r="AO654" s="4">
        <v>1</v>
      </c>
      <c r="AP654" s="4"/>
      <c r="AQ654" s="4">
        <v>0</v>
      </c>
      <c r="AR654" s="4">
        <v>1</v>
      </c>
      <c r="AS654" s="4">
        <f t="shared" si="21"/>
        <v>13</v>
      </c>
      <c r="AT654" s="9" t="s">
        <v>77</v>
      </c>
    </row>
    <row r="655" spans="1:46" x14ac:dyDescent="0.2">
      <c r="A655" s="4">
        <v>6055</v>
      </c>
      <c r="B655" s="4" t="s">
        <v>22</v>
      </c>
      <c r="C655" s="5" t="s">
        <v>1273</v>
      </c>
      <c r="D655" s="5" t="s">
        <v>1274</v>
      </c>
      <c r="E655" s="5" t="s">
        <v>1213</v>
      </c>
      <c r="F655" s="5" t="s">
        <v>331</v>
      </c>
      <c r="G655" s="13">
        <v>46311</v>
      </c>
      <c r="H655" s="13">
        <v>46311</v>
      </c>
      <c r="I655" s="9">
        <f t="shared" si="20"/>
        <v>1</v>
      </c>
      <c r="J655" s="5" t="s">
        <v>1651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4">
        <v>2</v>
      </c>
      <c r="AH655" s="4">
        <v>1</v>
      </c>
      <c r="AI655" s="4">
        <v>1</v>
      </c>
      <c r="AJ655" s="4">
        <v>2</v>
      </c>
      <c r="AK655" s="4">
        <v>3</v>
      </c>
      <c r="AL655" s="4">
        <v>2</v>
      </c>
      <c r="AM655" s="4">
        <v>1</v>
      </c>
      <c r="AN655" s="4">
        <v>0</v>
      </c>
      <c r="AO655" s="4">
        <v>1</v>
      </c>
      <c r="AP655" s="4"/>
      <c r="AQ655" s="4">
        <v>0</v>
      </c>
      <c r="AR655" s="4">
        <v>1</v>
      </c>
      <c r="AS655" s="4">
        <f t="shared" si="21"/>
        <v>13</v>
      </c>
      <c r="AT655" s="9" t="s">
        <v>342</v>
      </c>
    </row>
    <row r="656" spans="1:46" x14ac:dyDescent="0.2">
      <c r="A656" s="4">
        <v>6076</v>
      </c>
      <c r="B656" s="4" t="s">
        <v>22</v>
      </c>
      <c r="C656" s="5" t="s">
        <v>1300</v>
      </c>
      <c r="D656" s="5" t="s">
        <v>1301</v>
      </c>
      <c r="E656" s="5" t="s">
        <v>1213</v>
      </c>
      <c r="F656" s="5" t="s">
        <v>331</v>
      </c>
      <c r="G656" s="13">
        <v>46311</v>
      </c>
      <c r="H656" s="13">
        <v>46311</v>
      </c>
      <c r="I656" s="9">
        <f t="shared" si="20"/>
        <v>1</v>
      </c>
      <c r="J656" s="5" t="s">
        <v>1651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4">
        <v>2</v>
      </c>
      <c r="AH656" s="4">
        <v>2</v>
      </c>
      <c r="AI656" s="4">
        <v>1</v>
      </c>
      <c r="AJ656" s="4">
        <v>2</v>
      </c>
      <c r="AK656" s="4">
        <v>4</v>
      </c>
      <c r="AL656" s="4">
        <v>2</v>
      </c>
      <c r="AM656" s="4">
        <v>1</v>
      </c>
      <c r="AN656" s="4">
        <v>0</v>
      </c>
      <c r="AO656" s="4">
        <v>1</v>
      </c>
      <c r="AP656" s="4"/>
      <c r="AQ656" s="4">
        <v>0</v>
      </c>
      <c r="AR656" s="4">
        <v>1</v>
      </c>
      <c r="AS656" s="4">
        <f t="shared" si="21"/>
        <v>15</v>
      </c>
      <c r="AT656" s="9" t="s">
        <v>332</v>
      </c>
    </row>
    <row r="657" spans="1:46" x14ac:dyDescent="0.2">
      <c r="A657" s="4">
        <v>820</v>
      </c>
      <c r="B657" s="4" t="s">
        <v>22</v>
      </c>
      <c r="C657" s="5" t="s">
        <v>46</v>
      </c>
      <c r="D657" s="5" t="s">
        <v>24</v>
      </c>
      <c r="E657" s="5" t="s">
        <v>25</v>
      </c>
      <c r="F657" s="5" t="s">
        <v>26</v>
      </c>
      <c r="G657" s="13">
        <v>46314</v>
      </c>
      <c r="H657" s="13">
        <v>46315</v>
      </c>
      <c r="I657" s="9">
        <f t="shared" si="20"/>
        <v>2</v>
      </c>
      <c r="J657" s="5" t="s">
        <v>1651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4">
        <v>7</v>
      </c>
      <c r="AH657" s="4">
        <v>3</v>
      </c>
      <c r="AI657" s="4">
        <v>1</v>
      </c>
      <c r="AJ657" s="4">
        <v>3</v>
      </c>
      <c r="AK657" s="4">
        <v>11</v>
      </c>
      <c r="AL657" s="4">
        <v>5</v>
      </c>
      <c r="AM657" s="4">
        <v>2</v>
      </c>
      <c r="AN657" s="4">
        <v>0</v>
      </c>
      <c r="AO657" s="4">
        <v>2</v>
      </c>
      <c r="AP657" s="4"/>
      <c r="AQ657" s="4">
        <v>0</v>
      </c>
      <c r="AR657" s="4">
        <v>1</v>
      </c>
      <c r="AS657" s="4">
        <f t="shared" si="21"/>
        <v>34</v>
      </c>
      <c r="AT657" s="5" t="s">
        <v>27</v>
      </c>
    </row>
    <row r="658" spans="1:46" x14ac:dyDescent="0.2">
      <c r="A658" s="4">
        <v>1340</v>
      </c>
      <c r="B658" s="4" t="s">
        <v>22</v>
      </c>
      <c r="C658" s="5" t="s">
        <v>160</v>
      </c>
      <c r="D658" s="5" t="s">
        <v>161</v>
      </c>
      <c r="E658" s="5" t="s">
        <v>118</v>
      </c>
      <c r="F658" s="5" t="s">
        <v>119</v>
      </c>
      <c r="G658" s="13">
        <v>46314</v>
      </c>
      <c r="H658" s="13">
        <v>46314</v>
      </c>
      <c r="I658" s="9">
        <f t="shared" si="20"/>
        <v>1</v>
      </c>
      <c r="J658" s="5" t="s">
        <v>1651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4">
        <v>5</v>
      </c>
      <c r="AH658" s="4">
        <v>7</v>
      </c>
      <c r="AI658" s="4">
        <v>1</v>
      </c>
      <c r="AJ658" s="4">
        <v>3</v>
      </c>
      <c r="AK658" s="4">
        <v>7</v>
      </c>
      <c r="AL658" s="4">
        <v>3</v>
      </c>
      <c r="AM658" s="4">
        <v>2</v>
      </c>
      <c r="AN658" s="4">
        <v>0</v>
      </c>
      <c r="AO658" s="4">
        <v>2</v>
      </c>
      <c r="AP658" s="4"/>
      <c r="AQ658" s="4">
        <v>1</v>
      </c>
      <c r="AR658" s="4">
        <v>1</v>
      </c>
      <c r="AS658" s="4">
        <f t="shared" si="21"/>
        <v>31</v>
      </c>
      <c r="AT658" s="4" t="s">
        <v>120</v>
      </c>
    </row>
    <row r="659" spans="1:46" x14ac:dyDescent="0.2">
      <c r="A659" s="4">
        <v>1365</v>
      </c>
      <c r="B659" s="4" t="s">
        <v>22</v>
      </c>
      <c r="C659" s="5" t="s">
        <v>200</v>
      </c>
      <c r="D659" s="5" t="s">
        <v>201</v>
      </c>
      <c r="E659" s="5" t="s">
        <v>118</v>
      </c>
      <c r="F659" s="5" t="s">
        <v>119</v>
      </c>
      <c r="G659" s="13">
        <v>46314</v>
      </c>
      <c r="H659" s="13">
        <v>46314</v>
      </c>
      <c r="I659" s="9">
        <f t="shared" si="20"/>
        <v>1</v>
      </c>
      <c r="J659" s="5" t="s">
        <v>1651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4">
        <v>5</v>
      </c>
      <c r="AH659" s="4">
        <v>5</v>
      </c>
      <c r="AI659" s="4">
        <v>1</v>
      </c>
      <c r="AJ659" s="4">
        <v>3</v>
      </c>
      <c r="AK659" s="4">
        <v>8</v>
      </c>
      <c r="AL659" s="4">
        <v>4</v>
      </c>
      <c r="AM659" s="4">
        <v>2</v>
      </c>
      <c r="AN659" s="4">
        <v>1</v>
      </c>
      <c r="AO659" s="4">
        <v>2</v>
      </c>
      <c r="AP659" s="4"/>
      <c r="AQ659" s="4">
        <v>0</v>
      </c>
      <c r="AR659" s="4">
        <v>1</v>
      </c>
      <c r="AS659" s="4">
        <f t="shared" si="21"/>
        <v>31</v>
      </c>
      <c r="AT659" s="4" t="s">
        <v>125</v>
      </c>
    </row>
    <row r="660" spans="1:46" x14ac:dyDescent="0.2">
      <c r="A660" s="4">
        <v>1560</v>
      </c>
      <c r="B660" s="4" t="s">
        <v>22</v>
      </c>
      <c r="C660" s="5" t="s">
        <v>415</v>
      </c>
      <c r="D660" s="5" t="s">
        <v>416</v>
      </c>
      <c r="E660" s="5" t="s">
        <v>330</v>
      </c>
      <c r="F660" s="5" t="s">
        <v>331</v>
      </c>
      <c r="G660" s="13">
        <v>46314</v>
      </c>
      <c r="H660" s="13">
        <v>46318</v>
      </c>
      <c r="I660" s="9">
        <f t="shared" si="20"/>
        <v>5</v>
      </c>
      <c r="J660" s="5" t="s">
        <v>1651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4">
        <v>4</v>
      </c>
      <c r="AH660" s="4">
        <v>5</v>
      </c>
      <c r="AI660" s="4">
        <v>1</v>
      </c>
      <c r="AJ660" s="4">
        <v>3</v>
      </c>
      <c r="AK660" s="4">
        <v>8</v>
      </c>
      <c r="AL660" s="4">
        <v>4</v>
      </c>
      <c r="AM660" s="4">
        <v>2</v>
      </c>
      <c r="AN660" s="4">
        <v>0</v>
      </c>
      <c r="AO660" s="4">
        <v>2</v>
      </c>
      <c r="AP660" s="4"/>
      <c r="AQ660" s="4">
        <v>1</v>
      </c>
      <c r="AR660" s="4">
        <v>1</v>
      </c>
      <c r="AS660" s="4">
        <f t="shared" si="21"/>
        <v>30</v>
      </c>
      <c r="AT660" s="9" t="s">
        <v>417</v>
      </c>
    </row>
    <row r="661" spans="1:46" x14ac:dyDescent="0.2">
      <c r="A661" s="4">
        <v>3309</v>
      </c>
      <c r="B661" s="4" t="s">
        <v>22</v>
      </c>
      <c r="C661" s="5" t="s">
        <v>846</v>
      </c>
      <c r="D661" s="5" t="s">
        <v>847</v>
      </c>
      <c r="E661" s="5" t="s">
        <v>842</v>
      </c>
      <c r="F661" s="5" t="s">
        <v>119</v>
      </c>
      <c r="G661" s="13">
        <v>46314</v>
      </c>
      <c r="H661" s="13">
        <v>46315</v>
      </c>
      <c r="I661" s="9">
        <f t="shared" si="20"/>
        <v>2</v>
      </c>
      <c r="J661" s="5" t="s">
        <v>1651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4">
        <v>2</v>
      </c>
      <c r="AH661" s="4">
        <v>1</v>
      </c>
      <c r="AI661" s="4">
        <v>1</v>
      </c>
      <c r="AJ661" s="4">
        <v>2</v>
      </c>
      <c r="AK661" s="4">
        <v>4</v>
      </c>
      <c r="AL661" s="4">
        <v>2</v>
      </c>
      <c r="AM661" s="4">
        <v>1</v>
      </c>
      <c r="AN661" s="4">
        <v>0</v>
      </c>
      <c r="AO661" s="4">
        <v>1</v>
      </c>
      <c r="AP661" s="4"/>
      <c r="AQ661" s="4">
        <v>0</v>
      </c>
      <c r="AR661" s="4">
        <v>1</v>
      </c>
      <c r="AS661" s="4">
        <f t="shared" si="21"/>
        <v>14</v>
      </c>
      <c r="AT661" s="9" t="s">
        <v>845</v>
      </c>
    </row>
    <row r="662" spans="1:46" x14ac:dyDescent="0.2">
      <c r="A662" s="4">
        <v>6026</v>
      </c>
      <c r="B662" s="4" t="s">
        <v>22</v>
      </c>
      <c r="C662" s="5" t="s">
        <v>1237</v>
      </c>
      <c r="D662" s="5" t="s">
        <v>1238</v>
      </c>
      <c r="E662" s="5" t="s">
        <v>1213</v>
      </c>
      <c r="F662" s="5" t="s">
        <v>98</v>
      </c>
      <c r="G662" s="13">
        <v>46314</v>
      </c>
      <c r="H662" s="13">
        <v>46318</v>
      </c>
      <c r="I662" s="9">
        <f t="shared" si="20"/>
        <v>5</v>
      </c>
      <c r="J662" s="5" t="s">
        <v>1651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4">
        <v>4</v>
      </c>
      <c r="AH662" s="4">
        <v>4</v>
      </c>
      <c r="AI662" s="4">
        <v>1</v>
      </c>
      <c r="AJ662" s="4">
        <v>3</v>
      </c>
      <c r="AK662" s="4">
        <v>8</v>
      </c>
      <c r="AL662" s="4">
        <v>3</v>
      </c>
      <c r="AM662" s="4">
        <v>2</v>
      </c>
      <c r="AN662" s="4">
        <v>0</v>
      </c>
      <c r="AO662" s="4">
        <v>1</v>
      </c>
      <c r="AP662" s="4"/>
      <c r="AQ662" s="4">
        <v>0</v>
      </c>
      <c r="AR662" s="4">
        <v>1</v>
      </c>
      <c r="AS662" s="4">
        <f t="shared" si="21"/>
        <v>26</v>
      </c>
      <c r="AT662" s="9" t="s">
        <v>335</v>
      </c>
    </row>
    <row r="663" spans="1:46" x14ac:dyDescent="0.2">
      <c r="A663" s="4">
        <v>6040</v>
      </c>
      <c r="B663" s="4" t="s">
        <v>22</v>
      </c>
      <c r="C663" s="5" t="s">
        <v>1252</v>
      </c>
      <c r="D663" s="5" t="s">
        <v>1253</v>
      </c>
      <c r="E663" s="5" t="s">
        <v>1213</v>
      </c>
      <c r="F663" s="5" t="s">
        <v>98</v>
      </c>
      <c r="G663" s="13">
        <v>46314</v>
      </c>
      <c r="H663" s="13">
        <v>46318</v>
      </c>
      <c r="I663" s="9">
        <f t="shared" si="20"/>
        <v>5</v>
      </c>
      <c r="J663" s="5" t="s">
        <v>1651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4">
        <v>3</v>
      </c>
      <c r="AH663" s="4">
        <v>4</v>
      </c>
      <c r="AI663" s="4">
        <v>1</v>
      </c>
      <c r="AJ663" s="4">
        <v>2</v>
      </c>
      <c r="AK663" s="4">
        <v>7</v>
      </c>
      <c r="AL663" s="4">
        <v>3</v>
      </c>
      <c r="AM663" s="4">
        <v>1</v>
      </c>
      <c r="AN663" s="4">
        <v>0</v>
      </c>
      <c r="AO663" s="4">
        <v>1</v>
      </c>
      <c r="AP663" s="4"/>
      <c r="AQ663" s="4">
        <v>0</v>
      </c>
      <c r="AR663" s="4">
        <v>1</v>
      </c>
      <c r="AS663" s="4">
        <f t="shared" si="21"/>
        <v>22</v>
      </c>
      <c r="AT663" s="9" t="s">
        <v>364</v>
      </c>
    </row>
    <row r="664" spans="1:46" x14ac:dyDescent="0.2">
      <c r="A664" s="4">
        <v>6062</v>
      </c>
      <c r="B664" s="4" t="s">
        <v>22</v>
      </c>
      <c r="C664" s="5" t="s">
        <v>1282</v>
      </c>
      <c r="D664" s="5" t="s">
        <v>1283</v>
      </c>
      <c r="E664" s="5" t="s">
        <v>1213</v>
      </c>
      <c r="F664" s="5" t="s">
        <v>98</v>
      </c>
      <c r="G664" s="13">
        <v>46314</v>
      </c>
      <c r="H664" s="13">
        <v>46318</v>
      </c>
      <c r="I664" s="9">
        <f t="shared" si="20"/>
        <v>5</v>
      </c>
      <c r="J664" s="5" t="s">
        <v>1651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4">
        <v>3</v>
      </c>
      <c r="AH664" s="4">
        <v>1</v>
      </c>
      <c r="AI664" s="4">
        <v>1</v>
      </c>
      <c r="AJ664" s="4">
        <v>2</v>
      </c>
      <c r="AK664" s="4">
        <v>4</v>
      </c>
      <c r="AL664" s="4">
        <v>3</v>
      </c>
      <c r="AM664" s="4">
        <v>1</v>
      </c>
      <c r="AN664" s="4">
        <v>0</v>
      </c>
      <c r="AO664" s="4">
        <v>1</v>
      </c>
      <c r="AP664" s="4"/>
      <c r="AQ664" s="4">
        <v>0</v>
      </c>
      <c r="AR664" s="4">
        <v>1</v>
      </c>
      <c r="AS664" s="4">
        <f t="shared" si="21"/>
        <v>16</v>
      </c>
      <c r="AT664" s="9" t="s">
        <v>77</v>
      </c>
    </row>
    <row r="665" spans="1:46" x14ac:dyDescent="0.2">
      <c r="A665" s="4">
        <v>6955</v>
      </c>
      <c r="B665" s="4" t="s">
        <v>22</v>
      </c>
      <c r="C665" s="5" t="s">
        <v>1482</v>
      </c>
      <c r="D665" s="5" t="s">
        <v>1483</v>
      </c>
      <c r="E665" s="5" t="s">
        <v>1175</v>
      </c>
      <c r="F665" s="5" t="s">
        <v>546</v>
      </c>
      <c r="G665" s="13">
        <v>46314</v>
      </c>
      <c r="H665" s="13">
        <v>46314</v>
      </c>
      <c r="I665" s="9">
        <f t="shared" si="20"/>
        <v>1</v>
      </c>
      <c r="J665" s="5" t="s">
        <v>1651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4">
        <v>6</v>
      </c>
      <c r="AH665" s="4">
        <v>5</v>
      </c>
      <c r="AI665" s="4">
        <v>1</v>
      </c>
      <c r="AJ665" s="4">
        <v>3</v>
      </c>
      <c r="AK665" s="4">
        <v>11</v>
      </c>
      <c r="AL665" s="4">
        <v>5</v>
      </c>
      <c r="AM665" s="4">
        <v>2</v>
      </c>
      <c r="AN665" s="4">
        <v>0</v>
      </c>
      <c r="AO665" s="4">
        <v>2</v>
      </c>
      <c r="AP665" s="4"/>
      <c r="AQ665" s="4">
        <v>1</v>
      </c>
      <c r="AR665" s="4">
        <v>1</v>
      </c>
      <c r="AS665" s="4">
        <f t="shared" si="21"/>
        <v>36</v>
      </c>
      <c r="AT665" s="9" t="s">
        <v>1442</v>
      </c>
    </row>
    <row r="666" spans="1:46" x14ac:dyDescent="0.2">
      <c r="A666" s="4">
        <v>7567</v>
      </c>
      <c r="B666" s="4" t="s">
        <v>22</v>
      </c>
      <c r="C666" s="5" t="s">
        <v>1545</v>
      </c>
      <c r="D666" s="5" t="s">
        <v>1546</v>
      </c>
      <c r="E666" s="5" t="s">
        <v>883</v>
      </c>
      <c r="F666" s="5" t="s">
        <v>574</v>
      </c>
      <c r="G666" s="13">
        <v>46314</v>
      </c>
      <c r="H666" s="13">
        <v>46314</v>
      </c>
      <c r="I666" s="9">
        <f t="shared" si="20"/>
        <v>1</v>
      </c>
      <c r="J666" s="5" t="s">
        <v>1651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4">
        <v>2</v>
      </c>
      <c r="AH666" s="4">
        <v>2</v>
      </c>
      <c r="AI666" s="4">
        <v>1</v>
      </c>
      <c r="AJ666" s="4">
        <v>2</v>
      </c>
      <c r="AK666" s="4">
        <v>3</v>
      </c>
      <c r="AL666" s="4">
        <v>2</v>
      </c>
      <c r="AM666" s="4">
        <v>1</v>
      </c>
      <c r="AN666" s="4">
        <v>0</v>
      </c>
      <c r="AO666" s="4">
        <v>1</v>
      </c>
      <c r="AP666" s="4"/>
      <c r="AQ666" s="4">
        <v>0</v>
      </c>
      <c r="AR666" s="4">
        <v>1</v>
      </c>
      <c r="AS666" s="4">
        <f t="shared" si="21"/>
        <v>14</v>
      </c>
      <c r="AT666" s="9" t="s">
        <v>874</v>
      </c>
    </row>
    <row r="667" spans="1:46" x14ac:dyDescent="0.2">
      <c r="A667" s="4">
        <v>1216</v>
      </c>
      <c r="B667" s="4" t="s">
        <v>22</v>
      </c>
      <c r="C667" s="5" t="s">
        <v>84</v>
      </c>
      <c r="D667" s="5" t="s">
        <v>85</v>
      </c>
      <c r="E667" s="5" t="s">
        <v>67</v>
      </c>
      <c r="F667" s="5" t="s">
        <v>68</v>
      </c>
      <c r="G667" s="13">
        <v>46315</v>
      </c>
      <c r="H667" s="13">
        <v>46315</v>
      </c>
      <c r="I667" s="9">
        <f t="shared" si="20"/>
        <v>1</v>
      </c>
      <c r="J667" s="5" t="s">
        <v>1651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4">
        <v>2</v>
      </c>
      <c r="AH667" s="4">
        <v>1</v>
      </c>
      <c r="AI667" s="4">
        <v>1</v>
      </c>
      <c r="AJ667" s="4">
        <v>2</v>
      </c>
      <c r="AK667" s="4">
        <v>3</v>
      </c>
      <c r="AL667" s="4">
        <v>2</v>
      </c>
      <c r="AM667" s="4">
        <v>1</v>
      </c>
      <c r="AN667" s="4">
        <v>0</v>
      </c>
      <c r="AO667" s="4">
        <v>1</v>
      </c>
      <c r="AP667" s="4"/>
      <c r="AQ667" s="4">
        <v>0</v>
      </c>
      <c r="AR667" s="4">
        <v>1</v>
      </c>
      <c r="AS667" s="4">
        <f t="shared" si="21"/>
        <v>13</v>
      </c>
      <c r="AT667" s="5" t="s">
        <v>73</v>
      </c>
    </row>
    <row r="668" spans="1:46" x14ac:dyDescent="0.2">
      <c r="A668" s="4">
        <v>1394</v>
      </c>
      <c r="B668" s="4" t="s">
        <v>22</v>
      </c>
      <c r="C668" s="5" t="s">
        <v>247</v>
      </c>
      <c r="D668" s="5" t="s">
        <v>248</v>
      </c>
      <c r="E668" s="5" t="s">
        <v>118</v>
      </c>
      <c r="F668" s="5" t="s">
        <v>98</v>
      </c>
      <c r="G668" s="13">
        <v>46315</v>
      </c>
      <c r="H668" s="13">
        <v>46316</v>
      </c>
      <c r="I668" s="9">
        <f t="shared" si="20"/>
        <v>2</v>
      </c>
      <c r="J668" s="5" t="s">
        <v>1651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4">
        <v>2</v>
      </c>
      <c r="AH668" s="4">
        <v>2</v>
      </c>
      <c r="AI668" s="4">
        <v>1</v>
      </c>
      <c r="AJ668" s="4">
        <v>2</v>
      </c>
      <c r="AK668" s="4">
        <v>4</v>
      </c>
      <c r="AL668" s="4">
        <v>2</v>
      </c>
      <c r="AM668" s="4">
        <v>1</v>
      </c>
      <c r="AN668" s="4">
        <v>0</v>
      </c>
      <c r="AO668" s="4">
        <v>1</v>
      </c>
      <c r="AP668" s="4"/>
      <c r="AQ668" s="4">
        <v>0</v>
      </c>
      <c r="AR668" s="4">
        <v>1</v>
      </c>
      <c r="AS668" s="4">
        <f t="shared" si="21"/>
        <v>15</v>
      </c>
      <c r="AT668" s="4" t="s">
        <v>125</v>
      </c>
    </row>
    <row r="669" spans="1:46" x14ac:dyDescent="0.2">
      <c r="A669" s="4">
        <v>1452</v>
      </c>
      <c r="B669" s="4" t="s">
        <v>22</v>
      </c>
      <c r="C669" s="5" t="s">
        <v>295</v>
      </c>
      <c r="D669" s="5" t="s">
        <v>296</v>
      </c>
      <c r="E669" s="5" t="s">
        <v>118</v>
      </c>
      <c r="F669" s="5" t="s">
        <v>119</v>
      </c>
      <c r="G669" s="13">
        <v>46315</v>
      </c>
      <c r="H669" s="13">
        <v>46315</v>
      </c>
      <c r="I669" s="9">
        <f t="shared" si="20"/>
        <v>1</v>
      </c>
      <c r="J669" s="5" t="s">
        <v>1651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4">
        <v>2</v>
      </c>
      <c r="AH669" s="4">
        <v>1</v>
      </c>
      <c r="AI669" s="4">
        <v>1</v>
      </c>
      <c r="AJ669" s="4">
        <v>2</v>
      </c>
      <c r="AK669" s="4">
        <v>3</v>
      </c>
      <c r="AL669" s="4">
        <v>2</v>
      </c>
      <c r="AM669" s="4">
        <v>1</v>
      </c>
      <c r="AN669" s="4">
        <v>0</v>
      </c>
      <c r="AO669" s="4">
        <v>1</v>
      </c>
      <c r="AP669" s="4"/>
      <c r="AQ669" s="4">
        <v>0</v>
      </c>
      <c r="AR669" s="4">
        <v>1</v>
      </c>
      <c r="AS669" s="4">
        <f t="shared" si="21"/>
        <v>13</v>
      </c>
      <c r="AT669" s="4" t="s">
        <v>120</v>
      </c>
    </row>
    <row r="670" spans="1:46" x14ac:dyDescent="0.2">
      <c r="A670" s="4">
        <v>1480</v>
      </c>
      <c r="B670" s="4" t="s">
        <v>22</v>
      </c>
      <c r="C670" s="5" t="s">
        <v>319</v>
      </c>
      <c r="D670" s="5" t="s">
        <v>320</v>
      </c>
      <c r="E670" s="5" t="s">
        <v>118</v>
      </c>
      <c r="F670" s="5" t="s">
        <v>119</v>
      </c>
      <c r="G670" s="13">
        <v>46315</v>
      </c>
      <c r="H670" s="13">
        <v>46315</v>
      </c>
      <c r="I670" s="9">
        <f t="shared" si="20"/>
        <v>1</v>
      </c>
      <c r="J670" s="5" t="s">
        <v>1651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4">
        <v>3</v>
      </c>
      <c r="AH670" s="4">
        <v>2</v>
      </c>
      <c r="AI670" s="4">
        <v>1</v>
      </c>
      <c r="AJ670" s="4">
        <v>2</v>
      </c>
      <c r="AK670" s="4">
        <v>6</v>
      </c>
      <c r="AL670" s="4">
        <v>2</v>
      </c>
      <c r="AM670" s="4">
        <v>1</v>
      </c>
      <c r="AN670" s="4">
        <v>0</v>
      </c>
      <c r="AO670" s="4">
        <v>1</v>
      </c>
      <c r="AP670" s="4"/>
      <c r="AQ670" s="4">
        <v>0</v>
      </c>
      <c r="AR670" s="4">
        <v>1</v>
      </c>
      <c r="AS670" s="4">
        <f t="shared" si="21"/>
        <v>18</v>
      </c>
      <c r="AT670" s="4" t="s">
        <v>120</v>
      </c>
    </row>
    <row r="671" spans="1:46" x14ac:dyDescent="0.2">
      <c r="A671" s="4">
        <v>1865</v>
      </c>
      <c r="B671" s="4" t="s">
        <v>22</v>
      </c>
      <c r="C671" s="5" t="s">
        <v>539</v>
      </c>
      <c r="D671" s="5" t="s">
        <v>540</v>
      </c>
      <c r="E671" s="5" t="s">
        <v>215</v>
      </c>
      <c r="F671" s="5" t="s">
        <v>500</v>
      </c>
      <c r="G671" s="13">
        <v>46315</v>
      </c>
      <c r="H671" s="13">
        <v>46316</v>
      </c>
      <c r="I671" s="9">
        <f t="shared" si="20"/>
        <v>2</v>
      </c>
      <c r="J671" s="5" t="s">
        <v>1651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4">
        <v>2</v>
      </c>
      <c r="AH671" s="4">
        <v>1</v>
      </c>
      <c r="AI671" s="4">
        <v>1</v>
      </c>
      <c r="AJ671" s="4">
        <v>2</v>
      </c>
      <c r="AK671" s="4">
        <v>3</v>
      </c>
      <c r="AL671" s="4">
        <v>2</v>
      </c>
      <c r="AM671" s="4">
        <v>1</v>
      </c>
      <c r="AN671" s="4">
        <v>0</v>
      </c>
      <c r="AO671" s="4">
        <v>1</v>
      </c>
      <c r="AP671" s="4"/>
      <c r="AQ671" s="4">
        <v>0</v>
      </c>
      <c r="AR671" s="4">
        <v>1</v>
      </c>
      <c r="AS671" s="4">
        <f t="shared" si="21"/>
        <v>13</v>
      </c>
      <c r="AT671" s="9" t="s">
        <v>501</v>
      </c>
    </row>
    <row r="672" spans="1:46" x14ac:dyDescent="0.2">
      <c r="A672" s="4">
        <v>2125</v>
      </c>
      <c r="B672" s="4" t="s">
        <v>22</v>
      </c>
      <c r="C672" s="5" t="s">
        <v>575</v>
      </c>
      <c r="D672" s="5" t="s">
        <v>576</v>
      </c>
      <c r="E672" s="5" t="s">
        <v>545</v>
      </c>
      <c r="F672" s="5" t="s">
        <v>546</v>
      </c>
      <c r="G672" s="13">
        <v>46315</v>
      </c>
      <c r="H672" s="13">
        <v>46315</v>
      </c>
      <c r="I672" s="9">
        <f t="shared" si="20"/>
        <v>1</v>
      </c>
      <c r="J672" s="5" t="s">
        <v>1651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4">
        <v>5</v>
      </c>
      <c r="AH672" s="4">
        <v>3</v>
      </c>
      <c r="AI672" s="4">
        <v>1</v>
      </c>
      <c r="AJ672" s="4">
        <v>3</v>
      </c>
      <c r="AK672" s="4">
        <v>8</v>
      </c>
      <c r="AL672" s="4">
        <v>4</v>
      </c>
      <c r="AM672" s="4">
        <v>2</v>
      </c>
      <c r="AN672" s="4">
        <v>0</v>
      </c>
      <c r="AO672" s="4">
        <v>1</v>
      </c>
      <c r="AP672" s="4"/>
      <c r="AQ672" s="4">
        <v>0</v>
      </c>
      <c r="AR672" s="4">
        <v>1</v>
      </c>
      <c r="AS672" s="4">
        <f t="shared" si="21"/>
        <v>27</v>
      </c>
      <c r="AT672" s="9" t="s">
        <v>547</v>
      </c>
    </row>
    <row r="673" spans="1:46" ht="78.75" x14ac:dyDescent="0.2">
      <c r="A673" s="4">
        <v>3916</v>
      </c>
      <c r="B673" s="4" t="s">
        <v>22</v>
      </c>
      <c r="C673" s="14" t="s">
        <v>901</v>
      </c>
      <c r="D673" s="5" t="s">
        <v>885</v>
      </c>
      <c r="E673" s="5" t="s">
        <v>873</v>
      </c>
      <c r="F673" s="5" t="s">
        <v>574</v>
      </c>
      <c r="G673" s="13">
        <v>46315</v>
      </c>
      <c r="H673" s="13">
        <v>46318</v>
      </c>
      <c r="I673" s="9">
        <f t="shared" si="20"/>
        <v>4</v>
      </c>
      <c r="J673" s="5" t="s">
        <v>1651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4">
        <v>5</v>
      </c>
      <c r="AH673" s="4">
        <v>4</v>
      </c>
      <c r="AI673" s="4">
        <v>1</v>
      </c>
      <c r="AJ673" s="4">
        <v>3</v>
      </c>
      <c r="AK673" s="4">
        <v>9</v>
      </c>
      <c r="AL673" s="4">
        <v>4</v>
      </c>
      <c r="AM673" s="4">
        <v>2</v>
      </c>
      <c r="AN673" s="4">
        <v>0</v>
      </c>
      <c r="AO673" s="4">
        <v>2</v>
      </c>
      <c r="AP673" s="4"/>
      <c r="AQ673" s="4">
        <v>0</v>
      </c>
      <c r="AR673" s="4">
        <v>1</v>
      </c>
      <c r="AS673" s="4">
        <f t="shared" si="21"/>
        <v>30</v>
      </c>
      <c r="AT673" s="9" t="str">
        <f>UPPER("Victor Alfonso Ulloa Acosta")</f>
        <v>VICTOR ALFONSO ULLOA ACOSTA</v>
      </c>
    </row>
    <row r="674" spans="1:46" x14ac:dyDescent="0.2">
      <c r="A674" s="4">
        <v>4876</v>
      </c>
      <c r="B674" s="4" t="s">
        <v>22</v>
      </c>
      <c r="C674" s="5" t="s">
        <v>104</v>
      </c>
      <c r="D674" s="5" t="s">
        <v>105</v>
      </c>
      <c r="E674" s="5" t="s">
        <v>286</v>
      </c>
      <c r="F674" s="5" t="s">
        <v>546</v>
      </c>
      <c r="G674" s="13">
        <v>46315</v>
      </c>
      <c r="H674" s="13">
        <v>46315</v>
      </c>
      <c r="I674" s="9">
        <f t="shared" si="20"/>
        <v>1</v>
      </c>
      <c r="J674" s="5" t="s">
        <v>1651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4">
        <v>4</v>
      </c>
      <c r="AH674" s="4">
        <v>3</v>
      </c>
      <c r="AI674" s="4">
        <v>1</v>
      </c>
      <c r="AJ674" s="4">
        <v>2</v>
      </c>
      <c r="AK674" s="4">
        <v>7</v>
      </c>
      <c r="AL674" s="4">
        <v>3</v>
      </c>
      <c r="AM674" s="4">
        <v>1</v>
      </c>
      <c r="AN674" s="4">
        <v>0</v>
      </c>
      <c r="AO674" s="4">
        <v>1</v>
      </c>
      <c r="AP674" s="4"/>
      <c r="AQ674" s="4">
        <v>0</v>
      </c>
      <c r="AR674" s="4">
        <v>1</v>
      </c>
      <c r="AS674" s="4">
        <f t="shared" si="21"/>
        <v>22</v>
      </c>
      <c r="AT674" s="9" t="s">
        <v>1034</v>
      </c>
    </row>
    <row r="675" spans="1:46" x14ac:dyDescent="0.2">
      <c r="A675" s="4">
        <v>5113</v>
      </c>
      <c r="B675" s="4" t="s">
        <v>22</v>
      </c>
      <c r="C675" s="5" t="s">
        <v>1121</v>
      </c>
      <c r="D675" s="5" t="s">
        <v>1106</v>
      </c>
      <c r="E675" s="5" t="s">
        <v>1107</v>
      </c>
      <c r="F675" s="5" t="s">
        <v>98</v>
      </c>
      <c r="G675" s="13">
        <v>46315</v>
      </c>
      <c r="H675" s="13">
        <v>46318</v>
      </c>
      <c r="I675" s="9">
        <f t="shared" si="20"/>
        <v>4</v>
      </c>
      <c r="J675" s="5" t="s">
        <v>1651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4">
        <v>5</v>
      </c>
      <c r="AH675" s="4">
        <v>3</v>
      </c>
      <c r="AI675" s="4">
        <v>1</v>
      </c>
      <c r="AJ675" s="4">
        <v>3</v>
      </c>
      <c r="AK675" s="4">
        <v>7</v>
      </c>
      <c r="AL675" s="4">
        <v>3</v>
      </c>
      <c r="AM675" s="4">
        <v>2</v>
      </c>
      <c r="AN675" s="4">
        <v>0</v>
      </c>
      <c r="AO675" s="4">
        <v>1</v>
      </c>
      <c r="AP675" s="4"/>
      <c r="AQ675" s="4">
        <v>0</v>
      </c>
      <c r="AR675" s="4">
        <v>1</v>
      </c>
      <c r="AS675" s="4">
        <f t="shared" si="21"/>
        <v>25</v>
      </c>
      <c r="AT675" s="9" t="s">
        <v>1108</v>
      </c>
    </row>
    <row r="676" spans="1:46" x14ac:dyDescent="0.2">
      <c r="A676" s="4">
        <v>5119</v>
      </c>
      <c r="B676" s="4" t="s">
        <v>22</v>
      </c>
      <c r="C676" s="5" t="s">
        <v>1132</v>
      </c>
      <c r="D676" s="5" t="s">
        <v>1133</v>
      </c>
      <c r="E676" s="5" t="s">
        <v>1107</v>
      </c>
      <c r="F676" s="5" t="s">
        <v>98</v>
      </c>
      <c r="G676" s="13">
        <v>46315</v>
      </c>
      <c r="H676" s="13">
        <v>46315</v>
      </c>
      <c r="I676" s="9">
        <f t="shared" si="20"/>
        <v>1</v>
      </c>
      <c r="J676" s="5" t="s">
        <v>1651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4">
        <v>2</v>
      </c>
      <c r="AH676" s="4">
        <v>1</v>
      </c>
      <c r="AI676" s="4">
        <v>1</v>
      </c>
      <c r="AJ676" s="4">
        <v>2</v>
      </c>
      <c r="AK676" s="4">
        <v>3</v>
      </c>
      <c r="AL676" s="4">
        <v>2</v>
      </c>
      <c r="AM676" s="4">
        <v>1</v>
      </c>
      <c r="AN676" s="4">
        <v>0</v>
      </c>
      <c r="AO676" s="4">
        <v>1</v>
      </c>
      <c r="AP676" s="4"/>
      <c r="AQ676" s="4">
        <v>0</v>
      </c>
      <c r="AR676" s="4">
        <v>1</v>
      </c>
      <c r="AS676" s="4">
        <f t="shared" si="21"/>
        <v>13</v>
      </c>
      <c r="AT676" s="9" t="s">
        <v>1114</v>
      </c>
    </row>
    <row r="677" spans="1:46" x14ac:dyDescent="0.2">
      <c r="A677" s="4">
        <v>5122</v>
      </c>
      <c r="B677" s="4" t="s">
        <v>22</v>
      </c>
      <c r="C677" s="5" t="s">
        <v>1138</v>
      </c>
      <c r="D677" s="5" t="s">
        <v>1139</v>
      </c>
      <c r="E677" s="5" t="s">
        <v>1107</v>
      </c>
      <c r="F677" s="5" t="s">
        <v>98</v>
      </c>
      <c r="G677" s="13">
        <v>46315</v>
      </c>
      <c r="H677" s="13">
        <v>46316</v>
      </c>
      <c r="I677" s="9">
        <f t="shared" si="20"/>
        <v>2</v>
      </c>
      <c r="J677" s="5" t="s">
        <v>1651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4">
        <v>3</v>
      </c>
      <c r="AH677" s="4">
        <v>2</v>
      </c>
      <c r="AI677" s="4">
        <v>1</v>
      </c>
      <c r="AJ677" s="4">
        <v>2</v>
      </c>
      <c r="AK677" s="4">
        <v>5</v>
      </c>
      <c r="AL677" s="4">
        <v>3</v>
      </c>
      <c r="AM677" s="4">
        <v>1</v>
      </c>
      <c r="AN677" s="4">
        <v>0</v>
      </c>
      <c r="AO677" s="4">
        <v>1</v>
      </c>
      <c r="AP677" s="4"/>
      <c r="AQ677" s="4">
        <v>0</v>
      </c>
      <c r="AR677" s="4">
        <v>1</v>
      </c>
      <c r="AS677" s="4">
        <f t="shared" si="21"/>
        <v>18</v>
      </c>
      <c r="AT677" s="9" t="s">
        <v>1111</v>
      </c>
    </row>
    <row r="678" spans="1:46" x14ac:dyDescent="0.2">
      <c r="A678" s="4">
        <v>6012</v>
      </c>
      <c r="B678" s="4" t="s">
        <v>22</v>
      </c>
      <c r="C678" s="5" t="s">
        <v>1218</v>
      </c>
      <c r="D678" s="5" t="s">
        <v>1212</v>
      </c>
      <c r="E678" s="5" t="s">
        <v>1213</v>
      </c>
      <c r="F678" s="5" t="s">
        <v>98</v>
      </c>
      <c r="G678" s="13">
        <v>46315</v>
      </c>
      <c r="H678" s="13">
        <v>46318</v>
      </c>
      <c r="I678" s="9">
        <f t="shared" si="20"/>
        <v>4</v>
      </c>
      <c r="J678" s="5" t="s">
        <v>1651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4">
        <v>3</v>
      </c>
      <c r="AH678" s="4">
        <v>3</v>
      </c>
      <c r="AI678" s="4">
        <v>1</v>
      </c>
      <c r="AJ678" s="4">
        <v>2</v>
      </c>
      <c r="AK678" s="4">
        <v>7</v>
      </c>
      <c r="AL678" s="4">
        <v>2</v>
      </c>
      <c r="AM678" s="4">
        <v>1</v>
      </c>
      <c r="AN678" s="4">
        <v>0</v>
      </c>
      <c r="AO678" s="4">
        <v>1</v>
      </c>
      <c r="AP678" s="4"/>
      <c r="AQ678" s="4">
        <v>0</v>
      </c>
      <c r="AR678" s="4">
        <v>1</v>
      </c>
      <c r="AS678" s="4">
        <f t="shared" si="21"/>
        <v>20</v>
      </c>
      <c r="AT678" s="9" t="str">
        <f>UPPER("Carlos Miguel Jimenez")</f>
        <v>CARLOS MIGUEL JIMENEZ</v>
      </c>
    </row>
    <row r="679" spans="1:46" x14ac:dyDescent="0.2">
      <c r="A679" s="4">
        <v>6614</v>
      </c>
      <c r="B679" s="4" t="s">
        <v>22</v>
      </c>
      <c r="C679" s="5" t="s">
        <v>1365</v>
      </c>
      <c r="D679" s="5" t="s">
        <v>1366</v>
      </c>
      <c r="E679" s="5" t="s">
        <v>1346</v>
      </c>
      <c r="F679" s="5" t="s">
        <v>500</v>
      </c>
      <c r="G679" s="13">
        <v>46315</v>
      </c>
      <c r="H679" s="13">
        <v>46317</v>
      </c>
      <c r="I679" s="9">
        <f t="shared" si="20"/>
        <v>3</v>
      </c>
      <c r="J679" s="5" t="s">
        <v>1651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4">
        <v>2</v>
      </c>
      <c r="AH679" s="4">
        <v>1</v>
      </c>
      <c r="AI679" s="4">
        <v>1</v>
      </c>
      <c r="AJ679" s="4">
        <v>2</v>
      </c>
      <c r="AK679" s="4">
        <v>3</v>
      </c>
      <c r="AL679" s="4">
        <v>2</v>
      </c>
      <c r="AM679" s="4">
        <v>1</v>
      </c>
      <c r="AN679" s="4">
        <v>0</v>
      </c>
      <c r="AO679" s="4">
        <v>1</v>
      </c>
      <c r="AP679" s="4"/>
      <c r="AQ679" s="4">
        <v>0</v>
      </c>
      <c r="AR679" s="4">
        <v>1</v>
      </c>
      <c r="AS679" s="4">
        <f t="shared" si="21"/>
        <v>13</v>
      </c>
      <c r="AT679" s="9" t="s">
        <v>1367</v>
      </c>
    </row>
    <row r="680" spans="1:46" x14ac:dyDescent="0.2">
      <c r="A680" s="4">
        <v>6635</v>
      </c>
      <c r="B680" s="4" t="s">
        <v>22</v>
      </c>
      <c r="C680" s="5" t="s">
        <v>1401</v>
      </c>
      <c r="D680" s="5" t="s">
        <v>1402</v>
      </c>
      <c r="E680" s="5" t="s">
        <v>1346</v>
      </c>
      <c r="F680" s="5" t="s">
        <v>574</v>
      </c>
      <c r="G680" s="13">
        <v>46315</v>
      </c>
      <c r="H680" s="13">
        <v>46317</v>
      </c>
      <c r="I680" s="9">
        <f t="shared" si="20"/>
        <v>3</v>
      </c>
      <c r="J680" s="5" t="s">
        <v>1651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4">
        <v>6</v>
      </c>
      <c r="AH680" s="4">
        <v>8</v>
      </c>
      <c r="AI680" s="4">
        <v>1</v>
      </c>
      <c r="AJ680" s="4">
        <v>3</v>
      </c>
      <c r="AK680" s="4">
        <v>14</v>
      </c>
      <c r="AL680" s="4">
        <v>5</v>
      </c>
      <c r="AM680" s="4">
        <v>2</v>
      </c>
      <c r="AN680" s="4">
        <v>0</v>
      </c>
      <c r="AO680" s="4">
        <v>4</v>
      </c>
      <c r="AP680" s="4"/>
      <c r="AQ680" s="4">
        <v>0</v>
      </c>
      <c r="AR680" s="4">
        <v>1</v>
      </c>
      <c r="AS680" s="4">
        <f t="shared" si="21"/>
        <v>43</v>
      </c>
      <c r="AT680" s="9" t="s">
        <v>1403</v>
      </c>
    </row>
    <row r="681" spans="1:46" x14ac:dyDescent="0.2">
      <c r="A681" s="4">
        <v>6954</v>
      </c>
      <c r="B681" s="4" t="s">
        <v>22</v>
      </c>
      <c r="C681" s="5" t="s">
        <v>1480</v>
      </c>
      <c r="D681" s="5" t="s">
        <v>1481</v>
      </c>
      <c r="E681" s="5" t="s">
        <v>1175</v>
      </c>
      <c r="F681" s="5" t="s">
        <v>546</v>
      </c>
      <c r="G681" s="13">
        <v>46315</v>
      </c>
      <c r="H681" s="13">
        <v>46315</v>
      </c>
      <c r="I681" s="9">
        <f t="shared" si="20"/>
        <v>1</v>
      </c>
      <c r="J681" s="5" t="s">
        <v>1651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4">
        <v>4</v>
      </c>
      <c r="AH681" s="4">
        <v>1</v>
      </c>
      <c r="AI681" s="4">
        <v>1</v>
      </c>
      <c r="AJ681" s="4">
        <v>2</v>
      </c>
      <c r="AK681" s="4">
        <v>6</v>
      </c>
      <c r="AL681" s="4">
        <v>3</v>
      </c>
      <c r="AM681" s="4">
        <v>1</v>
      </c>
      <c r="AN681" s="4">
        <v>0</v>
      </c>
      <c r="AO681" s="4">
        <v>1</v>
      </c>
      <c r="AP681" s="4"/>
      <c r="AQ681" s="4">
        <v>0</v>
      </c>
      <c r="AR681" s="4">
        <v>1</v>
      </c>
      <c r="AS681" s="4">
        <f t="shared" si="21"/>
        <v>19</v>
      </c>
      <c r="AT681" s="9" t="s">
        <v>1442</v>
      </c>
    </row>
    <row r="682" spans="1:46" x14ac:dyDescent="0.2">
      <c r="A682" s="4">
        <v>7545</v>
      </c>
      <c r="B682" s="4" t="s">
        <v>22</v>
      </c>
      <c r="C682" s="5" t="s">
        <v>1541</v>
      </c>
      <c r="D682" s="5" t="s">
        <v>1542</v>
      </c>
      <c r="E682" s="5" t="s">
        <v>883</v>
      </c>
      <c r="F682" s="5" t="s">
        <v>574</v>
      </c>
      <c r="G682" s="13">
        <v>46315</v>
      </c>
      <c r="H682" s="13">
        <v>46315</v>
      </c>
      <c r="I682" s="9">
        <f t="shared" si="20"/>
        <v>1</v>
      </c>
      <c r="J682" s="5" t="s">
        <v>1651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4">
        <v>2</v>
      </c>
      <c r="AH682" s="4">
        <v>1</v>
      </c>
      <c r="AI682" s="4">
        <v>1</v>
      </c>
      <c r="AJ682" s="4">
        <v>2</v>
      </c>
      <c r="AK682" s="4">
        <v>3</v>
      </c>
      <c r="AL682" s="4">
        <v>2</v>
      </c>
      <c r="AM682" s="4">
        <v>1</v>
      </c>
      <c r="AN682" s="4">
        <v>0</v>
      </c>
      <c r="AO682" s="4">
        <v>1</v>
      </c>
      <c r="AP682" s="4"/>
      <c r="AQ682" s="4">
        <v>0</v>
      </c>
      <c r="AR682" s="4">
        <v>1</v>
      </c>
      <c r="AS682" s="4">
        <f t="shared" si="21"/>
        <v>13</v>
      </c>
      <c r="AT682" s="9" t="s">
        <v>874</v>
      </c>
    </row>
    <row r="683" spans="1:46" x14ac:dyDescent="0.2">
      <c r="A683" s="4">
        <v>250</v>
      </c>
      <c r="B683" s="4" t="s">
        <v>22</v>
      </c>
      <c r="C683" s="5" t="s">
        <v>31</v>
      </c>
      <c r="D683" s="5" t="s">
        <v>24</v>
      </c>
      <c r="E683" s="5" t="s">
        <v>25</v>
      </c>
      <c r="F683" s="5" t="s">
        <v>26</v>
      </c>
      <c r="G683" s="13">
        <v>46316</v>
      </c>
      <c r="H683" s="13">
        <v>46316</v>
      </c>
      <c r="I683" s="9">
        <f t="shared" si="20"/>
        <v>1</v>
      </c>
      <c r="J683" s="5" t="s">
        <v>1651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4">
        <v>5</v>
      </c>
      <c r="AH683" s="4">
        <v>2</v>
      </c>
      <c r="AI683" s="4">
        <v>1</v>
      </c>
      <c r="AJ683" s="4">
        <v>3</v>
      </c>
      <c r="AK683" s="4">
        <v>5</v>
      </c>
      <c r="AL683" s="4">
        <v>4</v>
      </c>
      <c r="AM683" s="4">
        <v>2</v>
      </c>
      <c r="AN683" s="4">
        <v>0</v>
      </c>
      <c r="AO683" s="4">
        <v>1</v>
      </c>
      <c r="AP683" s="4"/>
      <c r="AQ683" s="4">
        <v>0</v>
      </c>
      <c r="AR683" s="4">
        <v>1</v>
      </c>
      <c r="AS683" s="4">
        <f t="shared" si="21"/>
        <v>23</v>
      </c>
      <c r="AT683" s="5" t="s">
        <v>27</v>
      </c>
    </row>
    <row r="684" spans="1:46" x14ac:dyDescent="0.2">
      <c r="A684" s="4">
        <v>1350</v>
      </c>
      <c r="B684" s="4" t="s">
        <v>22</v>
      </c>
      <c r="C684" s="5" t="s">
        <v>174</v>
      </c>
      <c r="D684" s="5" t="s">
        <v>175</v>
      </c>
      <c r="E684" s="5" t="s">
        <v>118</v>
      </c>
      <c r="F684" s="5" t="s">
        <v>119</v>
      </c>
      <c r="G684" s="13">
        <v>46316</v>
      </c>
      <c r="H684" s="13">
        <v>46316</v>
      </c>
      <c r="I684" s="9">
        <f t="shared" si="20"/>
        <v>1</v>
      </c>
      <c r="J684" s="5" t="s">
        <v>1651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4">
        <v>3</v>
      </c>
      <c r="AH684" s="4">
        <v>2</v>
      </c>
      <c r="AI684" s="4">
        <v>1</v>
      </c>
      <c r="AJ684" s="4">
        <v>2</v>
      </c>
      <c r="AK684" s="4">
        <v>6</v>
      </c>
      <c r="AL684" s="4">
        <v>2</v>
      </c>
      <c r="AM684" s="4">
        <v>1</v>
      </c>
      <c r="AN684" s="4">
        <v>0</v>
      </c>
      <c r="AO684" s="4">
        <v>1</v>
      </c>
      <c r="AP684" s="4"/>
      <c r="AQ684" s="4">
        <v>0</v>
      </c>
      <c r="AR684" s="4">
        <v>1</v>
      </c>
      <c r="AS684" s="4">
        <f t="shared" si="21"/>
        <v>18</v>
      </c>
      <c r="AT684" s="4" t="s">
        <v>120</v>
      </c>
    </row>
    <row r="685" spans="1:46" x14ac:dyDescent="0.2">
      <c r="A685" s="4">
        <v>1392</v>
      </c>
      <c r="B685" s="4" t="s">
        <v>22</v>
      </c>
      <c r="C685" s="5" t="s">
        <v>243</v>
      </c>
      <c r="D685" s="5" t="s">
        <v>244</v>
      </c>
      <c r="E685" s="5" t="s">
        <v>118</v>
      </c>
      <c r="F685" s="5" t="s">
        <v>119</v>
      </c>
      <c r="G685" s="13">
        <v>46316</v>
      </c>
      <c r="H685" s="13">
        <v>46316</v>
      </c>
      <c r="I685" s="9">
        <f t="shared" si="20"/>
        <v>1</v>
      </c>
      <c r="J685" s="5" t="s">
        <v>1651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4">
        <v>2</v>
      </c>
      <c r="AH685" s="4">
        <v>1</v>
      </c>
      <c r="AI685" s="4">
        <v>1</v>
      </c>
      <c r="AJ685" s="4">
        <v>2</v>
      </c>
      <c r="AK685" s="4">
        <v>3</v>
      </c>
      <c r="AL685" s="4">
        <v>2</v>
      </c>
      <c r="AM685" s="4">
        <v>1</v>
      </c>
      <c r="AN685" s="4">
        <v>0</v>
      </c>
      <c r="AO685" s="4">
        <v>1</v>
      </c>
      <c r="AP685" s="4"/>
      <c r="AQ685" s="4">
        <v>1</v>
      </c>
      <c r="AR685" s="4">
        <v>1</v>
      </c>
      <c r="AS685" s="4">
        <f t="shared" si="21"/>
        <v>14</v>
      </c>
      <c r="AT685" s="4" t="s">
        <v>120</v>
      </c>
    </row>
    <row r="686" spans="1:46" x14ac:dyDescent="0.2">
      <c r="A686" s="4">
        <v>3350</v>
      </c>
      <c r="B686" s="4" t="s">
        <v>22</v>
      </c>
      <c r="C686" s="5" t="s">
        <v>852</v>
      </c>
      <c r="D686" s="5" t="s">
        <v>853</v>
      </c>
      <c r="E686" s="5" t="s">
        <v>842</v>
      </c>
      <c r="F686" s="5" t="s">
        <v>119</v>
      </c>
      <c r="G686" s="13">
        <v>46316</v>
      </c>
      <c r="H686" s="13">
        <v>46317</v>
      </c>
      <c r="I686" s="9">
        <f t="shared" si="20"/>
        <v>2</v>
      </c>
      <c r="J686" s="5" t="s">
        <v>1651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4">
        <v>2</v>
      </c>
      <c r="AH686" s="4">
        <v>1</v>
      </c>
      <c r="AI686" s="4">
        <v>1</v>
      </c>
      <c r="AJ686" s="4">
        <v>2</v>
      </c>
      <c r="AK686" s="4">
        <v>3</v>
      </c>
      <c r="AL686" s="4">
        <v>2</v>
      </c>
      <c r="AM686" s="4">
        <v>1</v>
      </c>
      <c r="AN686" s="4">
        <v>0</v>
      </c>
      <c r="AO686" s="4">
        <v>0</v>
      </c>
      <c r="AP686" s="4"/>
      <c r="AQ686" s="4">
        <v>0</v>
      </c>
      <c r="AR686" s="4">
        <v>1</v>
      </c>
      <c r="AS686" s="4">
        <f t="shared" si="21"/>
        <v>12</v>
      </c>
      <c r="AT686" s="9" t="s">
        <v>845</v>
      </c>
    </row>
    <row r="687" spans="1:46" x14ac:dyDescent="0.2">
      <c r="A687" s="4">
        <v>4842</v>
      </c>
      <c r="B687" s="4" t="s">
        <v>22</v>
      </c>
      <c r="C687" s="5" t="s">
        <v>226</v>
      </c>
      <c r="D687" s="5" t="s">
        <v>227</v>
      </c>
      <c r="E687" s="5" t="s">
        <v>286</v>
      </c>
      <c r="F687" s="5" t="s">
        <v>546</v>
      </c>
      <c r="G687" s="13">
        <v>46316</v>
      </c>
      <c r="H687" s="13">
        <v>46316</v>
      </c>
      <c r="I687" s="9">
        <f t="shared" si="20"/>
        <v>1</v>
      </c>
      <c r="J687" s="5" t="s">
        <v>1651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4">
        <v>7</v>
      </c>
      <c r="AH687" s="4">
        <v>8</v>
      </c>
      <c r="AI687" s="4">
        <v>1</v>
      </c>
      <c r="AJ687" s="4">
        <v>3</v>
      </c>
      <c r="AK687" s="4">
        <v>14</v>
      </c>
      <c r="AL687" s="4">
        <v>6</v>
      </c>
      <c r="AM687" s="4">
        <v>2</v>
      </c>
      <c r="AN687" s="4">
        <v>0</v>
      </c>
      <c r="AO687" s="4">
        <v>4</v>
      </c>
      <c r="AP687" s="4"/>
      <c r="AQ687" s="4">
        <v>0</v>
      </c>
      <c r="AR687" s="4">
        <v>1</v>
      </c>
      <c r="AS687" s="4">
        <f t="shared" si="21"/>
        <v>45</v>
      </c>
      <c r="AT687" s="9" t="s">
        <v>1034</v>
      </c>
    </row>
    <row r="688" spans="1:46" x14ac:dyDescent="0.2">
      <c r="A688" s="4">
        <v>6020</v>
      </c>
      <c r="B688" s="4" t="s">
        <v>22</v>
      </c>
      <c r="C688" s="5" t="s">
        <v>1229</v>
      </c>
      <c r="D688" s="5" t="s">
        <v>1230</v>
      </c>
      <c r="E688" s="5" t="s">
        <v>1213</v>
      </c>
      <c r="F688" s="5" t="s">
        <v>98</v>
      </c>
      <c r="G688" s="13">
        <v>46316</v>
      </c>
      <c r="H688" s="13">
        <v>46316</v>
      </c>
      <c r="I688" s="9">
        <f t="shared" si="20"/>
        <v>1</v>
      </c>
      <c r="J688" s="5" t="s">
        <v>1651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4">
        <v>8</v>
      </c>
      <c r="AH688" s="4">
        <v>8</v>
      </c>
      <c r="AI688" s="4">
        <v>1</v>
      </c>
      <c r="AJ688" s="4">
        <v>4</v>
      </c>
      <c r="AK688" s="4">
        <v>15</v>
      </c>
      <c r="AL688" s="4">
        <v>7</v>
      </c>
      <c r="AM688" s="4">
        <v>3</v>
      </c>
      <c r="AN688" s="4">
        <v>0</v>
      </c>
      <c r="AO688" s="4">
        <v>3</v>
      </c>
      <c r="AP688" s="4"/>
      <c r="AQ688" s="4">
        <v>1</v>
      </c>
      <c r="AR688" s="4">
        <v>1</v>
      </c>
      <c r="AS688" s="4">
        <f t="shared" si="21"/>
        <v>50</v>
      </c>
      <c r="AT688" s="9" t="s">
        <v>332</v>
      </c>
    </row>
    <row r="689" spans="1:46" x14ac:dyDescent="0.2">
      <c r="A689" s="4">
        <v>6022</v>
      </c>
      <c r="B689" s="4" t="s">
        <v>22</v>
      </c>
      <c r="C689" s="5" t="s">
        <v>1231</v>
      </c>
      <c r="D689" s="5" t="s">
        <v>1232</v>
      </c>
      <c r="E689" s="5" t="s">
        <v>1213</v>
      </c>
      <c r="F689" s="5" t="s">
        <v>98</v>
      </c>
      <c r="G689" s="13">
        <v>46316</v>
      </c>
      <c r="H689" s="13">
        <v>46316</v>
      </c>
      <c r="I689" s="9">
        <f t="shared" si="20"/>
        <v>1</v>
      </c>
      <c r="J689" s="5" t="s">
        <v>1651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4">
        <v>6</v>
      </c>
      <c r="AH689" s="4">
        <v>4</v>
      </c>
      <c r="AI689" s="4">
        <v>1</v>
      </c>
      <c r="AJ689" s="4">
        <v>3</v>
      </c>
      <c r="AK689" s="4">
        <v>9</v>
      </c>
      <c r="AL689" s="4">
        <v>5</v>
      </c>
      <c r="AM689" s="4">
        <v>2</v>
      </c>
      <c r="AN689" s="4">
        <v>0</v>
      </c>
      <c r="AO689" s="4">
        <v>2</v>
      </c>
      <c r="AP689" s="4"/>
      <c r="AQ689" s="4">
        <v>0</v>
      </c>
      <c r="AR689" s="4">
        <v>1</v>
      </c>
      <c r="AS689" s="4">
        <f t="shared" si="21"/>
        <v>32</v>
      </c>
      <c r="AT689" s="9" t="s">
        <v>364</v>
      </c>
    </row>
    <row r="690" spans="1:46" x14ac:dyDescent="0.2">
      <c r="A690" s="4">
        <v>6038</v>
      </c>
      <c r="B690" s="4" t="s">
        <v>22</v>
      </c>
      <c r="C690" s="5" t="s">
        <v>1250</v>
      </c>
      <c r="D690" s="5" t="s">
        <v>1251</v>
      </c>
      <c r="E690" s="5" t="s">
        <v>1213</v>
      </c>
      <c r="F690" s="5" t="s">
        <v>98</v>
      </c>
      <c r="G690" s="13">
        <v>46316</v>
      </c>
      <c r="H690" s="13">
        <v>46316</v>
      </c>
      <c r="I690" s="9">
        <f t="shared" si="20"/>
        <v>1</v>
      </c>
      <c r="J690" s="5" t="s">
        <v>1651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4">
        <v>5</v>
      </c>
      <c r="AH690" s="4">
        <v>2</v>
      </c>
      <c r="AI690" s="4">
        <v>1</v>
      </c>
      <c r="AJ690" s="4">
        <v>3</v>
      </c>
      <c r="AK690" s="4">
        <v>9</v>
      </c>
      <c r="AL690" s="4">
        <v>4</v>
      </c>
      <c r="AM690" s="4">
        <v>2</v>
      </c>
      <c r="AN690" s="4">
        <v>0</v>
      </c>
      <c r="AO690" s="4">
        <v>1</v>
      </c>
      <c r="AP690" s="4"/>
      <c r="AQ690" s="4">
        <v>0</v>
      </c>
      <c r="AR690" s="4">
        <v>1</v>
      </c>
      <c r="AS690" s="4">
        <f t="shared" si="21"/>
        <v>27</v>
      </c>
      <c r="AT690" s="9" t="s">
        <v>77</v>
      </c>
    </row>
    <row r="691" spans="1:46" x14ac:dyDescent="0.2">
      <c r="A691" s="4">
        <v>6080</v>
      </c>
      <c r="B691" s="4" t="s">
        <v>22</v>
      </c>
      <c r="C691" s="5" t="s">
        <v>1308</v>
      </c>
      <c r="D691" s="5" t="s">
        <v>1309</v>
      </c>
      <c r="E691" s="5" t="s">
        <v>1213</v>
      </c>
      <c r="F691" s="5" t="s">
        <v>98</v>
      </c>
      <c r="G691" s="13">
        <v>46316</v>
      </c>
      <c r="H691" s="13">
        <v>46316</v>
      </c>
      <c r="I691" s="9">
        <f t="shared" si="20"/>
        <v>1</v>
      </c>
      <c r="J691" s="5" t="s">
        <v>1651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4">
        <v>5</v>
      </c>
      <c r="AH691" s="4">
        <v>2</v>
      </c>
      <c r="AI691" s="4">
        <v>1</v>
      </c>
      <c r="AJ691" s="4">
        <v>3</v>
      </c>
      <c r="AK691" s="4">
        <v>7</v>
      </c>
      <c r="AL691" s="4">
        <v>5</v>
      </c>
      <c r="AM691" s="4">
        <v>2</v>
      </c>
      <c r="AN691" s="4">
        <v>0</v>
      </c>
      <c r="AO691" s="4">
        <v>1</v>
      </c>
      <c r="AP691" s="4"/>
      <c r="AQ691" s="4">
        <v>1</v>
      </c>
      <c r="AR691" s="4">
        <v>1</v>
      </c>
      <c r="AS691" s="4">
        <f t="shared" si="21"/>
        <v>27</v>
      </c>
      <c r="AT691" s="9" t="s">
        <v>335</v>
      </c>
    </row>
    <row r="692" spans="1:46" x14ac:dyDescent="0.2">
      <c r="A692" s="4">
        <v>6952</v>
      </c>
      <c r="B692" s="4" t="s">
        <v>22</v>
      </c>
      <c r="C692" s="5" t="s">
        <v>1478</v>
      </c>
      <c r="D692" s="5" t="s">
        <v>1479</v>
      </c>
      <c r="E692" s="5" t="s">
        <v>1175</v>
      </c>
      <c r="F692" s="5" t="s">
        <v>546</v>
      </c>
      <c r="G692" s="13">
        <v>46316</v>
      </c>
      <c r="H692" s="13">
        <v>46316</v>
      </c>
      <c r="I692" s="9">
        <f t="shared" si="20"/>
        <v>1</v>
      </c>
      <c r="J692" s="5" t="s">
        <v>1651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4">
        <v>4</v>
      </c>
      <c r="AH692" s="4">
        <v>3</v>
      </c>
      <c r="AI692" s="4">
        <v>1</v>
      </c>
      <c r="AJ692" s="4">
        <v>2</v>
      </c>
      <c r="AK692" s="4">
        <v>6</v>
      </c>
      <c r="AL692" s="4">
        <v>3</v>
      </c>
      <c r="AM692" s="4">
        <v>1</v>
      </c>
      <c r="AN692" s="4">
        <v>0</v>
      </c>
      <c r="AO692" s="4">
        <v>1</v>
      </c>
      <c r="AP692" s="4"/>
      <c r="AQ692" s="4">
        <v>0</v>
      </c>
      <c r="AR692" s="4">
        <v>1</v>
      </c>
      <c r="AS692" s="4">
        <f t="shared" si="21"/>
        <v>21</v>
      </c>
      <c r="AT692" s="9" t="s">
        <v>1442</v>
      </c>
    </row>
    <row r="693" spans="1:46" x14ac:dyDescent="0.2">
      <c r="A693" s="4">
        <v>7540</v>
      </c>
      <c r="B693" s="4" t="s">
        <v>22</v>
      </c>
      <c r="C693" s="5" t="s">
        <v>1539</v>
      </c>
      <c r="D693" s="5" t="s">
        <v>1540</v>
      </c>
      <c r="E693" s="5" t="s">
        <v>883</v>
      </c>
      <c r="F693" s="5" t="s">
        <v>574</v>
      </c>
      <c r="G693" s="13">
        <v>46316</v>
      </c>
      <c r="H693" s="13">
        <v>46316</v>
      </c>
      <c r="I693" s="9">
        <f t="shared" si="20"/>
        <v>1</v>
      </c>
      <c r="J693" s="5" t="s">
        <v>1651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4">
        <v>3</v>
      </c>
      <c r="AH693" s="4">
        <v>1</v>
      </c>
      <c r="AI693" s="4">
        <v>1</v>
      </c>
      <c r="AJ693" s="4">
        <v>2</v>
      </c>
      <c r="AK693" s="4">
        <v>4</v>
      </c>
      <c r="AL693" s="4">
        <v>2</v>
      </c>
      <c r="AM693" s="4">
        <v>1</v>
      </c>
      <c r="AN693" s="4">
        <v>0</v>
      </c>
      <c r="AO693" s="4">
        <v>1</v>
      </c>
      <c r="AP693" s="4"/>
      <c r="AQ693" s="4">
        <v>0</v>
      </c>
      <c r="AR693" s="4">
        <v>1</v>
      </c>
      <c r="AS693" s="4">
        <f t="shared" si="21"/>
        <v>15</v>
      </c>
      <c r="AT693" s="9" t="s">
        <v>874</v>
      </c>
    </row>
    <row r="694" spans="1:46" x14ac:dyDescent="0.2">
      <c r="A694" s="4">
        <v>850</v>
      </c>
      <c r="B694" s="4" t="s">
        <v>22</v>
      </c>
      <c r="C694" s="5" t="s">
        <v>47</v>
      </c>
      <c r="D694" s="5" t="s">
        <v>24</v>
      </c>
      <c r="E694" s="5" t="s">
        <v>25</v>
      </c>
      <c r="F694" s="5" t="s">
        <v>26</v>
      </c>
      <c r="G694" s="13">
        <v>46317</v>
      </c>
      <c r="H694" s="13">
        <v>46317</v>
      </c>
      <c r="I694" s="9">
        <f t="shared" si="20"/>
        <v>1</v>
      </c>
      <c r="J694" s="5" t="s">
        <v>1651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4">
        <v>5</v>
      </c>
      <c r="AH694" s="4">
        <v>3</v>
      </c>
      <c r="AI694" s="4">
        <v>1</v>
      </c>
      <c r="AJ694" s="4">
        <v>3</v>
      </c>
      <c r="AK694" s="4">
        <v>8</v>
      </c>
      <c r="AL694" s="4">
        <v>4</v>
      </c>
      <c r="AM694" s="4">
        <v>2</v>
      </c>
      <c r="AN694" s="4">
        <v>0</v>
      </c>
      <c r="AO694" s="4">
        <v>1</v>
      </c>
      <c r="AP694" s="4"/>
      <c r="AQ694" s="4">
        <v>0</v>
      </c>
      <c r="AR694" s="4">
        <v>1</v>
      </c>
      <c r="AS694" s="4">
        <f t="shared" si="21"/>
        <v>27</v>
      </c>
      <c r="AT694" s="5" t="s">
        <v>27</v>
      </c>
    </row>
    <row r="695" spans="1:46" x14ac:dyDescent="0.2">
      <c r="A695" s="4">
        <v>1309</v>
      </c>
      <c r="B695" s="4" t="s">
        <v>22</v>
      </c>
      <c r="C695" s="5" t="s">
        <v>129</v>
      </c>
      <c r="D695" s="5" t="s">
        <v>130</v>
      </c>
      <c r="E695" s="5" t="s">
        <v>118</v>
      </c>
      <c r="F695" s="5" t="s">
        <v>119</v>
      </c>
      <c r="G695" s="13">
        <v>46317</v>
      </c>
      <c r="H695" s="13">
        <v>46317</v>
      </c>
      <c r="I695" s="9">
        <f t="shared" si="20"/>
        <v>1</v>
      </c>
      <c r="J695" s="5" t="s">
        <v>1651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4">
        <v>2</v>
      </c>
      <c r="AH695" s="4">
        <v>1</v>
      </c>
      <c r="AI695" s="4">
        <v>1</v>
      </c>
      <c r="AJ695" s="4">
        <v>2</v>
      </c>
      <c r="AK695" s="4">
        <v>3</v>
      </c>
      <c r="AL695" s="4">
        <v>2</v>
      </c>
      <c r="AM695" s="4">
        <v>1</v>
      </c>
      <c r="AN695" s="4">
        <v>0</v>
      </c>
      <c r="AO695" s="4">
        <v>1</v>
      </c>
      <c r="AP695" s="4"/>
      <c r="AQ695" s="4">
        <v>0</v>
      </c>
      <c r="AR695" s="4">
        <v>1</v>
      </c>
      <c r="AS695" s="4">
        <f t="shared" si="21"/>
        <v>13</v>
      </c>
      <c r="AT695" s="4" t="s">
        <v>120</v>
      </c>
    </row>
    <row r="696" spans="1:46" x14ac:dyDescent="0.2">
      <c r="A696" s="4">
        <v>1360</v>
      </c>
      <c r="B696" s="4" t="s">
        <v>22</v>
      </c>
      <c r="C696" s="5" t="s">
        <v>192</v>
      </c>
      <c r="D696" s="5" t="s">
        <v>193</v>
      </c>
      <c r="E696" s="5" t="s">
        <v>118</v>
      </c>
      <c r="F696" s="5" t="s">
        <v>119</v>
      </c>
      <c r="G696" s="13">
        <v>46317</v>
      </c>
      <c r="H696" s="13">
        <v>46317</v>
      </c>
      <c r="I696" s="9">
        <f t="shared" si="20"/>
        <v>1</v>
      </c>
      <c r="J696" s="5" t="s">
        <v>1651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4">
        <v>2</v>
      </c>
      <c r="AH696" s="4">
        <v>2</v>
      </c>
      <c r="AI696" s="4">
        <v>1</v>
      </c>
      <c r="AJ696" s="4">
        <v>2</v>
      </c>
      <c r="AK696" s="4">
        <v>3</v>
      </c>
      <c r="AL696" s="4">
        <v>2</v>
      </c>
      <c r="AM696" s="4">
        <v>1</v>
      </c>
      <c r="AN696" s="4">
        <v>0</v>
      </c>
      <c r="AO696" s="4">
        <v>1</v>
      </c>
      <c r="AP696" s="4"/>
      <c r="AQ696" s="4">
        <v>0</v>
      </c>
      <c r="AR696" s="4">
        <v>1</v>
      </c>
      <c r="AS696" s="4">
        <f t="shared" si="21"/>
        <v>14</v>
      </c>
      <c r="AT696" s="4" t="s">
        <v>120</v>
      </c>
    </row>
    <row r="697" spans="1:46" x14ac:dyDescent="0.2">
      <c r="A697" s="4">
        <v>1430</v>
      </c>
      <c r="B697" s="4" t="s">
        <v>22</v>
      </c>
      <c r="C697" s="5" t="s">
        <v>279</v>
      </c>
      <c r="D697" s="5" t="s">
        <v>280</v>
      </c>
      <c r="E697" s="5" t="s">
        <v>118</v>
      </c>
      <c r="F697" s="5" t="s">
        <v>119</v>
      </c>
      <c r="G697" s="13">
        <v>46317</v>
      </c>
      <c r="H697" s="13">
        <v>46317</v>
      </c>
      <c r="I697" s="9">
        <f t="shared" si="20"/>
        <v>1</v>
      </c>
      <c r="J697" s="5" t="s">
        <v>1651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4">
        <v>2</v>
      </c>
      <c r="AH697" s="4">
        <v>1</v>
      </c>
      <c r="AI697" s="4">
        <v>1</v>
      </c>
      <c r="AJ697" s="4">
        <v>2</v>
      </c>
      <c r="AK697" s="4">
        <v>3</v>
      </c>
      <c r="AL697" s="4">
        <v>2</v>
      </c>
      <c r="AM697" s="4">
        <v>1</v>
      </c>
      <c r="AN697" s="4">
        <v>0</v>
      </c>
      <c r="AO697" s="4">
        <v>1</v>
      </c>
      <c r="AP697" s="7"/>
      <c r="AQ697" s="4">
        <v>0</v>
      </c>
      <c r="AR697" s="4">
        <v>1</v>
      </c>
      <c r="AS697" s="4">
        <f t="shared" si="21"/>
        <v>13</v>
      </c>
      <c r="AT697" s="4" t="s">
        <v>125</v>
      </c>
    </row>
    <row r="698" spans="1:46" x14ac:dyDescent="0.2">
      <c r="A698" s="4">
        <v>1853</v>
      </c>
      <c r="B698" s="4" t="s">
        <v>22</v>
      </c>
      <c r="C698" s="5" t="s">
        <v>530</v>
      </c>
      <c r="D698" s="5" t="s">
        <v>531</v>
      </c>
      <c r="E698" s="5" t="s">
        <v>215</v>
      </c>
      <c r="F698" s="5" t="s">
        <v>500</v>
      </c>
      <c r="G698" s="13">
        <v>46317</v>
      </c>
      <c r="H698" s="13">
        <v>46318</v>
      </c>
      <c r="I698" s="9">
        <f t="shared" si="20"/>
        <v>2</v>
      </c>
      <c r="J698" s="5" t="s">
        <v>1651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4">
        <v>4</v>
      </c>
      <c r="AH698" s="4">
        <v>4</v>
      </c>
      <c r="AI698" s="4">
        <v>1</v>
      </c>
      <c r="AJ698" s="4">
        <v>2</v>
      </c>
      <c r="AK698" s="4">
        <v>7</v>
      </c>
      <c r="AL698" s="4">
        <v>4</v>
      </c>
      <c r="AM698" s="4">
        <v>1</v>
      </c>
      <c r="AN698" s="4">
        <v>0</v>
      </c>
      <c r="AO698" s="4">
        <v>1</v>
      </c>
      <c r="AP698" s="4"/>
      <c r="AQ698" s="4">
        <v>2</v>
      </c>
      <c r="AR698" s="4">
        <v>1</v>
      </c>
      <c r="AS698" s="4">
        <f t="shared" si="21"/>
        <v>26</v>
      </c>
      <c r="AT698" s="9" t="s">
        <v>501</v>
      </c>
    </row>
    <row r="699" spans="1:46" x14ac:dyDescent="0.2">
      <c r="A699" s="4">
        <v>4828</v>
      </c>
      <c r="B699" s="4" t="s">
        <v>22</v>
      </c>
      <c r="C699" s="5" t="s">
        <v>1060</v>
      </c>
      <c r="D699" s="5" t="s">
        <v>1061</v>
      </c>
      <c r="E699" s="5" t="s">
        <v>286</v>
      </c>
      <c r="F699" s="5" t="s">
        <v>546</v>
      </c>
      <c r="G699" s="13">
        <v>46317</v>
      </c>
      <c r="H699" s="13">
        <v>46317</v>
      </c>
      <c r="I699" s="9">
        <f t="shared" si="20"/>
        <v>1</v>
      </c>
      <c r="J699" s="5" t="s">
        <v>1651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4">
        <v>2</v>
      </c>
      <c r="AH699" s="4">
        <v>1</v>
      </c>
      <c r="AI699" s="4">
        <v>1</v>
      </c>
      <c r="AJ699" s="4">
        <v>2</v>
      </c>
      <c r="AK699" s="4">
        <v>3</v>
      </c>
      <c r="AL699" s="4">
        <v>2</v>
      </c>
      <c r="AM699" s="4">
        <v>1</v>
      </c>
      <c r="AN699" s="4">
        <v>0</v>
      </c>
      <c r="AO699" s="4">
        <v>1</v>
      </c>
      <c r="AP699" s="4"/>
      <c r="AQ699" s="4">
        <v>0</v>
      </c>
      <c r="AR699" s="4">
        <v>1</v>
      </c>
      <c r="AS699" s="4">
        <f t="shared" si="21"/>
        <v>13</v>
      </c>
      <c r="AT699" s="9" t="s">
        <v>1034</v>
      </c>
    </row>
    <row r="700" spans="1:46" x14ac:dyDescent="0.2">
      <c r="A700" s="4">
        <v>6971</v>
      </c>
      <c r="B700" s="4" t="s">
        <v>22</v>
      </c>
      <c r="C700" s="5" t="s">
        <v>494</v>
      </c>
      <c r="D700" s="5" t="s">
        <v>495</v>
      </c>
      <c r="E700" s="5" t="s">
        <v>1175</v>
      </c>
      <c r="F700" s="5" t="s">
        <v>546</v>
      </c>
      <c r="G700" s="13">
        <v>46317</v>
      </c>
      <c r="H700" s="13">
        <v>46317</v>
      </c>
      <c r="I700" s="9">
        <f t="shared" si="20"/>
        <v>1</v>
      </c>
      <c r="J700" s="5" t="s">
        <v>1651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4">
        <v>5</v>
      </c>
      <c r="AH700" s="4">
        <v>3</v>
      </c>
      <c r="AI700" s="4">
        <v>1</v>
      </c>
      <c r="AJ700" s="4">
        <v>3</v>
      </c>
      <c r="AK700" s="4">
        <v>7</v>
      </c>
      <c r="AL700" s="4">
        <v>4</v>
      </c>
      <c r="AM700" s="4">
        <v>2</v>
      </c>
      <c r="AN700" s="4">
        <v>0</v>
      </c>
      <c r="AO700" s="4">
        <v>1</v>
      </c>
      <c r="AP700" s="4"/>
      <c r="AQ700" s="4">
        <v>0</v>
      </c>
      <c r="AR700" s="4">
        <v>1</v>
      </c>
      <c r="AS700" s="4">
        <f t="shared" si="21"/>
        <v>26</v>
      </c>
      <c r="AT700" s="9" t="s">
        <v>1442</v>
      </c>
    </row>
    <row r="701" spans="1:46" x14ac:dyDescent="0.2">
      <c r="A701" s="4">
        <v>7510</v>
      </c>
      <c r="B701" s="4" t="s">
        <v>22</v>
      </c>
      <c r="C701" s="5" t="s">
        <v>1531</v>
      </c>
      <c r="D701" s="5" t="s">
        <v>1532</v>
      </c>
      <c r="E701" s="5" t="s">
        <v>883</v>
      </c>
      <c r="F701" s="5" t="s">
        <v>574</v>
      </c>
      <c r="G701" s="13">
        <v>46317</v>
      </c>
      <c r="H701" s="13">
        <v>46317</v>
      </c>
      <c r="I701" s="9">
        <f t="shared" si="20"/>
        <v>1</v>
      </c>
      <c r="J701" s="5" t="s">
        <v>1651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4">
        <v>2</v>
      </c>
      <c r="AH701" s="4">
        <v>2</v>
      </c>
      <c r="AI701" s="4">
        <v>1</v>
      </c>
      <c r="AJ701" s="4">
        <v>2</v>
      </c>
      <c r="AK701" s="4">
        <v>3</v>
      </c>
      <c r="AL701" s="4">
        <v>2</v>
      </c>
      <c r="AM701" s="4">
        <v>1</v>
      </c>
      <c r="AN701" s="4">
        <v>0</v>
      </c>
      <c r="AO701" s="4">
        <v>1</v>
      </c>
      <c r="AP701" s="4"/>
      <c r="AQ701" s="4">
        <v>0</v>
      </c>
      <c r="AR701" s="4">
        <v>1</v>
      </c>
      <c r="AS701" s="4">
        <f t="shared" si="21"/>
        <v>14</v>
      </c>
      <c r="AT701" s="9" t="s">
        <v>874</v>
      </c>
    </row>
    <row r="702" spans="1:46" x14ac:dyDescent="0.2">
      <c r="A702" s="4">
        <v>360</v>
      </c>
      <c r="B702" s="4" t="s">
        <v>22</v>
      </c>
      <c r="C702" s="5" t="s">
        <v>38</v>
      </c>
      <c r="D702" s="5" t="s">
        <v>24</v>
      </c>
      <c r="E702" s="5" t="s">
        <v>25</v>
      </c>
      <c r="F702" s="5" t="s">
        <v>26</v>
      </c>
      <c r="G702" s="13">
        <v>46318</v>
      </c>
      <c r="H702" s="13">
        <v>46318</v>
      </c>
      <c r="I702" s="9">
        <f t="shared" si="20"/>
        <v>1</v>
      </c>
      <c r="J702" s="5" t="s">
        <v>1651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4">
        <v>5</v>
      </c>
      <c r="AH702" s="4">
        <v>3</v>
      </c>
      <c r="AI702" s="4">
        <v>1</v>
      </c>
      <c r="AJ702" s="4">
        <v>3</v>
      </c>
      <c r="AK702" s="4">
        <v>8</v>
      </c>
      <c r="AL702" s="4">
        <v>4</v>
      </c>
      <c r="AM702" s="4">
        <v>2</v>
      </c>
      <c r="AN702" s="4">
        <v>0</v>
      </c>
      <c r="AO702" s="4">
        <v>1</v>
      </c>
      <c r="AP702" s="4"/>
      <c r="AQ702" s="4">
        <v>0</v>
      </c>
      <c r="AR702" s="4">
        <v>1</v>
      </c>
      <c r="AS702" s="4">
        <f t="shared" si="21"/>
        <v>27</v>
      </c>
      <c r="AT702" s="5" t="s">
        <v>27</v>
      </c>
    </row>
    <row r="703" spans="1:46" x14ac:dyDescent="0.2">
      <c r="A703" s="4">
        <v>1349</v>
      </c>
      <c r="B703" s="4" t="s">
        <v>22</v>
      </c>
      <c r="C703" s="5" t="s">
        <v>172</v>
      </c>
      <c r="D703" s="5" t="s">
        <v>173</v>
      </c>
      <c r="E703" s="5" t="s">
        <v>118</v>
      </c>
      <c r="F703" s="5" t="s">
        <v>119</v>
      </c>
      <c r="G703" s="13">
        <v>46318</v>
      </c>
      <c r="H703" s="13">
        <v>46318</v>
      </c>
      <c r="I703" s="9">
        <f t="shared" si="20"/>
        <v>1</v>
      </c>
      <c r="J703" s="5" t="s">
        <v>1651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4">
        <v>2</v>
      </c>
      <c r="AH703" s="4">
        <v>1</v>
      </c>
      <c r="AI703" s="4">
        <v>1</v>
      </c>
      <c r="AJ703" s="4">
        <v>2</v>
      </c>
      <c r="AK703" s="4">
        <v>3</v>
      </c>
      <c r="AL703" s="4">
        <v>2</v>
      </c>
      <c r="AM703" s="4">
        <v>1</v>
      </c>
      <c r="AN703" s="4">
        <v>0</v>
      </c>
      <c r="AO703" s="4">
        <v>1</v>
      </c>
      <c r="AP703" s="4"/>
      <c r="AQ703" s="4">
        <v>0</v>
      </c>
      <c r="AR703" s="4">
        <v>1</v>
      </c>
      <c r="AS703" s="4">
        <f t="shared" si="21"/>
        <v>13</v>
      </c>
      <c r="AT703" s="4" t="s">
        <v>120</v>
      </c>
    </row>
    <row r="704" spans="1:46" x14ac:dyDescent="0.2">
      <c r="A704" s="4">
        <v>1366</v>
      </c>
      <c r="B704" s="4" t="s">
        <v>22</v>
      </c>
      <c r="C704" s="5" t="s">
        <v>202</v>
      </c>
      <c r="D704" s="5" t="s">
        <v>203</v>
      </c>
      <c r="E704" s="5" t="s">
        <v>118</v>
      </c>
      <c r="F704" s="5" t="s">
        <v>119</v>
      </c>
      <c r="G704" s="13">
        <v>46318</v>
      </c>
      <c r="H704" s="13">
        <v>46318</v>
      </c>
      <c r="I704" s="9">
        <f t="shared" si="20"/>
        <v>1</v>
      </c>
      <c r="J704" s="5" t="s">
        <v>1651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4">
        <v>2</v>
      </c>
      <c r="AH704" s="4">
        <v>2</v>
      </c>
      <c r="AI704" s="4">
        <v>1</v>
      </c>
      <c r="AJ704" s="4">
        <v>2</v>
      </c>
      <c r="AK704" s="4">
        <v>4</v>
      </c>
      <c r="AL704" s="4">
        <v>2</v>
      </c>
      <c r="AM704" s="4">
        <v>1</v>
      </c>
      <c r="AN704" s="4">
        <v>0</v>
      </c>
      <c r="AO704" s="4">
        <v>1</v>
      </c>
      <c r="AP704" s="4"/>
      <c r="AQ704" s="4">
        <v>0</v>
      </c>
      <c r="AR704" s="4">
        <v>1</v>
      </c>
      <c r="AS704" s="4">
        <f t="shared" si="21"/>
        <v>15</v>
      </c>
      <c r="AT704" s="4" t="s">
        <v>125</v>
      </c>
    </row>
    <row r="705" spans="1:46" x14ac:dyDescent="0.2">
      <c r="A705" s="4">
        <v>4862</v>
      </c>
      <c r="B705" s="4" t="s">
        <v>22</v>
      </c>
      <c r="C705" s="5" t="s">
        <v>1077</v>
      </c>
      <c r="D705" s="5" t="s">
        <v>1078</v>
      </c>
      <c r="E705" s="5" t="s">
        <v>286</v>
      </c>
      <c r="F705" s="5" t="s">
        <v>546</v>
      </c>
      <c r="G705" s="13">
        <v>46318</v>
      </c>
      <c r="H705" s="13">
        <v>46318</v>
      </c>
      <c r="I705" s="9">
        <f t="shared" si="20"/>
        <v>1</v>
      </c>
      <c r="J705" s="5" t="s">
        <v>1651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4">
        <v>2</v>
      </c>
      <c r="AH705" s="4">
        <v>2</v>
      </c>
      <c r="AI705" s="4">
        <v>1</v>
      </c>
      <c r="AJ705" s="4">
        <v>2</v>
      </c>
      <c r="AK705" s="4">
        <v>3</v>
      </c>
      <c r="AL705" s="4">
        <v>2</v>
      </c>
      <c r="AM705" s="4">
        <v>1</v>
      </c>
      <c r="AN705" s="4">
        <v>0</v>
      </c>
      <c r="AO705" s="4">
        <v>1</v>
      </c>
      <c r="AP705" s="7"/>
      <c r="AQ705" s="4">
        <v>0</v>
      </c>
      <c r="AR705" s="4">
        <v>1</v>
      </c>
      <c r="AS705" s="4">
        <f t="shared" si="21"/>
        <v>14</v>
      </c>
      <c r="AT705" s="9" t="s">
        <v>1034</v>
      </c>
    </row>
    <row r="706" spans="1:46" x14ac:dyDescent="0.2">
      <c r="A706" s="4">
        <v>230</v>
      </c>
      <c r="B706" s="4" t="s">
        <v>22</v>
      </c>
      <c r="C706" s="5" t="s">
        <v>30</v>
      </c>
      <c r="D706" s="5" t="s">
        <v>24</v>
      </c>
      <c r="E706" s="5" t="s">
        <v>25</v>
      </c>
      <c r="F706" s="5" t="s">
        <v>26</v>
      </c>
      <c r="G706" s="13">
        <v>46321</v>
      </c>
      <c r="H706" s="13">
        <v>46321</v>
      </c>
      <c r="I706" s="9">
        <f t="shared" ref="I706:I769" si="22">NETWORKDAYS(G706,H706)</f>
        <v>1</v>
      </c>
      <c r="J706" s="5" t="s">
        <v>1651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4">
        <v>4</v>
      </c>
      <c r="AH706" s="4">
        <v>4</v>
      </c>
      <c r="AI706" s="4">
        <v>1</v>
      </c>
      <c r="AJ706" s="4">
        <v>3</v>
      </c>
      <c r="AK706" s="4">
        <v>8</v>
      </c>
      <c r="AL706" s="4">
        <v>4</v>
      </c>
      <c r="AM706" s="4">
        <v>2</v>
      </c>
      <c r="AN706" s="4">
        <v>0</v>
      </c>
      <c r="AO706" s="4">
        <v>2</v>
      </c>
      <c r="AP706" s="4"/>
      <c r="AQ706" s="4">
        <v>0</v>
      </c>
      <c r="AR706" s="4">
        <v>1</v>
      </c>
      <c r="AS706" s="4">
        <f t="shared" si="21"/>
        <v>28</v>
      </c>
      <c r="AT706" s="5" t="s">
        <v>27</v>
      </c>
    </row>
    <row r="707" spans="1:46" x14ac:dyDescent="0.2">
      <c r="A707" s="4">
        <v>4220</v>
      </c>
      <c r="B707" s="4" t="s">
        <v>22</v>
      </c>
      <c r="C707" s="5" t="s">
        <v>966</v>
      </c>
      <c r="D707" s="5" t="s">
        <v>967</v>
      </c>
      <c r="E707" s="5" t="s">
        <v>76</v>
      </c>
      <c r="F707" s="5" t="s">
        <v>68</v>
      </c>
      <c r="G707" s="13">
        <v>46321</v>
      </c>
      <c r="H707" s="13">
        <v>46322</v>
      </c>
      <c r="I707" s="9">
        <f t="shared" si="22"/>
        <v>2</v>
      </c>
      <c r="J707" s="5" t="s">
        <v>1651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4">
        <v>4</v>
      </c>
      <c r="AH707" s="4">
        <v>6</v>
      </c>
      <c r="AI707" s="4">
        <v>1</v>
      </c>
      <c r="AJ707" s="4">
        <v>3</v>
      </c>
      <c r="AK707" s="4">
        <v>10</v>
      </c>
      <c r="AL707" s="4">
        <v>4</v>
      </c>
      <c r="AM707" s="4">
        <v>2</v>
      </c>
      <c r="AN707" s="4">
        <v>0</v>
      </c>
      <c r="AO707" s="4">
        <v>1</v>
      </c>
      <c r="AP707" s="4"/>
      <c r="AQ707" s="4">
        <v>0</v>
      </c>
      <c r="AR707" s="4">
        <v>1</v>
      </c>
      <c r="AS707" s="4">
        <f t="shared" ref="AS707:AS770" si="23">SUM(AG707:AQ707)</f>
        <v>31</v>
      </c>
      <c r="AT707" s="9" t="s">
        <v>364</v>
      </c>
    </row>
    <row r="708" spans="1:46" x14ac:dyDescent="0.2">
      <c r="A708" s="4">
        <v>4223</v>
      </c>
      <c r="B708" s="4" t="s">
        <v>22</v>
      </c>
      <c r="C708" s="10" t="s">
        <v>968</v>
      </c>
      <c r="D708" s="10" t="s">
        <v>969</v>
      </c>
      <c r="E708" s="10" t="s">
        <v>76</v>
      </c>
      <c r="F708" s="10" t="s">
        <v>68</v>
      </c>
      <c r="G708" s="13">
        <v>46321</v>
      </c>
      <c r="H708" s="13">
        <v>46322</v>
      </c>
      <c r="I708" s="9">
        <f t="shared" si="22"/>
        <v>2</v>
      </c>
      <c r="J708" s="5" t="s">
        <v>1651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4">
        <v>2</v>
      </c>
      <c r="AH708" s="4">
        <v>2</v>
      </c>
      <c r="AI708" s="4">
        <v>1</v>
      </c>
      <c r="AJ708" s="4">
        <v>2</v>
      </c>
      <c r="AK708" s="4">
        <v>4</v>
      </c>
      <c r="AL708" s="4">
        <v>2</v>
      </c>
      <c r="AM708" s="4">
        <v>1</v>
      </c>
      <c r="AN708" s="4">
        <v>0</v>
      </c>
      <c r="AO708" s="4">
        <v>1</v>
      </c>
      <c r="AP708" s="8"/>
      <c r="AQ708" s="4">
        <v>0</v>
      </c>
      <c r="AR708" s="4">
        <v>1</v>
      </c>
      <c r="AS708" s="4">
        <f t="shared" si="23"/>
        <v>15</v>
      </c>
      <c r="AT708" s="9" t="s">
        <v>335</v>
      </c>
    </row>
    <row r="709" spans="1:46" x14ac:dyDescent="0.2">
      <c r="A709" s="4">
        <v>4230</v>
      </c>
      <c r="B709" s="4" t="s">
        <v>22</v>
      </c>
      <c r="C709" s="5" t="s">
        <v>970</v>
      </c>
      <c r="D709" s="5" t="s">
        <v>971</v>
      </c>
      <c r="E709" s="5" t="s">
        <v>76</v>
      </c>
      <c r="F709" s="5" t="s">
        <v>68</v>
      </c>
      <c r="G709" s="13">
        <v>46321</v>
      </c>
      <c r="H709" s="13">
        <v>46322</v>
      </c>
      <c r="I709" s="9">
        <f t="shared" si="22"/>
        <v>2</v>
      </c>
      <c r="J709" s="5" t="s">
        <v>1651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4">
        <v>4</v>
      </c>
      <c r="AH709" s="4">
        <v>3</v>
      </c>
      <c r="AI709" s="4">
        <v>1</v>
      </c>
      <c r="AJ709" s="4">
        <v>3</v>
      </c>
      <c r="AK709" s="4">
        <v>7</v>
      </c>
      <c r="AL709" s="4">
        <v>4</v>
      </c>
      <c r="AM709" s="4">
        <v>2</v>
      </c>
      <c r="AN709" s="4">
        <v>0</v>
      </c>
      <c r="AO709" s="4">
        <v>1</v>
      </c>
      <c r="AP709" s="4"/>
      <c r="AQ709" s="4">
        <v>0</v>
      </c>
      <c r="AR709" s="4">
        <v>1</v>
      </c>
      <c r="AS709" s="4">
        <f t="shared" si="23"/>
        <v>25</v>
      </c>
      <c r="AT709" s="9" t="s">
        <v>77</v>
      </c>
    </row>
    <row r="710" spans="1:46" x14ac:dyDescent="0.2">
      <c r="A710" s="4">
        <v>4260</v>
      </c>
      <c r="B710" s="4" t="s">
        <v>22</v>
      </c>
      <c r="C710" s="5" t="s">
        <v>589</v>
      </c>
      <c r="D710" s="5" t="s">
        <v>976</v>
      </c>
      <c r="E710" s="5" t="s">
        <v>76</v>
      </c>
      <c r="F710" s="5" t="s">
        <v>68</v>
      </c>
      <c r="G710" s="13">
        <v>46321</v>
      </c>
      <c r="H710" s="13">
        <v>46322</v>
      </c>
      <c r="I710" s="9">
        <f t="shared" si="22"/>
        <v>2</v>
      </c>
      <c r="J710" s="5" t="s">
        <v>1651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4">
        <v>2</v>
      </c>
      <c r="AH710" s="4">
        <v>1</v>
      </c>
      <c r="AI710" s="4">
        <v>1</v>
      </c>
      <c r="AJ710" s="4">
        <v>2</v>
      </c>
      <c r="AK710" s="4">
        <v>3</v>
      </c>
      <c r="AL710" s="4">
        <v>2</v>
      </c>
      <c r="AM710" s="4">
        <v>1</v>
      </c>
      <c r="AN710" s="4">
        <v>0</v>
      </c>
      <c r="AO710" s="4">
        <v>1</v>
      </c>
      <c r="AP710" s="4"/>
      <c r="AQ710" s="4">
        <v>0</v>
      </c>
      <c r="AR710" s="4">
        <v>1</v>
      </c>
      <c r="AS710" s="4">
        <f t="shared" si="23"/>
        <v>13</v>
      </c>
      <c r="AT710" s="9" t="s">
        <v>332</v>
      </c>
    </row>
    <row r="711" spans="1:46" x14ac:dyDescent="0.2">
      <c r="A711" s="4">
        <v>4263</v>
      </c>
      <c r="B711" s="4" t="s">
        <v>22</v>
      </c>
      <c r="C711" s="5" t="s">
        <v>977</v>
      </c>
      <c r="D711" s="5" t="s">
        <v>978</v>
      </c>
      <c r="E711" s="5" t="s">
        <v>76</v>
      </c>
      <c r="F711" s="5" t="s">
        <v>68</v>
      </c>
      <c r="G711" s="13">
        <v>46321</v>
      </c>
      <c r="H711" s="13">
        <v>46322</v>
      </c>
      <c r="I711" s="9">
        <f t="shared" si="22"/>
        <v>2</v>
      </c>
      <c r="J711" s="5" t="s">
        <v>1651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4">
        <v>3</v>
      </c>
      <c r="AH711" s="4">
        <v>3</v>
      </c>
      <c r="AI711" s="4">
        <v>1</v>
      </c>
      <c r="AJ711" s="4">
        <v>2</v>
      </c>
      <c r="AK711" s="4">
        <v>6</v>
      </c>
      <c r="AL711" s="4">
        <v>3</v>
      </c>
      <c r="AM711" s="4">
        <v>1</v>
      </c>
      <c r="AN711" s="4">
        <v>0</v>
      </c>
      <c r="AO711" s="4">
        <v>1</v>
      </c>
      <c r="AP711" s="4"/>
      <c r="AQ711" s="4">
        <v>0</v>
      </c>
      <c r="AR711" s="4">
        <v>1</v>
      </c>
      <c r="AS711" s="4">
        <f t="shared" si="23"/>
        <v>20</v>
      </c>
      <c r="AT711" s="9" t="s">
        <v>332</v>
      </c>
    </row>
    <row r="712" spans="1:46" x14ac:dyDescent="0.2">
      <c r="A712" s="4">
        <v>6972</v>
      </c>
      <c r="B712" s="4" t="s">
        <v>22</v>
      </c>
      <c r="C712" s="5" t="s">
        <v>1495</v>
      </c>
      <c r="D712" s="5" t="s">
        <v>1496</v>
      </c>
      <c r="E712" s="5" t="s">
        <v>1175</v>
      </c>
      <c r="F712" s="5" t="s">
        <v>500</v>
      </c>
      <c r="G712" s="13">
        <v>46321</v>
      </c>
      <c r="H712" s="13">
        <v>46321</v>
      </c>
      <c r="I712" s="9">
        <f t="shared" si="22"/>
        <v>1</v>
      </c>
      <c r="J712" s="5" t="s">
        <v>1651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4">
        <v>5</v>
      </c>
      <c r="AH712" s="4">
        <v>2</v>
      </c>
      <c r="AI712" s="4">
        <v>1</v>
      </c>
      <c r="AJ712" s="4">
        <v>3</v>
      </c>
      <c r="AK712" s="4">
        <v>9</v>
      </c>
      <c r="AL712" s="4">
        <v>4</v>
      </c>
      <c r="AM712" s="4">
        <v>2</v>
      </c>
      <c r="AN712" s="4">
        <v>0</v>
      </c>
      <c r="AO712" s="4">
        <v>1</v>
      </c>
      <c r="AP712" s="4"/>
      <c r="AQ712" s="4">
        <v>0</v>
      </c>
      <c r="AR712" s="4">
        <v>1</v>
      </c>
      <c r="AS712" s="4">
        <f t="shared" si="23"/>
        <v>27</v>
      </c>
      <c r="AT712" s="9" t="s">
        <v>1170</v>
      </c>
    </row>
    <row r="713" spans="1:46" x14ac:dyDescent="0.2">
      <c r="A713" s="4">
        <v>7565</v>
      </c>
      <c r="B713" s="4" t="s">
        <v>22</v>
      </c>
      <c r="C713" s="5" t="s">
        <v>1543</v>
      </c>
      <c r="D713" s="5" t="s">
        <v>1544</v>
      </c>
      <c r="E713" s="5" t="s">
        <v>883</v>
      </c>
      <c r="F713" s="5" t="s">
        <v>574</v>
      </c>
      <c r="G713" s="13">
        <v>46321</v>
      </c>
      <c r="H713" s="13">
        <v>46322</v>
      </c>
      <c r="I713" s="9">
        <f t="shared" si="22"/>
        <v>2</v>
      </c>
      <c r="J713" s="5" t="s">
        <v>1651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4">
        <v>7</v>
      </c>
      <c r="AH713" s="4">
        <v>9</v>
      </c>
      <c r="AI713" s="4">
        <v>1</v>
      </c>
      <c r="AJ713" s="4">
        <v>4</v>
      </c>
      <c r="AK713" s="4">
        <v>14</v>
      </c>
      <c r="AL713" s="4">
        <v>6</v>
      </c>
      <c r="AM713" s="4">
        <v>3</v>
      </c>
      <c r="AN713" s="4">
        <v>0</v>
      </c>
      <c r="AO713" s="4">
        <v>3</v>
      </c>
      <c r="AP713" s="4"/>
      <c r="AQ713" s="4">
        <v>1</v>
      </c>
      <c r="AR713" s="4">
        <v>1</v>
      </c>
      <c r="AS713" s="4">
        <f t="shared" si="23"/>
        <v>48</v>
      </c>
      <c r="AT713" s="9" t="s">
        <v>874</v>
      </c>
    </row>
    <row r="714" spans="1:46" x14ac:dyDescent="0.2">
      <c r="A714" s="4">
        <v>890</v>
      </c>
      <c r="B714" s="4" t="s">
        <v>22</v>
      </c>
      <c r="C714" s="5" t="s">
        <v>48</v>
      </c>
      <c r="D714" s="5" t="s">
        <v>24</v>
      </c>
      <c r="E714" s="5" t="s">
        <v>25</v>
      </c>
      <c r="F714" s="5" t="s">
        <v>26</v>
      </c>
      <c r="G714" s="13">
        <v>46322</v>
      </c>
      <c r="H714" s="13">
        <v>46322</v>
      </c>
      <c r="I714" s="9">
        <f t="shared" si="22"/>
        <v>1</v>
      </c>
      <c r="J714" s="5" t="s">
        <v>1651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4">
        <v>3</v>
      </c>
      <c r="AH714" s="4">
        <v>3</v>
      </c>
      <c r="AI714" s="4">
        <v>1</v>
      </c>
      <c r="AJ714" s="4">
        <v>2</v>
      </c>
      <c r="AK714" s="4">
        <v>6</v>
      </c>
      <c r="AL714" s="4">
        <v>3</v>
      </c>
      <c r="AM714" s="4">
        <v>1</v>
      </c>
      <c r="AN714" s="4">
        <v>0</v>
      </c>
      <c r="AO714" s="4">
        <v>1</v>
      </c>
      <c r="AP714" s="4"/>
      <c r="AQ714" s="4">
        <v>0</v>
      </c>
      <c r="AR714" s="4">
        <v>1</v>
      </c>
      <c r="AS714" s="4">
        <f t="shared" si="23"/>
        <v>20</v>
      </c>
      <c r="AT714" s="5" t="s">
        <v>27</v>
      </c>
    </row>
    <row r="715" spans="1:46" x14ac:dyDescent="0.2">
      <c r="A715" s="4">
        <v>1448</v>
      </c>
      <c r="B715" s="4" t="s">
        <v>22</v>
      </c>
      <c r="C715" s="5" t="s">
        <v>291</v>
      </c>
      <c r="D715" s="5" t="s">
        <v>292</v>
      </c>
      <c r="E715" s="5" t="s">
        <v>118</v>
      </c>
      <c r="F715" s="5" t="s">
        <v>119</v>
      </c>
      <c r="G715" s="13">
        <v>46322</v>
      </c>
      <c r="H715" s="13">
        <v>46322</v>
      </c>
      <c r="I715" s="9">
        <f t="shared" si="22"/>
        <v>1</v>
      </c>
      <c r="J715" s="5" t="s">
        <v>1651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4">
        <v>3</v>
      </c>
      <c r="AH715" s="4">
        <v>1</v>
      </c>
      <c r="AI715" s="4">
        <v>1</v>
      </c>
      <c r="AJ715" s="4">
        <v>2</v>
      </c>
      <c r="AK715" s="4">
        <v>4</v>
      </c>
      <c r="AL715" s="4">
        <v>2</v>
      </c>
      <c r="AM715" s="4">
        <v>1</v>
      </c>
      <c r="AN715" s="4">
        <v>0</v>
      </c>
      <c r="AO715" s="4">
        <v>1</v>
      </c>
      <c r="AP715" s="4"/>
      <c r="AQ715" s="4">
        <v>0</v>
      </c>
      <c r="AR715" s="4">
        <v>1</v>
      </c>
      <c r="AS715" s="4">
        <f t="shared" si="23"/>
        <v>15</v>
      </c>
      <c r="AT715" s="4" t="s">
        <v>120</v>
      </c>
    </row>
    <row r="716" spans="1:46" x14ac:dyDescent="0.2">
      <c r="A716" s="4">
        <v>1833</v>
      </c>
      <c r="B716" s="4" t="s">
        <v>22</v>
      </c>
      <c r="C716" s="5" t="s">
        <v>518</v>
      </c>
      <c r="D716" s="5" t="s">
        <v>519</v>
      </c>
      <c r="E716" s="5" t="s">
        <v>215</v>
      </c>
      <c r="F716" s="5" t="s">
        <v>500</v>
      </c>
      <c r="G716" s="13">
        <v>46322</v>
      </c>
      <c r="H716" s="13">
        <v>46323</v>
      </c>
      <c r="I716" s="9">
        <f t="shared" si="22"/>
        <v>2</v>
      </c>
      <c r="J716" s="5" t="s">
        <v>1651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4">
        <v>4</v>
      </c>
      <c r="AH716" s="4">
        <v>1</v>
      </c>
      <c r="AI716" s="4">
        <v>1</v>
      </c>
      <c r="AJ716" s="4">
        <v>2</v>
      </c>
      <c r="AK716" s="4">
        <v>5</v>
      </c>
      <c r="AL716" s="4">
        <v>3</v>
      </c>
      <c r="AM716" s="4">
        <v>1</v>
      </c>
      <c r="AN716" s="4">
        <v>0</v>
      </c>
      <c r="AO716" s="4">
        <v>1</v>
      </c>
      <c r="AP716" s="4"/>
      <c r="AQ716" s="4">
        <v>0</v>
      </c>
      <c r="AR716" s="4">
        <v>1</v>
      </c>
      <c r="AS716" s="4">
        <f t="shared" si="23"/>
        <v>18</v>
      </c>
      <c r="AT716" s="9" t="s">
        <v>501</v>
      </c>
    </row>
    <row r="717" spans="1:46" x14ac:dyDescent="0.2">
      <c r="A717" s="4">
        <v>2180</v>
      </c>
      <c r="B717" s="4" t="s">
        <v>22</v>
      </c>
      <c r="C717" s="5" t="s">
        <v>600</v>
      </c>
      <c r="D717" s="5" t="s">
        <v>601</v>
      </c>
      <c r="E717" s="5" t="s">
        <v>545</v>
      </c>
      <c r="F717" s="5" t="s">
        <v>546</v>
      </c>
      <c r="G717" s="13">
        <v>46322</v>
      </c>
      <c r="H717" s="13">
        <v>46322</v>
      </c>
      <c r="I717" s="9">
        <f t="shared" si="22"/>
        <v>1</v>
      </c>
      <c r="J717" s="5" t="s">
        <v>1651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4">
        <v>2</v>
      </c>
      <c r="AH717" s="4">
        <v>1</v>
      </c>
      <c r="AI717" s="4">
        <v>1</v>
      </c>
      <c r="AJ717" s="4">
        <v>2</v>
      </c>
      <c r="AK717" s="4">
        <v>3</v>
      </c>
      <c r="AL717" s="4">
        <v>2</v>
      </c>
      <c r="AM717" s="4">
        <v>1</v>
      </c>
      <c r="AN717" s="4">
        <v>0</v>
      </c>
      <c r="AO717" s="4">
        <v>1</v>
      </c>
      <c r="AP717" s="4"/>
      <c r="AQ717" s="4">
        <v>0</v>
      </c>
      <c r="AR717" s="4">
        <v>1</v>
      </c>
      <c r="AS717" s="4">
        <f t="shared" si="23"/>
        <v>13</v>
      </c>
      <c r="AT717" s="9" t="s">
        <v>547</v>
      </c>
    </row>
    <row r="718" spans="1:46" x14ac:dyDescent="0.2">
      <c r="A718" s="4">
        <v>4205</v>
      </c>
      <c r="B718" s="4" t="s">
        <v>22</v>
      </c>
      <c r="C718" s="5" t="s">
        <v>956</v>
      </c>
      <c r="D718" s="5" t="s">
        <v>957</v>
      </c>
      <c r="E718" s="5" t="s">
        <v>76</v>
      </c>
      <c r="F718" s="5" t="s">
        <v>68</v>
      </c>
      <c r="G718" s="13">
        <v>46322</v>
      </c>
      <c r="H718" s="13">
        <v>46323</v>
      </c>
      <c r="I718" s="9">
        <f t="shared" si="22"/>
        <v>2</v>
      </c>
      <c r="J718" s="5" t="s">
        <v>1651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4">
        <v>2</v>
      </c>
      <c r="AH718" s="4">
        <v>2</v>
      </c>
      <c r="AI718" s="4">
        <v>1</v>
      </c>
      <c r="AJ718" s="4">
        <v>2</v>
      </c>
      <c r="AK718" s="4">
        <v>3</v>
      </c>
      <c r="AL718" s="4">
        <v>2</v>
      </c>
      <c r="AM718" s="4">
        <v>1</v>
      </c>
      <c r="AN718" s="4">
        <v>0</v>
      </c>
      <c r="AO718" s="4">
        <v>1</v>
      </c>
      <c r="AP718" s="4"/>
      <c r="AQ718" s="4">
        <v>0</v>
      </c>
      <c r="AR718" s="4">
        <v>1</v>
      </c>
      <c r="AS718" s="4">
        <f t="shared" si="23"/>
        <v>14</v>
      </c>
      <c r="AT718" s="9" t="s">
        <v>335</v>
      </c>
    </row>
    <row r="719" spans="1:46" x14ac:dyDescent="0.2">
      <c r="A719" s="4">
        <v>4240</v>
      </c>
      <c r="B719" s="4" t="s">
        <v>22</v>
      </c>
      <c r="C719" s="5" t="s">
        <v>972</v>
      </c>
      <c r="D719" s="5" t="s">
        <v>973</v>
      </c>
      <c r="E719" s="5" t="s">
        <v>76</v>
      </c>
      <c r="F719" s="5" t="s">
        <v>68</v>
      </c>
      <c r="G719" s="13">
        <v>46322</v>
      </c>
      <c r="H719" s="13">
        <v>46323</v>
      </c>
      <c r="I719" s="9">
        <f t="shared" si="22"/>
        <v>2</v>
      </c>
      <c r="J719" s="5" t="s">
        <v>1651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4">
        <v>4</v>
      </c>
      <c r="AH719" s="4">
        <v>4</v>
      </c>
      <c r="AI719" s="4">
        <v>1</v>
      </c>
      <c r="AJ719" s="4">
        <v>2</v>
      </c>
      <c r="AK719" s="4">
        <v>8</v>
      </c>
      <c r="AL719" s="4">
        <v>3</v>
      </c>
      <c r="AM719" s="4">
        <v>1</v>
      </c>
      <c r="AN719" s="4">
        <v>0</v>
      </c>
      <c r="AO719" s="4">
        <v>1</v>
      </c>
      <c r="AP719" s="4"/>
      <c r="AQ719" s="4">
        <v>0</v>
      </c>
      <c r="AR719" s="4">
        <v>1</v>
      </c>
      <c r="AS719" s="4">
        <f t="shared" si="23"/>
        <v>24</v>
      </c>
      <c r="AT719" s="9" t="s">
        <v>364</v>
      </c>
    </row>
    <row r="720" spans="1:46" x14ac:dyDescent="0.2">
      <c r="A720" s="4">
        <v>4244</v>
      </c>
      <c r="B720" s="4" t="s">
        <v>22</v>
      </c>
      <c r="C720" s="5" t="s">
        <v>974</v>
      </c>
      <c r="D720" s="5" t="s">
        <v>975</v>
      </c>
      <c r="E720" s="5" t="s">
        <v>76</v>
      </c>
      <c r="F720" s="5" t="s">
        <v>68</v>
      </c>
      <c r="G720" s="13">
        <v>46322</v>
      </c>
      <c r="H720" s="13">
        <v>46323</v>
      </c>
      <c r="I720" s="9">
        <f t="shared" si="22"/>
        <v>2</v>
      </c>
      <c r="J720" s="5" t="s">
        <v>1651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4">
        <v>3</v>
      </c>
      <c r="AH720" s="4">
        <v>4</v>
      </c>
      <c r="AI720" s="4">
        <v>1</v>
      </c>
      <c r="AJ720" s="4">
        <v>2</v>
      </c>
      <c r="AK720" s="4">
        <v>8</v>
      </c>
      <c r="AL720" s="4">
        <v>2</v>
      </c>
      <c r="AM720" s="4">
        <v>1</v>
      </c>
      <c r="AN720" s="4">
        <v>0</v>
      </c>
      <c r="AO720" s="4">
        <v>1</v>
      </c>
      <c r="AP720" s="4"/>
      <c r="AQ720" s="4">
        <v>0</v>
      </c>
      <c r="AR720" s="4">
        <v>1</v>
      </c>
      <c r="AS720" s="4">
        <f t="shared" si="23"/>
        <v>22</v>
      </c>
      <c r="AT720" s="9" t="s">
        <v>77</v>
      </c>
    </row>
    <row r="721" spans="1:46" x14ac:dyDescent="0.2">
      <c r="A721" s="4">
        <v>4891</v>
      </c>
      <c r="B721" s="4" t="s">
        <v>22</v>
      </c>
      <c r="C721" s="5" t="s">
        <v>1103</v>
      </c>
      <c r="D721" s="5" t="s">
        <v>1104</v>
      </c>
      <c r="E721" s="5" t="s">
        <v>286</v>
      </c>
      <c r="F721" s="5" t="s">
        <v>546</v>
      </c>
      <c r="G721" s="13">
        <v>46322</v>
      </c>
      <c r="H721" s="13">
        <v>46322</v>
      </c>
      <c r="I721" s="9">
        <f t="shared" si="22"/>
        <v>1</v>
      </c>
      <c r="J721" s="5" t="s">
        <v>1651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4">
        <v>3</v>
      </c>
      <c r="AH721" s="4">
        <v>2</v>
      </c>
      <c r="AI721" s="4">
        <v>1</v>
      </c>
      <c r="AJ721" s="4">
        <v>2</v>
      </c>
      <c r="AK721" s="4">
        <v>5</v>
      </c>
      <c r="AL721" s="4">
        <v>2</v>
      </c>
      <c r="AM721" s="4">
        <v>1</v>
      </c>
      <c r="AN721" s="4">
        <v>0</v>
      </c>
      <c r="AO721" s="4">
        <v>1</v>
      </c>
      <c r="AP721" s="4"/>
      <c r="AQ721" s="4">
        <v>0</v>
      </c>
      <c r="AR721" s="4">
        <v>1</v>
      </c>
      <c r="AS721" s="4">
        <f t="shared" si="23"/>
        <v>17</v>
      </c>
      <c r="AT721" s="9" t="s">
        <v>1034</v>
      </c>
    </row>
    <row r="722" spans="1:46" x14ac:dyDescent="0.2">
      <c r="A722" s="4">
        <v>5125</v>
      </c>
      <c r="B722" s="4" t="s">
        <v>22</v>
      </c>
      <c r="C722" s="10" t="s">
        <v>1142</v>
      </c>
      <c r="D722" s="5" t="s">
        <v>1143</v>
      </c>
      <c r="E722" s="5" t="s">
        <v>1107</v>
      </c>
      <c r="F722" s="5" t="s">
        <v>98</v>
      </c>
      <c r="G722" s="13">
        <v>46322</v>
      </c>
      <c r="H722" s="13">
        <v>46322</v>
      </c>
      <c r="I722" s="9">
        <f t="shared" si="22"/>
        <v>1</v>
      </c>
      <c r="J722" s="5" t="s">
        <v>1651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4">
        <v>2</v>
      </c>
      <c r="AH722" s="4">
        <v>1</v>
      </c>
      <c r="AI722" s="4">
        <v>1</v>
      </c>
      <c r="AJ722" s="4">
        <v>2</v>
      </c>
      <c r="AK722" s="4">
        <v>3</v>
      </c>
      <c r="AL722" s="4">
        <v>2</v>
      </c>
      <c r="AM722" s="4">
        <v>1</v>
      </c>
      <c r="AN722" s="4">
        <v>0</v>
      </c>
      <c r="AO722" s="4">
        <v>1</v>
      </c>
      <c r="AP722" s="4"/>
      <c r="AQ722" s="4">
        <v>0</v>
      </c>
      <c r="AR722" s="4">
        <v>1</v>
      </c>
      <c r="AS722" s="4">
        <f t="shared" si="23"/>
        <v>13</v>
      </c>
      <c r="AT722" s="9" t="s">
        <v>1111</v>
      </c>
    </row>
    <row r="723" spans="1:46" x14ac:dyDescent="0.2">
      <c r="A723" s="4">
        <v>5134</v>
      </c>
      <c r="B723" s="4" t="s">
        <v>22</v>
      </c>
      <c r="C723" s="5" t="s">
        <v>1151</v>
      </c>
      <c r="D723" s="5" t="s">
        <v>1152</v>
      </c>
      <c r="E723" s="5" t="s">
        <v>1107</v>
      </c>
      <c r="F723" s="5" t="s">
        <v>98</v>
      </c>
      <c r="G723" s="13">
        <v>46322</v>
      </c>
      <c r="H723" s="13">
        <v>46322</v>
      </c>
      <c r="I723" s="9">
        <f t="shared" si="22"/>
        <v>1</v>
      </c>
      <c r="J723" s="5" t="s">
        <v>1651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4">
        <v>2</v>
      </c>
      <c r="AH723" s="4">
        <v>1</v>
      </c>
      <c r="AI723" s="4">
        <v>1</v>
      </c>
      <c r="AJ723" s="4">
        <v>2</v>
      </c>
      <c r="AK723" s="4">
        <v>4</v>
      </c>
      <c r="AL723" s="4">
        <v>2</v>
      </c>
      <c r="AM723" s="4">
        <v>1</v>
      </c>
      <c r="AN723" s="4">
        <v>0</v>
      </c>
      <c r="AO723" s="4">
        <v>1</v>
      </c>
      <c r="AP723" s="4"/>
      <c r="AQ723" s="4">
        <v>0</v>
      </c>
      <c r="AR723" s="4">
        <v>1</v>
      </c>
      <c r="AS723" s="4">
        <f t="shared" si="23"/>
        <v>14</v>
      </c>
      <c r="AT723" s="9" t="s">
        <v>1114</v>
      </c>
    </row>
    <row r="724" spans="1:46" x14ac:dyDescent="0.2">
      <c r="A724" s="4">
        <v>6964</v>
      </c>
      <c r="B724" s="4" t="s">
        <v>22</v>
      </c>
      <c r="C724" s="5" t="s">
        <v>1487</v>
      </c>
      <c r="D724" s="5" t="s">
        <v>1488</v>
      </c>
      <c r="E724" s="5" t="s">
        <v>1175</v>
      </c>
      <c r="F724" s="5" t="s">
        <v>546</v>
      </c>
      <c r="G724" s="13">
        <v>46322</v>
      </c>
      <c r="H724" s="13">
        <v>46322</v>
      </c>
      <c r="I724" s="9">
        <f t="shared" si="22"/>
        <v>1</v>
      </c>
      <c r="J724" s="5" t="s">
        <v>1651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4">
        <v>5</v>
      </c>
      <c r="AH724" s="4">
        <v>3</v>
      </c>
      <c r="AI724" s="4">
        <v>1</v>
      </c>
      <c r="AJ724" s="4">
        <v>3</v>
      </c>
      <c r="AK724" s="4">
        <v>9</v>
      </c>
      <c r="AL724" s="4">
        <v>4</v>
      </c>
      <c r="AM724" s="4">
        <v>2</v>
      </c>
      <c r="AN724" s="4">
        <v>0</v>
      </c>
      <c r="AO724" s="4">
        <v>1</v>
      </c>
      <c r="AP724" s="4"/>
      <c r="AQ724" s="4">
        <v>0</v>
      </c>
      <c r="AR724" s="4">
        <v>1</v>
      </c>
      <c r="AS724" s="4">
        <f t="shared" si="23"/>
        <v>28</v>
      </c>
      <c r="AT724" s="9" t="s">
        <v>1442</v>
      </c>
    </row>
    <row r="725" spans="1:46" x14ac:dyDescent="0.2">
      <c r="A725" s="4">
        <v>1205</v>
      </c>
      <c r="B725" s="4" t="s">
        <v>22</v>
      </c>
      <c r="C725" s="5" t="s">
        <v>74</v>
      </c>
      <c r="D725" s="5" t="s">
        <v>75</v>
      </c>
      <c r="E725" s="5" t="s">
        <v>76</v>
      </c>
      <c r="F725" s="5" t="s">
        <v>68</v>
      </c>
      <c r="G725" s="13">
        <v>46323</v>
      </c>
      <c r="H725" s="13">
        <v>46324</v>
      </c>
      <c r="I725" s="9">
        <f t="shared" si="22"/>
        <v>2</v>
      </c>
      <c r="J725" s="5" t="s">
        <v>1651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4">
        <v>3</v>
      </c>
      <c r="AH725" s="4">
        <v>2</v>
      </c>
      <c r="AI725" s="4">
        <v>1</v>
      </c>
      <c r="AJ725" s="4">
        <v>2</v>
      </c>
      <c r="AK725" s="4">
        <v>5</v>
      </c>
      <c r="AL725" s="4">
        <v>2</v>
      </c>
      <c r="AM725" s="4">
        <v>1</v>
      </c>
      <c r="AN725" s="4">
        <v>0</v>
      </c>
      <c r="AO725" s="4">
        <v>1</v>
      </c>
      <c r="AP725" s="4"/>
      <c r="AQ725" s="4">
        <v>0</v>
      </c>
      <c r="AR725" s="4">
        <v>1</v>
      </c>
      <c r="AS725" s="4">
        <f t="shared" si="23"/>
        <v>17</v>
      </c>
      <c r="AT725" s="5" t="s">
        <v>77</v>
      </c>
    </row>
    <row r="726" spans="1:46" x14ac:dyDescent="0.2">
      <c r="A726" s="4">
        <v>1470</v>
      </c>
      <c r="B726" s="4" t="s">
        <v>22</v>
      </c>
      <c r="C726" s="5" t="s">
        <v>307</v>
      </c>
      <c r="D726" s="5" t="s">
        <v>308</v>
      </c>
      <c r="E726" s="5" t="s">
        <v>118</v>
      </c>
      <c r="F726" s="5" t="s">
        <v>119</v>
      </c>
      <c r="G726" s="13">
        <v>46323</v>
      </c>
      <c r="H726" s="13">
        <v>46323</v>
      </c>
      <c r="I726" s="9">
        <f t="shared" si="22"/>
        <v>1</v>
      </c>
      <c r="J726" s="5" t="s">
        <v>1651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4">
        <v>3</v>
      </c>
      <c r="AH726" s="4">
        <v>2</v>
      </c>
      <c r="AI726" s="4">
        <v>1</v>
      </c>
      <c r="AJ726" s="4">
        <v>2</v>
      </c>
      <c r="AK726" s="4">
        <v>5</v>
      </c>
      <c r="AL726" s="4">
        <v>2</v>
      </c>
      <c r="AM726" s="4">
        <v>1</v>
      </c>
      <c r="AN726" s="4">
        <v>0</v>
      </c>
      <c r="AO726" s="4">
        <v>1</v>
      </c>
      <c r="AP726" s="4"/>
      <c r="AQ726" s="4">
        <v>1</v>
      </c>
      <c r="AR726" s="4">
        <v>1</v>
      </c>
      <c r="AS726" s="4">
        <f t="shared" si="23"/>
        <v>18</v>
      </c>
      <c r="AT726" s="4" t="s">
        <v>120</v>
      </c>
    </row>
    <row r="727" spans="1:46" x14ac:dyDescent="0.2">
      <c r="A727" s="4">
        <v>3192</v>
      </c>
      <c r="B727" s="4" t="s">
        <v>22</v>
      </c>
      <c r="C727" s="5" t="s">
        <v>837</v>
      </c>
      <c r="D727" s="5" t="s">
        <v>24</v>
      </c>
      <c r="E727" s="5" t="s">
        <v>25</v>
      </c>
      <c r="F727" s="5" t="s">
        <v>26</v>
      </c>
      <c r="G727" s="13">
        <v>46323</v>
      </c>
      <c r="H727" s="13">
        <v>46323</v>
      </c>
      <c r="I727" s="9">
        <f t="shared" si="22"/>
        <v>1</v>
      </c>
      <c r="J727" s="5" t="s">
        <v>1651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4">
        <v>3</v>
      </c>
      <c r="AH727" s="4">
        <v>1</v>
      </c>
      <c r="AI727" s="4">
        <v>1</v>
      </c>
      <c r="AJ727" s="4">
        <v>2</v>
      </c>
      <c r="AK727" s="4">
        <v>3</v>
      </c>
      <c r="AL727" s="4">
        <v>2</v>
      </c>
      <c r="AM727" s="4">
        <v>1</v>
      </c>
      <c r="AN727" s="4">
        <v>0</v>
      </c>
      <c r="AO727" s="4">
        <v>1</v>
      </c>
      <c r="AP727" s="4"/>
      <c r="AQ727" s="4">
        <v>0</v>
      </c>
      <c r="AR727" s="4">
        <v>1</v>
      </c>
      <c r="AS727" s="4">
        <f t="shared" si="23"/>
        <v>14</v>
      </c>
      <c r="AT727" s="9" t="s">
        <v>27</v>
      </c>
    </row>
    <row r="728" spans="1:46" x14ac:dyDescent="0.2">
      <c r="A728" s="4">
        <v>4203</v>
      </c>
      <c r="B728" s="4" t="s">
        <v>22</v>
      </c>
      <c r="C728" s="5" t="s">
        <v>954</v>
      </c>
      <c r="D728" s="5" t="s">
        <v>955</v>
      </c>
      <c r="E728" s="5" t="s">
        <v>76</v>
      </c>
      <c r="F728" s="5" t="s">
        <v>68</v>
      </c>
      <c r="G728" s="13">
        <v>46323</v>
      </c>
      <c r="H728" s="13">
        <v>46324</v>
      </c>
      <c r="I728" s="9">
        <f t="shared" si="22"/>
        <v>2</v>
      </c>
      <c r="J728" s="5" t="s">
        <v>1651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4">
        <v>2</v>
      </c>
      <c r="AH728" s="4">
        <v>1</v>
      </c>
      <c r="AI728" s="4">
        <v>1</v>
      </c>
      <c r="AJ728" s="4">
        <v>2</v>
      </c>
      <c r="AK728" s="4">
        <v>3</v>
      </c>
      <c r="AL728" s="4">
        <v>2</v>
      </c>
      <c r="AM728" s="4">
        <v>1</v>
      </c>
      <c r="AN728" s="4">
        <v>0</v>
      </c>
      <c r="AO728" s="4">
        <v>1</v>
      </c>
      <c r="AP728" s="4"/>
      <c r="AQ728" s="4">
        <v>0</v>
      </c>
      <c r="AR728" s="4">
        <v>1</v>
      </c>
      <c r="AS728" s="4">
        <f t="shared" si="23"/>
        <v>13</v>
      </c>
      <c r="AT728" s="9" t="s">
        <v>364</v>
      </c>
    </row>
    <row r="729" spans="1:46" x14ac:dyDescent="0.2">
      <c r="A729" s="4">
        <v>4212</v>
      </c>
      <c r="B729" s="4" t="s">
        <v>22</v>
      </c>
      <c r="C729" s="5" t="s">
        <v>962</v>
      </c>
      <c r="D729" s="5" t="s">
        <v>963</v>
      </c>
      <c r="E729" s="5" t="s">
        <v>76</v>
      </c>
      <c r="F729" s="5" t="s">
        <v>68</v>
      </c>
      <c r="G729" s="13">
        <v>46323</v>
      </c>
      <c r="H729" s="13">
        <v>46324</v>
      </c>
      <c r="I729" s="9">
        <f t="shared" si="22"/>
        <v>2</v>
      </c>
      <c r="J729" s="5" t="s">
        <v>1651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4">
        <v>5</v>
      </c>
      <c r="AH729" s="4">
        <v>3</v>
      </c>
      <c r="AI729" s="4">
        <v>1</v>
      </c>
      <c r="AJ729" s="4">
        <v>3</v>
      </c>
      <c r="AK729" s="4">
        <v>9</v>
      </c>
      <c r="AL729" s="4">
        <v>4</v>
      </c>
      <c r="AM729" s="4">
        <v>2</v>
      </c>
      <c r="AN729" s="4">
        <v>0</v>
      </c>
      <c r="AO729" s="4">
        <v>1</v>
      </c>
      <c r="AP729" s="4"/>
      <c r="AQ729" s="4">
        <v>0</v>
      </c>
      <c r="AR729" s="4">
        <v>1</v>
      </c>
      <c r="AS729" s="4">
        <f t="shared" si="23"/>
        <v>28</v>
      </c>
      <c r="AT729" s="9" t="s">
        <v>332</v>
      </c>
    </row>
    <row r="730" spans="1:46" x14ac:dyDescent="0.2">
      <c r="A730" s="4">
        <v>4215</v>
      </c>
      <c r="B730" s="4" t="s">
        <v>22</v>
      </c>
      <c r="C730" s="5" t="s">
        <v>964</v>
      </c>
      <c r="D730" s="5" t="s">
        <v>965</v>
      </c>
      <c r="E730" s="5" t="s">
        <v>76</v>
      </c>
      <c r="F730" s="5" t="s">
        <v>68</v>
      </c>
      <c r="G730" s="13">
        <v>46323</v>
      </c>
      <c r="H730" s="13">
        <v>46324</v>
      </c>
      <c r="I730" s="9">
        <f t="shared" si="22"/>
        <v>2</v>
      </c>
      <c r="J730" s="5" t="s">
        <v>1651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4">
        <v>2</v>
      </c>
      <c r="AH730" s="4">
        <v>1</v>
      </c>
      <c r="AI730" s="4">
        <v>1</v>
      </c>
      <c r="AJ730" s="4">
        <v>2</v>
      </c>
      <c r="AK730" s="4">
        <v>4</v>
      </c>
      <c r="AL730" s="4">
        <v>2</v>
      </c>
      <c r="AM730" s="4">
        <v>1</v>
      </c>
      <c r="AN730" s="4">
        <v>0</v>
      </c>
      <c r="AO730" s="4">
        <v>1</v>
      </c>
      <c r="AP730" s="4"/>
      <c r="AQ730" s="4">
        <v>0</v>
      </c>
      <c r="AR730" s="4">
        <v>1</v>
      </c>
      <c r="AS730" s="4">
        <f t="shared" si="23"/>
        <v>14</v>
      </c>
      <c r="AT730" s="9" t="s">
        <v>335</v>
      </c>
    </row>
    <row r="731" spans="1:46" x14ac:dyDescent="0.2">
      <c r="A731" s="4">
        <v>4824</v>
      </c>
      <c r="B731" s="4" t="s">
        <v>22</v>
      </c>
      <c r="C731" s="5" t="s">
        <v>1055</v>
      </c>
      <c r="D731" s="5" t="s">
        <v>1056</v>
      </c>
      <c r="E731" s="5" t="s">
        <v>286</v>
      </c>
      <c r="F731" s="5" t="s">
        <v>546</v>
      </c>
      <c r="G731" s="13">
        <v>46323</v>
      </c>
      <c r="H731" s="13">
        <v>46323</v>
      </c>
      <c r="I731" s="9">
        <f t="shared" si="22"/>
        <v>1</v>
      </c>
      <c r="J731" s="5" t="s">
        <v>1651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4">
        <v>2</v>
      </c>
      <c r="AH731" s="4">
        <v>1</v>
      </c>
      <c r="AI731" s="4">
        <v>1</v>
      </c>
      <c r="AJ731" s="4">
        <v>2</v>
      </c>
      <c r="AK731" s="4">
        <v>3</v>
      </c>
      <c r="AL731" s="4">
        <v>2</v>
      </c>
      <c r="AM731" s="4">
        <v>1</v>
      </c>
      <c r="AN731" s="4">
        <v>0</v>
      </c>
      <c r="AO731" s="4">
        <v>1</v>
      </c>
      <c r="AP731" s="4"/>
      <c r="AQ731" s="4">
        <v>0</v>
      </c>
      <c r="AR731" s="4">
        <v>1</v>
      </c>
      <c r="AS731" s="4">
        <f t="shared" si="23"/>
        <v>13</v>
      </c>
      <c r="AT731" s="9" t="s">
        <v>1034</v>
      </c>
    </row>
    <row r="732" spans="1:46" x14ac:dyDescent="0.2">
      <c r="A732" s="4">
        <v>5415</v>
      </c>
      <c r="B732" s="4" t="s">
        <v>22</v>
      </c>
      <c r="C732" s="5" t="s">
        <v>1178</v>
      </c>
      <c r="D732" s="5" t="s">
        <v>1179</v>
      </c>
      <c r="E732" s="5" t="s">
        <v>1169</v>
      </c>
      <c r="F732" s="5" t="s">
        <v>500</v>
      </c>
      <c r="G732" s="13">
        <v>46323</v>
      </c>
      <c r="H732" s="13">
        <v>46323</v>
      </c>
      <c r="I732" s="9">
        <f t="shared" si="22"/>
        <v>1</v>
      </c>
      <c r="J732" s="5" t="s">
        <v>1651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4">
        <v>4</v>
      </c>
      <c r="AH732" s="4">
        <v>2</v>
      </c>
      <c r="AI732" s="4">
        <v>1</v>
      </c>
      <c r="AJ732" s="4">
        <v>3</v>
      </c>
      <c r="AK732" s="4">
        <v>6</v>
      </c>
      <c r="AL732" s="4">
        <v>4</v>
      </c>
      <c r="AM732" s="4">
        <v>2</v>
      </c>
      <c r="AN732" s="4">
        <v>0</v>
      </c>
      <c r="AO732" s="4">
        <v>1</v>
      </c>
      <c r="AP732" s="4"/>
      <c r="AQ732" s="4">
        <v>0</v>
      </c>
      <c r="AR732" s="4">
        <v>1</v>
      </c>
      <c r="AS732" s="4">
        <f t="shared" si="23"/>
        <v>23</v>
      </c>
      <c r="AT732" s="9" t="s">
        <v>1170</v>
      </c>
    </row>
    <row r="733" spans="1:46" x14ac:dyDescent="0.2">
      <c r="A733" s="4">
        <v>6977</v>
      </c>
      <c r="B733" s="4" t="s">
        <v>22</v>
      </c>
      <c r="C733" s="5" t="s">
        <v>1502</v>
      </c>
      <c r="D733" s="5" t="s">
        <v>1503</v>
      </c>
      <c r="E733" s="5" t="s">
        <v>1175</v>
      </c>
      <c r="F733" s="5" t="s">
        <v>546</v>
      </c>
      <c r="G733" s="13">
        <v>46323</v>
      </c>
      <c r="H733" s="13">
        <v>46323</v>
      </c>
      <c r="I733" s="9">
        <f t="shared" si="22"/>
        <v>1</v>
      </c>
      <c r="J733" s="5" t="s">
        <v>1651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4">
        <v>3</v>
      </c>
      <c r="AH733" s="4">
        <v>3</v>
      </c>
      <c r="AI733" s="4">
        <v>1</v>
      </c>
      <c r="AJ733" s="4">
        <v>2</v>
      </c>
      <c r="AK733" s="4">
        <v>7</v>
      </c>
      <c r="AL733" s="4">
        <v>3</v>
      </c>
      <c r="AM733" s="4">
        <v>1</v>
      </c>
      <c r="AN733" s="4">
        <v>0</v>
      </c>
      <c r="AO733" s="4">
        <v>1</v>
      </c>
      <c r="AP733" s="4"/>
      <c r="AQ733" s="4">
        <v>0</v>
      </c>
      <c r="AR733" s="4">
        <v>1</v>
      </c>
      <c r="AS733" s="4">
        <f t="shared" si="23"/>
        <v>21</v>
      </c>
      <c r="AT733" s="9" t="s">
        <v>1442</v>
      </c>
    </row>
    <row r="734" spans="1:46" x14ac:dyDescent="0.2">
      <c r="A734" s="4">
        <v>7560</v>
      </c>
      <c r="B734" s="4" t="s">
        <v>22</v>
      </c>
      <c r="C734" s="5" t="s">
        <v>1008</v>
      </c>
      <c r="D734" s="5" t="s">
        <v>1009</v>
      </c>
      <c r="E734" s="5" t="s">
        <v>883</v>
      </c>
      <c r="F734" s="5" t="s">
        <v>574</v>
      </c>
      <c r="G734" s="13">
        <v>46323</v>
      </c>
      <c r="H734" s="13">
        <v>46323</v>
      </c>
      <c r="I734" s="9">
        <f t="shared" si="22"/>
        <v>1</v>
      </c>
      <c r="J734" s="5" t="s">
        <v>1651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4">
        <v>4</v>
      </c>
      <c r="AH734" s="4">
        <v>4</v>
      </c>
      <c r="AI734" s="4">
        <v>1</v>
      </c>
      <c r="AJ734" s="4">
        <v>2</v>
      </c>
      <c r="AK734" s="4">
        <v>7</v>
      </c>
      <c r="AL734" s="4">
        <v>3</v>
      </c>
      <c r="AM734" s="4">
        <v>1</v>
      </c>
      <c r="AN734" s="4">
        <v>0</v>
      </c>
      <c r="AO734" s="4">
        <v>2</v>
      </c>
      <c r="AP734" s="7"/>
      <c r="AQ734" s="4">
        <v>0</v>
      </c>
      <c r="AR734" s="4">
        <v>1</v>
      </c>
      <c r="AS734" s="4">
        <f t="shared" si="23"/>
        <v>24</v>
      </c>
      <c r="AT734" s="9" t="s">
        <v>874</v>
      </c>
    </row>
    <row r="735" spans="1:46" x14ac:dyDescent="0.2">
      <c r="A735" s="4">
        <v>1380</v>
      </c>
      <c r="B735" s="4" t="s">
        <v>22</v>
      </c>
      <c r="C735" s="5" t="s">
        <v>222</v>
      </c>
      <c r="D735" s="5" t="s">
        <v>223</v>
      </c>
      <c r="E735" s="5" t="s">
        <v>118</v>
      </c>
      <c r="F735" s="5" t="s">
        <v>119</v>
      </c>
      <c r="G735" s="13">
        <v>46324</v>
      </c>
      <c r="H735" s="13">
        <v>46324</v>
      </c>
      <c r="I735" s="9">
        <f t="shared" si="22"/>
        <v>1</v>
      </c>
      <c r="J735" s="5" t="s">
        <v>1651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4">
        <v>2</v>
      </c>
      <c r="AH735" s="4">
        <v>1</v>
      </c>
      <c r="AI735" s="4">
        <v>1</v>
      </c>
      <c r="AJ735" s="4">
        <v>2</v>
      </c>
      <c r="AK735" s="4">
        <v>3</v>
      </c>
      <c r="AL735" s="4">
        <v>2</v>
      </c>
      <c r="AM735" s="4">
        <v>1</v>
      </c>
      <c r="AN735" s="4">
        <v>0</v>
      </c>
      <c r="AO735" s="4">
        <v>1</v>
      </c>
      <c r="AP735" s="4"/>
      <c r="AQ735" s="4">
        <v>0</v>
      </c>
      <c r="AR735" s="4">
        <v>1</v>
      </c>
      <c r="AS735" s="4">
        <f t="shared" si="23"/>
        <v>13</v>
      </c>
      <c r="AT735" s="4" t="s">
        <v>120</v>
      </c>
    </row>
    <row r="736" spans="1:46" x14ac:dyDescent="0.2">
      <c r="A736" s="4">
        <v>1396</v>
      </c>
      <c r="B736" s="4" t="s">
        <v>22</v>
      </c>
      <c r="C736" s="5" t="s">
        <v>251</v>
      </c>
      <c r="D736" s="5" t="s">
        <v>252</v>
      </c>
      <c r="E736" s="5" t="s">
        <v>118</v>
      </c>
      <c r="F736" s="5" t="s">
        <v>119</v>
      </c>
      <c r="G736" s="13">
        <v>46324</v>
      </c>
      <c r="H736" s="13">
        <v>46324</v>
      </c>
      <c r="I736" s="9">
        <f t="shared" si="22"/>
        <v>1</v>
      </c>
      <c r="J736" s="5" t="s">
        <v>1651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4">
        <v>2</v>
      </c>
      <c r="AH736" s="4">
        <v>3</v>
      </c>
      <c r="AI736" s="4">
        <v>1</v>
      </c>
      <c r="AJ736" s="4">
        <v>2</v>
      </c>
      <c r="AK736" s="4">
        <v>5</v>
      </c>
      <c r="AL736" s="4">
        <v>2</v>
      </c>
      <c r="AM736" s="4">
        <v>1</v>
      </c>
      <c r="AN736" s="4">
        <v>0</v>
      </c>
      <c r="AO736" s="4">
        <v>1</v>
      </c>
      <c r="AP736" s="4"/>
      <c r="AQ736" s="4">
        <v>0</v>
      </c>
      <c r="AR736" s="4">
        <v>1</v>
      </c>
      <c r="AS736" s="4">
        <f t="shared" si="23"/>
        <v>17</v>
      </c>
      <c r="AT736" s="4" t="s">
        <v>120</v>
      </c>
    </row>
    <row r="737" spans="1:46" x14ac:dyDescent="0.2">
      <c r="A737" s="4">
        <v>1822</v>
      </c>
      <c r="B737" s="4" t="s">
        <v>22</v>
      </c>
      <c r="C737" s="5" t="s">
        <v>510</v>
      </c>
      <c r="D737" s="5" t="s">
        <v>511</v>
      </c>
      <c r="E737" s="5" t="s">
        <v>215</v>
      </c>
      <c r="F737" s="5" t="s">
        <v>500</v>
      </c>
      <c r="G737" s="13">
        <v>46324</v>
      </c>
      <c r="H737" s="13">
        <v>46325</v>
      </c>
      <c r="I737" s="9">
        <f t="shared" si="22"/>
        <v>2</v>
      </c>
      <c r="J737" s="5" t="s">
        <v>1651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4">
        <v>4</v>
      </c>
      <c r="AH737" s="4">
        <v>2</v>
      </c>
      <c r="AI737" s="4">
        <v>1</v>
      </c>
      <c r="AJ737" s="4">
        <v>2</v>
      </c>
      <c r="AK737" s="4">
        <v>8</v>
      </c>
      <c r="AL737" s="4">
        <v>4</v>
      </c>
      <c r="AM737" s="4">
        <v>1</v>
      </c>
      <c r="AN737" s="4">
        <v>0</v>
      </c>
      <c r="AO737" s="4">
        <v>1</v>
      </c>
      <c r="AP737" s="7"/>
      <c r="AQ737" s="4">
        <v>0</v>
      </c>
      <c r="AR737" s="4">
        <v>1</v>
      </c>
      <c r="AS737" s="4">
        <f t="shared" si="23"/>
        <v>23</v>
      </c>
      <c r="AT737" s="9" t="s">
        <v>501</v>
      </c>
    </row>
    <row r="738" spans="1:46" x14ac:dyDescent="0.2">
      <c r="A738" s="4">
        <v>4209</v>
      </c>
      <c r="B738" s="4" t="s">
        <v>22</v>
      </c>
      <c r="C738" s="5" t="s">
        <v>958</v>
      </c>
      <c r="D738" s="5" t="s">
        <v>959</v>
      </c>
      <c r="E738" s="5" t="s">
        <v>76</v>
      </c>
      <c r="F738" s="5" t="s">
        <v>68</v>
      </c>
      <c r="G738" s="13">
        <v>46324</v>
      </c>
      <c r="H738" s="13">
        <v>46325</v>
      </c>
      <c r="I738" s="9">
        <f t="shared" si="22"/>
        <v>2</v>
      </c>
      <c r="J738" s="5" t="s">
        <v>1651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4">
        <v>6</v>
      </c>
      <c r="AH738" s="4">
        <v>4</v>
      </c>
      <c r="AI738" s="4">
        <v>1</v>
      </c>
      <c r="AJ738" s="4">
        <v>3</v>
      </c>
      <c r="AK738" s="4">
        <v>11</v>
      </c>
      <c r="AL738" s="4">
        <v>5</v>
      </c>
      <c r="AM738" s="4">
        <v>2</v>
      </c>
      <c r="AN738" s="4">
        <v>0</v>
      </c>
      <c r="AO738" s="4">
        <v>2</v>
      </c>
      <c r="AP738" s="4"/>
      <c r="AQ738" s="4">
        <v>0</v>
      </c>
      <c r="AR738" s="4">
        <v>1</v>
      </c>
      <c r="AS738" s="4">
        <f t="shared" si="23"/>
        <v>34</v>
      </c>
      <c r="AT738" s="9" t="s">
        <v>364</v>
      </c>
    </row>
    <row r="739" spans="1:46" x14ac:dyDescent="0.2">
      <c r="A739" s="4">
        <v>4210</v>
      </c>
      <c r="B739" s="4" t="s">
        <v>22</v>
      </c>
      <c r="C739" s="5" t="s">
        <v>960</v>
      </c>
      <c r="D739" s="5" t="s">
        <v>961</v>
      </c>
      <c r="E739" s="5" t="s">
        <v>76</v>
      </c>
      <c r="F739" s="5" t="s">
        <v>68</v>
      </c>
      <c r="G739" s="13">
        <v>46324</v>
      </c>
      <c r="H739" s="13">
        <v>46325</v>
      </c>
      <c r="I739" s="9">
        <f t="shared" si="22"/>
        <v>2</v>
      </c>
      <c r="J739" s="5" t="s">
        <v>1651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4">
        <v>12</v>
      </c>
      <c r="AH739" s="4">
        <v>9</v>
      </c>
      <c r="AI739" s="4">
        <v>1</v>
      </c>
      <c r="AJ739" s="4">
        <v>4</v>
      </c>
      <c r="AK739" s="4">
        <v>18</v>
      </c>
      <c r="AL739" s="4">
        <v>8</v>
      </c>
      <c r="AM739" s="4">
        <v>4</v>
      </c>
      <c r="AN739" s="4">
        <v>0</v>
      </c>
      <c r="AO739" s="4">
        <v>2</v>
      </c>
      <c r="AP739" s="4"/>
      <c r="AQ739" s="4">
        <v>0</v>
      </c>
      <c r="AR739" s="4">
        <v>1</v>
      </c>
      <c r="AS739" s="4">
        <f t="shared" si="23"/>
        <v>58</v>
      </c>
      <c r="AT739" s="9" t="s">
        <v>332</v>
      </c>
    </row>
    <row r="740" spans="1:46" x14ac:dyDescent="0.2">
      <c r="A740" s="4">
        <v>4808</v>
      </c>
      <c r="B740" s="4" t="s">
        <v>22</v>
      </c>
      <c r="C740" s="5" t="s">
        <v>1037</v>
      </c>
      <c r="D740" s="5" t="s">
        <v>1038</v>
      </c>
      <c r="E740" s="5" t="s">
        <v>286</v>
      </c>
      <c r="F740" s="5" t="s">
        <v>546</v>
      </c>
      <c r="G740" s="13">
        <v>46324</v>
      </c>
      <c r="H740" s="13">
        <v>46324</v>
      </c>
      <c r="I740" s="9">
        <f t="shared" si="22"/>
        <v>1</v>
      </c>
      <c r="J740" s="5" t="s">
        <v>1651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4">
        <v>6</v>
      </c>
      <c r="AH740" s="4">
        <v>6</v>
      </c>
      <c r="AI740" s="4">
        <v>1</v>
      </c>
      <c r="AJ740" s="4">
        <v>3</v>
      </c>
      <c r="AK740" s="4">
        <v>12</v>
      </c>
      <c r="AL740" s="4">
        <v>4</v>
      </c>
      <c r="AM740" s="4">
        <v>2</v>
      </c>
      <c r="AN740" s="4">
        <v>0</v>
      </c>
      <c r="AO740" s="4">
        <v>2</v>
      </c>
      <c r="AP740" s="4"/>
      <c r="AQ740" s="4">
        <v>1</v>
      </c>
      <c r="AR740" s="4">
        <v>1</v>
      </c>
      <c r="AS740" s="4">
        <f t="shared" si="23"/>
        <v>37</v>
      </c>
      <c r="AT740" s="9" t="s">
        <v>1034</v>
      </c>
    </row>
    <row r="741" spans="1:46" x14ac:dyDescent="0.2">
      <c r="A741" s="4">
        <v>6967</v>
      </c>
      <c r="B741" s="4" t="s">
        <v>22</v>
      </c>
      <c r="C741" s="5" t="s">
        <v>1491</v>
      </c>
      <c r="D741" s="5" t="s">
        <v>1492</v>
      </c>
      <c r="E741" s="5" t="s">
        <v>1175</v>
      </c>
      <c r="F741" s="5" t="s">
        <v>546</v>
      </c>
      <c r="G741" s="13">
        <v>46324</v>
      </c>
      <c r="H741" s="13">
        <v>46324</v>
      </c>
      <c r="I741" s="9">
        <f t="shared" si="22"/>
        <v>1</v>
      </c>
      <c r="J741" s="5" t="s">
        <v>1651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4">
        <v>5</v>
      </c>
      <c r="AH741" s="4">
        <v>3</v>
      </c>
      <c r="AI741" s="4">
        <v>1</v>
      </c>
      <c r="AJ741" s="4">
        <v>3</v>
      </c>
      <c r="AK741" s="4">
        <v>8</v>
      </c>
      <c r="AL741" s="4">
        <v>4</v>
      </c>
      <c r="AM741" s="4">
        <v>2</v>
      </c>
      <c r="AN741" s="4">
        <v>0</v>
      </c>
      <c r="AO741" s="4">
        <v>1</v>
      </c>
      <c r="AP741" s="4"/>
      <c r="AQ741" s="4">
        <v>0</v>
      </c>
      <c r="AR741" s="4">
        <v>1</v>
      </c>
      <c r="AS741" s="4">
        <f t="shared" si="23"/>
        <v>27</v>
      </c>
      <c r="AT741" s="9" t="s">
        <v>1442</v>
      </c>
    </row>
    <row r="742" spans="1:46" x14ac:dyDescent="0.2">
      <c r="A742" s="4">
        <v>7520</v>
      </c>
      <c r="B742" s="4" t="s">
        <v>22</v>
      </c>
      <c r="C742" s="5" t="s">
        <v>1535</v>
      </c>
      <c r="D742" s="5" t="s">
        <v>1536</v>
      </c>
      <c r="E742" s="5" t="s">
        <v>883</v>
      </c>
      <c r="F742" s="5" t="s">
        <v>574</v>
      </c>
      <c r="G742" s="13">
        <v>46324</v>
      </c>
      <c r="H742" s="13">
        <v>46324</v>
      </c>
      <c r="I742" s="9">
        <f t="shared" si="22"/>
        <v>1</v>
      </c>
      <c r="J742" s="5" t="s">
        <v>1651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4">
        <v>5</v>
      </c>
      <c r="AH742" s="4">
        <v>3</v>
      </c>
      <c r="AI742" s="4">
        <v>1</v>
      </c>
      <c r="AJ742" s="4">
        <v>3</v>
      </c>
      <c r="AK742" s="4">
        <v>8</v>
      </c>
      <c r="AL742" s="4">
        <v>4</v>
      </c>
      <c r="AM742" s="4">
        <v>2</v>
      </c>
      <c r="AN742" s="4">
        <v>0</v>
      </c>
      <c r="AO742" s="4">
        <v>1</v>
      </c>
      <c r="AP742" s="7"/>
      <c r="AQ742" s="4">
        <v>0</v>
      </c>
      <c r="AR742" s="4">
        <v>1</v>
      </c>
      <c r="AS742" s="4">
        <f t="shared" si="23"/>
        <v>27</v>
      </c>
      <c r="AT742" s="9" t="s">
        <v>874</v>
      </c>
    </row>
    <row r="743" spans="1:46" x14ac:dyDescent="0.2">
      <c r="A743" s="4">
        <v>1383</v>
      </c>
      <c r="B743" s="4" t="s">
        <v>22</v>
      </c>
      <c r="C743" s="5" t="s">
        <v>228</v>
      </c>
      <c r="D743" s="5" t="s">
        <v>229</v>
      </c>
      <c r="E743" s="5" t="s">
        <v>118</v>
      </c>
      <c r="F743" s="5" t="s">
        <v>119</v>
      </c>
      <c r="G743" s="13">
        <v>46325</v>
      </c>
      <c r="H743" s="13">
        <v>46325</v>
      </c>
      <c r="I743" s="9">
        <f t="shared" si="22"/>
        <v>1</v>
      </c>
      <c r="J743" s="5" t="s">
        <v>1651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4">
        <v>4</v>
      </c>
      <c r="AH743" s="4">
        <v>5</v>
      </c>
      <c r="AI743" s="4">
        <v>1</v>
      </c>
      <c r="AJ743" s="4">
        <v>3</v>
      </c>
      <c r="AK743" s="4">
        <v>9</v>
      </c>
      <c r="AL743" s="4">
        <v>3</v>
      </c>
      <c r="AM743" s="4">
        <v>2</v>
      </c>
      <c r="AN743" s="4">
        <v>0</v>
      </c>
      <c r="AO743" s="4">
        <v>1</v>
      </c>
      <c r="AP743" s="4"/>
      <c r="AQ743" s="4">
        <v>1</v>
      </c>
      <c r="AR743" s="4">
        <v>1</v>
      </c>
      <c r="AS743" s="4">
        <f t="shared" si="23"/>
        <v>29</v>
      </c>
      <c r="AT743" s="4" t="s">
        <v>120</v>
      </c>
    </row>
    <row r="744" spans="1:46" x14ac:dyDescent="0.2">
      <c r="A744" s="4">
        <v>4868</v>
      </c>
      <c r="B744" s="4" t="s">
        <v>22</v>
      </c>
      <c r="C744" s="10" t="s">
        <v>1083</v>
      </c>
      <c r="D744" s="10" t="s">
        <v>1084</v>
      </c>
      <c r="E744" s="10" t="s">
        <v>286</v>
      </c>
      <c r="F744" s="10" t="s">
        <v>546</v>
      </c>
      <c r="G744" s="13">
        <v>46325</v>
      </c>
      <c r="H744" s="13">
        <v>46325</v>
      </c>
      <c r="I744" s="9">
        <f t="shared" si="22"/>
        <v>1</v>
      </c>
      <c r="J744" s="5" t="s">
        <v>1651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4">
        <v>3</v>
      </c>
      <c r="AH744" s="4">
        <v>2</v>
      </c>
      <c r="AI744" s="4">
        <v>1</v>
      </c>
      <c r="AJ744" s="4">
        <v>2</v>
      </c>
      <c r="AK744" s="4">
        <v>5</v>
      </c>
      <c r="AL744" s="4">
        <v>3</v>
      </c>
      <c r="AM744" s="4">
        <v>1</v>
      </c>
      <c r="AN744" s="4">
        <v>0</v>
      </c>
      <c r="AO744" s="4">
        <v>1</v>
      </c>
      <c r="AP744" s="8"/>
      <c r="AQ744" s="4">
        <v>0</v>
      </c>
      <c r="AR744" s="4">
        <v>1</v>
      </c>
      <c r="AS744" s="4">
        <f t="shared" si="23"/>
        <v>18</v>
      </c>
      <c r="AT744" s="9" t="s">
        <v>1034</v>
      </c>
    </row>
    <row r="745" spans="1:46" x14ac:dyDescent="0.2">
      <c r="A745" s="4">
        <v>5450</v>
      </c>
      <c r="B745" s="4" t="s">
        <v>22</v>
      </c>
      <c r="C745" s="5" t="s">
        <v>1187</v>
      </c>
      <c r="D745" s="5" t="s">
        <v>1188</v>
      </c>
      <c r="E745" s="5" t="s">
        <v>1169</v>
      </c>
      <c r="F745" s="5" t="s">
        <v>500</v>
      </c>
      <c r="G745" s="13">
        <v>46325</v>
      </c>
      <c r="H745" s="13">
        <v>46325</v>
      </c>
      <c r="I745" s="9">
        <f t="shared" si="22"/>
        <v>1</v>
      </c>
      <c r="J745" s="5" t="s">
        <v>1651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4">
        <v>2</v>
      </c>
      <c r="AH745" s="4">
        <v>2</v>
      </c>
      <c r="AI745" s="4">
        <v>1</v>
      </c>
      <c r="AJ745" s="4">
        <v>2</v>
      </c>
      <c r="AK745" s="4">
        <v>4</v>
      </c>
      <c r="AL745" s="4">
        <v>2</v>
      </c>
      <c r="AM745" s="4">
        <v>1</v>
      </c>
      <c r="AN745" s="4">
        <v>0</v>
      </c>
      <c r="AO745" s="4">
        <v>1</v>
      </c>
      <c r="AP745" s="4"/>
      <c r="AQ745" s="4">
        <v>0</v>
      </c>
      <c r="AR745" s="4">
        <v>1</v>
      </c>
      <c r="AS745" s="4">
        <f t="shared" si="23"/>
        <v>15</v>
      </c>
      <c r="AT745" s="9" t="s">
        <v>1170</v>
      </c>
    </row>
    <row r="746" spans="1:46" x14ac:dyDescent="0.2">
      <c r="A746" s="4">
        <v>4860</v>
      </c>
      <c r="B746" s="4" t="s">
        <v>22</v>
      </c>
      <c r="C746" s="5" t="s">
        <v>1074</v>
      </c>
      <c r="D746" s="5" t="s">
        <v>1075</v>
      </c>
      <c r="E746" s="5" t="s">
        <v>286</v>
      </c>
      <c r="F746" s="5" t="s">
        <v>546</v>
      </c>
      <c r="G746" s="13">
        <v>46329</v>
      </c>
      <c r="H746" s="13">
        <v>46329</v>
      </c>
      <c r="I746" s="9">
        <f t="shared" si="22"/>
        <v>1</v>
      </c>
      <c r="J746" s="5" t="s">
        <v>1651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4">
        <v>3</v>
      </c>
      <c r="AH746" s="4">
        <v>1</v>
      </c>
      <c r="AI746" s="4">
        <v>1</v>
      </c>
      <c r="AJ746" s="4">
        <v>2</v>
      </c>
      <c r="AK746" s="4">
        <v>5</v>
      </c>
      <c r="AL746" s="4">
        <v>2</v>
      </c>
      <c r="AM746" s="4">
        <v>1</v>
      </c>
      <c r="AN746" s="4">
        <v>0</v>
      </c>
      <c r="AO746" s="4">
        <v>1</v>
      </c>
      <c r="AP746" s="4"/>
      <c r="AQ746" s="4">
        <v>0</v>
      </c>
      <c r="AR746" s="4">
        <v>1</v>
      </c>
      <c r="AS746" s="4">
        <f t="shared" si="23"/>
        <v>16</v>
      </c>
      <c r="AT746" s="9" t="s">
        <v>1076</v>
      </c>
    </row>
    <row r="747" spans="1:46" x14ac:dyDescent="0.2">
      <c r="A747" s="4">
        <v>4882</v>
      </c>
      <c r="B747" s="4" t="s">
        <v>22</v>
      </c>
      <c r="C747" s="5" t="s">
        <v>1097</v>
      </c>
      <c r="D747" s="5" t="s">
        <v>1098</v>
      </c>
      <c r="E747" s="5" t="s">
        <v>286</v>
      </c>
      <c r="F747" s="5" t="s">
        <v>546</v>
      </c>
      <c r="G747" s="13">
        <v>46329</v>
      </c>
      <c r="H747" s="13">
        <v>46329</v>
      </c>
      <c r="I747" s="9">
        <f t="shared" si="22"/>
        <v>1</v>
      </c>
      <c r="J747" s="5" t="s">
        <v>1651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4">
        <v>7</v>
      </c>
      <c r="AH747" s="4">
        <v>9</v>
      </c>
      <c r="AI747" s="4">
        <v>1</v>
      </c>
      <c r="AJ747" s="4">
        <v>5</v>
      </c>
      <c r="AK747" s="4">
        <v>15</v>
      </c>
      <c r="AL747" s="4">
        <v>6</v>
      </c>
      <c r="AM747" s="4">
        <v>3</v>
      </c>
      <c r="AN747" s="4">
        <v>0</v>
      </c>
      <c r="AO747" s="4">
        <v>2</v>
      </c>
      <c r="AP747" s="4"/>
      <c r="AQ747" s="4">
        <v>1</v>
      </c>
      <c r="AR747" s="4">
        <v>1</v>
      </c>
      <c r="AS747" s="4">
        <f t="shared" si="23"/>
        <v>49</v>
      </c>
      <c r="AT747" s="9" t="s">
        <v>1034</v>
      </c>
    </row>
    <row r="748" spans="1:46" x14ac:dyDescent="0.2">
      <c r="A748" s="4">
        <v>5130</v>
      </c>
      <c r="B748" s="4" t="s">
        <v>22</v>
      </c>
      <c r="C748" s="5" t="s">
        <v>1148</v>
      </c>
      <c r="D748" s="5" t="s">
        <v>1149</v>
      </c>
      <c r="E748" s="5" t="s">
        <v>1107</v>
      </c>
      <c r="F748" s="5" t="s">
        <v>98</v>
      </c>
      <c r="G748" s="13">
        <v>46329</v>
      </c>
      <c r="H748" s="13">
        <v>46332</v>
      </c>
      <c r="I748" s="9">
        <f t="shared" si="22"/>
        <v>4</v>
      </c>
      <c r="J748" s="5" t="s">
        <v>1651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4">
        <v>5</v>
      </c>
      <c r="AH748" s="4">
        <v>7</v>
      </c>
      <c r="AI748" s="4">
        <v>1</v>
      </c>
      <c r="AJ748" s="4">
        <v>3</v>
      </c>
      <c r="AK748" s="4">
        <v>10</v>
      </c>
      <c r="AL748" s="4">
        <v>4</v>
      </c>
      <c r="AM748" s="4">
        <v>2</v>
      </c>
      <c r="AN748" s="4">
        <v>0</v>
      </c>
      <c r="AO748" s="4">
        <v>2</v>
      </c>
      <c r="AP748" s="4"/>
      <c r="AQ748" s="4">
        <v>1</v>
      </c>
      <c r="AR748" s="4">
        <v>1</v>
      </c>
      <c r="AS748" s="4">
        <f t="shared" si="23"/>
        <v>35</v>
      </c>
      <c r="AT748" s="9" t="s">
        <v>1150</v>
      </c>
    </row>
    <row r="749" spans="1:46" x14ac:dyDescent="0.2">
      <c r="A749" s="4">
        <v>7514</v>
      </c>
      <c r="B749" s="4" t="s">
        <v>22</v>
      </c>
      <c r="C749" s="5" t="s">
        <v>1533</v>
      </c>
      <c r="D749" s="5" t="s">
        <v>1534</v>
      </c>
      <c r="E749" s="5" t="s">
        <v>883</v>
      </c>
      <c r="F749" s="5" t="s">
        <v>574</v>
      </c>
      <c r="G749" s="13">
        <v>46329</v>
      </c>
      <c r="H749" s="13">
        <v>46329</v>
      </c>
      <c r="I749" s="9">
        <f t="shared" si="22"/>
        <v>1</v>
      </c>
      <c r="J749" s="5" t="s">
        <v>1651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4">
        <v>5</v>
      </c>
      <c r="AH749" s="4">
        <v>3</v>
      </c>
      <c r="AI749" s="4">
        <v>1</v>
      </c>
      <c r="AJ749" s="4">
        <v>2</v>
      </c>
      <c r="AK749" s="4">
        <v>8</v>
      </c>
      <c r="AL749" s="4">
        <v>4</v>
      </c>
      <c r="AM749" s="4">
        <v>2</v>
      </c>
      <c r="AN749" s="4">
        <v>0</v>
      </c>
      <c r="AO749" s="4">
        <v>1</v>
      </c>
      <c r="AP749" s="4"/>
      <c r="AQ749" s="4">
        <v>0</v>
      </c>
      <c r="AR749" s="4">
        <v>1</v>
      </c>
      <c r="AS749" s="4">
        <f t="shared" si="23"/>
        <v>26</v>
      </c>
      <c r="AT749" s="9" t="s">
        <v>874</v>
      </c>
    </row>
    <row r="750" spans="1:46" x14ac:dyDescent="0.2">
      <c r="A750" s="4">
        <v>1374</v>
      </c>
      <c r="B750" s="4" t="s">
        <v>22</v>
      </c>
      <c r="C750" s="5" t="s">
        <v>212</v>
      </c>
      <c r="D750" s="5" t="s">
        <v>213</v>
      </c>
      <c r="E750" s="5" t="s">
        <v>118</v>
      </c>
      <c r="F750" s="5" t="s">
        <v>119</v>
      </c>
      <c r="G750" s="13">
        <v>46330</v>
      </c>
      <c r="H750" s="13">
        <v>46330</v>
      </c>
      <c r="I750" s="9">
        <f t="shared" si="22"/>
        <v>1</v>
      </c>
      <c r="J750" s="5" t="s">
        <v>1651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4">
        <v>3</v>
      </c>
      <c r="AH750" s="4">
        <v>5</v>
      </c>
      <c r="AI750" s="4">
        <v>1</v>
      </c>
      <c r="AJ750" s="4">
        <v>2</v>
      </c>
      <c r="AK750" s="4">
        <v>8</v>
      </c>
      <c r="AL750" s="4">
        <v>3</v>
      </c>
      <c r="AM750" s="4">
        <v>1</v>
      </c>
      <c r="AN750" s="4">
        <v>0</v>
      </c>
      <c r="AO750" s="4">
        <v>1</v>
      </c>
      <c r="AP750" s="4"/>
      <c r="AQ750" s="4">
        <v>0</v>
      </c>
      <c r="AR750" s="4">
        <v>1</v>
      </c>
      <c r="AS750" s="4">
        <f t="shared" si="23"/>
        <v>24</v>
      </c>
      <c r="AT750" s="4" t="s">
        <v>120</v>
      </c>
    </row>
    <row r="751" spans="1:46" x14ac:dyDescent="0.2">
      <c r="A751" s="4">
        <v>6610</v>
      </c>
      <c r="B751" s="4" t="s">
        <v>22</v>
      </c>
      <c r="C751" s="5" t="s">
        <v>1360</v>
      </c>
      <c r="D751" s="5" t="s">
        <v>1361</v>
      </c>
      <c r="E751" s="5" t="s">
        <v>1346</v>
      </c>
      <c r="F751" s="5" t="s">
        <v>574</v>
      </c>
      <c r="G751" s="13">
        <v>46330</v>
      </c>
      <c r="H751" s="13">
        <v>46330</v>
      </c>
      <c r="I751" s="9">
        <f t="shared" si="22"/>
        <v>1</v>
      </c>
      <c r="J751" s="5" t="s">
        <v>1651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4">
        <v>3</v>
      </c>
      <c r="AH751" s="4">
        <v>2</v>
      </c>
      <c r="AI751" s="4">
        <v>1</v>
      </c>
      <c r="AJ751" s="4">
        <v>2</v>
      </c>
      <c r="AK751" s="4">
        <v>5</v>
      </c>
      <c r="AL751" s="4">
        <v>3</v>
      </c>
      <c r="AM751" s="4">
        <v>1</v>
      </c>
      <c r="AN751" s="4">
        <v>0</v>
      </c>
      <c r="AO751" s="4">
        <v>1</v>
      </c>
      <c r="AP751" s="4"/>
      <c r="AQ751" s="4">
        <v>0</v>
      </c>
      <c r="AR751" s="4">
        <v>1</v>
      </c>
      <c r="AS751" s="4">
        <f t="shared" si="23"/>
        <v>18</v>
      </c>
      <c r="AT751" s="9" t="s">
        <v>1354</v>
      </c>
    </row>
    <row r="752" spans="1:46" x14ac:dyDescent="0.2">
      <c r="A752" s="4">
        <v>6943</v>
      </c>
      <c r="B752" s="4" t="s">
        <v>22</v>
      </c>
      <c r="C752" s="5" t="s">
        <v>1474</v>
      </c>
      <c r="D752" s="5" t="s">
        <v>1475</v>
      </c>
      <c r="E752" s="5" t="s">
        <v>1175</v>
      </c>
      <c r="F752" s="5" t="s">
        <v>546</v>
      </c>
      <c r="G752" s="13">
        <v>46330</v>
      </c>
      <c r="H752" s="13">
        <v>46330</v>
      </c>
      <c r="I752" s="9">
        <f t="shared" si="22"/>
        <v>1</v>
      </c>
      <c r="J752" s="5" t="s">
        <v>1651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4">
        <v>4</v>
      </c>
      <c r="AH752" s="4">
        <v>2</v>
      </c>
      <c r="AI752" s="4">
        <v>1</v>
      </c>
      <c r="AJ752" s="4">
        <v>2</v>
      </c>
      <c r="AK752" s="4">
        <v>6</v>
      </c>
      <c r="AL752" s="4">
        <v>4</v>
      </c>
      <c r="AM752" s="4">
        <v>1</v>
      </c>
      <c r="AN752" s="4">
        <v>0</v>
      </c>
      <c r="AO752" s="4">
        <v>1</v>
      </c>
      <c r="AP752" s="4"/>
      <c r="AQ752" s="4">
        <v>0</v>
      </c>
      <c r="AR752" s="4">
        <v>1</v>
      </c>
      <c r="AS752" s="4">
        <f t="shared" si="23"/>
        <v>21</v>
      </c>
      <c r="AT752" s="9" t="s">
        <v>1442</v>
      </c>
    </row>
    <row r="753" spans="1:46" x14ac:dyDescent="0.2">
      <c r="A753" s="4">
        <v>7525</v>
      </c>
      <c r="B753" s="4" t="s">
        <v>22</v>
      </c>
      <c r="C753" s="5" t="s">
        <v>1537</v>
      </c>
      <c r="D753" s="5" t="s">
        <v>1538</v>
      </c>
      <c r="E753" s="5" t="s">
        <v>883</v>
      </c>
      <c r="F753" s="5" t="s">
        <v>574</v>
      </c>
      <c r="G753" s="13">
        <v>46330</v>
      </c>
      <c r="H753" s="13">
        <v>46330</v>
      </c>
      <c r="I753" s="9">
        <f t="shared" si="22"/>
        <v>1</v>
      </c>
      <c r="J753" s="5" t="s">
        <v>1651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4">
        <v>4</v>
      </c>
      <c r="AH753" s="4">
        <v>2</v>
      </c>
      <c r="AI753" s="4">
        <v>1</v>
      </c>
      <c r="AJ753" s="4">
        <v>2</v>
      </c>
      <c r="AK753" s="4">
        <v>6</v>
      </c>
      <c r="AL753" s="4">
        <v>4</v>
      </c>
      <c r="AM753" s="4">
        <v>1</v>
      </c>
      <c r="AN753" s="4">
        <v>0</v>
      </c>
      <c r="AO753" s="4">
        <v>1</v>
      </c>
      <c r="AP753" s="4"/>
      <c r="AQ753" s="4">
        <v>0</v>
      </c>
      <c r="AR753" s="4">
        <v>1</v>
      </c>
      <c r="AS753" s="4">
        <f t="shared" si="23"/>
        <v>21</v>
      </c>
      <c r="AT753" s="9" t="s">
        <v>874</v>
      </c>
    </row>
    <row r="754" spans="1:46" x14ac:dyDescent="0.2">
      <c r="A754" s="4">
        <v>6651</v>
      </c>
      <c r="B754" s="4" t="s">
        <v>22</v>
      </c>
      <c r="C754" s="5" t="s">
        <v>1425</v>
      </c>
      <c r="D754" s="5" t="s">
        <v>1426</v>
      </c>
      <c r="E754" s="5" t="s">
        <v>1346</v>
      </c>
      <c r="F754" s="5" t="s">
        <v>574</v>
      </c>
      <c r="G754" s="13">
        <v>46331</v>
      </c>
      <c r="H754" s="13">
        <v>46331</v>
      </c>
      <c r="I754" s="9">
        <f t="shared" si="22"/>
        <v>1</v>
      </c>
      <c r="J754" s="5" t="s">
        <v>1651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4">
        <v>4</v>
      </c>
      <c r="AH754" s="4">
        <v>3</v>
      </c>
      <c r="AI754" s="4">
        <v>1</v>
      </c>
      <c r="AJ754" s="4">
        <v>2</v>
      </c>
      <c r="AK754" s="4">
        <v>8</v>
      </c>
      <c r="AL754" s="4">
        <v>3</v>
      </c>
      <c r="AM754" s="4">
        <v>1</v>
      </c>
      <c r="AN754" s="4">
        <v>0</v>
      </c>
      <c r="AO754" s="4">
        <v>2</v>
      </c>
      <c r="AP754" s="4"/>
      <c r="AQ754" s="4">
        <v>0</v>
      </c>
      <c r="AR754" s="4">
        <v>1</v>
      </c>
      <c r="AS754" s="4">
        <f t="shared" si="23"/>
        <v>24</v>
      </c>
      <c r="AT754" s="9" t="s">
        <v>1354</v>
      </c>
    </row>
    <row r="755" spans="1:46" x14ac:dyDescent="0.2">
      <c r="A755" s="4">
        <v>6940</v>
      </c>
      <c r="B755" s="4" t="s">
        <v>22</v>
      </c>
      <c r="C755" s="5" t="s">
        <v>1470</v>
      </c>
      <c r="D755" s="5" t="s">
        <v>1471</v>
      </c>
      <c r="E755" s="5" t="s">
        <v>1175</v>
      </c>
      <c r="F755" s="5" t="s">
        <v>546</v>
      </c>
      <c r="G755" s="13">
        <v>46331</v>
      </c>
      <c r="H755" s="13">
        <v>46331</v>
      </c>
      <c r="I755" s="9">
        <f t="shared" si="22"/>
        <v>1</v>
      </c>
      <c r="J755" s="5" t="s">
        <v>1651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4">
        <v>8</v>
      </c>
      <c r="AH755" s="4">
        <v>6</v>
      </c>
      <c r="AI755" s="4">
        <v>1</v>
      </c>
      <c r="AJ755" s="4">
        <v>4</v>
      </c>
      <c r="AK755" s="4">
        <v>13</v>
      </c>
      <c r="AL755" s="4">
        <v>6</v>
      </c>
      <c r="AM755" s="4">
        <v>3</v>
      </c>
      <c r="AN755" s="4">
        <v>0</v>
      </c>
      <c r="AO755" s="4">
        <v>2</v>
      </c>
      <c r="AP755" s="4"/>
      <c r="AQ755" s="4">
        <v>0</v>
      </c>
      <c r="AR755" s="4">
        <v>1</v>
      </c>
      <c r="AS755" s="4">
        <f t="shared" si="23"/>
        <v>43</v>
      </c>
      <c r="AT755" s="9" t="s">
        <v>1442</v>
      </c>
    </row>
    <row r="756" spans="1:46" x14ac:dyDescent="0.2">
      <c r="A756" s="4">
        <v>7503</v>
      </c>
      <c r="B756" s="4" t="s">
        <v>22</v>
      </c>
      <c r="C756" s="5" t="s">
        <v>1529</v>
      </c>
      <c r="D756" s="5" t="s">
        <v>1530</v>
      </c>
      <c r="E756" s="5" t="s">
        <v>883</v>
      </c>
      <c r="F756" s="5" t="s">
        <v>574</v>
      </c>
      <c r="G756" s="13">
        <v>46331</v>
      </c>
      <c r="H756" s="13">
        <v>46331</v>
      </c>
      <c r="I756" s="9">
        <f t="shared" si="22"/>
        <v>1</v>
      </c>
      <c r="J756" s="5" t="s">
        <v>1651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4">
        <v>11</v>
      </c>
      <c r="AH756" s="4">
        <v>8</v>
      </c>
      <c r="AI756" s="4">
        <v>1</v>
      </c>
      <c r="AJ756" s="4">
        <v>4</v>
      </c>
      <c r="AK756" s="4">
        <v>18</v>
      </c>
      <c r="AL756" s="4">
        <v>8</v>
      </c>
      <c r="AM756" s="4">
        <v>4</v>
      </c>
      <c r="AN756" s="4">
        <v>0</v>
      </c>
      <c r="AO756" s="4">
        <v>4</v>
      </c>
      <c r="AP756" s="4"/>
      <c r="AQ756" s="4">
        <v>1</v>
      </c>
      <c r="AR756" s="4">
        <v>1</v>
      </c>
      <c r="AS756" s="4">
        <f t="shared" si="23"/>
        <v>59</v>
      </c>
      <c r="AT756" s="9" t="s">
        <v>874</v>
      </c>
    </row>
    <row r="757" spans="1:46" x14ac:dyDescent="0.2">
      <c r="A757" s="4">
        <v>6608</v>
      </c>
      <c r="B757" s="4" t="s">
        <v>22</v>
      </c>
      <c r="C757" s="5" t="s">
        <v>1355</v>
      </c>
      <c r="D757" s="5" t="s">
        <v>1356</v>
      </c>
      <c r="E757" s="5" t="s">
        <v>1346</v>
      </c>
      <c r="F757" s="5" t="s">
        <v>574</v>
      </c>
      <c r="G757" s="13">
        <v>46332</v>
      </c>
      <c r="H757" s="13">
        <v>46332</v>
      </c>
      <c r="I757" s="9">
        <f t="shared" si="22"/>
        <v>1</v>
      </c>
      <c r="J757" s="5" t="s">
        <v>1651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4">
        <v>3</v>
      </c>
      <c r="AH757" s="4">
        <v>5</v>
      </c>
      <c r="AI757" s="4">
        <v>1</v>
      </c>
      <c r="AJ757" s="4">
        <v>2</v>
      </c>
      <c r="AK757" s="4">
        <v>7</v>
      </c>
      <c r="AL757" s="4">
        <v>3</v>
      </c>
      <c r="AM757" s="4">
        <v>1</v>
      </c>
      <c r="AN757" s="4">
        <v>0</v>
      </c>
      <c r="AO757" s="4">
        <v>1</v>
      </c>
      <c r="AP757" s="4"/>
      <c r="AQ757" s="4">
        <v>0</v>
      </c>
      <c r="AR757" s="4">
        <v>1</v>
      </c>
      <c r="AS757" s="4">
        <f t="shared" si="23"/>
        <v>23</v>
      </c>
      <c r="AT757" s="9" t="s">
        <v>1354</v>
      </c>
    </row>
    <row r="758" spans="1:46" x14ac:dyDescent="0.2">
      <c r="A758" s="4">
        <v>6941</v>
      </c>
      <c r="B758" s="4" t="s">
        <v>22</v>
      </c>
      <c r="C758" s="5" t="s">
        <v>1472</v>
      </c>
      <c r="D758" s="5" t="s">
        <v>1473</v>
      </c>
      <c r="E758" s="5" t="s">
        <v>1175</v>
      </c>
      <c r="F758" s="5" t="s">
        <v>546</v>
      </c>
      <c r="G758" s="13">
        <v>46332</v>
      </c>
      <c r="H758" s="13">
        <v>46332</v>
      </c>
      <c r="I758" s="9">
        <f t="shared" si="22"/>
        <v>1</v>
      </c>
      <c r="J758" s="5" t="s">
        <v>1651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4">
        <v>4</v>
      </c>
      <c r="AH758" s="4">
        <v>4</v>
      </c>
      <c r="AI758" s="4">
        <v>1</v>
      </c>
      <c r="AJ758" s="4">
        <v>3</v>
      </c>
      <c r="AK758" s="4">
        <v>8</v>
      </c>
      <c r="AL758" s="4">
        <v>4</v>
      </c>
      <c r="AM758" s="4">
        <v>2</v>
      </c>
      <c r="AN758" s="4">
        <v>0</v>
      </c>
      <c r="AO758" s="4">
        <v>1</v>
      </c>
      <c r="AP758" s="4"/>
      <c r="AQ758" s="4">
        <v>0</v>
      </c>
      <c r="AR758" s="4">
        <v>1</v>
      </c>
      <c r="AS758" s="4">
        <f t="shared" si="23"/>
        <v>27</v>
      </c>
      <c r="AT758" s="9" t="s">
        <v>1442</v>
      </c>
    </row>
    <row r="759" spans="1:46" x14ac:dyDescent="0.2">
      <c r="A759" s="4">
        <v>3915</v>
      </c>
      <c r="B759" s="4" t="s">
        <v>22</v>
      </c>
      <c r="C759" s="5" t="s">
        <v>899</v>
      </c>
      <c r="D759" s="5" t="s">
        <v>900</v>
      </c>
      <c r="E759" s="5" t="s">
        <v>883</v>
      </c>
      <c r="F759" s="5" t="s">
        <v>574</v>
      </c>
      <c r="G759" s="13">
        <v>46335</v>
      </c>
      <c r="H759" s="13">
        <v>46335</v>
      </c>
      <c r="I759" s="9">
        <f t="shared" si="22"/>
        <v>1</v>
      </c>
      <c r="J759" s="5" t="s">
        <v>1651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4">
        <v>3</v>
      </c>
      <c r="AH759" s="4">
        <v>1</v>
      </c>
      <c r="AI759" s="4">
        <v>1</v>
      </c>
      <c r="AJ759" s="4">
        <v>2</v>
      </c>
      <c r="AK759" s="4">
        <v>3</v>
      </c>
      <c r="AL759" s="4">
        <v>2</v>
      </c>
      <c r="AM759" s="4">
        <v>1</v>
      </c>
      <c r="AN759" s="4">
        <v>0</v>
      </c>
      <c r="AO759" s="4">
        <v>1</v>
      </c>
      <c r="AP759" s="4"/>
      <c r="AQ759" s="4">
        <v>0</v>
      </c>
      <c r="AR759" s="4">
        <v>1</v>
      </c>
      <c r="AS759" s="4">
        <f t="shared" si="23"/>
        <v>14</v>
      </c>
      <c r="AT759" s="9" t="s">
        <v>874</v>
      </c>
    </row>
    <row r="760" spans="1:46" x14ac:dyDescent="0.2">
      <c r="A760" s="4">
        <v>4864</v>
      </c>
      <c r="B760" s="4" t="s">
        <v>22</v>
      </c>
      <c r="C760" s="5" t="s">
        <v>1079</v>
      </c>
      <c r="D760" s="5" t="s">
        <v>1080</v>
      </c>
      <c r="E760" s="5" t="s">
        <v>286</v>
      </c>
      <c r="F760" s="5" t="s">
        <v>546</v>
      </c>
      <c r="G760" s="13">
        <v>46335</v>
      </c>
      <c r="H760" s="13">
        <v>46339</v>
      </c>
      <c r="I760" s="9">
        <f t="shared" si="22"/>
        <v>5</v>
      </c>
      <c r="J760" s="5" t="s">
        <v>1651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4">
        <v>2</v>
      </c>
      <c r="AH760" s="4">
        <v>2</v>
      </c>
      <c r="AI760" s="4">
        <v>1</v>
      </c>
      <c r="AJ760" s="4">
        <v>2</v>
      </c>
      <c r="AK760" s="4">
        <v>4</v>
      </c>
      <c r="AL760" s="4">
        <v>2</v>
      </c>
      <c r="AM760" s="4">
        <v>1</v>
      </c>
      <c r="AN760" s="4">
        <v>0</v>
      </c>
      <c r="AO760" s="4">
        <v>1</v>
      </c>
      <c r="AP760" s="4"/>
      <c r="AQ760" s="4">
        <v>0</v>
      </c>
      <c r="AR760" s="4">
        <v>1</v>
      </c>
      <c r="AS760" s="4">
        <f t="shared" si="23"/>
        <v>15</v>
      </c>
      <c r="AT760" s="9" t="s">
        <v>1059</v>
      </c>
    </row>
    <row r="761" spans="1:46" x14ac:dyDescent="0.2">
      <c r="A761" s="4">
        <v>5115</v>
      </c>
      <c r="B761" s="4" t="s">
        <v>22</v>
      </c>
      <c r="C761" s="5" t="s">
        <v>1124</v>
      </c>
      <c r="D761" s="5" t="s">
        <v>1125</v>
      </c>
      <c r="E761" s="5" t="s">
        <v>1107</v>
      </c>
      <c r="F761" s="5" t="s">
        <v>98</v>
      </c>
      <c r="G761" s="13">
        <v>46336</v>
      </c>
      <c r="H761" s="13">
        <v>46337</v>
      </c>
      <c r="I761" s="9">
        <f t="shared" si="22"/>
        <v>2</v>
      </c>
      <c r="J761" s="5" t="s">
        <v>1651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4">
        <v>4</v>
      </c>
      <c r="AH761" s="4">
        <v>2</v>
      </c>
      <c r="AI761" s="4">
        <v>1</v>
      </c>
      <c r="AJ761" s="4">
        <v>3</v>
      </c>
      <c r="AK761" s="4">
        <v>5</v>
      </c>
      <c r="AL761" s="4">
        <v>4</v>
      </c>
      <c r="AM761" s="4">
        <v>2</v>
      </c>
      <c r="AN761" s="4">
        <v>0</v>
      </c>
      <c r="AO761" s="4">
        <v>1</v>
      </c>
      <c r="AP761" s="4"/>
      <c r="AQ761" s="4">
        <v>0</v>
      </c>
      <c r="AR761" s="4">
        <v>1</v>
      </c>
      <c r="AS761" s="4">
        <f t="shared" si="23"/>
        <v>22</v>
      </c>
      <c r="AT761" s="9" t="s">
        <v>1111</v>
      </c>
    </row>
    <row r="762" spans="1:46" x14ac:dyDescent="0.2">
      <c r="A762" s="4">
        <v>5121</v>
      </c>
      <c r="B762" s="4" t="s">
        <v>22</v>
      </c>
      <c r="C762" s="5" t="s">
        <v>1136</v>
      </c>
      <c r="D762" s="5" t="s">
        <v>1137</v>
      </c>
      <c r="E762" s="5" t="s">
        <v>1107</v>
      </c>
      <c r="F762" s="5" t="s">
        <v>98</v>
      </c>
      <c r="G762" s="13">
        <v>46336</v>
      </c>
      <c r="H762" s="13">
        <v>46336</v>
      </c>
      <c r="I762" s="9">
        <f t="shared" si="22"/>
        <v>1</v>
      </c>
      <c r="J762" s="5" t="s">
        <v>1651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4">
        <v>3</v>
      </c>
      <c r="AH762" s="4">
        <v>1</v>
      </c>
      <c r="AI762" s="4">
        <v>1</v>
      </c>
      <c r="AJ762" s="4">
        <v>2</v>
      </c>
      <c r="AK762" s="4">
        <v>4</v>
      </c>
      <c r="AL762" s="4">
        <v>3</v>
      </c>
      <c r="AM762" s="4">
        <v>1</v>
      </c>
      <c r="AN762" s="4">
        <v>0</v>
      </c>
      <c r="AO762" s="4">
        <v>1</v>
      </c>
      <c r="AP762" s="4"/>
      <c r="AQ762" s="4">
        <v>0</v>
      </c>
      <c r="AR762" s="4">
        <v>1</v>
      </c>
      <c r="AS762" s="4">
        <f t="shared" si="23"/>
        <v>16</v>
      </c>
      <c r="AT762" s="9" t="s">
        <v>1114</v>
      </c>
    </row>
    <row r="763" spans="1:46" x14ac:dyDescent="0.2">
      <c r="A763" s="4">
        <v>6638</v>
      </c>
      <c r="B763" s="4" t="s">
        <v>22</v>
      </c>
      <c r="C763" s="5" t="s">
        <v>1404</v>
      </c>
      <c r="D763" s="5" t="s">
        <v>1405</v>
      </c>
      <c r="E763" s="5" t="s">
        <v>1346</v>
      </c>
      <c r="F763" s="5" t="s">
        <v>574</v>
      </c>
      <c r="G763" s="13">
        <v>46336</v>
      </c>
      <c r="H763" s="13">
        <v>46336</v>
      </c>
      <c r="I763" s="9">
        <f t="shared" si="22"/>
        <v>1</v>
      </c>
      <c r="J763" s="5" t="s">
        <v>1651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4">
        <v>4</v>
      </c>
      <c r="AH763" s="4">
        <v>4</v>
      </c>
      <c r="AI763" s="4">
        <v>1</v>
      </c>
      <c r="AJ763" s="4">
        <v>2</v>
      </c>
      <c r="AK763" s="4">
        <v>7</v>
      </c>
      <c r="AL763" s="4">
        <v>3</v>
      </c>
      <c r="AM763" s="4">
        <v>1</v>
      </c>
      <c r="AN763" s="4">
        <v>0</v>
      </c>
      <c r="AO763" s="4">
        <v>2</v>
      </c>
      <c r="AP763" s="4"/>
      <c r="AQ763" s="4">
        <v>1</v>
      </c>
      <c r="AR763" s="4">
        <v>1</v>
      </c>
      <c r="AS763" s="4">
        <f t="shared" si="23"/>
        <v>25</v>
      </c>
      <c r="AT763" s="9" t="s">
        <v>1354</v>
      </c>
    </row>
    <row r="764" spans="1:46" x14ac:dyDescent="0.2">
      <c r="A764" s="4">
        <v>6903</v>
      </c>
      <c r="B764" s="4" t="s">
        <v>22</v>
      </c>
      <c r="C764" s="5" t="s">
        <v>1440</v>
      </c>
      <c r="D764" s="5" t="s">
        <v>1441</v>
      </c>
      <c r="E764" s="5" t="s">
        <v>1175</v>
      </c>
      <c r="F764" s="5" t="s">
        <v>546</v>
      </c>
      <c r="G764" s="13">
        <v>46336</v>
      </c>
      <c r="H764" s="13">
        <v>46337</v>
      </c>
      <c r="I764" s="9">
        <f t="shared" si="22"/>
        <v>2</v>
      </c>
      <c r="J764" s="5" t="s">
        <v>1651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4">
        <v>13</v>
      </c>
      <c r="AH764" s="4">
        <v>7</v>
      </c>
      <c r="AI764" s="4">
        <v>1</v>
      </c>
      <c r="AJ764" s="4">
        <v>7</v>
      </c>
      <c r="AK764" s="4">
        <v>19</v>
      </c>
      <c r="AL764" s="4">
        <v>10</v>
      </c>
      <c r="AM764" s="4">
        <v>6</v>
      </c>
      <c r="AN764" s="4">
        <v>0</v>
      </c>
      <c r="AO764" s="4">
        <v>2</v>
      </c>
      <c r="AP764" s="4"/>
      <c r="AQ764" s="4">
        <v>0</v>
      </c>
      <c r="AR764" s="4">
        <v>1</v>
      </c>
      <c r="AS764" s="4">
        <f t="shared" si="23"/>
        <v>65</v>
      </c>
      <c r="AT764" s="9" t="s">
        <v>1442</v>
      </c>
    </row>
    <row r="765" spans="1:46" x14ac:dyDescent="0.2">
      <c r="A765" s="4">
        <v>7501</v>
      </c>
      <c r="B765" s="4" t="s">
        <v>22</v>
      </c>
      <c r="C765" s="5" t="s">
        <v>1527</v>
      </c>
      <c r="D765" s="5" t="s">
        <v>1528</v>
      </c>
      <c r="E765" s="5" t="s">
        <v>883</v>
      </c>
      <c r="F765" s="5" t="s">
        <v>574</v>
      </c>
      <c r="G765" s="13">
        <v>46336</v>
      </c>
      <c r="H765" s="13">
        <v>46336</v>
      </c>
      <c r="I765" s="9">
        <f t="shared" si="22"/>
        <v>1</v>
      </c>
      <c r="J765" s="5" t="s">
        <v>1651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4">
        <v>3</v>
      </c>
      <c r="AH765" s="4">
        <v>3</v>
      </c>
      <c r="AI765" s="4">
        <v>1</v>
      </c>
      <c r="AJ765" s="4">
        <v>2</v>
      </c>
      <c r="AK765" s="4">
        <v>8</v>
      </c>
      <c r="AL765" s="4">
        <v>2</v>
      </c>
      <c r="AM765" s="4">
        <v>1</v>
      </c>
      <c r="AN765" s="4">
        <v>0</v>
      </c>
      <c r="AO765" s="4">
        <v>1</v>
      </c>
      <c r="AP765" s="4"/>
      <c r="AQ765" s="4">
        <v>1</v>
      </c>
      <c r="AR765" s="4">
        <v>1</v>
      </c>
      <c r="AS765" s="4">
        <f t="shared" si="23"/>
        <v>22</v>
      </c>
      <c r="AT765" s="9" t="s">
        <v>874</v>
      </c>
    </row>
    <row r="766" spans="1:46" x14ac:dyDescent="0.2">
      <c r="A766" s="4">
        <v>6618</v>
      </c>
      <c r="B766" s="4" t="s">
        <v>22</v>
      </c>
      <c r="C766" s="5" t="s">
        <v>1370</v>
      </c>
      <c r="D766" s="5" t="s">
        <v>1371</v>
      </c>
      <c r="E766" s="5" t="s">
        <v>1346</v>
      </c>
      <c r="F766" s="5" t="s">
        <v>574</v>
      </c>
      <c r="G766" s="13">
        <v>46337</v>
      </c>
      <c r="H766" s="13">
        <v>46337</v>
      </c>
      <c r="I766" s="9">
        <f t="shared" si="22"/>
        <v>1</v>
      </c>
      <c r="J766" s="5" t="s">
        <v>1651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4">
        <v>2</v>
      </c>
      <c r="AH766" s="4">
        <v>1</v>
      </c>
      <c r="AI766" s="4">
        <v>1</v>
      </c>
      <c r="AJ766" s="4">
        <v>2</v>
      </c>
      <c r="AK766" s="4">
        <v>3</v>
      </c>
      <c r="AL766" s="4">
        <v>2</v>
      </c>
      <c r="AM766" s="4">
        <v>1</v>
      </c>
      <c r="AN766" s="4">
        <v>0</v>
      </c>
      <c r="AO766" s="4">
        <v>1</v>
      </c>
      <c r="AP766" s="4"/>
      <c r="AQ766" s="4">
        <v>0</v>
      </c>
      <c r="AR766" s="4">
        <v>1</v>
      </c>
      <c r="AS766" s="4">
        <f t="shared" si="23"/>
        <v>13</v>
      </c>
      <c r="AT766" s="9" t="s">
        <v>1367</v>
      </c>
    </row>
    <row r="767" spans="1:46" x14ac:dyDescent="0.2">
      <c r="A767" s="4">
        <v>5455</v>
      </c>
      <c r="B767" s="4" t="s">
        <v>22</v>
      </c>
      <c r="C767" s="5" t="s">
        <v>665</v>
      </c>
      <c r="D767" s="5" t="s">
        <v>666</v>
      </c>
      <c r="E767" s="5" t="s">
        <v>1169</v>
      </c>
      <c r="F767" s="5" t="s">
        <v>500</v>
      </c>
      <c r="G767" s="13">
        <v>46338</v>
      </c>
      <c r="H767" s="13">
        <v>46338</v>
      </c>
      <c r="I767" s="9">
        <f t="shared" si="22"/>
        <v>1</v>
      </c>
      <c r="J767" s="5" t="s">
        <v>1651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4">
        <v>2</v>
      </c>
      <c r="AH767" s="4">
        <v>1</v>
      </c>
      <c r="AI767" s="4">
        <v>1</v>
      </c>
      <c r="AJ767" s="4">
        <v>2</v>
      </c>
      <c r="AK767" s="4">
        <v>3</v>
      </c>
      <c r="AL767" s="4">
        <v>2</v>
      </c>
      <c r="AM767" s="4">
        <v>1</v>
      </c>
      <c r="AN767" s="4">
        <v>0</v>
      </c>
      <c r="AO767" s="4">
        <v>1</v>
      </c>
      <c r="AP767" s="4"/>
      <c r="AQ767" s="4">
        <v>0</v>
      </c>
      <c r="AR767" s="4">
        <v>1</v>
      </c>
      <c r="AS767" s="4">
        <f t="shared" si="23"/>
        <v>13</v>
      </c>
      <c r="AT767" s="9" t="s">
        <v>1170</v>
      </c>
    </row>
    <row r="768" spans="1:46" x14ac:dyDescent="0.2">
      <c r="A768" s="4">
        <v>6628</v>
      </c>
      <c r="B768" s="4" t="s">
        <v>22</v>
      </c>
      <c r="C768" s="5" t="s">
        <v>1389</v>
      </c>
      <c r="D768" s="5" t="s">
        <v>1390</v>
      </c>
      <c r="E768" s="5" t="s">
        <v>1346</v>
      </c>
      <c r="F768" s="5" t="s">
        <v>574</v>
      </c>
      <c r="G768" s="13">
        <v>46338</v>
      </c>
      <c r="H768" s="13">
        <v>46338</v>
      </c>
      <c r="I768" s="9">
        <f t="shared" si="22"/>
        <v>1</v>
      </c>
      <c r="J768" s="5" t="s">
        <v>1651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4">
        <v>3</v>
      </c>
      <c r="AH768" s="4">
        <v>1</v>
      </c>
      <c r="AI768" s="4">
        <v>1</v>
      </c>
      <c r="AJ768" s="4">
        <v>2</v>
      </c>
      <c r="AK768" s="4">
        <v>4</v>
      </c>
      <c r="AL768" s="4">
        <v>3</v>
      </c>
      <c r="AM768" s="4">
        <v>1</v>
      </c>
      <c r="AN768" s="4">
        <v>0</v>
      </c>
      <c r="AO768" s="4">
        <v>1</v>
      </c>
      <c r="AP768" s="4"/>
      <c r="AQ768" s="4">
        <v>0</v>
      </c>
      <c r="AR768" s="4">
        <v>1</v>
      </c>
      <c r="AS768" s="4">
        <f t="shared" si="23"/>
        <v>16</v>
      </c>
      <c r="AT768" s="9" t="s">
        <v>1380</v>
      </c>
    </row>
    <row r="769" spans="1:46" x14ac:dyDescent="0.2">
      <c r="A769" s="4">
        <v>6925</v>
      </c>
      <c r="B769" s="4" t="s">
        <v>22</v>
      </c>
      <c r="C769" s="5" t="s">
        <v>1460</v>
      </c>
      <c r="D769" s="5" t="s">
        <v>1441</v>
      </c>
      <c r="E769" s="5" t="s">
        <v>1175</v>
      </c>
      <c r="F769" s="5" t="s">
        <v>546</v>
      </c>
      <c r="G769" s="13">
        <v>46338</v>
      </c>
      <c r="H769" s="13">
        <v>46338</v>
      </c>
      <c r="I769" s="9">
        <f t="shared" si="22"/>
        <v>1</v>
      </c>
      <c r="J769" s="5" t="s">
        <v>1651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4">
        <v>9</v>
      </c>
      <c r="AH769" s="4">
        <v>4</v>
      </c>
      <c r="AI769" s="4">
        <v>1</v>
      </c>
      <c r="AJ769" s="4">
        <v>3</v>
      </c>
      <c r="AK769" s="4">
        <v>8</v>
      </c>
      <c r="AL769" s="4">
        <v>4</v>
      </c>
      <c r="AM769" s="4">
        <v>2</v>
      </c>
      <c r="AN769" s="4">
        <v>1</v>
      </c>
      <c r="AO769" s="4">
        <v>1</v>
      </c>
      <c r="AP769" s="4"/>
      <c r="AQ769" s="4">
        <v>0</v>
      </c>
      <c r="AR769" s="4">
        <v>1</v>
      </c>
      <c r="AS769" s="4">
        <f t="shared" si="23"/>
        <v>33</v>
      </c>
      <c r="AT769" s="9" t="s">
        <v>1442</v>
      </c>
    </row>
    <row r="770" spans="1:46" x14ac:dyDescent="0.2">
      <c r="A770" s="4">
        <v>5430</v>
      </c>
      <c r="B770" s="4" t="s">
        <v>22</v>
      </c>
      <c r="C770" s="5" t="s">
        <v>1184</v>
      </c>
      <c r="D770" s="5" t="s">
        <v>1172</v>
      </c>
      <c r="E770" s="5" t="s">
        <v>1169</v>
      </c>
      <c r="F770" s="5" t="s">
        <v>500</v>
      </c>
      <c r="G770" s="13">
        <v>46339</v>
      </c>
      <c r="H770" s="13">
        <v>46339</v>
      </c>
      <c r="I770" s="9">
        <f t="shared" ref="I770:I809" si="24">NETWORKDAYS(G770,H770)</f>
        <v>1</v>
      </c>
      <c r="J770" s="5" t="s">
        <v>1651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4">
        <v>3</v>
      </c>
      <c r="AH770" s="4">
        <v>1</v>
      </c>
      <c r="AI770" s="4">
        <v>1</v>
      </c>
      <c r="AJ770" s="4">
        <v>2</v>
      </c>
      <c r="AK770" s="4">
        <v>6</v>
      </c>
      <c r="AL770" s="4">
        <v>2</v>
      </c>
      <c r="AM770" s="4">
        <v>1</v>
      </c>
      <c r="AN770" s="4">
        <v>0</v>
      </c>
      <c r="AO770" s="4">
        <v>1</v>
      </c>
      <c r="AP770" s="4"/>
      <c r="AQ770" s="4">
        <v>0</v>
      </c>
      <c r="AR770" s="4">
        <v>1</v>
      </c>
      <c r="AS770" s="4">
        <f t="shared" si="23"/>
        <v>17</v>
      </c>
      <c r="AT770" s="9" t="s">
        <v>1170</v>
      </c>
    </row>
    <row r="771" spans="1:46" x14ac:dyDescent="0.2">
      <c r="A771" s="4">
        <v>6624</v>
      </c>
      <c r="B771" s="4" t="s">
        <v>22</v>
      </c>
      <c r="C771" s="5" t="s">
        <v>1381</v>
      </c>
      <c r="D771" s="5" t="s">
        <v>1382</v>
      </c>
      <c r="E771" s="5" t="s">
        <v>1346</v>
      </c>
      <c r="F771" s="5" t="s">
        <v>574</v>
      </c>
      <c r="G771" s="13">
        <v>46339</v>
      </c>
      <c r="H771" s="13">
        <v>46339</v>
      </c>
      <c r="I771" s="9">
        <f t="shared" si="24"/>
        <v>1</v>
      </c>
      <c r="J771" s="5" t="s">
        <v>1651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4">
        <v>4</v>
      </c>
      <c r="AH771" s="4">
        <v>2</v>
      </c>
      <c r="AI771" s="4">
        <v>1</v>
      </c>
      <c r="AJ771" s="4">
        <v>2</v>
      </c>
      <c r="AK771" s="4">
        <v>6</v>
      </c>
      <c r="AL771" s="4">
        <v>3</v>
      </c>
      <c r="AM771" s="4">
        <v>1</v>
      </c>
      <c r="AN771" s="4">
        <v>0</v>
      </c>
      <c r="AO771" s="4">
        <v>1</v>
      </c>
      <c r="AP771" s="4"/>
      <c r="AQ771" s="4">
        <v>0</v>
      </c>
      <c r="AR771" s="4">
        <v>1</v>
      </c>
      <c r="AS771" s="4">
        <f t="shared" ref="AS771:AS809" si="25">SUM(AG771:AQ771)</f>
        <v>20</v>
      </c>
      <c r="AT771" s="9" t="s">
        <v>1354</v>
      </c>
    </row>
    <row r="772" spans="1:46" x14ac:dyDescent="0.2">
      <c r="A772" s="4">
        <v>6915</v>
      </c>
      <c r="B772" s="4" t="s">
        <v>22</v>
      </c>
      <c r="C772" s="5" t="s">
        <v>1447</v>
      </c>
      <c r="D772" s="5" t="s">
        <v>1441</v>
      </c>
      <c r="E772" s="5" t="s">
        <v>1175</v>
      </c>
      <c r="F772" s="5" t="s">
        <v>546</v>
      </c>
      <c r="G772" s="13">
        <v>46339</v>
      </c>
      <c r="H772" s="13">
        <v>46339</v>
      </c>
      <c r="I772" s="9">
        <f t="shared" si="24"/>
        <v>1</v>
      </c>
      <c r="J772" s="5" t="s">
        <v>1651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4">
        <v>5</v>
      </c>
      <c r="AH772" s="4">
        <v>5</v>
      </c>
      <c r="AI772" s="4">
        <v>1</v>
      </c>
      <c r="AJ772" s="4">
        <v>3</v>
      </c>
      <c r="AK772" s="4">
        <v>9</v>
      </c>
      <c r="AL772" s="4">
        <v>4</v>
      </c>
      <c r="AM772" s="4">
        <v>2</v>
      </c>
      <c r="AN772" s="4">
        <v>1</v>
      </c>
      <c r="AO772" s="4">
        <v>2</v>
      </c>
      <c r="AP772" s="4"/>
      <c r="AQ772" s="4">
        <v>0</v>
      </c>
      <c r="AR772" s="4">
        <v>1</v>
      </c>
      <c r="AS772" s="4">
        <f t="shared" si="25"/>
        <v>32</v>
      </c>
      <c r="AT772" s="9" t="s">
        <v>1442</v>
      </c>
    </row>
    <row r="773" spans="1:46" x14ac:dyDescent="0.2">
      <c r="A773" s="4">
        <v>3904</v>
      </c>
      <c r="B773" s="4" t="s">
        <v>22</v>
      </c>
      <c r="C773" s="5" t="s">
        <v>881</v>
      </c>
      <c r="D773" s="5" t="s">
        <v>882</v>
      </c>
      <c r="E773" s="5" t="s">
        <v>883</v>
      </c>
      <c r="F773" s="5" t="s">
        <v>574</v>
      </c>
      <c r="G773" s="13">
        <v>46343</v>
      </c>
      <c r="H773" s="13">
        <v>46343</v>
      </c>
      <c r="I773" s="9">
        <f t="shared" si="24"/>
        <v>1</v>
      </c>
      <c r="J773" s="5" t="s">
        <v>1651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4">
        <v>3</v>
      </c>
      <c r="AH773" s="4">
        <v>2</v>
      </c>
      <c r="AI773" s="4">
        <v>1</v>
      </c>
      <c r="AJ773" s="4">
        <v>2</v>
      </c>
      <c r="AK773" s="4">
        <v>5</v>
      </c>
      <c r="AL773" s="4">
        <v>2</v>
      </c>
      <c r="AM773" s="4">
        <v>1</v>
      </c>
      <c r="AN773" s="4">
        <v>0</v>
      </c>
      <c r="AO773" s="4">
        <v>1</v>
      </c>
      <c r="AP773" s="4"/>
      <c r="AQ773" s="4">
        <v>0</v>
      </c>
      <c r="AR773" s="4">
        <v>1</v>
      </c>
      <c r="AS773" s="4">
        <f t="shared" si="25"/>
        <v>17</v>
      </c>
      <c r="AT773" s="9" t="s">
        <v>874</v>
      </c>
    </row>
    <row r="774" spans="1:46" x14ac:dyDescent="0.2">
      <c r="A774" s="4">
        <v>4826</v>
      </c>
      <c r="B774" s="4" t="s">
        <v>22</v>
      </c>
      <c r="C774" s="5" t="s">
        <v>1057</v>
      </c>
      <c r="D774" s="5" t="s">
        <v>1058</v>
      </c>
      <c r="E774" s="5" t="s">
        <v>286</v>
      </c>
      <c r="F774" s="5" t="s">
        <v>546</v>
      </c>
      <c r="G774" s="13">
        <v>46343</v>
      </c>
      <c r="H774" s="13">
        <v>46346</v>
      </c>
      <c r="I774" s="9">
        <f t="shared" si="24"/>
        <v>4</v>
      </c>
      <c r="J774" s="5" t="s">
        <v>1651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4">
        <v>4</v>
      </c>
      <c r="AH774" s="4">
        <v>3</v>
      </c>
      <c r="AI774" s="4">
        <v>1</v>
      </c>
      <c r="AJ774" s="4">
        <v>3</v>
      </c>
      <c r="AK774" s="4">
        <v>8</v>
      </c>
      <c r="AL774" s="4">
        <v>3</v>
      </c>
      <c r="AM774" s="4">
        <v>2</v>
      </c>
      <c r="AN774" s="4">
        <v>0</v>
      </c>
      <c r="AO774" s="4">
        <v>1</v>
      </c>
      <c r="AP774" s="4"/>
      <c r="AQ774" s="4">
        <v>0</v>
      </c>
      <c r="AR774" s="4">
        <v>1</v>
      </c>
      <c r="AS774" s="4">
        <f t="shared" si="25"/>
        <v>25</v>
      </c>
      <c r="AT774" s="9" t="s">
        <v>1059</v>
      </c>
    </row>
    <row r="775" spans="1:46" x14ac:dyDescent="0.2">
      <c r="A775" s="4">
        <v>5462</v>
      </c>
      <c r="B775" s="4" t="s">
        <v>22</v>
      </c>
      <c r="C775" s="5" t="s">
        <v>1189</v>
      </c>
      <c r="D775" s="5" t="s">
        <v>1190</v>
      </c>
      <c r="E775" s="5" t="s">
        <v>1169</v>
      </c>
      <c r="F775" s="5" t="s">
        <v>500</v>
      </c>
      <c r="G775" s="13">
        <v>46344</v>
      </c>
      <c r="H775" s="13">
        <v>46344</v>
      </c>
      <c r="I775" s="9">
        <f t="shared" si="24"/>
        <v>1</v>
      </c>
      <c r="J775" s="5" t="s">
        <v>1651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4">
        <v>2</v>
      </c>
      <c r="AH775" s="4">
        <v>1</v>
      </c>
      <c r="AI775" s="4">
        <v>1</v>
      </c>
      <c r="AJ775" s="4">
        <v>2</v>
      </c>
      <c r="AK775" s="4">
        <v>3</v>
      </c>
      <c r="AL775" s="4">
        <v>2</v>
      </c>
      <c r="AM775" s="4">
        <v>1</v>
      </c>
      <c r="AN775" s="4">
        <v>0</v>
      </c>
      <c r="AO775" s="4">
        <v>1</v>
      </c>
      <c r="AP775" s="4"/>
      <c r="AQ775" s="4">
        <v>0</v>
      </c>
      <c r="AR775" s="4">
        <v>1</v>
      </c>
      <c r="AS775" s="4">
        <f t="shared" si="25"/>
        <v>13</v>
      </c>
      <c r="AT775" s="9" t="s">
        <v>1170</v>
      </c>
    </row>
    <row r="776" spans="1:46" x14ac:dyDescent="0.2">
      <c r="A776" s="4">
        <v>6630</v>
      </c>
      <c r="B776" s="4" t="s">
        <v>22</v>
      </c>
      <c r="C776" s="5" t="s">
        <v>1391</v>
      </c>
      <c r="D776" s="5" t="s">
        <v>1392</v>
      </c>
      <c r="E776" s="5" t="s">
        <v>1346</v>
      </c>
      <c r="F776" s="5" t="s">
        <v>574</v>
      </c>
      <c r="G776" s="13">
        <v>46344</v>
      </c>
      <c r="H776" s="13">
        <v>46344</v>
      </c>
      <c r="I776" s="9">
        <f t="shared" si="24"/>
        <v>1</v>
      </c>
      <c r="J776" s="5" t="s">
        <v>1651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4">
        <v>4</v>
      </c>
      <c r="AH776" s="4">
        <v>1</v>
      </c>
      <c r="AI776" s="4">
        <v>1</v>
      </c>
      <c r="AJ776" s="4">
        <v>2</v>
      </c>
      <c r="AK776" s="4">
        <v>5</v>
      </c>
      <c r="AL776" s="4">
        <v>4</v>
      </c>
      <c r="AM776" s="4">
        <v>2</v>
      </c>
      <c r="AN776" s="4">
        <v>0</v>
      </c>
      <c r="AO776" s="4">
        <v>1</v>
      </c>
      <c r="AP776" s="7"/>
      <c r="AQ776" s="4">
        <v>0</v>
      </c>
      <c r="AR776" s="4">
        <v>1</v>
      </c>
      <c r="AS776" s="4">
        <f t="shared" si="25"/>
        <v>20</v>
      </c>
      <c r="AT776" s="9" t="s">
        <v>1354</v>
      </c>
    </row>
    <row r="777" spans="1:46" x14ac:dyDescent="0.2">
      <c r="A777" s="4">
        <v>7580</v>
      </c>
      <c r="B777" s="4" t="s">
        <v>22</v>
      </c>
      <c r="C777" s="5" t="s">
        <v>325</v>
      </c>
      <c r="D777" s="5" t="s">
        <v>326</v>
      </c>
      <c r="E777" s="5" t="s">
        <v>883</v>
      </c>
      <c r="F777" s="5" t="s">
        <v>574</v>
      </c>
      <c r="G777" s="13">
        <v>46344</v>
      </c>
      <c r="H777" s="13">
        <v>46344</v>
      </c>
      <c r="I777" s="9">
        <f t="shared" si="24"/>
        <v>1</v>
      </c>
      <c r="J777" s="5" t="s">
        <v>1651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4">
        <v>3</v>
      </c>
      <c r="AH777" s="4">
        <v>2</v>
      </c>
      <c r="AI777" s="4">
        <v>1</v>
      </c>
      <c r="AJ777" s="4">
        <v>2</v>
      </c>
      <c r="AK777" s="4">
        <v>4</v>
      </c>
      <c r="AL777" s="4">
        <v>2</v>
      </c>
      <c r="AM777" s="4">
        <v>1</v>
      </c>
      <c r="AN777" s="4">
        <v>0</v>
      </c>
      <c r="AO777" s="4">
        <v>1</v>
      </c>
      <c r="AP777" s="4"/>
      <c r="AQ777" s="4">
        <v>0</v>
      </c>
      <c r="AR777" s="4">
        <v>1</v>
      </c>
      <c r="AS777" s="4">
        <f t="shared" si="25"/>
        <v>16</v>
      </c>
      <c r="AT777" s="9" t="s">
        <v>874</v>
      </c>
    </row>
    <row r="778" spans="1:46" x14ac:dyDescent="0.2">
      <c r="A778" s="4">
        <v>6622</v>
      </c>
      <c r="B778" s="4" t="s">
        <v>22</v>
      </c>
      <c r="C778" s="5" t="s">
        <v>1376</v>
      </c>
      <c r="D778" s="5" t="s">
        <v>1377</v>
      </c>
      <c r="E778" s="5" t="s">
        <v>1346</v>
      </c>
      <c r="F778" s="5" t="s">
        <v>574</v>
      </c>
      <c r="G778" s="13">
        <v>46345</v>
      </c>
      <c r="H778" s="13">
        <v>46345</v>
      </c>
      <c r="I778" s="9">
        <f t="shared" si="24"/>
        <v>1</v>
      </c>
      <c r="J778" s="5" t="s">
        <v>1651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4">
        <v>3</v>
      </c>
      <c r="AH778" s="4">
        <v>2</v>
      </c>
      <c r="AI778" s="4">
        <v>1</v>
      </c>
      <c r="AJ778" s="4">
        <v>2</v>
      </c>
      <c r="AK778" s="4">
        <v>4</v>
      </c>
      <c r="AL778" s="4">
        <v>2</v>
      </c>
      <c r="AM778" s="4">
        <v>1</v>
      </c>
      <c r="AN778" s="4">
        <v>0</v>
      </c>
      <c r="AO778" s="4">
        <v>1</v>
      </c>
      <c r="AP778" s="4"/>
      <c r="AQ778" s="4">
        <v>0</v>
      </c>
      <c r="AR778" s="4">
        <v>1</v>
      </c>
      <c r="AS778" s="4">
        <f t="shared" si="25"/>
        <v>16</v>
      </c>
      <c r="AT778" s="9" t="s">
        <v>1354</v>
      </c>
    </row>
    <row r="779" spans="1:46" x14ac:dyDescent="0.2">
      <c r="A779" s="4">
        <v>6626</v>
      </c>
      <c r="B779" s="4" t="s">
        <v>22</v>
      </c>
      <c r="C779" s="5" t="s">
        <v>1385</v>
      </c>
      <c r="D779" s="5" t="s">
        <v>1386</v>
      </c>
      <c r="E779" s="5" t="s">
        <v>1346</v>
      </c>
      <c r="F779" s="5" t="s">
        <v>574</v>
      </c>
      <c r="G779" s="13">
        <v>46346</v>
      </c>
      <c r="H779" s="13">
        <v>46346</v>
      </c>
      <c r="I779" s="9">
        <f t="shared" si="24"/>
        <v>1</v>
      </c>
      <c r="J779" s="5" t="s">
        <v>1651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4">
        <v>3</v>
      </c>
      <c r="AH779" s="4">
        <v>2</v>
      </c>
      <c r="AI779" s="4">
        <v>1</v>
      </c>
      <c r="AJ779" s="4">
        <v>2</v>
      </c>
      <c r="AK779" s="4">
        <v>4</v>
      </c>
      <c r="AL779" s="4">
        <v>3</v>
      </c>
      <c r="AM779" s="4">
        <v>1</v>
      </c>
      <c r="AN779" s="4">
        <v>0</v>
      </c>
      <c r="AO779" s="4">
        <v>1</v>
      </c>
      <c r="AP779" s="4"/>
      <c r="AQ779" s="4">
        <v>0</v>
      </c>
      <c r="AR779" s="4">
        <v>1</v>
      </c>
      <c r="AS779" s="4">
        <f t="shared" si="25"/>
        <v>17</v>
      </c>
      <c r="AT779" s="9" t="s">
        <v>1380</v>
      </c>
    </row>
    <row r="780" spans="1:46" x14ac:dyDescent="0.2">
      <c r="A780" s="4">
        <v>6974</v>
      </c>
      <c r="B780" s="4" t="s">
        <v>22</v>
      </c>
      <c r="C780" s="5" t="s">
        <v>1497</v>
      </c>
      <c r="D780" s="5" t="s">
        <v>1498</v>
      </c>
      <c r="E780" s="5" t="s">
        <v>1175</v>
      </c>
      <c r="F780" s="5" t="s">
        <v>500</v>
      </c>
      <c r="G780" s="13">
        <v>46346</v>
      </c>
      <c r="H780" s="13">
        <v>46346</v>
      </c>
      <c r="I780" s="9">
        <f t="shared" si="24"/>
        <v>1</v>
      </c>
      <c r="J780" s="5" t="s">
        <v>1651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4">
        <v>4</v>
      </c>
      <c r="AH780" s="4">
        <v>3</v>
      </c>
      <c r="AI780" s="4">
        <v>1</v>
      </c>
      <c r="AJ780" s="4">
        <v>2</v>
      </c>
      <c r="AK780" s="4">
        <v>7</v>
      </c>
      <c r="AL780" s="4">
        <v>3</v>
      </c>
      <c r="AM780" s="4">
        <v>1</v>
      </c>
      <c r="AN780" s="4">
        <v>0</v>
      </c>
      <c r="AO780" s="4">
        <v>1</v>
      </c>
      <c r="AP780" s="4"/>
      <c r="AQ780" s="4">
        <v>1</v>
      </c>
      <c r="AR780" s="4">
        <v>1</v>
      </c>
      <c r="AS780" s="4">
        <f t="shared" si="25"/>
        <v>23</v>
      </c>
      <c r="AT780" s="9" t="s">
        <v>1170</v>
      </c>
    </row>
    <row r="781" spans="1:46" x14ac:dyDescent="0.2">
      <c r="A781" s="4">
        <v>4878</v>
      </c>
      <c r="B781" s="4" t="s">
        <v>22</v>
      </c>
      <c r="C781" s="5" t="s">
        <v>1093</v>
      </c>
      <c r="D781" s="5" t="s">
        <v>1094</v>
      </c>
      <c r="E781" s="5" t="s">
        <v>286</v>
      </c>
      <c r="F781" s="5" t="s">
        <v>546</v>
      </c>
      <c r="G781" s="13">
        <v>46349</v>
      </c>
      <c r="H781" s="13">
        <v>46353</v>
      </c>
      <c r="I781" s="9">
        <f t="shared" si="24"/>
        <v>5</v>
      </c>
      <c r="J781" s="5" t="s">
        <v>1651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4">
        <v>2</v>
      </c>
      <c r="AH781" s="4">
        <v>1</v>
      </c>
      <c r="AI781" s="4">
        <v>1</v>
      </c>
      <c r="AJ781" s="4">
        <v>2</v>
      </c>
      <c r="AK781" s="4">
        <v>3</v>
      </c>
      <c r="AL781" s="4">
        <v>2</v>
      </c>
      <c r="AM781" s="4">
        <v>1</v>
      </c>
      <c r="AN781" s="4">
        <v>0</v>
      </c>
      <c r="AO781" s="4">
        <v>1</v>
      </c>
      <c r="AP781" s="4"/>
      <c r="AQ781" s="4">
        <v>0</v>
      </c>
      <c r="AR781" s="4">
        <v>1</v>
      </c>
      <c r="AS781" s="4">
        <f t="shared" si="25"/>
        <v>13</v>
      </c>
      <c r="AT781" s="9" t="s">
        <v>1059</v>
      </c>
    </row>
    <row r="782" spans="1:46" x14ac:dyDescent="0.2">
      <c r="A782" s="12">
        <v>6632</v>
      </c>
      <c r="B782" s="4" t="s">
        <v>22</v>
      </c>
      <c r="C782" s="10" t="s">
        <v>1395</v>
      </c>
      <c r="D782" s="10" t="s">
        <v>1396</v>
      </c>
      <c r="E782" s="10" t="s">
        <v>1346</v>
      </c>
      <c r="F782" s="10" t="s">
        <v>574</v>
      </c>
      <c r="G782" s="13">
        <v>46350</v>
      </c>
      <c r="H782" s="13">
        <v>46350</v>
      </c>
      <c r="I782" s="9">
        <f t="shared" si="24"/>
        <v>1</v>
      </c>
      <c r="J782" s="5" t="s">
        <v>1651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4">
        <v>3</v>
      </c>
      <c r="AH782" s="4">
        <v>1</v>
      </c>
      <c r="AI782" s="4">
        <v>1</v>
      </c>
      <c r="AJ782" s="4">
        <v>2</v>
      </c>
      <c r="AK782" s="4">
        <v>4</v>
      </c>
      <c r="AL782" s="4">
        <v>2</v>
      </c>
      <c r="AM782" s="4">
        <v>1</v>
      </c>
      <c r="AN782" s="4">
        <v>0</v>
      </c>
      <c r="AO782" s="4">
        <v>1</v>
      </c>
      <c r="AP782" s="8"/>
      <c r="AQ782" s="4">
        <v>0</v>
      </c>
      <c r="AR782" s="4">
        <v>1</v>
      </c>
      <c r="AS782" s="4">
        <f t="shared" si="25"/>
        <v>15</v>
      </c>
      <c r="AT782" s="9" t="s">
        <v>1380</v>
      </c>
    </row>
    <row r="783" spans="1:46" x14ac:dyDescent="0.2">
      <c r="A783" s="4">
        <v>6634</v>
      </c>
      <c r="B783" s="4" t="s">
        <v>22</v>
      </c>
      <c r="C783" s="5" t="s">
        <v>1399</v>
      </c>
      <c r="D783" s="5" t="s">
        <v>1400</v>
      </c>
      <c r="E783" s="5" t="s">
        <v>1346</v>
      </c>
      <c r="F783" s="5" t="s">
        <v>574</v>
      </c>
      <c r="G783" s="13">
        <v>46350</v>
      </c>
      <c r="H783" s="13">
        <v>46350</v>
      </c>
      <c r="I783" s="9">
        <f t="shared" si="24"/>
        <v>1</v>
      </c>
      <c r="J783" s="5" t="s">
        <v>1651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4">
        <v>2</v>
      </c>
      <c r="AH783" s="4">
        <v>1</v>
      </c>
      <c r="AI783" s="4">
        <v>1</v>
      </c>
      <c r="AJ783" s="4">
        <v>2</v>
      </c>
      <c r="AK783" s="4">
        <v>3</v>
      </c>
      <c r="AL783" s="4">
        <v>2</v>
      </c>
      <c r="AM783" s="4">
        <v>1</v>
      </c>
      <c r="AN783" s="4">
        <v>0</v>
      </c>
      <c r="AO783" s="4">
        <v>1</v>
      </c>
      <c r="AP783" s="4"/>
      <c r="AQ783" s="4">
        <v>0</v>
      </c>
      <c r="AR783" s="4">
        <v>1</v>
      </c>
      <c r="AS783" s="4">
        <f t="shared" si="25"/>
        <v>13</v>
      </c>
      <c r="AT783" s="9" t="s">
        <v>1354</v>
      </c>
    </row>
    <row r="784" spans="1:46" x14ac:dyDescent="0.2">
      <c r="A784" s="4">
        <v>6647</v>
      </c>
      <c r="B784" s="4" t="s">
        <v>22</v>
      </c>
      <c r="C784" s="5" t="s">
        <v>1417</v>
      </c>
      <c r="D784" s="5" t="s">
        <v>1418</v>
      </c>
      <c r="E784" s="5" t="s">
        <v>1346</v>
      </c>
      <c r="F784" s="5" t="s">
        <v>574</v>
      </c>
      <c r="G784" s="13">
        <v>46350</v>
      </c>
      <c r="H784" s="13">
        <v>46350</v>
      </c>
      <c r="I784" s="9">
        <f t="shared" si="24"/>
        <v>1</v>
      </c>
      <c r="J784" s="5" t="s">
        <v>1651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4">
        <v>3</v>
      </c>
      <c r="AH784" s="4">
        <v>2</v>
      </c>
      <c r="AI784" s="4">
        <v>1</v>
      </c>
      <c r="AJ784" s="4">
        <v>2</v>
      </c>
      <c r="AK784" s="4">
        <v>4</v>
      </c>
      <c r="AL784" s="4">
        <v>2</v>
      </c>
      <c r="AM784" s="4">
        <v>1</v>
      </c>
      <c r="AN784" s="4">
        <v>0</v>
      </c>
      <c r="AO784" s="4">
        <v>1</v>
      </c>
      <c r="AP784" s="4"/>
      <c r="AQ784" s="4">
        <v>0</v>
      </c>
      <c r="AR784" s="4">
        <v>1</v>
      </c>
      <c r="AS784" s="4">
        <f t="shared" si="25"/>
        <v>16</v>
      </c>
      <c r="AT784" s="9" t="s">
        <v>1354</v>
      </c>
    </row>
    <row r="785" spans="1:46" x14ac:dyDescent="0.2">
      <c r="A785" s="4">
        <v>6950</v>
      </c>
      <c r="B785" s="4" t="s">
        <v>22</v>
      </c>
      <c r="C785" s="5" t="s">
        <v>1476</v>
      </c>
      <c r="D785" s="5" t="s">
        <v>1477</v>
      </c>
      <c r="E785" s="5" t="s">
        <v>1175</v>
      </c>
      <c r="F785" s="5" t="s">
        <v>500</v>
      </c>
      <c r="G785" s="13">
        <v>46350</v>
      </c>
      <c r="H785" s="13">
        <v>46351</v>
      </c>
      <c r="I785" s="9">
        <f t="shared" si="24"/>
        <v>2</v>
      </c>
      <c r="J785" s="5" t="s">
        <v>1651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4">
        <v>5</v>
      </c>
      <c r="AH785" s="4">
        <v>3</v>
      </c>
      <c r="AI785" s="4">
        <v>1</v>
      </c>
      <c r="AJ785" s="4">
        <v>3</v>
      </c>
      <c r="AK785" s="4">
        <v>8</v>
      </c>
      <c r="AL785" s="4">
        <v>4</v>
      </c>
      <c r="AM785" s="4">
        <v>2</v>
      </c>
      <c r="AN785" s="4">
        <v>0</v>
      </c>
      <c r="AO785" s="4">
        <v>1</v>
      </c>
      <c r="AP785" s="4"/>
      <c r="AQ785" s="4">
        <v>0</v>
      </c>
      <c r="AR785" s="4">
        <v>1</v>
      </c>
      <c r="AS785" s="4">
        <f t="shared" si="25"/>
        <v>27</v>
      </c>
      <c r="AT785" s="9" t="s">
        <v>1170</v>
      </c>
    </row>
    <row r="786" spans="1:46" x14ac:dyDescent="0.2">
      <c r="A786" s="4">
        <v>5412</v>
      </c>
      <c r="B786" s="4" t="s">
        <v>22</v>
      </c>
      <c r="C786" s="5" t="s">
        <v>1173</v>
      </c>
      <c r="D786" s="5" t="s">
        <v>1174</v>
      </c>
      <c r="E786" s="5" t="s">
        <v>1175</v>
      </c>
      <c r="F786" s="5" t="s">
        <v>500</v>
      </c>
      <c r="G786" s="13">
        <v>46365</v>
      </c>
      <c r="H786" s="13">
        <v>46366</v>
      </c>
      <c r="I786" s="9">
        <f t="shared" si="24"/>
        <v>2</v>
      </c>
      <c r="J786" s="5" t="s">
        <v>1651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4">
        <v>4</v>
      </c>
      <c r="AH786" s="4">
        <v>2</v>
      </c>
      <c r="AI786" s="4">
        <v>1</v>
      </c>
      <c r="AJ786" s="4">
        <v>2</v>
      </c>
      <c r="AK786" s="4">
        <v>6</v>
      </c>
      <c r="AL786" s="4">
        <v>3</v>
      </c>
      <c r="AM786" s="4">
        <v>1</v>
      </c>
      <c r="AN786" s="4">
        <v>0</v>
      </c>
      <c r="AO786" s="4">
        <v>1</v>
      </c>
      <c r="AP786" s="4"/>
      <c r="AQ786" s="4">
        <v>0</v>
      </c>
      <c r="AR786" s="4">
        <v>1</v>
      </c>
      <c r="AS786" s="4">
        <f t="shared" si="25"/>
        <v>20</v>
      </c>
      <c r="AT786" s="9" t="s">
        <v>1170</v>
      </c>
    </row>
    <row r="787" spans="1:46" x14ac:dyDescent="0.2">
      <c r="A787" s="4">
        <v>1803</v>
      </c>
      <c r="B787" s="4" t="s">
        <v>22</v>
      </c>
      <c r="C787" s="5" t="s">
        <v>502</v>
      </c>
      <c r="D787" s="5" t="s">
        <v>503</v>
      </c>
      <c r="E787" s="5" t="s">
        <v>215</v>
      </c>
      <c r="F787" s="5" t="s">
        <v>500</v>
      </c>
      <c r="G787" s="6" t="s">
        <v>504</v>
      </c>
      <c r="H787" s="6" t="s">
        <v>504</v>
      </c>
      <c r="I787" s="9" t="e">
        <f t="shared" si="24"/>
        <v>#VALUE!</v>
      </c>
      <c r="J787" s="5" t="s">
        <v>1662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4">
        <v>14</v>
      </c>
      <c r="AH787" s="4">
        <v>10</v>
      </c>
      <c r="AI787" s="4">
        <v>1</v>
      </c>
      <c r="AJ787" s="4">
        <v>5</v>
      </c>
      <c r="AK787" s="4">
        <v>24</v>
      </c>
      <c r="AL787" s="4">
        <v>11</v>
      </c>
      <c r="AM787" s="4">
        <v>4</v>
      </c>
      <c r="AN787" s="4">
        <v>0</v>
      </c>
      <c r="AO787" s="4">
        <v>5</v>
      </c>
      <c r="AP787" s="4"/>
      <c r="AQ787" s="4">
        <v>0</v>
      </c>
      <c r="AR787" s="4">
        <v>1</v>
      </c>
      <c r="AS787" s="4">
        <f t="shared" si="25"/>
        <v>74</v>
      </c>
      <c r="AT787" s="9" t="str">
        <f>UPPER("Diego Alejandro Hernández Orozco")</f>
        <v>DIEGO ALEJANDRO HERNÁNDEZ OROZCO</v>
      </c>
    </row>
    <row r="788" spans="1:46" x14ac:dyDescent="0.2">
      <c r="A788" s="4">
        <v>1820</v>
      </c>
      <c r="B788" s="4" t="s">
        <v>22</v>
      </c>
      <c r="C788" s="5" t="s">
        <v>507</v>
      </c>
      <c r="D788" s="5" t="s">
        <v>508</v>
      </c>
      <c r="E788" s="5" t="s">
        <v>215</v>
      </c>
      <c r="F788" s="5" t="s">
        <v>500</v>
      </c>
      <c r="G788" s="6" t="s">
        <v>504</v>
      </c>
      <c r="H788" s="6" t="s">
        <v>504</v>
      </c>
      <c r="I788" s="9" t="e">
        <f t="shared" si="24"/>
        <v>#VALUE!</v>
      </c>
      <c r="J788" s="5" t="s">
        <v>1662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4">
        <v>3</v>
      </c>
      <c r="AH788" s="4">
        <v>1</v>
      </c>
      <c r="AI788" s="4">
        <v>1</v>
      </c>
      <c r="AJ788" s="4">
        <v>2</v>
      </c>
      <c r="AK788" s="4">
        <v>4</v>
      </c>
      <c r="AL788" s="4">
        <v>2</v>
      </c>
      <c r="AM788" s="4">
        <v>1</v>
      </c>
      <c r="AN788" s="4">
        <v>0</v>
      </c>
      <c r="AO788" s="4">
        <v>1</v>
      </c>
      <c r="AP788" s="7"/>
      <c r="AQ788" s="4">
        <v>0</v>
      </c>
      <c r="AR788" s="4">
        <v>1</v>
      </c>
      <c r="AS788" s="4">
        <f t="shared" si="25"/>
        <v>15</v>
      </c>
      <c r="AT788" s="9" t="s">
        <v>501</v>
      </c>
    </row>
    <row r="789" spans="1:46" x14ac:dyDescent="0.2">
      <c r="A789" s="4">
        <v>1850</v>
      </c>
      <c r="B789" s="4" t="s">
        <v>22</v>
      </c>
      <c r="C789" s="9" t="s">
        <v>528</v>
      </c>
      <c r="D789" s="9" t="s">
        <v>529</v>
      </c>
      <c r="E789" s="9" t="s">
        <v>215</v>
      </c>
      <c r="F789" s="5" t="s">
        <v>500</v>
      </c>
      <c r="G789" s="6" t="s">
        <v>504</v>
      </c>
      <c r="H789" s="6" t="s">
        <v>504</v>
      </c>
      <c r="I789" s="9" t="e">
        <f t="shared" si="24"/>
        <v>#VALUE!</v>
      </c>
      <c r="J789" s="5" t="s">
        <v>1662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4">
        <v>3</v>
      </c>
      <c r="AH789" s="4">
        <v>1</v>
      </c>
      <c r="AI789" s="4">
        <v>1</v>
      </c>
      <c r="AJ789" s="4">
        <v>2</v>
      </c>
      <c r="AK789" s="4">
        <v>4</v>
      </c>
      <c r="AL789" s="4">
        <v>3</v>
      </c>
      <c r="AM789" s="4">
        <v>1</v>
      </c>
      <c r="AN789" s="4">
        <v>0</v>
      </c>
      <c r="AO789" s="4">
        <v>1</v>
      </c>
      <c r="AP789" s="4"/>
      <c r="AQ789" s="4">
        <v>0</v>
      </c>
      <c r="AR789" s="4">
        <v>1</v>
      </c>
      <c r="AS789" s="4">
        <f t="shared" si="25"/>
        <v>16</v>
      </c>
      <c r="AT789" s="9" t="s">
        <v>501</v>
      </c>
    </row>
    <row r="790" spans="1:46" x14ac:dyDescent="0.2">
      <c r="A790" s="4">
        <v>3303</v>
      </c>
      <c r="B790" s="4" t="s">
        <v>22</v>
      </c>
      <c r="C790" s="5" t="s">
        <v>843</v>
      </c>
      <c r="D790" s="5" t="s">
        <v>844</v>
      </c>
      <c r="E790" s="5" t="s">
        <v>842</v>
      </c>
      <c r="F790" s="5" t="s">
        <v>119</v>
      </c>
      <c r="G790" s="6" t="s">
        <v>504</v>
      </c>
      <c r="H790" s="6" t="s">
        <v>504</v>
      </c>
      <c r="I790" s="9" t="e">
        <f t="shared" si="24"/>
        <v>#VALUE!</v>
      </c>
      <c r="J790" s="5" t="s">
        <v>1662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4">
        <v>9</v>
      </c>
      <c r="AH790" s="4">
        <v>5</v>
      </c>
      <c r="AI790" s="4">
        <v>1</v>
      </c>
      <c r="AJ790" s="4">
        <v>4</v>
      </c>
      <c r="AK790" s="4">
        <v>19</v>
      </c>
      <c r="AL790" s="4">
        <v>7</v>
      </c>
      <c r="AM790" s="4">
        <v>3</v>
      </c>
      <c r="AN790" s="4">
        <v>0</v>
      </c>
      <c r="AO790" s="4">
        <v>2</v>
      </c>
      <c r="AP790" s="4"/>
      <c r="AQ790" s="4">
        <v>0</v>
      </c>
      <c r="AR790" s="4">
        <v>1</v>
      </c>
      <c r="AS790" s="4">
        <f t="shared" si="25"/>
        <v>50</v>
      </c>
      <c r="AT790" s="9" t="s">
        <v>845</v>
      </c>
    </row>
    <row r="791" spans="1:46" x14ac:dyDescent="0.2">
      <c r="A791" s="4">
        <v>3375</v>
      </c>
      <c r="B791" s="4" t="s">
        <v>22</v>
      </c>
      <c r="C791" s="5" t="s">
        <v>856</v>
      </c>
      <c r="D791" s="5" t="s">
        <v>857</v>
      </c>
      <c r="E791" s="5" t="s">
        <v>842</v>
      </c>
      <c r="F791" s="5" t="s">
        <v>119</v>
      </c>
      <c r="G791" s="6" t="s">
        <v>504</v>
      </c>
      <c r="H791" s="6" t="s">
        <v>504</v>
      </c>
      <c r="I791" s="9" t="e">
        <f t="shared" si="24"/>
        <v>#VALUE!</v>
      </c>
      <c r="J791" s="5" t="s">
        <v>1662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4">
        <v>3</v>
      </c>
      <c r="AH791" s="4">
        <v>1</v>
      </c>
      <c r="AI791" s="4">
        <v>1</v>
      </c>
      <c r="AJ791" s="4">
        <v>2</v>
      </c>
      <c r="AK791" s="4">
        <v>5</v>
      </c>
      <c r="AL791" s="4">
        <v>3</v>
      </c>
      <c r="AM791" s="4">
        <v>1</v>
      </c>
      <c r="AN791" s="4">
        <v>0</v>
      </c>
      <c r="AO791" s="4">
        <v>1</v>
      </c>
      <c r="AP791" s="4"/>
      <c r="AQ791" s="4">
        <v>0</v>
      </c>
      <c r="AR791" s="4">
        <v>1</v>
      </c>
      <c r="AS791" s="4">
        <f t="shared" si="25"/>
        <v>17</v>
      </c>
      <c r="AT791" s="9" t="s">
        <v>845</v>
      </c>
    </row>
    <row r="792" spans="1:46" x14ac:dyDescent="0.2">
      <c r="A792" s="4">
        <v>5401</v>
      </c>
      <c r="B792" s="4" t="s">
        <v>22</v>
      </c>
      <c r="C792" s="5" t="s">
        <v>172</v>
      </c>
      <c r="D792" s="5" t="s">
        <v>173</v>
      </c>
      <c r="E792" s="5" t="s">
        <v>1169</v>
      </c>
      <c r="F792" s="5" t="s">
        <v>500</v>
      </c>
      <c r="G792" s="6" t="s">
        <v>504</v>
      </c>
      <c r="H792" s="6" t="s">
        <v>504</v>
      </c>
      <c r="I792" s="9" t="e">
        <f t="shared" si="24"/>
        <v>#VALUE!</v>
      </c>
      <c r="J792" s="5" t="s">
        <v>1662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4">
        <v>9</v>
      </c>
      <c r="AH792" s="4">
        <v>9</v>
      </c>
      <c r="AI792" s="4">
        <v>1</v>
      </c>
      <c r="AJ792" s="4">
        <v>3</v>
      </c>
      <c r="AK792" s="4">
        <v>13</v>
      </c>
      <c r="AL792" s="4">
        <v>5</v>
      </c>
      <c r="AM792" s="4">
        <v>2</v>
      </c>
      <c r="AN792" s="4">
        <v>0</v>
      </c>
      <c r="AO792" s="4">
        <v>3</v>
      </c>
      <c r="AP792" s="4"/>
      <c r="AQ792" s="4">
        <v>0</v>
      </c>
      <c r="AR792" s="4">
        <v>1</v>
      </c>
      <c r="AS792" s="4">
        <f t="shared" si="25"/>
        <v>45</v>
      </c>
      <c r="AT792" s="9" t="s">
        <v>1170</v>
      </c>
    </row>
    <row r="793" spans="1:46" x14ac:dyDescent="0.2">
      <c r="A793" s="4">
        <v>5410</v>
      </c>
      <c r="B793" s="4" t="s">
        <v>22</v>
      </c>
      <c r="C793" s="5" t="s">
        <v>1171</v>
      </c>
      <c r="D793" s="5" t="s">
        <v>1172</v>
      </c>
      <c r="E793" s="5" t="s">
        <v>1169</v>
      </c>
      <c r="F793" s="5" t="s">
        <v>500</v>
      </c>
      <c r="G793" s="6" t="s">
        <v>504</v>
      </c>
      <c r="H793" s="6" t="s">
        <v>504</v>
      </c>
      <c r="I793" s="9" t="e">
        <f t="shared" si="24"/>
        <v>#VALUE!</v>
      </c>
      <c r="J793" s="5" t="s">
        <v>1662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4">
        <v>5</v>
      </c>
      <c r="AH793" s="4">
        <v>3</v>
      </c>
      <c r="AI793" s="4">
        <v>1</v>
      </c>
      <c r="AJ793" s="4">
        <v>3</v>
      </c>
      <c r="AK793" s="4">
        <v>8</v>
      </c>
      <c r="AL793" s="4">
        <v>4</v>
      </c>
      <c r="AM793" s="4">
        <v>2</v>
      </c>
      <c r="AN793" s="4">
        <v>0</v>
      </c>
      <c r="AO793" s="4">
        <v>1</v>
      </c>
      <c r="AP793" s="4"/>
      <c r="AQ793" s="4">
        <v>1</v>
      </c>
      <c r="AR793" s="4">
        <v>1</v>
      </c>
      <c r="AS793" s="4">
        <f t="shared" si="25"/>
        <v>28</v>
      </c>
      <c r="AT793" s="9" t="s">
        <v>1170</v>
      </c>
    </row>
    <row r="794" spans="1:46" x14ac:dyDescent="0.2">
      <c r="A794" s="4">
        <v>5414</v>
      </c>
      <c r="B794" s="4" t="s">
        <v>22</v>
      </c>
      <c r="C794" s="5" t="s">
        <v>226</v>
      </c>
      <c r="D794" s="5" t="s">
        <v>227</v>
      </c>
      <c r="E794" s="5" t="s">
        <v>1175</v>
      </c>
      <c r="F794" s="5" t="s">
        <v>500</v>
      </c>
      <c r="G794" s="6" t="s">
        <v>504</v>
      </c>
      <c r="H794" s="6" t="s">
        <v>504</v>
      </c>
      <c r="I794" s="9" t="e">
        <f t="shared" si="24"/>
        <v>#VALUE!</v>
      </c>
      <c r="J794" s="5" t="s">
        <v>1662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4">
        <v>3</v>
      </c>
      <c r="AH794" s="4">
        <v>4</v>
      </c>
      <c r="AI794" s="4">
        <v>1</v>
      </c>
      <c r="AJ794" s="4">
        <v>2</v>
      </c>
      <c r="AK794" s="4">
        <v>8</v>
      </c>
      <c r="AL794" s="4">
        <v>2</v>
      </c>
      <c r="AM794" s="4">
        <v>1</v>
      </c>
      <c r="AN794" s="4">
        <v>0</v>
      </c>
      <c r="AO794" s="4">
        <v>1</v>
      </c>
      <c r="AP794" s="4"/>
      <c r="AQ794" s="4">
        <v>0</v>
      </c>
      <c r="AR794" s="4">
        <v>1</v>
      </c>
      <c r="AS794" s="4">
        <f t="shared" si="25"/>
        <v>22</v>
      </c>
      <c r="AT794" s="9" t="s">
        <v>1170</v>
      </c>
    </row>
    <row r="795" spans="1:46" x14ac:dyDescent="0.2">
      <c r="A795" s="4">
        <v>5420</v>
      </c>
      <c r="B795" s="4" t="s">
        <v>22</v>
      </c>
      <c r="C795" s="5" t="s">
        <v>1180</v>
      </c>
      <c r="D795" s="5" t="s">
        <v>1181</v>
      </c>
      <c r="E795" s="5" t="s">
        <v>1169</v>
      </c>
      <c r="F795" s="5" t="s">
        <v>500</v>
      </c>
      <c r="G795" s="6" t="s">
        <v>504</v>
      </c>
      <c r="H795" s="6" t="s">
        <v>504</v>
      </c>
      <c r="I795" s="9" t="e">
        <f t="shared" si="24"/>
        <v>#VALUE!</v>
      </c>
      <c r="J795" s="5" t="s">
        <v>1662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4">
        <v>4</v>
      </c>
      <c r="AH795" s="4">
        <v>2</v>
      </c>
      <c r="AI795" s="4">
        <v>1</v>
      </c>
      <c r="AJ795" s="4">
        <v>2</v>
      </c>
      <c r="AK795" s="4">
        <v>6</v>
      </c>
      <c r="AL795" s="4">
        <v>2</v>
      </c>
      <c r="AM795" s="4">
        <v>1</v>
      </c>
      <c r="AN795" s="4">
        <v>0</v>
      </c>
      <c r="AO795" s="4">
        <v>1</v>
      </c>
      <c r="AP795" s="4"/>
      <c r="AQ795" s="4">
        <v>0</v>
      </c>
      <c r="AR795" s="4">
        <v>1</v>
      </c>
      <c r="AS795" s="4">
        <f t="shared" si="25"/>
        <v>19</v>
      </c>
      <c r="AT795" s="9" t="s">
        <v>1170</v>
      </c>
    </row>
    <row r="796" spans="1:46" x14ac:dyDescent="0.2">
      <c r="A796" s="4">
        <v>5425</v>
      </c>
      <c r="B796" s="4" t="s">
        <v>22</v>
      </c>
      <c r="C796" s="5" t="s">
        <v>1182</v>
      </c>
      <c r="D796" s="5" t="s">
        <v>1183</v>
      </c>
      <c r="E796" s="5" t="s">
        <v>1169</v>
      </c>
      <c r="F796" s="5" t="s">
        <v>500</v>
      </c>
      <c r="G796" s="6" t="s">
        <v>504</v>
      </c>
      <c r="H796" s="6" t="s">
        <v>504</v>
      </c>
      <c r="I796" s="9" t="e">
        <f t="shared" si="24"/>
        <v>#VALUE!</v>
      </c>
      <c r="J796" s="5" t="s">
        <v>1662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4">
        <v>3</v>
      </c>
      <c r="AH796" s="4">
        <v>3</v>
      </c>
      <c r="AI796" s="4">
        <v>1</v>
      </c>
      <c r="AJ796" s="4">
        <v>2</v>
      </c>
      <c r="AK796" s="4">
        <v>6</v>
      </c>
      <c r="AL796" s="4">
        <v>2</v>
      </c>
      <c r="AM796" s="4">
        <v>1</v>
      </c>
      <c r="AN796" s="4">
        <v>0</v>
      </c>
      <c r="AO796" s="4">
        <v>1</v>
      </c>
      <c r="AP796" s="4"/>
      <c r="AQ796" s="4">
        <v>0</v>
      </c>
      <c r="AR796" s="4">
        <v>1</v>
      </c>
      <c r="AS796" s="4">
        <f t="shared" si="25"/>
        <v>19</v>
      </c>
      <c r="AT796" s="9" t="s">
        <v>1170</v>
      </c>
    </row>
    <row r="797" spans="1:46" x14ac:dyDescent="0.2">
      <c r="A797" s="4">
        <v>5440</v>
      </c>
      <c r="B797" s="4" t="s">
        <v>22</v>
      </c>
      <c r="C797" s="5" t="s">
        <v>1033</v>
      </c>
      <c r="D797" s="5" t="s">
        <v>661</v>
      </c>
      <c r="E797" s="5" t="s">
        <v>1169</v>
      </c>
      <c r="F797" s="5" t="s">
        <v>500</v>
      </c>
      <c r="G797" s="6" t="s">
        <v>504</v>
      </c>
      <c r="H797" s="6" t="s">
        <v>504</v>
      </c>
      <c r="I797" s="9" t="e">
        <f t="shared" si="24"/>
        <v>#VALUE!</v>
      </c>
      <c r="J797" s="5" t="s">
        <v>1662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4">
        <v>2</v>
      </c>
      <c r="AH797" s="4">
        <v>1</v>
      </c>
      <c r="AI797" s="4">
        <v>1</v>
      </c>
      <c r="AJ797" s="4">
        <v>2</v>
      </c>
      <c r="AK797" s="4">
        <v>3</v>
      </c>
      <c r="AL797" s="4">
        <v>2</v>
      </c>
      <c r="AM797" s="4">
        <v>1</v>
      </c>
      <c r="AN797" s="4">
        <v>0</v>
      </c>
      <c r="AO797" s="4">
        <v>1</v>
      </c>
      <c r="AP797" s="4"/>
      <c r="AQ797" s="4">
        <v>0</v>
      </c>
      <c r="AR797" s="4">
        <v>1</v>
      </c>
      <c r="AS797" s="4">
        <f t="shared" si="25"/>
        <v>13</v>
      </c>
      <c r="AT797" s="9" t="s">
        <v>1170</v>
      </c>
    </row>
    <row r="798" spans="1:46" x14ac:dyDescent="0.2">
      <c r="A798" s="4">
        <v>5703</v>
      </c>
      <c r="B798" s="4" t="s">
        <v>22</v>
      </c>
      <c r="C798" s="5" t="s">
        <v>1191</v>
      </c>
      <c r="D798" s="5" t="s">
        <v>1192</v>
      </c>
      <c r="E798" s="5" t="s">
        <v>538</v>
      </c>
      <c r="F798" s="5" t="s">
        <v>500</v>
      </c>
      <c r="G798" s="6" t="s">
        <v>504</v>
      </c>
      <c r="H798" s="6" t="s">
        <v>504</v>
      </c>
      <c r="I798" s="9" t="e">
        <f t="shared" si="24"/>
        <v>#VALUE!</v>
      </c>
      <c r="J798" s="5" t="s">
        <v>1662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4">
        <v>10</v>
      </c>
      <c r="AH798" s="4">
        <v>9</v>
      </c>
      <c r="AI798" s="4">
        <v>1</v>
      </c>
      <c r="AJ798" s="4">
        <v>5</v>
      </c>
      <c r="AK798" s="4">
        <v>18</v>
      </c>
      <c r="AL798" s="4">
        <v>7</v>
      </c>
      <c r="AM798" s="4">
        <v>4</v>
      </c>
      <c r="AN798" s="4">
        <v>0</v>
      </c>
      <c r="AO798" s="4">
        <v>3</v>
      </c>
      <c r="AP798" s="4"/>
      <c r="AQ798" s="4">
        <v>1</v>
      </c>
      <c r="AR798" s="4">
        <v>1</v>
      </c>
      <c r="AS798" s="4">
        <f t="shared" si="25"/>
        <v>58</v>
      </c>
      <c r="AT798" s="9" t="s">
        <v>1193</v>
      </c>
    </row>
    <row r="799" spans="1:46" x14ac:dyDescent="0.2">
      <c r="A799" s="4">
        <v>5712</v>
      </c>
      <c r="B799" s="4" t="s">
        <v>22</v>
      </c>
      <c r="C799" s="5" t="s">
        <v>1195</v>
      </c>
      <c r="D799" s="5" t="s">
        <v>1196</v>
      </c>
      <c r="E799" s="5" t="s">
        <v>538</v>
      </c>
      <c r="F799" s="5" t="s">
        <v>500</v>
      </c>
      <c r="G799" s="6" t="s">
        <v>504</v>
      </c>
      <c r="H799" s="6" t="s">
        <v>504</v>
      </c>
      <c r="I799" s="9" t="e">
        <f t="shared" si="24"/>
        <v>#VALUE!</v>
      </c>
      <c r="J799" s="5" t="s">
        <v>1662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4">
        <v>3</v>
      </c>
      <c r="AH799" s="4">
        <v>5</v>
      </c>
      <c r="AI799" s="4">
        <v>1</v>
      </c>
      <c r="AJ799" s="4">
        <v>2</v>
      </c>
      <c r="AK799" s="4">
        <v>8</v>
      </c>
      <c r="AL799" s="4">
        <v>3</v>
      </c>
      <c r="AM799" s="4">
        <v>1</v>
      </c>
      <c r="AN799" s="4">
        <v>0</v>
      </c>
      <c r="AO799" s="4">
        <v>1</v>
      </c>
      <c r="AP799" s="4"/>
      <c r="AQ799" s="4">
        <v>0</v>
      </c>
      <c r="AR799" s="4">
        <v>1</v>
      </c>
      <c r="AS799" s="4">
        <f t="shared" si="25"/>
        <v>24</v>
      </c>
      <c r="AT799" s="9" t="s">
        <v>1193</v>
      </c>
    </row>
    <row r="800" spans="1:46" x14ac:dyDescent="0.2">
      <c r="A800" s="4">
        <v>5715</v>
      </c>
      <c r="B800" s="4" t="s">
        <v>22</v>
      </c>
      <c r="C800" s="5" t="s">
        <v>1197</v>
      </c>
      <c r="D800" s="5" t="s">
        <v>1198</v>
      </c>
      <c r="E800" s="5" t="s">
        <v>538</v>
      </c>
      <c r="F800" s="5" t="s">
        <v>500</v>
      </c>
      <c r="G800" s="6" t="s">
        <v>504</v>
      </c>
      <c r="H800" s="6" t="s">
        <v>504</v>
      </c>
      <c r="I800" s="9" t="e">
        <f t="shared" si="24"/>
        <v>#VALUE!</v>
      </c>
      <c r="J800" s="5" t="s">
        <v>1662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4">
        <v>4</v>
      </c>
      <c r="AH800" s="4">
        <v>2</v>
      </c>
      <c r="AI800" s="4">
        <v>1</v>
      </c>
      <c r="AJ800" s="4">
        <v>2</v>
      </c>
      <c r="AK800" s="4">
        <v>6</v>
      </c>
      <c r="AL800" s="4">
        <v>4</v>
      </c>
      <c r="AM800" s="4">
        <v>1</v>
      </c>
      <c r="AN800" s="4">
        <v>0</v>
      </c>
      <c r="AO800" s="4">
        <v>1</v>
      </c>
      <c r="AP800" s="4"/>
      <c r="AQ800" s="4">
        <v>0</v>
      </c>
      <c r="AR800" s="4">
        <v>1</v>
      </c>
      <c r="AS800" s="4">
        <f t="shared" si="25"/>
        <v>21</v>
      </c>
      <c r="AT800" s="9" t="s">
        <v>1193</v>
      </c>
    </row>
    <row r="801" spans="1:46" x14ac:dyDescent="0.2">
      <c r="A801" s="4">
        <v>5732</v>
      </c>
      <c r="B801" s="4" t="s">
        <v>22</v>
      </c>
      <c r="C801" s="5" t="s">
        <v>1199</v>
      </c>
      <c r="D801" s="5" t="s">
        <v>1200</v>
      </c>
      <c r="E801" s="5" t="s">
        <v>538</v>
      </c>
      <c r="F801" s="5" t="s">
        <v>500</v>
      </c>
      <c r="G801" s="6" t="s">
        <v>504</v>
      </c>
      <c r="H801" s="6" t="s">
        <v>504</v>
      </c>
      <c r="I801" s="9" t="e">
        <f t="shared" si="24"/>
        <v>#VALUE!</v>
      </c>
      <c r="J801" s="5" t="s">
        <v>1662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4">
        <v>3</v>
      </c>
      <c r="AH801" s="4">
        <v>1</v>
      </c>
      <c r="AI801" s="4">
        <v>1</v>
      </c>
      <c r="AJ801" s="4">
        <v>2</v>
      </c>
      <c r="AK801" s="4">
        <v>4</v>
      </c>
      <c r="AL801" s="4">
        <v>3</v>
      </c>
      <c r="AM801" s="4">
        <v>1</v>
      </c>
      <c r="AN801" s="4">
        <v>0</v>
      </c>
      <c r="AO801" s="4">
        <v>1</v>
      </c>
      <c r="AP801" s="7"/>
      <c r="AQ801" s="4">
        <v>0</v>
      </c>
      <c r="AR801" s="4">
        <v>1</v>
      </c>
      <c r="AS801" s="4">
        <f t="shared" si="25"/>
        <v>16</v>
      </c>
      <c r="AT801" s="9" t="s">
        <v>1193</v>
      </c>
    </row>
    <row r="802" spans="1:46" x14ac:dyDescent="0.2">
      <c r="A802" s="4">
        <v>5755</v>
      </c>
      <c r="B802" s="4" t="s">
        <v>22</v>
      </c>
      <c r="C802" s="5" t="s">
        <v>1207</v>
      </c>
      <c r="D802" s="5" t="s">
        <v>1208</v>
      </c>
      <c r="E802" s="5" t="s">
        <v>538</v>
      </c>
      <c r="F802" s="5" t="s">
        <v>500</v>
      </c>
      <c r="G802" s="6" t="s">
        <v>504</v>
      </c>
      <c r="H802" s="6" t="s">
        <v>504</v>
      </c>
      <c r="I802" s="9" t="e">
        <f t="shared" si="24"/>
        <v>#VALUE!</v>
      </c>
      <c r="J802" s="5" t="s">
        <v>1662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4">
        <v>3</v>
      </c>
      <c r="AH802" s="4">
        <v>1</v>
      </c>
      <c r="AI802" s="4">
        <v>1</v>
      </c>
      <c r="AJ802" s="4">
        <v>2</v>
      </c>
      <c r="AK802" s="4">
        <v>4</v>
      </c>
      <c r="AL802" s="4">
        <v>2</v>
      </c>
      <c r="AM802" s="4">
        <v>1</v>
      </c>
      <c r="AN802" s="4">
        <v>0</v>
      </c>
      <c r="AO802" s="4">
        <v>1</v>
      </c>
      <c r="AP802" s="4"/>
      <c r="AQ802" s="4">
        <v>0</v>
      </c>
      <c r="AR802" s="4">
        <v>1</v>
      </c>
      <c r="AS802" s="4">
        <f t="shared" si="25"/>
        <v>15</v>
      </c>
      <c r="AT802" s="9" t="s">
        <v>1193</v>
      </c>
    </row>
    <row r="803" spans="1:46" x14ac:dyDescent="0.2">
      <c r="A803" s="4">
        <v>6924</v>
      </c>
      <c r="B803" s="4" t="s">
        <v>22</v>
      </c>
      <c r="C803" s="5" t="s">
        <v>164</v>
      </c>
      <c r="D803" s="5" t="s">
        <v>67</v>
      </c>
      <c r="E803" s="5" t="s">
        <v>1175</v>
      </c>
      <c r="F803" s="5" t="s">
        <v>500</v>
      </c>
      <c r="G803" s="6" t="s">
        <v>504</v>
      </c>
      <c r="H803" s="6" t="s">
        <v>504</v>
      </c>
      <c r="I803" s="9" t="e">
        <f t="shared" si="24"/>
        <v>#VALUE!</v>
      </c>
      <c r="J803" s="5" t="s">
        <v>1662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4">
        <v>3</v>
      </c>
      <c r="AH803" s="4">
        <v>2</v>
      </c>
      <c r="AI803" s="4">
        <v>1</v>
      </c>
      <c r="AJ803" s="4">
        <v>2</v>
      </c>
      <c r="AK803" s="4">
        <v>5</v>
      </c>
      <c r="AL803" s="4">
        <v>3</v>
      </c>
      <c r="AM803" s="4">
        <v>1</v>
      </c>
      <c r="AN803" s="4">
        <v>0</v>
      </c>
      <c r="AO803" s="4">
        <v>1</v>
      </c>
      <c r="AP803" s="4"/>
      <c r="AQ803" s="4">
        <v>0</v>
      </c>
      <c r="AR803" s="4">
        <v>1</v>
      </c>
      <c r="AS803" s="4">
        <f t="shared" si="25"/>
        <v>18</v>
      </c>
      <c r="AT803" s="9" t="s">
        <v>1170</v>
      </c>
    </row>
    <row r="804" spans="1:46" x14ac:dyDescent="0.2">
      <c r="A804" s="4">
        <v>6926</v>
      </c>
      <c r="B804" s="4" t="s">
        <v>22</v>
      </c>
      <c r="C804" s="5" t="s">
        <v>1461</v>
      </c>
      <c r="D804" s="5" t="s">
        <v>1462</v>
      </c>
      <c r="E804" s="5" t="s">
        <v>1175</v>
      </c>
      <c r="F804" s="5" t="s">
        <v>500</v>
      </c>
      <c r="G804" s="6" t="s">
        <v>504</v>
      </c>
      <c r="H804" s="6" t="s">
        <v>504</v>
      </c>
      <c r="I804" s="9" t="e">
        <f t="shared" si="24"/>
        <v>#VALUE!</v>
      </c>
      <c r="J804" s="5" t="s">
        <v>1662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4">
        <v>2</v>
      </c>
      <c r="AH804" s="4">
        <v>1</v>
      </c>
      <c r="AI804" s="4">
        <v>1</v>
      </c>
      <c r="AJ804" s="4">
        <v>2</v>
      </c>
      <c r="AK804" s="4">
        <v>3</v>
      </c>
      <c r="AL804" s="4">
        <v>2</v>
      </c>
      <c r="AM804" s="4">
        <v>1</v>
      </c>
      <c r="AN804" s="4">
        <v>0</v>
      </c>
      <c r="AO804" s="4">
        <v>1</v>
      </c>
      <c r="AP804" s="4"/>
      <c r="AQ804" s="4">
        <v>0</v>
      </c>
      <c r="AR804" s="4">
        <v>1</v>
      </c>
      <c r="AS804" s="4">
        <f t="shared" si="25"/>
        <v>13</v>
      </c>
      <c r="AT804" s="9" t="s">
        <v>1170</v>
      </c>
    </row>
    <row r="805" spans="1:46" x14ac:dyDescent="0.2">
      <c r="A805" s="4">
        <v>6932</v>
      </c>
      <c r="B805" s="4" t="s">
        <v>22</v>
      </c>
      <c r="C805" s="5" t="s">
        <v>1467</v>
      </c>
      <c r="D805" s="5" t="s">
        <v>67</v>
      </c>
      <c r="E805" s="5" t="s">
        <v>1175</v>
      </c>
      <c r="F805" s="5" t="s">
        <v>500</v>
      </c>
      <c r="G805" s="6" t="s">
        <v>504</v>
      </c>
      <c r="H805" s="6" t="s">
        <v>504</v>
      </c>
      <c r="I805" s="9" t="e">
        <f t="shared" si="24"/>
        <v>#VALUE!</v>
      </c>
      <c r="J805" s="5" t="s">
        <v>1662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4">
        <v>2</v>
      </c>
      <c r="AH805" s="4">
        <v>1</v>
      </c>
      <c r="AI805" s="4">
        <v>1</v>
      </c>
      <c r="AJ805" s="4">
        <v>2</v>
      </c>
      <c r="AK805" s="4">
        <v>3</v>
      </c>
      <c r="AL805" s="4">
        <v>2</v>
      </c>
      <c r="AM805" s="4">
        <v>1</v>
      </c>
      <c r="AN805" s="4">
        <v>0</v>
      </c>
      <c r="AO805" s="4">
        <v>1</v>
      </c>
      <c r="AP805" s="4"/>
      <c r="AQ805" s="4">
        <v>0</v>
      </c>
      <c r="AR805" s="4">
        <v>1</v>
      </c>
      <c r="AS805" s="4">
        <f t="shared" si="25"/>
        <v>13</v>
      </c>
      <c r="AT805" s="9" t="s">
        <v>1170</v>
      </c>
    </row>
    <row r="806" spans="1:46" x14ac:dyDescent="0.2">
      <c r="A806" s="4">
        <v>6935</v>
      </c>
      <c r="B806" s="4" t="s">
        <v>22</v>
      </c>
      <c r="C806" s="5" t="s">
        <v>1468</v>
      </c>
      <c r="D806" s="5" t="s">
        <v>1469</v>
      </c>
      <c r="E806" s="5" t="s">
        <v>1175</v>
      </c>
      <c r="F806" s="5" t="s">
        <v>500</v>
      </c>
      <c r="G806" s="6" t="s">
        <v>504</v>
      </c>
      <c r="H806" s="6" t="s">
        <v>504</v>
      </c>
      <c r="I806" s="9" t="e">
        <f t="shared" si="24"/>
        <v>#VALUE!</v>
      </c>
      <c r="J806" s="5" t="s">
        <v>1662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4">
        <v>4</v>
      </c>
      <c r="AH806" s="4">
        <v>2</v>
      </c>
      <c r="AI806" s="4">
        <v>1</v>
      </c>
      <c r="AJ806" s="4">
        <v>2</v>
      </c>
      <c r="AK806" s="4">
        <v>8</v>
      </c>
      <c r="AL806" s="4">
        <v>3</v>
      </c>
      <c r="AM806" s="4">
        <v>1</v>
      </c>
      <c r="AN806" s="4">
        <v>0</v>
      </c>
      <c r="AO806" s="4">
        <v>1</v>
      </c>
      <c r="AP806" s="4"/>
      <c r="AQ806" s="4">
        <v>0</v>
      </c>
      <c r="AR806" s="4">
        <v>1</v>
      </c>
      <c r="AS806" s="4">
        <f t="shared" si="25"/>
        <v>22</v>
      </c>
      <c r="AT806" s="9" t="s">
        <v>1170</v>
      </c>
    </row>
    <row r="807" spans="1:46" x14ac:dyDescent="0.2">
      <c r="A807" s="4">
        <v>6963</v>
      </c>
      <c r="B807" s="4" t="s">
        <v>22</v>
      </c>
      <c r="C807" s="5" t="s">
        <v>1484</v>
      </c>
      <c r="D807" s="5" t="s">
        <v>1485</v>
      </c>
      <c r="E807" s="5" t="s">
        <v>1175</v>
      </c>
      <c r="F807" s="5" t="s">
        <v>546</v>
      </c>
      <c r="G807" s="6" t="s">
        <v>504</v>
      </c>
      <c r="H807" s="6" t="s">
        <v>504</v>
      </c>
      <c r="I807" s="9" t="e">
        <f t="shared" si="24"/>
        <v>#VALUE!</v>
      </c>
      <c r="J807" s="5" t="s">
        <v>1662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4">
        <v>6</v>
      </c>
      <c r="AH807" s="4">
        <v>6</v>
      </c>
      <c r="AI807" s="4">
        <v>1</v>
      </c>
      <c r="AJ807" s="4">
        <v>4</v>
      </c>
      <c r="AK807" s="4">
        <v>14</v>
      </c>
      <c r="AL807" s="4">
        <v>5</v>
      </c>
      <c r="AM807" s="4">
        <v>3</v>
      </c>
      <c r="AN807" s="4">
        <v>0</v>
      </c>
      <c r="AO807" s="4">
        <v>1</v>
      </c>
      <c r="AP807" s="4"/>
      <c r="AQ807" s="4">
        <v>0</v>
      </c>
      <c r="AR807" s="4">
        <v>1</v>
      </c>
      <c r="AS807" s="4">
        <f t="shared" si="25"/>
        <v>40</v>
      </c>
      <c r="AT807" s="9" t="s">
        <v>1486</v>
      </c>
    </row>
    <row r="808" spans="1:46" x14ac:dyDescent="0.2">
      <c r="A808" s="4">
        <v>6970</v>
      </c>
      <c r="B808" s="4" t="s">
        <v>22</v>
      </c>
      <c r="C808" s="5" t="s">
        <v>1493</v>
      </c>
      <c r="D808" s="5" t="s">
        <v>1494</v>
      </c>
      <c r="E808" s="5" t="s">
        <v>1175</v>
      </c>
      <c r="F808" s="5" t="s">
        <v>500</v>
      </c>
      <c r="G808" s="6" t="s">
        <v>504</v>
      </c>
      <c r="H808" s="6" t="s">
        <v>504</v>
      </c>
      <c r="I808" s="9" t="e">
        <f t="shared" si="24"/>
        <v>#VALUE!</v>
      </c>
      <c r="J808" s="5" t="s">
        <v>1662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4">
        <v>5</v>
      </c>
      <c r="AH808" s="4">
        <v>4</v>
      </c>
      <c r="AI808" s="4">
        <v>1</v>
      </c>
      <c r="AJ808" s="4">
        <v>3</v>
      </c>
      <c r="AK808" s="4">
        <v>11</v>
      </c>
      <c r="AL808" s="4">
        <v>4</v>
      </c>
      <c r="AM808" s="4">
        <v>2</v>
      </c>
      <c r="AN808" s="4">
        <v>0</v>
      </c>
      <c r="AO808" s="4">
        <v>1</v>
      </c>
      <c r="AP808" s="4"/>
      <c r="AQ808" s="4">
        <v>0</v>
      </c>
      <c r="AR808" s="4">
        <v>1</v>
      </c>
      <c r="AS808" s="4">
        <f t="shared" si="25"/>
        <v>31</v>
      </c>
      <c r="AT808" s="9" t="s">
        <v>1170</v>
      </c>
    </row>
    <row r="809" spans="1:46" x14ac:dyDescent="0.2">
      <c r="A809" s="4">
        <v>6978</v>
      </c>
      <c r="B809" s="4" t="s">
        <v>22</v>
      </c>
      <c r="C809" s="5" t="s">
        <v>1504</v>
      </c>
      <c r="D809" s="5" t="s">
        <v>1505</v>
      </c>
      <c r="E809" s="5" t="s">
        <v>1175</v>
      </c>
      <c r="F809" s="5" t="s">
        <v>500</v>
      </c>
      <c r="G809" s="6" t="s">
        <v>504</v>
      </c>
      <c r="H809" s="6" t="s">
        <v>504</v>
      </c>
      <c r="I809" s="9" t="e">
        <f t="shared" si="24"/>
        <v>#VALUE!</v>
      </c>
      <c r="J809" s="5" t="s">
        <v>1662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4">
        <v>5</v>
      </c>
      <c r="AH809" s="4">
        <v>8</v>
      </c>
      <c r="AI809" s="4">
        <v>1</v>
      </c>
      <c r="AJ809" s="4">
        <v>3</v>
      </c>
      <c r="AK809" s="4">
        <v>12</v>
      </c>
      <c r="AL809" s="4">
        <v>4</v>
      </c>
      <c r="AM809" s="4">
        <v>2</v>
      </c>
      <c r="AN809" s="4">
        <v>0</v>
      </c>
      <c r="AO809" s="4">
        <v>1</v>
      </c>
      <c r="AP809" s="4"/>
      <c r="AQ809" s="4">
        <v>0</v>
      </c>
      <c r="AR809" s="4">
        <v>1</v>
      </c>
      <c r="AS809" s="4">
        <f t="shared" si="25"/>
        <v>36</v>
      </c>
      <c r="AT809" s="9" t="s">
        <v>1170</v>
      </c>
    </row>
  </sheetData>
  <sortState xmlns:xlrd2="http://schemas.microsoft.com/office/spreadsheetml/2017/richdata2" ref="A2:AE809">
    <sortCondition ref="G2:G809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8E2201-0E7C-49ED-8A3D-A42C3B60E6F8}">
          <x14:formula1>
            <xm:f>Listas!$B$2:$B$3</xm:f>
          </x14:formula1>
          <xm:sqref>K2:K809 P2:P809 V5:W809 X20:X809 L4:L5 L10:L13 L16:L17 L19 R2:T3 R5:T809 U2:U809 V2:W3 X3 X6:X9 X14:X15 X18 Y2:Z3 Y5:Z809</xm:sqref>
        </x14:dataValidation>
        <x14:dataValidation type="list" allowBlank="1" showInputMessage="1" showErrorMessage="1" xr:uid="{A7715CBC-89D7-4DEC-9D42-45F4F2C3AFBB}">
          <x14:formula1>
            <xm:f>Listas!$A$2:$A$6</xm:f>
          </x14:formula1>
          <xm:sqref>J2:J809</xm:sqref>
        </x14:dataValidation>
        <x14:dataValidation type="list" allowBlank="1" showInputMessage="1" showErrorMessage="1" xr:uid="{9C95038C-8C4A-4CD7-AF1C-B5B58FD0FC89}">
          <x14:formula1>
            <xm:f>Listas!$C$2:$C$6</xm:f>
          </x14:formula1>
          <xm:sqref>L2:L3 L6:L9 L14:L15 L18 L20:L809</xm:sqref>
        </x14:dataValidation>
        <x14:dataValidation type="list" allowBlank="1" showInputMessage="1" showErrorMessage="1" xr:uid="{FCA09B60-9F4A-4D9C-8ED0-79727A2D4A64}">
          <x14:formula1>
            <xm:f>Listas!$D$1:$D$2</xm:f>
          </x14:formula1>
          <xm:sqref>R4:T4 V4:W4 Y4:Z4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1AF7-3809-4AD9-BDD2-AC0CC61E6E7E}">
  <sheetPr>
    <tabColor theme="5" tint="0.39997558519241921"/>
  </sheetPr>
  <dimension ref="A1:D6"/>
  <sheetViews>
    <sheetView workbookViewId="0">
      <selection activeCell="C15" sqref="C15"/>
    </sheetView>
  </sheetViews>
  <sheetFormatPr defaultRowHeight="15" x14ac:dyDescent="0.25"/>
  <cols>
    <col min="1" max="1" width="14.140625" customWidth="1"/>
    <col min="2" max="3" width="31" customWidth="1"/>
  </cols>
  <sheetData>
    <row r="1" spans="1:4" x14ac:dyDescent="0.25">
      <c r="A1" t="s">
        <v>1678</v>
      </c>
      <c r="B1" t="s">
        <v>1663</v>
      </c>
      <c r="C1" t="s">
        <v>1664</v>
      </c>
      <c r="D1" t="s">
        <v>1652</v>
      </c>
    </row>
    <row r="2" spans="1:4" x14ac:dyDescent="0.25">
      <c r="A2" t="s">
        <v>1651</v>
      </c>
      <c r="B2">
        <v>100</v>
      </c>
      <c r="C2">
        <v>100</v>
      </c>
      <c r="D2" t="s">
        <v>1654</v>
      </c>
    </row>
    <row r="3" spans="1:4" x14ac:dyDescent="0.25">
      <c r="A3" t="s">
        <v>1653</v>
      </c>
      <c r="B3">
        <v>0</v>
      </c>
      <c r="C3">
        <v>0</v>
      </c>
    </row>
    <row r="4" spans="1:4" x14ac:dyDescent="0.25">
      <c r="A4" t="s">
        <v>1655</v>
      </c>
    </row>
    <row r="5" spans="1:4" x14ac:dyDescent="0.25">
      <c r="A5" t="s">
        <v>1656</v>
      </c>
    </row>
    <row r="6" spans="1:4" x14ac:dyDescent="0.25">
      <c r="A6" t="s">
        <v>1662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8aee32-8f91-4f9e-90ea-fb72965d9d7c}" enabled="0" method="" siteId="{d78aee32-8f91-4f9e-90ea-fb72965d9d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NOACK MOLINA, JUAN</dc:creator>
  <cp:lastModifiedBy>CABANZO HERNANDEZ, ZAYDA</cp:lastModifiedBy>
  <dcterms:created xsi:type="dcterms:W3CDTF">2026-08-19T02:07:00Z</dcterms:created>
  <dcterms:modified xsi:type="dcterms:W3CDTF">2026-08-27T15:50:46Z</dcterms:modified>
</cp:coreProperties>
</file>