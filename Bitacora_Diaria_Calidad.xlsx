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_Diligenciamiento" sheetId="1" state="visible" r:id="rId1"/>
    <sheet xmlns:r="http://schemas.openxmlformats.org/officeDocument/2006/relationships" name="Bitacora_Diaria" sheetId="2" state="visible" r:id="rId2"/>
    <sheet xmlns:r="http://schemas.openxmlformats.org/officeDocument/2006/relationships" name="Cronograma_Maestro" sheetId="3" state="visible" r:id="rId3"/>
    <sheet xmlns:r="http://schemas.openxmlformats.org/officeDocument/2006/relationships" name="Listas_Validacion" sheetId="4" state="visible" r:id="rId4"/>
  </sheets>
  <definedNames>
    <definedName name="REGIONES">Listas_Validacion!$A$3:$A$12</definedName>
    <definedName name="ESTADOS">Listas_Validacion!$C$3:$C$8</definedName>
    <definedName name="CAUSALES">Listas_Validacion!$E$3:$E$9</definedName>
    <definedName name="ESTATUS_ACTA">Listas_Validacion!$G$3:$G$4</definedName>
    <definedName name="_xlnm._FilterDatabase" localSheetId="2" hidden="1">'Cronograma_Maestro'!$A$1:$M$825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"/>
  </numFmts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name val="Calibri"/>
      <color rgb="000F172A"/>
      <sz val="10"/>
    </font>
    <font>
      <name val="Calibri"/>
      <b val="1"/>
      <color rgb="001E293B"/>
      <sz val="11"/>
    </font>
    <font>
      <name val="Calibri"/>
      <b val="1"/>
      <color rgb="00FFFFFF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1F5F9"/>
      </patternFill>
    </fill>
    <fill>
      <patternFill patternType="solid">
        <fgColor rgb="00F8FAFC"/>
      </patternFill>
    </fill>
    <fill>
      <patternFill patternType="solid">
        <fgColor rgb="002563EB"/>
      </patternFill>
    </fill>
    <fill>
      <patternFill patternType="solid">
        <fgColor rgb="000D9488"/>
      </patternFill>
    </fill>
    <fill>
      <patternFill patternType="solid">
        <fgColor rgb="0064748B"/>
      </patternFill>
    </fill>
    <fill>
      <patternFill patternType="solid">
        <fgColor rgb="0016A34A"/>
      </patternFill>
    </fill>
  </fills>
  <borders count="3">
    <border>
      <left/>
      <right/>
      <top/>
      <bottom/>
      <diagonal/>
    </border>
    <border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pivotButton="0" quotePrefix="0" xfId="0"/>
    <xf numFmtId="0" fontId="4" fillId="2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49" fontId="2" fillId="0" borderId="2" applyProtection="1" pivotButton="0" quotePrefix="0" xfId="0">
      <protection locked="0" hidden="0"/>
    </xf>
    <xf numFmtId="0" fontId="2" fillId="0" borderId="2" applyProtection="1" pivotButton="0" quotePrefix="0" xfId="0">
      <protection locked="0" hidden="0"/>
    </xf>
    <xf numFmtId="165" fontId="2" fillId="0" borderId="2" applyProtection="1" pivotButton="0" quotePrefix="0" xfId="0">
      <protection locked="0" hidden="0"/>
    </xf>
    <xf numFmtId="0" fontId="2" fillId="3" borderId="2" pivotButton="0" quotePrefix="0" xfId="0"/>
    <xf numFmtId="166" fontId="2" fillId="3" borderId="2" pivotButton="0" quotePrefix="0" xfId="0"/>
    <xf numFmtId="49" fontId="2" fillId="0" borderId="2" pivotButton="0" quotePrefix="0" xfId="0"/>
    <xf numFmtId="0" fontId="2" fillId="0" borderId="2" pivotButton="0" quotePrefix="0" xfId="0"/>
    <xf numFmtId="165" fontId="2" fillId="0" borderId="2" pivotButton="0" quotePrefix="0" xfId="0"/>
    <xf numFmtId="49" fontId="2" fillId="4" borderId="2" pivotButton="0" quotePrefix="0" xfId="0"/>
    <xf numFmtId="0" fontId="2" fillId="4" borderId="2" pivotButton="0" quotePrefix="0" xfId="0"/>
    <xf numFmtId="165" fontId="2" fillId="4" borderId="2" pivotButton="0" quotePrefix="0" xfId="0"/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E2E8F0"/>
        </patternFill>
      </fill>
    </dxf>
    <dxf>
      <font>
        <b val="1"/>
        <color rgb="00FFFFFF"/>
      </font>
      <fill>
        <patternFill patternType="solid">
          <fgColor rgb="003B82F6"/>
        </patternFill>
      </fill>
    </dxf>
    <dxf>
      <font>
        <b val="1"/>
        <color rgb="00FFFFFF"/>
      </font>
      <fill>
        <patternFill patternType="solid">
          <fgColor rgb="0016A34A"/>
        </patternFill>
      </fill>
    </dxf>
    <dxf>
      <font>
        <b val="1"/>
        <color rgb="00FFFFFF"/>
      </font>
      <fill>
        <patternFill patternType="solid">
          <fgColor rgb="00F59E0B"/>
        </patternFill>
      </fill>
    </dxf>
    <dxf>
      <font>
        <b val="1"/>
        <color rgb="00FFFFFF"/>
      </font>
      <fill>
        <patternFill patternType="solid">
          <fgColor rgb="001E293B"/>
        </patternFill>
      </fill>
    </dxf>
    <dxf>
      <font>
        <b val="1"/>
        <color rgb="00FFFFFF"/>
      </font>
      <fill>
        <patternFill patternType="solid">
          <fgColor rgb="00DC2626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  <dxf>
      <font>
        <b val="1"/>
        <color rgb="00991B1B"/>
      </font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Calidad</author>
  </authors>
  <commentList>
    <comment ref="A1" authorId="0" shapeId="0">
      <text>
        <t>1 · IDENTIFICACIÓN DE LA SEDE (SBAN se autocompleta)
SBAN: identificador UNICO oficial de la oficina (cronograma).
Al escribirlo, Nombre_Oficina, Municipio, Departamento, Región y Horario se llenan SOLOS desde el cronograma (BUSCARV).
Si el SBAN no existe, quedan vacíos: verifíquelo.</t>
      </text>
    </comment>
    <comment ref="B1" authorId="0" shapeId="0">
      <text>
        <t>1 · IDENTIFICACIÓN DE LA SEDE (SBAN se autocompleta)
AUTOMÁTICO desde el cronograma (según SBAN). No lo escriba.</t>
      </text>
    </comment>
    <comment ref="C1" authorId="0" shapeId="0">
      <text>
        <t>1 · IDENTIFICACIÓN DE LA SEDE (SBAN se autocompleta)
AUTOMÁTICO desde el cronograma (según SBAN). No lo escriba.</t>
      </text>
    </comment>
    <comment ref="D1" authorId="0" shapeId="0">
      <text>
        <t>1 · IDENTIFICACIÓN DE LA SEDE (SBAN se autocompleta)
AUTOMÁTICO desde el cronograma (según SBAN). No lo escriba.</t>
      </text>
    </comment>
    <comment ref="E1" authorId="0" shapeId="0">
      <text>
        <t>1 · IDENTIFICACIÓN DE LA SEDE (SBAN se autocompleta)
AUTOMÁTICO desde el cronograma (según SBAN). No lo escriba.</t>
      </text>
    </comment>
    <comment ref="F1" authorId="0" shapeId="0">
      <text>
        <t>2 · PROGRAMACIÓN Y TÉCNICOS
Técnico(s) de mantenimiento asignados en el cronograma. Editable.</t>
      </text>
    </comment>
    <comment ref="G1" authorId="0" shapeId="0">
      <text>
        <t>2 · PROGRAMACIÓN Y TÉCNICOS
Entidad responsable de calidad: PMU COLSOF (lista fija).</t>
      </text>
    </comment>
    <comment ref="H1" authorId="0" shapeId="0">
      <text>
        <t>2 · PROGRAMACIÓN Y TÉCNICOS
Fecha programada de INICIO (viene del cronograma).
DÍA/MES/AÑO: 05/04/2026 = 5 de abril.</t>
      </text>
    </comment>
    <comment ref="I1" authorId="0" shapeId="0">
      <text>
        <t>2 · PROGRAMACIÓN Y TÉCNICOS
Fecha comprometida de TÉRMINO (viene del cronograma).
DÍA/MES/AÑO.</t>
      </text>
    </comment>
    <comment ref="J1" authorId="0" shapeId="0">
      <text>
        <t>3 · EJECUCIÓN EN CAMPO
Diligencie cuando el técnico LLEGUE a la sede. DÍA/MES/AÑO.</t>
      </text>
    </comment>
    <comment ref="K1" authorId="0" shapeId="0">
      <text>
        <t>3 · EJECUCIÓN EN CAMPO
Diligencie cuando el técnico TERMINE en campo. DÍA/MES/AÑO.
Obligatoria si el estado es Finalizada o Sede_Cerrada.</t>
      </text>
    </comment>
    <comment ref="L1" authorId="0" shapeId="0">
      <text>
        <t>3 · EJECUCIÓN EN CAMPO
Estado del mantenimiento (lista):
Programada · En Proceso · Finalizada ·
Reprogramada · Sede_Cerrada · Cancelada</t>
      </text>
    </comment>
    <comment ref="M1" authorId="0" shapeId="0">
      <text>
        <t>3 · EJECUCIÓN EN CAMPO
Nueva fecha si se reprogramó. OBLIGATORIA si Estado = Reprogramada.</t>
      </text>
    </comment>
    <comment ref="N1" authorId="0" shapeId="0">
      <text>
        <t>4 · CÁLCULO AUTOMÁTICO (NO EDITAR)
AUTOMÁTICO: SÍ si Fecha_Inicio_Real ≤ Fecha_Programada_Inicio.</t>
      </text>
    </comment>
    <comment ref="O1" authorId="0" shapeId="0">
      <text>
        <t>4 · CÁLCULO AUTOMÁTICO (NO EDITAR)
AUTOMÁTICO: SÍ si Fecha_Cierre_Operativo ≤ fecha comprometida.</t>
      </text>
    </comment>
    <comment ref="P1" authorId="0" shapeId="0">
      <text>
        <t>4 · CÁLCULO AUTOMÁTICO (NO EDITAR)
AUTOMÁTICO: SÍ solo si ingreso y salida cumplidos.</t>
      </text>
    </comment>
    <comment ref="Q1" authorId="0" shapeId="0">
      <text>
        <t>4 · CÁLCULO AUTOMÁTICO (NO EDITAR)
AUTOMÁTICO: días de retraso (≥ 0).</t>
      </text>
    </comment>
    <comment ref="R1" authorId="0" shapeId="0">
      <text>
        <t>5 · CALIDAD, CIERRE Y HORARIO
Si Cumpli = NO o Estado = Reprogramada, elija: Repuesto Faltante · Director Oficina No Disponible · Clima · Falla Técnica · Reprogramación Cliente · Logística/Acceso.
Si cumplió: N/A - A Tiempo.</t>
      </text>
    </comment>
    <comment ref="S1" authorId="0" shapeId="0">
      <text>
        <t>5 · CALIDAD, CIERRE Y HORARIO
Acta (2 opciones): Pendiente Firma · Firmada.
Para cerrar la sede debe quedar FIRMADA.</t>
      </text>
    </comment>
    <comment ref="T1" authorId="0" shapeId="0">
      <text>
        <t>5 · CALIDAD, CIERRE Y HORARIO
Fecha en que CALIDAD (PMU COLSOF) firma y cierra. DÍA/MES/AÑO.</t>
      </text>
    </comment>
    <comment ref="U1" authorId="0" shapeId="0">
      <text>
        <t>5 · CALIDAD, CIERRE Y HORARIO
Total de equipos impactados en la sede (número entero ≥ 0).</t>
      </text>
    </comment>
    <comment ref="V1" authorId="0" shapeId="0">
      <text>
        <t>5 · CALIDAD, CIERRE Y HORARIO
Novedades, hallazgos o soportes (texto libre).</t>
      </text>
    </comment>
    <comment ref="W1" authorId="0" shapeId="0">
      <text>
        <t>5 · CALIDAD, CIERRE Y HORARIO
AUTOMÁTICO: OK si las fechas son coherentes; REVISAR si hay inconsistencia.</t>
      </text>
    </comment>
    <comment ref="X1" authorId="0" shapeId="0">
      <text>
        <t>5 · CALIDAD, CIERRE Y HORARIO
AUTOMÁTICO desde el cronograma: horario de atención de la sede
(usa el 'Nuevo horario' si existe). No lo escriba.</t>
      </text>
    </comment>
    <comment ref="A2" authorId="0" shapeId="0">
      <text>
        <t>SBAN: identificador UNICO oficial de la oficina (cronograma).
Al escribirlo, Nombre_Oficina, Municipio, Departamento, Región y Horario se llenan SOLOS desde el cronograma (BUSCARV).
Si el SBAN no existe, quedan vacíos: verifíquelo.</t>
      </text>
    </comment>
    <comment ref="B2" authorId="0" shapeId="0">
      <text>
        <t>AUTOMÁTICO desde el cronograma (según SBAN). No lo escriba.</t>
      </text>
    </comment>
    <comment ref="C2" authorId="0" shapeId="0">
      <text>
        <t>AUTOMÁTICO desde el cronograma (según SBAN). No lo escriba.</t>
      </text>
    </comment>
    <comment ref="D2" authorId="0" shapeId="0">
      <text>
        <t>AUTOMÁTICO desde el cronograma (según SBAN). No lo escriba.</t>
      </text>
    </comment>
    <comment ref="E2" authorId="0" shapeId="0">
      <text>
        <t>AUTOMÁTICO desde el cronograma (según SBAN). No lo escriba.</t>
      </text>
    </comment>
    <comment ref="F2" authorId="0" shapeId="0">
      <text>
        <t>Técnico(s) de mantenimiento asignados en el cronograma. Editable.</t>
      </text>
    </comment>
    <comment ref="G2" authorId="0" shapeId="0">
      <text>
        <t>Entidad responsable de calidad: PMU COLSOF (lista fija).</t>
      </text>
    </comment>
    <comment ref="H2" authorId="0" shapeId="0">
      <text>
        <t>Fecha programada de INICIO (viene del cronograma).
DÍA/MES/AÑO: 05/04/2026 = 5 de abril.</t>
      </text>
    </comment>
    <comment ref="I2" authorId="0" shapeId="0">
      <text>
        <t>Fecha comprometida de TÉRMINO (viene del cronograma).
DÍA/MES/AÑO.</t>
      </text>
    </comment>
    <comment ref="J2" authorId="0" shapeId="0">
      <text>
        <t>Diligencie cuando el técnico LLEGUE a la sede. DÍA/MES/AÑO.</t>
      </text>
    </comment>
    <comment ref="K2" authorId="0" shapeId="0">
      <text>
        <t>Diligencie cuando el técnico TERMINE en campo. DÍA/MES/AÑO.
Obligatoria si el estado es Finalizada o Sede_Cerrada.</t>
      </text>
    </comment>
    <comment ref="L2" authorId="0" shapeId="0">
      <text>
        <t>Estado del mantenimiento (lista):
Programada · En Proceso · Finalizada ·
Reprogramada · Sede_Cerrada · Cancelada</t>
      </text>
    </comment>
    <comment ref="M2" authorId="0" shapeId="0">
      <text>
        <t>Nueva fecha si se reprogramó. OBLIGATORIA si Estado = Reprogramada.</t>
      </text>
    </comment>
    <comment ref="R2" authorId="0" shapeId="0">
      <text>
        <t>Si Cumpli = NO o Estado = Reprogramada, elija: Repuesto Faltante · Director Oficina No Disponible · Clima · Falla Técnica · Reprogramación Cliente · Logística/Acceso.
Si cumplió: N/A - A Tiempo.</t>
      </text>
    </comment>
    <comment ref="S2" authorId="0" shapeId="0">
      <text>
        <t>Acta (2 opciones): Pendiente Firma · Firmada.
Para cerrar la sede debe quedar FIRMADA.</t>
      </text>
    </comment>
    <comment ref="T2" authorId="0" shapeId="0">
      <text>
        <t>Fecha en que CALIDAD (PMU COLSOF) firma y cierra. DÍA/MES/AÑO.</t>
      </text>
    </comment>
    <comment ref="U2" authorId="0" shapeId="0">
      <text>
        <t>Total de equipos impactados en la sede (número entero ≥ 0).</t>
      </text>
    </comment>
    <comment ref="V2" authorId="0" shapeId="0">
      <text>
        <t>Novedades, hallazgos o soportes (texto libre).</t>
      </text>
    </comment>
    <comment ref="A826" authorId="0" shapeId="0">
      <text>
        <t>FILA NUEVA EN BLANCO.
Escriba el SBAN de la oficina y el resto se autocompleta. Si necesita más filas, copie esta y péguela debajo.</t>
      </text>
    </comment>
    <comment ref="A827" authorId="0" shapeId="0">
      <text>
        <t>FILA NUEVA EN BLANCO.
Escriba el SBAN de la oficina y el resto se autocompleta. Si necesita más filas, copie esta y péguela debajo.</t>
      </text>
    </comment>
    <comment ref="A828" authorId="0" shapeId="0">
      <text>
        <t>FILA NUEVA EN BLANCO.
Escriba el SBAN de la oficina y el resto se autocompleta. Si necesita más filas, copie esta y péguela debajo.</t>
      </text>
    </comment>
    <comment ref="A829" authorId="0" shapeId="0">
      <text>
        <t>FILA NUEVA EN BLANCO.
Escriba el SBAN de la oficina y el resto se autocompleta. Si necesita más filas, copie esta y péguela debajo.</t>
      </text>
    </comment>
    <comment ref="A830" authorId="0" shapeId="0">
      <text>
        <t>FILA NUEVA EN BLANCO.
Escriba el SBAN de la oficina y el resto se autocompleta. Si necesita más filas, copie esta y péguela debajo.</t>
      </text>
    </comment>
    <comment ref="A831" authorId="0" shapeId="0">
      <text>
        <t>FILA NUEVA EN BLANCO.
Escriba el SBAN de la oficina y el resto se autocompleta. Si necesita más filas, copie esta y péguela debajo.</t>
      </text>
    </comment>
    <comment ref="A832" authorId="0" shapeId="0">
      <text>
        <t>FILA NUEVA EN BLANCO.
Escriba el SBAN de la oficina y el resto se autocompleta. Si necesita más filas, copie esta y péguela debajo.</t>
      </text>
    </comment>
    <comment ref="A833" authorId="0" shapeId="0">
      <text>
        <t>FILA NUEVA EN BLANCO.
Escriba el SBAN de la oficina y el resto se autocompleta. Si necesita más filas, copie esta y péguela debajo.</t>
      </text>
    </comment>
    <comment ref="A834" authorId="0" shapeId="0">
      <text>
        <t>FILA NUEVA EN BLANCO.
Escriba el SBAN de la oficina y el resto se autocompleta. Si necesita más filas, copie esta y péguela debajo.</t>
      </text>
    </comment>
    <comment ref="A835" authorId="0" shapeId="0">
      <text>
        <t>FILA NUEVA EN BLANCO.
Escriba el SBAN de la oficina y el resto se autocompleta. Si necesita más filas, copie esta y péguela debajo.</t>
      </text>
    </comment>
  </commentList>
</comments>
</file>

<file path=xl/tables/table1.xml><?xml version="1.0" encoding="utf-8"?>
<table xmlns="http://schemas.openxmlformats.org/spreadsheetml/2006/main" id="1" name="Tabla_Bitacora" displayName="Tabla_Bitacora" ref="A1:X825" headerRowCount="1">
  <autoFilter ref="A1:X825"/>
  <tableColumns count="24">
    <tableColumn id="1" name="SBAN"/>
    <tableColumn id="2" name="Nombre_Oficina"/>
    <tableColumn id="3" name="Municipio"/>
    <tableColumn id="4" name="Departamento"/>
    <tableColumn id="5" name="Region"/>
    <tableColumn id="6" name="Tecnico_Operativo"/>
    <tableColumn id="7" name="Tecnico_Calidad"/>
    <tableColumn id="8" name="Fecha_Programada_Inicio"/>
    <tableColumn id="9" name="Fecha_Programada_Fin"/>
    <tableColumn id="10" name="Fecha_Inicio_Real"/>
    <tableColumn id="11" name="Fecha_Cierre_Operativo"/>
    <tableColumn id="12" name="Estado_Mantenimiento"/>
    <tableColumn id="13" name="Fecha_Nueva_Programada"/>
    <tableColumn id="14" name="Cumpli_Ingreso"/>
    <tableColumn id="15" name="Cumpli_Salida"/>
    <tableColumn id="16" name="Cumpli_Cronograma"/>
    <tableColumn id="17" name="Dias_Desviacion"/>
    <tableColumn id="18" name="Causal_Desviacion"/>
    <tableColumn id="19" name="Estatus_Acta"/>
    <tableColumn id="20" name="Fecha_Cierre_Administrativo"/>
    <tableColumn id="21" name="Cantidad_Equipos"/>
    <tableColumn id="22" name="Observaciones_Calidad"/>
    <tableColumn id="23" name="Chequeo_Fechas"/>
    <tableColumn id="24" name="Horario_Atencion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30" customWidth="1" min="4" max="4"/>
    <col width="26" customWidth="1" min="5" max="5"/>
    <col width="30" customWidth="1" min="6" max="6"/>
    <col width="26" customWidth="1" min="7" max="7"/>
    <col width="30" customWidth="1" min="8" max="8"/>
  </cols>
  <sheetData>
    <row r="1" ht="26" customHeight="1">
      <c r="A1" s="1" t="inlineStr">
        <is>
          <t>GUÍA DE DILIGENCIAMIENTO — BITÁCORA DIARIA DE MANTENIMIENTOS Y AUDITORÍA DE CALIDAD</t>
        </is>
      </c>
    </row>
    <row r="2">
      <c r="A2" s="2" t="inlineStr">
        <is>
          <t>Esta bitácora es el INSUMO del tablero de control (dashboard). El plan maestro (825 registros) viene del cronograma preventivo; la alimenta el equipo de calidad (PMU COLSOF) con el estado real de cada mantenimiento. Las columnas grises (N-Q, W y X) se calculan solas: NO se editan.</t>
        </is>
      </c>
    </row>
    <row r="4">
      <c r="A4" s="3" t="inlineStr">
        <is>
          <t>0 · CÓMO SE AUTOREGISTRA LA SEDE (SBAN)</t>
        </is>
      </c>
    </row>
    <row r="5">
      <c r="A5" s="2" t="inlineStr">
        <is>
          <t>En la columna A escriba el SBAN de la oficina (el identificador único del cronograma). Nombre_Oficina, Municipio, Departamento, Región y Horario se llenan SOLOS desde la pestaña Cronograma_Maestro. Si queda vacío, el SBAN no existe en el cronograma: revíselo.</t>
        </is>
      </c>
    </row>
    <row r="7">
      <c r="A7" s="3" t="inlineStr">
        <is>
          <t>0B · FECHAS SIN ERRORES</t>
        </is>
      </c>
    </row>
    <row r="8">
      <c r="A8" s="2" t="inlineStr">
        <is>
          <t>Fechas en DÍA/MES/AÑO: 05/04/2026 = 5 de ABRIL. Las celdas muestran dd/mm/aaaa y RECHAZAN fechas inválidas, fuera de rango (2026-2031) o valores que queden como texto. Prefiera el CALENDARIO nativo (icono al seleccionar la celda).</t>
        </is>
      </c>
    </row>
    <row r="9">
      <c r="A9" s="2" t="inlineStr">
        <is>
          <t>Cada fila tiene un CHEQUEO automático (columna W): OK = coherentes; REVISAR = hay una inconsistencia (fin &lt; inicio, cierre &lt; inicio real, cierre admin &lt; cierre operativo). Corrija antes de cerrar.</t>
        </is>
      </c>
    </row>
    <row r="11">
      <c r="A11" s="3" t="inlineStr">
        <is>
          <t>1 · FLUJO DEL MANTENIMIENTO</t>
        </is>
      </c>
    </row>
    <row r="12">
      <c r="A12" s="2" t="inlineStr">
        <is>
          <t>Programada  →  En Proceso  →  Finalizada  →  Sede_Cerrada (cerrada por calidad)</t>
        </is>
      </c>
    </row>
    <row r="13">
      <c r="A13" s="2" t="inlineStr">
        <is>
          <t>Desvíos: Programada → Reprogramada (con nueva fecha y causal)  |  Cualquier estado → Cancelada</t>
        </is>
      </c>
    </row>
    <row r="15">
      <c r="A15" s="3" t="inlineStr">
        <is>
          <t>2 · ¿QUÉ DILIGENCIAR EN CADA MOMENTO?</t>
        </is>
      </c>
    </row>
    <row r="16" ht="24" customHeight="1">
      <c r="A16" s="4" t="inlineStr">
        <is>
          <t>Momento</t>
        </is>
      </c>
      <c r="B16" s="4" t="inlineStr">
        <is>
          <t>Columnas</t>
        </is>
      </c>
      <c r="C16" s="4" t="inlineStr">
        <is>
          <t>Qué hacer</t>
        </is>
      </c>
    </row>
    <row r="17" ht="24" customHeight="1">
      <c r="A17" s="5" t="inlineStr">
        <is>
          <t>Al programar</t>
        </is>
      </c>
      <c r="B17" s="5" t="inlineStr">
        <is>
          <t>A (SBAN), L</t>
        </is>
      </c>
      <c r="C17" s="5" t="inlineStr">
        <is>
          <t>Escribir el SBAN (el resto se autocompleta) y Estado = Programada</t>
        </is>
      </c>
    </row>
    <row r="18" ht="24" customHeight="1">
      <c r="A18" s="5" t="inlineStr">
        <is>
          <t>Al llegar a la sede</t>
        </is>
      </c>
      <c r="B18" s="5" t="inlineStr">
        <is>
          <t>J</t>
        </is>
      </c>
      <c r="C18" s="5" t="inlineStr">
        <is>
          <t>Fecha_Inicio_Real y Estado = En Proceso</t>
        </is>
      </c>
    </row>
    <row r="19" ht="24" customHeight="1">
      <c r="A19" s="5" t="inlineStr">
        <is>
          <t>Al terminar en campo</t>
        </is>
      </c>
      <c r="B19" s="5" t="inlineStr">
        <is>
          <t>K, L, R, V</t>
        </is>
      </c>
      <c r="C19" s="5" t="inlineStr">
        <is>
          <t>Fecha_Cierre_Operativo, Estado = Finalizada, causal si se desvió, observaciones</t>
        </is>
      </c>
    </row>
    <row r="20" ht="24" customHeight="1">
      <c r="A20" s="5" t="inlineStr">
        <is>
          <t>Al reprogramar</t>
        </is>
      </c>
      <c r="B20" s="5" t="inlineStr">
        <is>
          <t>M, L, R</t>
        </is>
      </c>
      <c r="C20" s="5" t="inlineStr">
        <is>
          <t>Nueva fecha (M), Estado = Reprogramada y causal</t>
        </is>
      </c>
    </row>
    <row r="21" ht="24" customHeight="1">
      <c r="A21" s="5" t="inlineStr">
        <is>
          <t>Al cerrar por calidad</t>
        </is>
      </c>
      <c r="B21" s="5" t="inlineStr">
        <is>
          <t>S, T, L, U</t>
        </is>
      </c>
      <c r="C21" s="5" t="inlineStr">
        <is>
          <t>Acta Firmada, fecha de firma, Estado = Sede_Cerrada, cantidad de equipos</t>
        </is>
      </c>
    </row>
    <row r="23">
      <c r="A23" s="3" t="inlineStr">
        <is>
          <t>3 · DECISIÓN POR ESTADO</t>
        </is>
      </c>
    </row>
    <row r="24" ht="24" customHeight="1">
      <c r="A24" s="4" t="inlineStr">
        <is>
          <t>Estado</t>
        </is>
      </c>
      <c r="B24" s="4" t="inlineStr">
        <is>
          <t>Exige</t>
        </is>
      </c>
      <c r="C24" s="4" t="inlineStr">
        <is>
          <t>Permite cerrar con</t>
        </is>
      </c>
    </row>
    <row r="25" ht="24" customHeight="1">
      <c r="A25" s="5" t="inlineStr">
        <is>
          <t>Finalizada</t>
        </is>
      </c>
      <c r="B25" s="5" t="inlineStr">
        <is>
          <t>Fecha_Cierre_Operativo (K)</t>
        </is>
      </c>
      <c r="C25" s="5" t="inlineStr">
        <is>
          <t>No: falta firma de calidad</t>
        </is>
      </c>
    </row>
    <row r="26" ht="24" customHeight="1">
      <c r="A26" s="5" t="inlineStr">
        <is>
          <t>Sede_Cerrada</t>
        </is>
      </c>
      <c r="B26" s="5" t="inlineStr">
        <is>
          <t>Acta FIRMADA (S) + fecha de firma (T)</t>
        </is>
      </c>
      <c r="C26" s="5" t="inlineStr">
        <is>
          <t>Sí: ejecutada y cerrada</t>
        </is>
      </c>
    </row>
    <row r="27" ht="24" customHeight="1">
      <c r="A27" s="5" t="inlineStr">
        <is>
          <t>Reprogramada</t>
        </is>
      </c>
      <c r="B27" s="5" t="inlineStr">
        <is>
          <t>Nueva fecha (M) + causal (R)</t>
        </is>
      </c>
      <c r="C27" s="5" t="inlineStr">
        <is>
          <t>No: pasa a pendiente con nueva fecha</t>
        </is>
      </c>
    </row>
    <row r="28" ht="24" customHeight="1">
      <c r="A28" s="5" t="inlineStr">
        <is>
          <t>Cancelada</t>
        </is>
      </c>
      <c r="B28" s="5" t="inlineStr">
        <is>
          <t>—</t>
        </is>
      </c>
      <c r="C28" s="5" t="inlineStr">
        <is>
          <t>No: no cuenta en cumplimiento</t>
        </is>
      </c>
    </row>
    <row r="30">
      <c r="A30" s="3" t="inlineStr">
        <is>
          <t>4 · CAMPOS POR GRUPO (MOUSE SOBRE LOS ENCABEZADOS = NOTA)</t>
        </is>
      </c>
    </row>
    <row r="31" ht="24" customHeight="1">
      <c r="A31" s="4" t="inlineStr">
        <is>
          <t>Grupo</t>
        </is>
      </c>
      <c r="B31" s="4" t="inlineStr">
        <is>
          <t>Columnas</t>
        </is>
      </c>
      <c r="C31" s="4" t="inlineStr">
        <is>
          <t>Contenido</t>
        </is>
      </c>
    </row>
    <row r="32" ht="24" customHeight="1">
      <c r="A32" s="5" t="inlineStr">
        <is>
          <t>1 · Identificación (azul oscuro)</t>
        </is>
      </c>
      <c r="B32" s="5" t="inlineStr">
        <is>
          <t>A-E</t>
        </is>
      </c>
      <c r="C32" s="5" t="inlineStr">
        <is>
          <t>SBAN (clave) + oficina/municipio/depto/región autocompletados</t>
        </is>
      </c>
    </row>
    <row r="33" ht="24" customHeight="1">
      <c r="A33" s="5" t="inlineStr">
        <is>
          <t>2 · Programación (azul)</t>
        </is>
      </c>
      <c r="B33" s="5" t="inlineStr">
        <is>
          <t>F-I</t>
        </is>
      </c>
      <c r="C33" s="5" t="inlineStr">
        <is>
          <t>Técnicos (calidad = PMU COLSOF) y fechas programadas</t>
        </is>
      </c>
    </row>
    <row r="34" ht="24" customHeight="1">
      <c r="A34" s="5" t="inlineStr">
        <is>
          <t>3 · Ejecución (verde azulado)</t>
        </is>
      </c>
      <c r="B34" s="5" t="inlineStr">
        <is>
          <t>J-M</t>
        </is>
      </c>
      <c r="C34" s="5" t="inlineStr">
        <is>
          <t>Fechas reales y estado</t>
        </is>
      </c>
    </row>
    <row r="35" ht="24" customHeight="1">
      <c r="A35" s="5" t="inlineStr">
        <is>
          <t>4 · Cálculo automático (gris)</t>
        </is>
      </c>
      <c r="B35" s="5" t="inlineStr">
        <is>
          <t>N-Q</t>
        </is>
      </c>
      <c r="C35" s="5" t="inlineStr">
        <is>
          <t>Cumplimiento y desviación: NO EDITAR</t>
        </is>
      </c>
    </row>
    <row r="36" ht="24" customHeight="1">
      <c r="A36" s="5" t="inlineStr">
        <is>
          <t>5 · Calidad, cierre y horario (verde)</t>
        </is>
      </c>
      <c r="B36" s="5" t="inlineStr">
        <is>
          <t>R-X</t>
        </is>
      </c>
      <c r="C36" s="5" t="inlineStr">
        <is>
          <t>Causal, acta, cierre, equipos, observaciones, chequeo y horario</t>
        </is>
      </c>
    </row>
    <row r="38">
      <c r="A38" s="3" t="inlineStr">
        <is>
          <t>5 · REGLAS IMPORTANTES</t>
        </is>
      </c>
    </row>
    <row r="39">
      <c r="A39" s="2" t="inlineStr">
        <is>
          <t>• El SBAN es la llave única: si no está en el cronograma, la fila no se autocompleta (revíselo).</t>
        </is>
      </c>
    </row>
    <row r="40">
      <c r="A40" s="2" t="inlineStr">
        <is>
          <t>• Fechas SIEMPRE en DÍA/MES/AÑO; use el calendario. La celda rechaza inválidas o texto.</t>
        </is>
      </c>
    </row>
    <row r="41">
      <c r="A41" s="2" t="inlineStr">
        <is>
          <t>• El acta tiene 2 opciones: Pendiente Firma o Firmada. Para cerrar, debe quedar FIRMADA.</t>
        </is>
      </c>
    </row>
    <row r="42">
      <c r="A42" s="2" t="inlineStr">
        <is>
          <t>• Causal: Repuesto Faltante · Director Oficina No Disponible · Clima · Falla Técnica · Reprogramación Cliente · Logística/Acceso. Si cumplió: N/A - A Tiempo.</t>
        </is>
      </c>
    </row>
    <row r="43">
      <c r="A43" s="2" t="inlineStr">
        <is>
          <t>• Si Estado = Reprogramada, el Excel EXIGE Fecha_Nueva_Programada.</t>
        </is>
      </c>
    </row>
    <row r="44">
      <c r="A44" s="2" t="inlineStr">
        <is>
          <t>• Calidad es PMU COLSOF (columna G fija). Columnas grises N-Q, W y X: no editar.</t>
        </is>
      </c>
    </row>
    <row r="45">
      <c r="A45" s="2" t="inlineStr">
        <is>
          <t>• Si necesita más filas: copie una fila en blanco y péguela debajo (mantiene fórmulas y listas).</t>
        </is>
      </c>
    </row>
    <row r="47">
      <c r="A47" s="3" t="inlineStr">
        <is>
          <t>6 · ¿CÓMO SE ACTUALIZA EL DASHBOARD?</t>
        </is>
      </c>
    </row>
    <row r="48">
      <c r="A48" s="2" t="inlineStr">
        <is>
          <t>1) Guarde este archivo.  2) Súbalo al repositorio (commit + push o arrastre en GitHub).  3) GitHub Actions regenera los datos (o diario a las 06:00 CO) y Vercel publica en ~2 min.  El tablero NUNCA se apaga.</t>
        </is>
      </c>
    </row>
    <row r="49">
      <c r="A49" s="2" t="inlineStr">
        <is>
          <t>Nota: para desproteger la hoja: Revisar → Desproteger hoja (sin contraseña).</t>
        </is>
      </c>
    </row>
  </sheetData>
  <mergeCells count="24">
    <mergeCell ref="A9:H9"/>
    <mergeCell ref="A48:H48"/>
    <mergeCell ref="A30:H30"/>
    <mergeCell ref="A39:H39"/>
    <mergeCell ref="A15:H15"/>
    <mergeCell ref="A11:H11"/>
    <mergeCell ref="A49:H49"/>
    <mergeCell ref="A1:H1"/>
    <mergeCell ref="A45:H45"/>
    <mergeCell ref="A7:H7"/>
    <mergeCell ref="A41:H41"/>
    <mergeCell ref="A12:H12"/>
    <mergeCell ref="A2:H2"/>
    <mergeCell ref="A42:H42"/>
    <mergeCell ref="A47:H47"/>
    <mergeCell ref="A5:H5"/>
    <mergeCell ref="A23:H23"/>
    <mergeCell ref="A8:H8"/>
    <mergeCell ref="A4:H4"/>
    <mergeCell ref="A43:H43"/>
    <mergeCell ref="A38:H38"/>
    <mergeCell ref="A13:H13"/>
    <mergeCell ref="A44:H44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13" customWidth="1" min="4" max="4"/>
    <col width="13" customWidth="1" min="5" max="5"/>
    <col width="18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5" customWidth="1" min="12" max="12"/>
    <col width="14" customWidth="1" min="13" max="13"/>
    <col width="10" customWidth="1" min="14" max="14"/>
    <col width="10" customWidth="1" min="15" max="15"/>
    <col width="12" customWidth="1" min="16" max="16"/>
    <col width="10" customWidth="1" min="17" max="17"/>
    <col width="21" customWidth="1" min="18" max="18"/>
    <col width="15" customWidth="1" min="19" max="19"/>
    <col width="14" customWidth="1" min="20" max="20"/>
    <col width="10" customWidth="1" min="21" max="21"/>
    <col width="40" customWidth="1" min="22" max="22"/>
    <col width="12" customWidth="1" min="23" max="23"/>
    <col width="24" customWidth="1" min="24" max="24"/>
  </cols>
  <sheetData>
    <row r="1" ht="48" customHeight="1">
      <c r="A1" s="6" t="inlineStr">
        <is>
          <t>SBAN</t>
        </is>
      </c>
      <c r="B1" s="6" t="inlineStr">
        <is>
          <t>Nombre_Oficina</t>
        </is>
      </c>
      <c r="C1" s="6" t="inlineStr">
        <is>
          <t>Municipio</t>
        </is>
      </c>
      <c r="D1" s="6" t="inlineStr">
        <is>
          <t>Departamento</t>
        </is>
      </c>
      <c r="E1" s="6" t="inlineStr">
        <is>
          <t>Region</t>
        </is>
      </c>
      <c r="F1" s="7" t="inlineStr">
        <is>
          <t>Tecnico_Operativo</t>
        </is>
      </c>
      <c r="G1" s="7" t="inlineStr">
        <is>
          <t>Tecnico_Calidad</t>
        </is>
      </c>
      <c r="H1" s="7" t="inlineStr">
        <is>
          <t>Fecha_Programada_Inicio</t>
        </is>
      </c>
      <c r="I1" s="7" t="inlineStr">
        <is>
          <t>Fecha_Programada_Fin</t>
        </is>
      </c>
      <c r="J1" s="8" t="inlineStr">
        <is>
          <t>Fecha_Inicio_Real</t>
        </is>
      </c>
      <c r="K1" s="8" t="inlineStr">
        <is>
          <t>Fecha_Cierre_Operativo</t>
        </is>
      </c>
      <c r="L1" s="8" t="inlineStr">
        <is>
          <t>Estado_Mantenimiento</t>
        </is>
      </c>
      <c r="M1" s="8" t="inlineStr">
        <is>
          <t>Fecha_Nueva_Programada</t>
        </is>
      </c>
      <c r="N1" s="9" t="inlineStr">
        <is>
          <t>Cumpli_Ingreso</t>
        </is>
      </c>
      <c r="O1" s="9" t="inlineStr">
        <is>
          <t>Cumpli_Salida</t>
        </is>
      </c>
      <c r="P1" s="9" t="inlineStr">
        <is>
          <t>Cumpli_Cronograma</t>
        </is>
      </c>
      <c r="Q1" s="9" t="inlineStr">
        <is>
          <t>Dias_Desviacion</t>
        </is>
      </c>
      <c r="R1" s="10" t="inlineStr">
        <is>
          <t>Causal_Desviacion</t>
        </is>
      </c>
      <c r="S1" s="10" t="inlineStr">
        <is>
          <t>Estatus_Acta</t>
        </is>
      </c>
      <c r="T1" s="10" t="inlineStr">
        <is>
          <t>Fecha_Cierre_Administrativo</t>
        </is>
      </c>
      <c r="U1" s="10" t="inlineStr">
        <is>
          <t>Cantidad_Equipos</t>
        </is>
      </c>
      <c r="V1" s="10" t="inlineStr">
        <is>
          <t>Observaciones_Calidad</t>
        </is>
      </c>
      <c r="W1" s="10" t="inlineStr">
        <is>
          <t>Chequeo_Fechas</t>
        </is>
      </c>
      <c r="X1" s="10" t="inlineStr">
        <is>
          <t>Horario_Atencion</t>
        </is>
      </c>
    </row>
    <row r="2">
      <c r="A2" s="11" t="inlineStr">
        <is>
          <t>10</t>
        </is>
      </c>
      <c r="B2" s="12">
        <f>SI([@SBAN]="";"";BUSCARV([@SBAN];Cronograma_Maestro!$A:$M;2;FALSO))</f>
        <v/>
      </c>
      <c r="C2" s="12">
        <f>SI([@SBAN]="";"";BUSCARV([@SBAN];Cronograma_Maestro!$A:$M;3;FALSO))</f>
        <v/>
      </c>
      <c r="D2" s="12">
        <f>SI([@SBAN]="";"";BUSCARV([@SBAN];Cronograma_Maestro!$A:$M;4;FALSO))</f>
        <v/>
      </c>
      <c r="E2" s="12">
        <f>SI([@SBAN]="";"";BUSCARV([@SBAN];Cronograma_Maestro!$A:$M;5;FALSO))</f>
        <v/>
      </c>
      <c r="F2" s="12" t="inlineStr">
        <is>
          <t>Anderson Forero Mora</t>
        </is>
      </c>
      <c r="G2" s="12" t="inlineStr">
        <is>
          <t>PMU COLSOF</t>
        </is>
      </c>
      <c r="H2" s="13" t="n">
        <v>46302</v>
      </c>
      <c r="I2" s="13" t="n">
        <v>46304</v>
      </c>
      <c r="J2" s="13" t="n"/>
      <c r="K2" s="13" t="n"/>
      <c r="L2" s="12" t="inlineStr">
        <is>
          <t>Programada</t>
        </is>
      </c>
      <c r="M2" s="13" t="n"/>
      <c r="N2" s="14">
        <f>SI(O([@[Fecha_Programada_Inicio]]="";[@[Fecha_Inicio_Real]]="");"";SI([@[Fecha_Inicio_Real]]&lt;=[@[Fecha_Programada_Inicio]];"SÍ";"NO"))</f>
        <v/>
      </c>
      <c r="O2" s="14">
        <f>SI(O([@[Fecha_Programada_Fin]]="";[@[Fecha_Cierre_Operativo]]="");"";SI([@[Fecha_Cierre_Operativo]]&lt;=SI([@[Fecha_Nueva_Programada]]&lt;&gt;"";[@[Fecha_Nueva_Programada]];[@[Fecha_Programada_Fin]]);"SÍ";"NO"))</f>
        <v/>
      </c>
      <c r="P2" s="14">
        <f>SI(O([@[Cumpli_Ingreso]]="";[@[Cumpli_Salida]]="");"";SI(Y([@[Cumpli_Ingreso]]="SÍ";[@[Cumpli_Salida]]="SÍ");"SÍ";"NO"))</f>
        <v/>
      </c>
      <c r="Q2" s="15">
        <f>SI(O([@[Fecha_Programada_Fin]]="";[@[Fecha_Cierre_Operativo]]="");"";MAX(0;ENTERO([@[Fecha_Cierre_Operativo]])-ENTERO(SI([@[Fecha_Nueva_Programada]]&lt;&gt;"";[@[Fecha_Nueva_Programada]];[@[Fecha_Programada_Fin]])))</f>
        <v/>
      </c>
      <c r="R2" s="12" t="n"/>
      <c r="S2" s="12" t="n"/>
      <c r="T2" s="13" t="n"/>
      <c r="U2" s="12" t="n">
        <v>56</v>
      </c>
      <c r="V2" s="12" t="n"/>
      <c r="W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" s="14">
        <f>SI([@SBAN]="";"";BUSCARV([@SBAN];Cronograma_Maestro!$A:$M;6;FALSO))</f>
        <v/>
      </c>
    </row>
    <row r="3">
      <c r="A3" s="11" t="inlineStr">
        <is>
          <t>20</t>
        </is>
      </c>
      <c r="B3" s="12">
        <f>SI([@SBAN]="";"";BUSCARV([@SBAN];Cronograma_Maestro!$A:$M;2;FALSO))</f>
        <v/>
      </c>
      <c r="C3" s="12">
        <f>SI([@SBAN]="";"";BUSCARV([@SBAN];Cronograma_Maestro!$A:$M;3;FALSO))</f>
        <v/>
      </c>
      <c r="D3" s="12">
        <f>SI([@SBAN]="";"";BUSCARV([@SBAN];Cronograma_Maestro!$A:$M;4;FALSO))</f>
        <v/>
      </c>
      <c r="E3" s="12">
        <f>SI([@SBAN]="";"";BUSCARV([@SBAN];Cronograma_Maestro!$A:$M;5;FALSO))</f>
        <v/>
      </c>
      <c r="F3" s="12" t="inlineStr">
        <is>
          <t>Anderson Forero Mora</t>
        </is>
      </c>
      <c r="G3" s="12" t="inlineStr">
        <is>
          <t>PMU COLSOF</t>
        </is>
      </c>
      <c r="H3" s="13" t="n">
        <v>46300</v>
      </c>
      <c r="I3" s="13" t="n">
        <v>46301</v>
      </c>
      <c r="J3" s="13" t="n"/>
      <c r="K3" s="13" t="n"/>
      <c r="L3" s="12" t="inlineStr">
        <is>
          <t>Programada</t>
        </is>
      </c>
      <c r="M3" s="13" t="n"/>
      <c r="N3" s="14">
        <f>SI(O([@[Fecha_Programada_Inicio]]="";[@[Fecha_Inicio_Real]]="");"";SI([@[Fecha_Inicio_Real]]&lt;=[@[Fecha_Programada_Inicio]];"SÍ";"NO"))</f>
        <v/>
      </c>
      <c r="O3" s="14">
        <f>SI(O([@[Fecha_Programada_Fin]]="";[@[Fecha_Cierre_Operativo]]="");"";SI([@[Fecha_Cierre_Operativo]]&lt;=SI([@[Fecha_Nueva_Programada]]&lt;&gt;"";[@[Fecha_Nueva_Programada]];[@[Fecha_Programada_Fin]]);"SÍ";"NO"))</f>
        <v/>
      </c>
      <c r="P3" s="14">
        <f>SI(O([@[Cumpli_Ingreso]]="";[@[Cumpli_Salida]]="");"";SI(Y([@[Cumpli_Ingreso]]="SÍ";[@[Cumpli_Salida]]="SÍ");"SÍ";"NO"))</f>
        <v/>
      </c>
      <c r="Q3" s="15">
        <f>SI(O([@[Fecha_Programada_Fin]]="";[@[Fecha_Cierre_Operativo]]="");"";MAX(0;ENTERO([@[Fecha_Cierre_Operativo]])-ENTERO(SI([@[Fecha_Nueva_Programada]]&lt;&gt;"";[@[Fecha_Nueva_Programada]];[@[Fecha_Programada_Fin]])))</f>
        <v/>
      </c>
      <c r="R3" s="12" t="n"/>
      <c r="S3" s="12" t="n"/>
      <c r="T3" s="13" t="n"/>
      <c r="U3" s="12" t="n">
        <v>28</v>
      </c>
      <c r="V3" s="12" t="n"/>
      <c r="W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" s="14">
        <f>SI([@SBAN]="";"";BUSCARV([@SBAN];Cronograma_Maestro!$A:$M;6;FALSO))</f>
        <v/>
      </c>
    </row>
    <row r="4">
      <c r="A4" s="11" t="inlineStr">
        <is>
          <t>70</t>
        </is>
      </c>
      <c r="B4" s="12">
        <f>SI([@SBAN]="";"";BUSCARV([@SBAN];Cronograma_Maestro!$A:$M;2;FALSO))</f>
        <v/>
      </c>
      <c r="C4" s="12">
        <f>SI([@SBAN]="";"";BUSCARV([@SBAN];Cronograma_Maestro!$A:$M;3;FALSO))</f>
        <v/>
      </c>
      <c r="D4" s="12">
        <f>SI([@SBAN]="";"";BUSCARV([@SBAN];Cronograma_Maestro!$A:$M;4;FALSO))</f>
        <v/>
      </c>
      <c r="E4" s="12">
        <f>SI([@SBAN]="";"";BUSCARV([@SBAN];Cronograma_Maestro!$A:$M;5;FALSO))</f>
        <v/>
      </c>
      <c r="F4" s="12" t="inlineStr">
        <is>
          <t>Anderson Forero Mora</t>
        </is>
      </c>
      <c r="G4" s="12" t="inlineStr">
        <is>
          <t>PMU COLSOF</t>
        </is>
      </c>
      <c r="H4" s="13" t="n">
        <v>46293</v>
      </c>
      <c r="I4" s="13" t="n">
        <v>46295</v>
      </c>
      <c r="J4" s="13" t="n"/>
      <c r="K4" s="13" t="n"/>
      <c r="L4" s="12" t="inlineStr">
        <is>
          <t>Programada</t>
        </is>
      </c>
      <c r="M4" s="13" t="n"/>
      <c r="N4" s="14">
        <f>SI(O([@[Fecha_Programada_Inicio]]="";[@[Fecha_Inicio_Real]]="");"";SI([@[Fecha_Inicio_Real]]&lt;=[@[Fecha_Programada_Inicio]];"SÍ";"NO"))</f>
        <v/>
      </c>
      <c r="O4" s="14">
        <f>SI(O([@[Fecha_Programada_Fin]]="";[@[Fecha_Cierre_Operativo]]="");"";SI([@[Fecha_Cierre_Operativo]]&lt;=SI([@[Fecha_Nueva_Programada]]&lt;&gt;"";[@[Fecha_Nueva_Programada]];[@[Fecha_Programada_Fin]]);"SÍ";"NO"))</f>
        <v/>
      </c>
      <c r="P4" s="14">
        <f>SI(O([@[Cumpli_Ingreso]]="";[@[Cumpli_Salida]]="");"";SI(Y([@[Cumpli_Ingreso]]="SÍ";[@[Cumpli_Salida]]="SÍ");"SÍ";"NO"))</f>
        <v/>
      </c>
      <c r="Q4" s="15">
        <f>SI(O([@[Fecha_Programada_Fin]]="";[@[Fecha_Cierre_Operativo]]="");"";MAX(0;ENTERO([@[Fecha_Cierre_Operativo]])-ENTERO(SI([@[Fecha_Nueva_Programada]]&lt;&gt;"";[@[Fecha_Nueva_Programada]];[@[Fecha_Programada_Fin]])))</f>
        <v/>
      </c>
      <c r="R4" s="12" t="n"/>
      <c r="S4" s="12" t="n"/>
      <c r="T4" s="13" t="n"/>
      <c r="U4" s="12" t="n">
        <v>45</v>
      </c>
      <c r="V4" s="12" t="n"/>
      <c r="W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" s="14">
        <f>SI([@SBAN]="";"";BUSCARV([@SBAN];Cronograma_Maestro!$A:$M;6;FALSO))</f>
        <v/>
      </c>
    </row>
    <row r="5">
      <c r="A5" s="11" t="inlineStr">
        <is>
          <t>230</t>
        </is>
      </c>
      <c r="B5" s="12">
        <f>SI([@SBAN]="";"";BUSCARV([@SBAN];Cronograma_Maestro!$A:$M;2;FALSO))</f>
        <v/>
      </c>
      <c r="C5" s="12">
        <f>SI([@SBAN]="";"";BUSCARV([@SBAN];Cronograma_Maestro!$A:$M;3;FALSO))</f>
        <v/>
      </c>
      <c r="D5" s="12">
        <f>SI([@SBAN]="";"";BUSCARV([@SBAN];Cronograma_Maestro!$A:$M;4;FALSO))</f>
        <v/>
      </c>
      <c r="E5" s="12">
        <f>SI([@SBAN]="";"";BUSCARV([@SBAN];Cronograma_Maestro!$A:$M;5;FALSO))</f>
        <v/>
      </c>
      <c r="F5" s="12" t="inlineStr">
        <is>
          <t>Anderson Forero Mora</t>
        </is>
      </c>
      <c r="G5" s="12" t="inlineStr">
        <is>
          <t>PMU COLSOF</t>
        </is>
      </c>
      <c r="H5" s="13" t="n">
        <v>46321</v>
      </c>
      <c r="I5" s="13" t="n">
        <v>46321</v>
      </c>
      <c r="J5" s="13" t="n"/>
      <c r="K5" s="13" t="n"/>
      <c r="L5" s="12" t="inlineStr">
        <is>
          <t>Programada</t>
        </is>
      </c>
      <c r="M5" s="13" t="n"/>
      <c r="N5" s="14">
        <f>SI(O([@[Fecha_Programada_Inicio]]="";[@[Fecha_Inicio_Real]]="");"";SI([@[Fecha_Inicio_Real]]&lt;=[@[Fecha_Programada_Inicio]];"SÍ";"NO"))</f>
        <v/>
      </c>
      <c r="O5" s="14">
        <f>SI(O([@[Fecha_Programada_Fin]]="";[@[Fecha_Cierre_Operativo]]="");"";SI([@[Fecha_Cierre_Operativo]]&lt;=SI([@[Fecha_Nueva_Programada]]&lt;&gt;"";[@[Fecha_Nueva_Programada]];[@[Fecha_Programada_Fin]]);"SÍ";"NO"))</f>
        <v/>
      </c>
      <c r="P5" s="14">
        <f>SI(O([@[Cumpli_Ingreso]]="";[@[Cumpli_Salida]]="");"";SI(Y([@[Cumpli_Ingreso]]="SÍ";[@[Cumpli_Salida]]="SÍ");"SÍ";"NO"))</f>
        <v/>
      </c>
      <c r="Q5" s="15">
        <f>SI(O([@[Fecha_Programada_Fin]]="";[@[Fecha_Cierre_Operativo]]="");"";MAX(0;ENTERO([@[Fecha_Cierre_Operativo]])-ENTERO(SI([@[Fecha_Nueva_Programada]]&lt;&gt;"";[@[Fecha_Nueva_Programada]];[@[Fecha_Programada_Fin]])))</f>
        <v/>
      </c>
      <c r="R5" s="12" t="n"/>
      <c r="S5" s="12" t="n"/>
      <c r="T5" s="13" t="n"/>
      <c r="U5" s="12" t="n">
        <v>25</v>
      </c>
      <c r="V5" s="12" t="n"/>
      <c r="W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" s="14">
        <f>SI([@SBAN]="";"";BUSCARV([@SBAN];Cronograma_Maestro!$A:$M;6;FALSO))</f>
        <v/>
      </c>
    </row>
    <row r="6">
      <c r="A6" s="11" t="inlineStr">
        <is>
          <t>250</t>
        </is>
      </c>
      <c r="B6" s="12">
        <f>SI([@SBAN]="";"";BUSCARV([@SBAN];Cronograma_Maestro!$A:$M;2;FALSO))</f>
        <v/>
      </c>
      <c r="C6" s="12">
        <f>SI([@SBAN]="";"";BUSCARV([@SBAN];Cronograma_Maestro!$A:$M;3;FALSO))</f>
        <v/>
      </c>
      <c r="D6" s="12">
        <f>SI([@SBAN]="";"";BUSCARV([@SBAN];Cronograma_Maestro!$A:$M;4;FALSO))</f>
        <v/>
      </c>
      <c r="E6" s="12">
        <f>SI([@SBAN]="";"";BUSCARV([@SBAN];Cronograma_Maestro!$A:$M;5;FALSO))</f>
        <v/>
      </c>
      <c r="F6" s="12" t="inlineStr">
        <is>
          <t>Anderson Forero Mora</t>
        </is>
      </c>
      <c r="G6" s="12" t="inlineStr">
        <is>
          <t>PMU COLSOF</t>
        </is>
      </c>
      <c r="H6" s="13" t="n">
        <v>46316</v>
      </c>
      <c r="I6" s="13" t="n">
        <v>46316</v>
      </c>
      <c r="J6" s="13" t="n"/>
      <c r="K6" s="13" t="n"/>
      <c r="L6" s="12" t="inlineStr">
        <is>
          <t>Programada</t>
        </is>
      </c>
      <c r="M6" s="13" t="n"/>
      <c r="N6" s="14">
        <f>SI(O([@[Fecha_Programada_Inicio]]="";[@[Fecha_Inicio_Real]]="");"";SI([@[Fecha_Inicio_Real]]&lt;=[@[Fecha_Programada_Inicio]];"SÍ";"NO"))</f>
        <v/>
      </c>
      <c r="O6" s="14">
        <f>SI(O([@[Fecha_Programada_Fin]]="";[@[Fecha_Cierre_Operativo]]="");"";SI([@[Fecha_Cierre_Operativo]]&lt;=SI([@[Fecha_Nueva_Programada]]&lt;&gt;"";[@[Fecha_Nueva_Programada]];[@[Fecha_Programada_Fin]]);"SÍ";"NO"))</f>
        <v/>
      </c>
      <c r="P6" s="14">
        <f>SI(O([@[Cumpli_Ingreso]]="";[@[Cumpli_Salida]]="");"";SI(Y([@[Cumpli_Ingreso]]="SÍ";[@[Cumpli_Salida]]="SÍ");"SÍ";"NO"))</f>
        <v/>
      </c>
      <c r="Q6" s="15">
        <f>SI(O([@[Fecha_Programada_Fin]]="";[@[Fecha_Cierre_Operativo]]="");"";MAX(0;ENTERO([@[Fecha_Cierre_Operativo]])-ENTERO(SI([@[Fecha_Nueva_Programada]]&lt;&gt;"";[@[Fecha_Nueva_Programada]];[@[Fecha_Programada_Fin]])))</f>
        <v/>
      </c>
      <c r="R6" s="12" t="n"/>
      <c r="S6" s="12" t="n"/>
      <c r="T6" s="13" t="n"/>
      <c r="U6" s="12" t="n">
        <v>19</v>
      </c>
      <c r="V6" s="12" t="n"/>
      <c r="W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" s="14">
        <f>SI([@SBAN]="";"";BUSCARV([@SBAN];Cronograma_Maestro!$A:$M;6;FALSO))</f>
        <v/>
      </c>
    </row>
    <row r="7">
      <c r="A7" s="11" t="inlineStr">
        <is>
          <t>260</t>
        </is>
      </c>
      <c r="B7" s="12">
        <f>SI([@SBAN]="";"";BUSCARV([@SBAN];Cronograma_Maestro!$A:$M;2;FALSO))</f>
        <v/>
      </c>
      <c r="C7" s="12">
        <f>SI([@SBAN]="";"";BUSCARV([@SBAN];Cronograma_Maestro!$A:$M;3;FALSO))</f>
        <v/>
      </c>
      <c r="D7" s="12">
        <f>SI([@SBAN]="";"";BUSCARV([@SBAN];Cronograma_Maestro!$A:$M;4;FALSO))</f>
        <v/>
      </c>
      <c r="E7" s="12">
        <f>SI([@SBAN]="";"";BUSCARV([@SBAN];Cronograma_Maestro!$A:$M;5;FALSO))</f>
        <v/>
      </c>
      <c r="F7" s="12" t="inlineStr">
        <is>
          <t>Anderson Forero Mora</t>
        </is>
      </c>
      <c r="G7" s="12" t="inlineStr">
        <is>
          <t>PMU COLSOF</t>
        </is>
      </c>
      <c r="H7" s="13" t="n">
        <v>46308</v>
      </c>
      <c r="I7" s="13" t="n">
        <v>46309</v>
      </c>
      <c r="J7" s="13" t="n"/>
      <c r="K7" s="13" t="n"/>
      <c r="L7" s="12" t="inlineStr">
        <is>
          <t>Programada</t>
        </is>
      </c>
      <c r="M7" s="13" t="n"/>
      <c r="N7" s="14">
        <f>SI(O([@[Fecha_Programada_Inicio]]="";[@[Fecha_Inicio_Real]]="");"";SI([@[Fecha_Inicio_Real]]&lt;=[@[Fecha_Programada_Inicio]];"SÍ";"NO"))</f>
        <v/>
      </c>
      <c r="O7" s="14">
        <f>SI(O([@[Fecha_Programada_Fin]]="";[@[Fecha_Cierre_Operativo]]="");"";SI([@[Fecha_Cierre_Operativo]]&lt;=SI([@[Fecha_Nueva_Programada]]&lt;&gt;"";[@[Fecha_Nueva_Programada]];[@[Fecha_Programada_Fin]]);"SÍ";"NO"))</f>
        <v/>
      </c>
      <c r="P7" s="14">
        <f>SI(O([@[Cumpli_Ingreso]]="";[@[Cumpli_Salida]]="");"";SI(Y([@[Cumpli_Ingreso]]="SÍ";[@[Cumpli_Salida]]="SÍ");"SÍ";"NO"))</f>
        <v/>
      </c>
      <c r="Q7" s="15">
        <f>SI(O([@[Fecha_Programada_Fin]]="";[@[Fecha_Cierre_Operativo]]="");"";MAX(0;ENTERO([@[Fecha_Cierre_Operativo]])-ENTERO(SI([@[Fecha_Nueva_Programada]]&lt;&gt;"";[@[Fecha_Nueva_Programada]];[@[Fecha_Programada_Fin]])))</f>
        <v/>
      </c>
      <c r="R7" s="12" t="n"/>
      <c r="S7" s="12" t="n"/>
      <c r="T7" s="13" t="n"/>
      <c r="U7" s="12" t="n">
        <v>37</v>
      </c>
      <c r="V7" s="12" t="n"/>
      <c r="W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" s="14">
        <f>SI([@SBAN]="";"";BUSCARV([@SBAN];Cronograma_Maestro!$A:$M;6;FALSO))</f>
        <v/>
      </c>
    </row>
    <row r="8">
      <c r="A8" s="11" t="inlineStr">
        <is>
          <t>280</t>
        </is>
      </c>
      <c r="B8" s="12">
        <f>SI([@SBAN]="";"";BUSCARV([@SBAN];Cronograma_Maestro!$A:$M;2;FALSO))</f>
        <v/>
      </c>
      <c r="C8" s="12">
        <f>SI([@SBAN]="";"";BUSCARV([@SBAN];Cronograma_Maestro!$A:$M;3;FALSO))</f>
        <v/>
      </c>
      <c r="D8" s="12">
        <f>SI([@SBAN]="";"";BUSCARV([@SBAN];Cronograma_Maestro!$A:$M;4;FALSO))</f>
        <v/>
      </c>
      <c r="E8" s="12">
        <f>SI([@SBAN]="";"";BUSCARV([@SBAN];Cronograma_Maestro!$A:$M;5;FALSO))</f>
        <v/>
      </c>
      <c r="F8" s="12" t="inlineStr">
        <is>
          <t>Anderson Forero Mora</t>
        </is>
      </c>
      <c r="G8" s="12" t="inlineStr">
        <is>
          <t>PMU COLSOF</t>
        </is>
      </c>
      <c r="H8" s="13" t="n">
        <v>46297</v>
      </c>
      <c r="I8" s="13" t="n">
        <v>46297</v>
      </c>
      <c r="J8" s="13" t="n"/>
      <c r="K8" s="13" t="n"/>
      <c r="L8" s="12" t="inlineStr">
        <is>
          <t>Programada</t>
        </is>
      </c>
      <c r="M8" s="13" t="n"/>
      <c r="N8" s="14">
        <f>SI(O([@[Fecha_Programada_Inicio]]="";[@[Fecha_Inicio_Real]]="");"";SI([@[Fecha_Inicio_Real]]&lt;=[@[Fecha_Programada_Inicio]];"SÍ";"NO"))</f>
        <v/>
      </c>
      <c r="O8" s="14">
        <f>SI(O([@[Fecha_Programada_Fin]]="";[@[Fecha_Cierre_Operativo]]="");"";SI([@[Fecha_Cierre_Operativo]]&lt;=SI([@[Fecha_Nueva_Programada]]&lt;&gt;"";[@[Fecha_Nueva_Programada]];[@[Fecha_Programada_Fin]]);"SÍ";"NO"))</f>
        <v/>
      </c>
      <c r="P8" s="14">
        <f>SI(O([@[Cumpli_Ingreso]]="";[@[Cumpli_Salida]]="");"";SI(Y([@[Cumpli_Ingreso]]="SÍ";[@[Cumpli_Salida]]="SÍ");"SÍ";"NO"))</f>
        <v/>
      </c>
      <c r="Q8" s="15">
        <f>SI(O([@[Fecha_Programada_Fin]]="";[@[Fecha_Cierre_Operativo]]="");"";MAX(0;ENTERO([@[Fecha_Cierre_Operativo]])-ENTERO(SI([@[Fecha_Nueva_Programada]]&lt;&gt;"";[@[Fecha_Nueva_Programada]];[@[Fecha_Programada_Fin]])))</f>
        <v/>
      </c>
      <c r="R8" s="12" t="n"/>
      <c r="S8" s="12" t="n"/>
      <c r="T8" s="13" t="n"/>
      <c r="U8" s="12" t="n">
        <v>16</v>
      </c>
      <c r="V8" s="12" t="n"/>
      <c r="W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8" s="14">
        <f>SI([@SBAN]="";"";BUSCARV([@SBAN];Cronograma_Maestro!$A:$M;6;FALSO))</f>
        <v/>
      </c>
    </row>
    <row r="9">
      <c r="A9" s="11" t="inlineStr">
        <is>
          <t>290</t>
        </is>
      </c>
      <c r="B9" s="12">
        <f>SI([@SBAN]="";"";BUSCARV([@SBAN];Cronograma_Maestro!$A:$M;2;FALSO))</f>
        <v/>
      </c>
      <c r="C9" s="12">
        <f>SI([@SBAN]="";"";BUSCARV([@SBAN];Cronograma_Maestro!$A:$M;3;FALSO))</f>
        <v/>
      </c>
      <c r="D9" s="12">
        <f>SI([@SBAN]="";"";BUSCARV([@SBAN];Cronograma_Maestro!$A:$M;4;FALSO))</f>
        <v/>
      </c>
      <c r="E9" s="12">
        <f>SI([@SBAN]="";"";BUSCARV([@SBAN];Cronograma_Maestro!$A:$M;5;FALSO))</f>
        <v/>
      </c>
      <c r="F9" s="12" t="inlineStr">
        <is>
          <t>Edwin Santiago Cuchivaguen Diaz</t>
        </is>
      </c>
      <c r="G9" s="12" t="inlineStr">
        <is>
          <t>PMU COLSOF</t>
        </is>
      </c>
      <c r="H9" s="13" t="n">
        <v>46273</v>
      </c>
      <c r="I9" s="13" t="n">
        <v>46273</v>
      </c>
      <c r="J9" s="13" t="n"/>
      <c r="K9" s="13" t="n"/>
      <c r="L9" s="12" t="inlineStr">
        <is>
          <t>Programada</t>
        </is>
      </c>
      <c r="M9" s="13" t="n"/>
      <c r="N9" s="14">
        <f>SI(O([@[Fecha_Programada_Inicio]]="";[@[Fecha_Inicio_Real]]="");"";SI([@[Fecha_Inicio_Real]]&lt;=[@[Fecha_Programada_Inicio]];"SÍ";"NO"))</f>
        <v/>
      </c>
      <c r="O9" s="14">
        <f>SI(O([@[Fecha_Programada_Fin]]="";[@[Fecha_Cierre_Operativo]]="");"";SI([@[Fecha_Cierre_Operativo]]&lt;=SI([@[Fecha_Nueva_Programada]]&lt;&gt;"";[@[Fecha_Nueva_Programada]];[@[Fecha_Programada_Fin]]);"SÍ";"NO"))</f>
        <v/>
      </c>
      <c r="P9" s="14">
        <f>SI(O([@[Cumpli_Ingreso]]="";[@[Cumpli_Salida]]="");"";SI(Y([@[Cumpli_Ingreso]]="SÍ";[@[Cumpli_Salida]]="SÍ");"SÍ";"NO"))</f>
        <v/>
      </c>
      <c r="Q9" s="15">
        <f>SI(O([@[Fecha_Programada_Fin]]="";[@[Fecha_Cierre_Operativo]]="");"";MAX(0;ENTERO([@[Fecha_Cierre_Operativo]])-ENTERO(SI([@[Fecha_Nueva_Programada]]&lt;&gt;"";[@[Fecha_Nueva_Programada]];[@[Fecha_Programada_Fin]])))</f>
        <v/>
      </c>
      <c r="R9" s="12" t="n"/>
      <c r="S9" s="12" t="n"/>
      <c r="T9" s="13" t="n"/>
      <c r="U9" s="12" t="n">
        <v>32</v>
      </c>
      <c r="V9" s="12" t="n"/>
      <c r="W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9" s="14">
        <f>SI([@SBAN]="";"";BUSCARV([@SBAN];Cronograma_Maestro!$A:$M;6;FALSO))</f>
        <v/>
      </c>
    </row>
    <row r="10">
      <c r="A10" s="11" t="inlineStr">
        <is>
          <t>360</t>
        </is>
      </c>
      <c r="B10" s="12">
        <f>SI([@SBAN]="";"";BUSCARV([@SBAN];Cronograma_Maestro!$A:$M;2;FALSO))</f>
        <v/>
      </c>
      <c r="C10" s="12">
        <f>SI([@SBAN]="";"";BUSCARV([@SBAN];Cronograma_Maestro!$A:$M;3;FALSO))</f>
        <v/>
      </c>
      <c r="D10" s="12">
        <f>SI([@SBAN]="";"";BUSCARV([@SBAN];Cronograma_Maestro!$A:$M;4;FALSO))</f>
        <v/>
      </c>
      <c r="E10" s="12">
        <f>SI([@SBAN]="";"";BUSCARV([@SBAN];Cronograma_Maestro!$A:$M;5;FALSO))</f>
        <v/>
      </c>
      <c r="F10" s="12" t="inlineStr">
        <is>
          <t>Anderson Forero Mora</t>
        </is>
      </c>
      <c r="G10" s="12" t="inlineStr">
        <is>
          <t>PMU COLSOF</t>
        </is>
      </c>
      <c r="H10" s="13" t="n">
        <v>46318</v>
      </c>
      <c r="I10" s="13" t="n">
        <v>46318</v>
      </c>
      <c r="J10" s="13" t="n"/>
      <c r="K10" s="13" t="n"/>
      <c r="L10" s="12" t="inlineStr">
        <is>
          <t>Programada</t>
        </is>
      </c>
      <c r="M10" s="13" t="n"/>
      <c r="N10" s="14">
        <f>SI(O([@[Fecha_Programada_Inicio]]="";[@[Fecha_Inicio_Real]]="");"";SI([@[Fecha_Inicio_Real]]&lt;=[@[Fecha_Programada_Inicio]];"SÍ";"NO"))</f>
        <v/>
      </c>
      <c r="O10" s="14">
        <f>SI(O([@[Fecha_Programada_Fin]]="";[@[Fecha_Cierre_Operativo]]="");"";SI([@[Fecha_Cierre_Operativo]]&lt;=SI([@[Fecha_Nueva_Programada]]&lt;&gt;"";[@[Fecha_Nueva_Programada]];[@[Fecha_Programada_Fin]]);"SÍ";"NO"))</f>
        <v/>
      </c>
      <c r="P10" s="14">
        <f>SI(O([@[Cumpli_Ingreso]]="";[@[Cumpli_Salida]]="");"";SI(Y([@[Cumpli_Ingreso]]="SÍ";[@[Cumpli_Salida]]="SÍ");"SÍ";"NO"))</f>
        <v/>
      </c>
      <c r="Q10" s="15">
        <f>SI(O([@[Fecha_Programada_Fin]]="";[@[Fecha_Cierre_Operativo]]="");"";MAX(0;ENTERO([@[Fecha_Cierre_Operativo]])-ENTERO(SI([@[Fecha_Nueva_Programada]]&lt;&gt;"";[@[Fecha_Nueva_Programada]];[@[Fecha_Programada_Fin]])))</f>
        <v/>
      </c>
      <c r="R10" s="12" t="n"/>
      <c r="S10" s="12" t="n"/>
      <c r="T10" s="13" t="n"/>
      <c r="U10" s="12" t="n">
        <v>23</v>
      </c>
      <c r="V10" s="12" t="n"/>
      <c r="W1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0" s="14">
        <f>SI([@SBAN]="";"";BUSCARV([@SBAN];Cronograma_Maestro!$A:$M;6;FALSO))</f>
        <v/>
      </c>
    </row>
    <row r="11">
      <c r="A11" s="11" t="inlineStr">
        <is>
          <t>590</t>
        </is>
      </c>
      <c r="B11" s="12">
        <f>SI([@SBAN]="";"";BUSCARV([@SBAN];Cronograma_Maestro!$A:$M;2;FALSO))</f>
        <v/>
      </c>
      <c r="C11" s="12">
        <f>SI([@SBAN]="";"";BUSCARV([@SBAN];Cronograma_Maestro!$A:$M;3;FALSO))</f>
        <v/>
      </c>
      <c r="D11" s="12">
        <f>SI([@SBAN]="";"";BUSCARV([@SBAN];Cronograma_Maestro!$A:$M;4;FALSO))</f>
        <v/>
      </c>
      <c r="E11" s="12">
        <f>SI([@SBAN]="";"";BUSCARV([@SBAN];Cronograma_Maestro!$A:$M;5;FALSO))</f>
        <v/>
      </c>
      <c r="F11" s="12" t="inlineStr">
        <is>
          <t>Anderson Forero Mora</t>
        </is>
      </c>
      <c r="G11" s="12" t="inlineStr">
        <is>
          <t>PMU COLSOF</t>
        </is>
      </c>
      <c r="H11" s="13" t="n">
        <v>46310</v>
      </c>
      <c r="I11" s="13" t="n">
        <v>46311</v>
      </c>
      <c r="J11" s="13" t="n"/>
      <c r="K11" s="13" t="n"/>
      <c r="L11" s="12" t="inlineStr">
        <is>
          <t>Programada</t>
        </is>
      </c>
      <c r="M11" s="13" t="n"/>
      <c r="N11" s="14">
        <f>SI(O([@[Fecha_Programada_Inicio]]="";[@[Fecha_Inicio_Real]]="");"";SI([@[Fecha_Inicio_Real]]&lt;=[@[Fecha_Programada_Inicio]];"SÍ";"NO"))</f>
        <v/>
      </c>
      <c r="O11" s="14">
        <f>SI(O([@[Fecha_Programada_Fin]]="";[@[Fecha_Cierre_Operativo]]="");"";SI([@[Fecha_Cierre_Operativo]]&lt;=SI([@[Fecha_Nueva_Programada]]&lt;&gt;"";[@[Fecha_Nueva_Programada]];[@[Fecha_Programada_Fin]]);"SÍ";"NO"))</f>
        <v/>
      </c>
      <c r="P11" s="14">
        <f>SI(O([@[Cumpli_Ingreso]]="";[@[Cumpli_Salida]]="");"";SI(Y([@[Cumpli_Ingreso]]="SÍ";[@[Cumpli_Salida]]="SÍ");"SÍ";"NO"))</f>
        <v/>
      </c>
      <c r="Q11" s="15">
        <f>SI(O([@[Fecha_Programada_Fin]]="";[@[Fecha_Cierre_Operativo]]="");"";MAX(0;ENTERO([@[Fecha_Cierre_Operativo]])-ENTERO(SI([@[Fecha_Nueva_Programada]]&lt;&gt;"";[@[Fecha_Nueva_Programada]];[@[Fecha_Programada_Fin]])))</f>
        <v/>
      </c>
      <c r="R11" s="12" t="n"/>
      <c r="S11" s="12" t="n"/>
      <c r="T11" s="13" t="n"/>
      <c r="U11" s="12" t="n">
        <v>32</v>
      </c>
      <c r="V11" s="12" t="n"/>
      <c r="W1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1" s="14">
        <f>SI([@SBAN]="";"";BUSCARV([@SBAN];Cronograma_Maestro!$A:$M;6;FALSO))</f>
        <v/>
      </c>
    </row>
    <row r="12">
      <c r="A12" s="11" t="inlineStr">
        <is>
          <t>700</t>
        </is>
      </c>
      <c r="B12" s="12">
        <f>SI([@SBAN]="";"";BUSCARV([@SBAN];Cronograma_Maestro!$A:$M;2;FALSO))</f>
        <v/>
      </c>
      <c r="C12" s="12">
        <f>SI([@SBAN]="";"";BUSCARV([@SBAN];Cronograma_Maestro!$A:$M;3;FALSO))</f>
        <v/>
      </c>
      <c r="D12" s="12">
        <f>SI([@SBAN]="";"";BUSCARV([@SBAN];Cronograma_Maestro!$A:$M;4;FALSO))</f>
        <v/>
      </c>
      <c r="E12" s="12">
        <f>SI([@SBAN]="";"";BUSCARV([@SBAN];Cronograma_Maestro!$A:$M;5;FALSO))</f>
        <v/>
      </c>
      <c r="F12" s="12" t="inlineStr">
        <is>
          <t>Edwin Santiago Cuchivaguen Diaz</t>
        </is>
      </c>
      <c r="G12" s="12" t="inlineStr">
        <is>
          <t>PMU COLSOF</t>
        </is>
      </c>
      <c r="H12" s="13" t="n">
        <v>46280</v>
      </c>
      <c r="I12" s="13" t="n">
        <v>46280</v>
      </c>
      <c r="J12" s="13" t="n"/>
      <c r="K12" s="13" t="n"/>
      <c r="L12" s="12" t="inlineStr">
        <is>
          <t>Programada</t>
        </is>
      </c>
      <c r="M12" s="13" t="n"/>
      <c r="N12" s="14">
        <f>SI(O([@[Fecha_Programada_Inicio]]="";[@[Fecha_Inicio_Real]]="");"";SI([@[Fecha_Inicio_Real]]&lt;=[@[Fecha_Programada_Inicio]];"SÍ";"NO"))</f>
        <v/>
      </c>
      <c r="O12" s="14">
        <f>SI(O([@[Fecha_Programada_Fin]]="";[@[Fecha_Cierre_Operativo]]="");"";SI([@[Fecha_Cierre_Operativo]]&lt;=SI([@[Fecha_Nueva_Programada]]&lt;&gt;"";[@[Fecha_Nueva_Programada]];[@[Fecha_Programada_Fin]]);"SÍ";"NO"))</f>
        <v/>
      </c>
      <c r="P12" s="14">
        <f>SI(O([@[Cumpli_Ingreso]]="";[@[Cumpli_Salida]]="");"";SI(Y([@[Cumpli_Ingreso]]="SÍ";[@[Cumpli_Salida]]="SÍ");"SÍ";"NO"))</f>
        <v/>
      </c>
      <c r="Q12" s="15">
        <f>SI(O([@[Fecha_Programada_Fin]]="";[@[Fecha_Cierre_Operativo]]="");"";MAX(0;ENTERO([@[Fecha_Cierre_Operativo]])-ENTERO(SI([@[Fecha_Nueva_Programada]]&lt;&gt;"";[@[Fecha_Nueva_Programada]];[@[Fecha_Programada_Fin]])))</f>
        <v/>
      </c>
      <c r="R12" s="12" t="n"/>
      <c r="S12" s="12" t="n"/>
      <c r="T12" s="13" t="n"/>
      <c r="U12" s="12" t="n">
        <v>17</v>
      </c>
      <c r="V12" s="12" t="n"/>
      <c r="W1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2" s="14">
        <f>SI([@SBAN]="";"";BUSCARV([@SBAN];Cronograma_Maestro!$A:$M;6;FALSO))</f>
        <v/>
      </c>
    </row>
    <row r="13">
      <c r="A13" s="11" t="inlineStr">
        <is>
          <t>730</t>
        </is>
      </c>
      <c r="B13" s="12">
        <f>SI([@SBAN]="";"";BUSCARV([@SBAN];Cronograma_Maestro!$A:$M;2;FALSO))</f>
        <v/>
      </c>
      <c r="C13" s="12">
        <f>SI([@SBAN]="";"";BUSCARV([@SBAN];Cronograma_Maestro!$A:$M;3;FALSO))</f>
        <v/>
      </c>
      <c r="D13" s="12">
        <f>SI([@SBAN]="";"";BUSCARV([@SBAN];Cronograma_Maestro!$A:$M;4;FALSO))</f>
        <v/>
      </c>
      <c r="E13" s="12">
        <f>SI([@SBAN]="";"";BUSCARV([@SBAN];Cronograma_Maestro!$A:$M;5;FALSO))</f>
        <v/>
      </c>
      <c r="F13" s="12" t="inlineStr">
        <is>
          <t>Nelson Leonardo Paez Suarez</t>
        </is>
      </c>
      <c r="G13" s="12" t="inlineStr">
        <is>
          <t>PMU COLSOF</t>
        </is>
      </c>
      <c r="H13" s="13" t="n">
        <v>46274</v>
      </c>
      <c r="I13" s="13" t="n">
        <v>46274</v>
      </c>
      <c r="J13" s="13" t="n"/>
      <c r="K13" s="13" t="n"/>
      <c r="L13" s="12" t="inlineStr">
        <is>
          <t>Programada</t>
        </is>
      </c>
      <c r="M13" s="13" t="n"/>
      <c r="N13" s="14">
        <f>SI(O([@[Fecha_Programada_Inicio]]="";[@[Fecha_Inicio_Real]]="");"";SI([@[Fecha_Inicio_Real]]&lt;=[@[Fecha_Programada_Inicio]];"SÍ";"NO"))</f>
        <v/>
      </c>
      <c r="O13" s="14">
        <f>SI(O([@[Fecha_Programada_Fin]]="";[@[Fecha_Cierre_Operativo]]="");"";SI([@[Fecha_Cierre_Operativo]]&lt;=SI([@[Fecha_Nueva_Programada]]&lt;&gt;"";[@[Fecha_Nueva_Programada]];[@[Fecha_Programada_Fin]]);"SÍ";"NO"))</f>
        <v/>
      </c>
      <c r="P13" s="14">
        <f>SI(O([@[Cumpli_Ingreso]]="";[@[Cumpli_Salida]]="");"";SI(Y([@[Cumpli_Ingreso]]="SÍ";[@[Cumpli_Salida]]="SÍ");"SÍ";"NO"))</f>
        <v/>
      </c>
      <c r="Q13" s="15">
        <f>SI(O([@[Fecha_Programada_Fin]]="";[@[Fecha_Cierre_Operativo]]="");"";MAX(0;ENTERO([@[Fecha_Cierre_Operativo]])-ENTERO(SI([@[Fecha_Nueva_Programada]]&lt;&gt;"";[@[Fecha_Nueva_Programada]];[@[Fecha_Programada_Fin]])))</f>
        <v/>
      </c>
      <c r="R13" s="12" t="n"/>
      <c r="S13" s="12" t="n"/>
      <c r="T13" s="13" t="n"/>
      <c r="U13" s="12" t="n">
        <v>14</v>
      </c>
      <c r="V13" s="12" t="n"/>
      <c r="W1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3" s="14">
        <f>SI([@SBAN]="";"";BUSCARV([@SBAN];Cronograma_Maestro!$A:$M;6;FALSO))</f>
        <v/>
      </c>
    </row>
    <row r="14">
      <c r="A14" s="11" t="inlineStr">
        <is>
          <t>750</t>
        </is>
      </c>
      <c r="B14" s="12">
        <f>SI([@SBAN]="";"";BUSCARV([@SBAN];Cronograma_Maestro!$A:$M;2;FALSO))</f>
        <v/>
      </c>
      <c r="C14" s="12">
        <f>SI([@SBAN]="";"";BUSCARV([@SBAN];Cronograma_Maestro!$A:$M;3;FALSO))</f>
        <v/>
      </c>
      <c r="D14" s="12">
        <f>SI([@SBAN]="";"";BUSCARV([@SBAN];Cronograma_Maestro!$A:$M;4;FALSO))</f>
        <v/>
      </c>
      <c r="E14" s="12">
        <f>SI([@SBAN]="";"";BUSCARV([@SBAN];Cronograma_Maestro!$A:$M;5;FALSO))</f>
        <v/>
      </c>
      <c r="F14" s="12" t="inlineStr">
        <is>
          <t>Anderson Forero Mora</t>
        </is>
      </c>
      <c r="G14" s="12" t="inlineStr">
        <is>
          <t>PMU COLSOF</t>
        </is>
      </c>
      <c r="H14" s="13" t="n">
        <v>46296</v>
      </c>
      <c r="I14" s="13" t="n">
        <v>46296</v>
      </c>
      <c r="J14" s="13" t="n"/>
      <c r="K14" s="13" t="n"/>
      <c r="L14" s="12" t="inlineStr">
        <is>
          <t>Programada</t>
        </is>
      </c>
      <c r="M14" s="13" t="n"/>
      <c r="N14" s="14">
        <f>SI(O([@[Fecha_Programada_Inicio]]="";[@[Fecha_Inicio_Real]]="");"";SI([@[Fecha_Inicio_Real]]&lt;=[@[Fecha_Programada_Inicio]];"SÍ";"NO"))</f>
        <v/>
      </c>
      <c r="O14" s="14">
        <f>SI(O([@[Fecha_Programada_Fin]]="";[@[Fecha_Cierre_Operativo]]="");"";SI([@[Fecha_Cierre_Operativo]]&lt;=SI([@[Fecha_Nueva_Programada]]&lt;&gt;"";[@[Fecha_Nueva_Programada]];[@[Fecha_Programada_Fin]]);"SÍ";"NO"))</f>
        <v/>
      </c>
      <c r="P14" s="14">
        <f>SI(O([@[Cumpli_Ingreso]]="";[@[Cumpli_Salida]]="");"";SI(Y([@[Cumpli_Ingreso]]="SÍ";[@[Cumpli_Salida]]="SÍ");"SÍ";"NO"))</f>
        <v/>
      </c>
      <c r="Q14" s="15">
        <f>SI(O([@[Fecha_Programada_Fin]]="";[@[Fecha_Cierre_Operativo]]="");"";MAX(0;ENTERO([@[Fecha_Cierre_Operativo]])-ENTERO(SI([@[Fecha_Nueva_Programada]]&lt;&gt;"";[@[Fecha_Nueva_Programada]];[@[Fecha_Programada_Fin]])))</f>
        <v/>
      </c>
      <c r="R14" s="12" t="n"/>
      <c r="S14" s="12" t="n"/>
      <c r="T14" s="13" t="n"/>
      <c r="U14" s="12" t="n">
        <v>14</v>
      </c>
      <c r="V14" s="12" t="n"/>
      <c r="W1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4" s="14">
        <f>SI([@SBAN]="";"";BUSCARV([@SBAN];Cronograma_Maestro!$A:$M;6;FALSO))</f>
        <v/>
      </c>
    </row>
    <row r="15">
      <c r="A15" s="11" t="inlineStr">
        <is>
          <t>820</t>
        </is>
      </c>
      <c r="B15" s="12">
        <f>SI([@SBAN]="";"";BUSCARV([@SBAN];Cronograma_Maestro!$A:$M;2;FALSO))</f>
        <v/>
      </c>
      <c r="C15" s="12">
        <f>SI([@SBAN]="";"";BUSCARV([@SBAN];Cronograma_Maestro!$A:$M;3;FALSO))</f>
        <v/>
      </c>
      <c r="D15" s="12">
        <f>SI([@SBAN]="";"";BUSCARV([@SBAN];Cronograma_Maestro!$A:$M;4;FALSO))</f>
        <v/>
      </c>
      <c r="E15" s="12">
        <f>SI([@SBAN]="";"";BUSCARV([@SBAN];Cronograma_Maestro!$A:$M;5;FALSO))</f>
        <v/>
      </c>
      <c r="F15" s="12" t="inlineStr">
        <is>
          <t>Anderson Forero Mora</t>
        </is>
      </c>
      <c r="G15" s="12" t="inlineStr">
        <is>
          <t>PMU COLSOF</t>
        </is>
      </c>
      <c r="H15" s="13" t="n">
        <v>46314</v>
      </c>
      <c r="I15" s="13" t="n">
        <v>46315</v>
      </c>
      <c r="J15" s="13" t="n"/>
      <c r="K15" s="13" t="n"/>
      <c r="L15" s="12" t="inlineStr">
        <is>
          <t>Programada</t>
        </is>
      </c>
      <c r="M15" s="13" t="n"/>
      <c r="N15" s="14">
        <f>SI(O([@[Fecha_Programada_Inicio]]="";[@[Fecha_Inicio_Real]]="");"";SI([@[Fecha_Inicio_Real]]&lt;=[@[Fecha_Programada_Inicio]];"SÍ";"NO"))</f>
        <v/>
      </c>
      <c r="O15" s="14">
        <f>SI(O([@[Fecha_Programada_Fin]]="";[@[Fecha_Cierre_Operativo]]="");"";SI([@[Fecha_Cierre_Operativo]]&lt;=SI([@[Fecha_Nueva_Programada]]&lt;&gt;"";[@[Fecha_Nueva_Programada]];[@[Fecha_Programada_Fin]]);"SÍ";"NO"))</f>
        <v/>
      </c>
      <c r="P15" s="14">
        <f>SI(O([@[Cumpli_Ingreso]]="";[@[Cumpli_Salida]]="");"";SI(Y([@[Cumpli_Ingreso]]="SÍ";[@[Cumpli_Salida]]="SÍ");"SÍ";"NO"))</f>
        <v/>
      </c>
      <c r="Q15" s="15">
        <f>SI(O([@[Fecha_Programada_Fin]]="";[@[Fecha_Cierre_Operativo]]="");"";MAX(0;ENTERO([@[Fecha_Cierre_Operativo]])-ENTERO(SI([@[Fecha_Nueva_Programada]]&lt;&gt;"";[@[Fecha_Nueva_Programada]];[@[Fecha_Programada_Fin]])))</f>
        <v/>
      </c>
      <c r="R15" s="12" t="n"/>
      <c r="S15" s="12" t="n"/>
      <c r="T15" s="13" t="n"/>
      <c r="U15" s="12" t="n">
        <v>28</v>
      </c>
      <c r="V15" s="12" t="n"/>
      <c r="W1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5" s="14">
        <f>SI([@SBAN]="";"";BUSCARV([@SBAN];Cronograma_Maestro!$A:$M;6;FALSO))</f>
        <v/>
      </c>
    </row>
    <row r="16">
      <c r="A16" s="11" t="inlineStr">
        <is>
          <t>850</t>
        </is>
      </c>
      <c r="B16" s="12">
        <f>SI([@SBAN]="";"";BUSCARV([@SBAN];Cronograma_Maestro!$A:$M;2;FALSO))</f>
        <v/>
      </c>
      <c r="C16" s="12">
        <f>SI([@SBAN]="";"";BUSCARV([@SBAN];Cronograma_Maestro!$A:$M;3;FALSO))</f>
        <v/>
      </c>
      <c r="D16" s="12">
        <f>SI([@SBAN]="";"";BUSCARV([@SBAN];Cronograma_Maestro!$A:$M;4;FALSO))</f>
        <v/>
      </c>
      <c r="E16" s="12">
        <f>SI([@SBAN]="";"";BUSCARV([@SBAN];Cronograma_Maestro!$A:$M;5;FALSO))</f>
        <v/>
      </c>
      <c r="F16" s="12" t="inlineStr">
        <is>
          <t>Anderson Forero Mora</t>
        </is>
      </c>
      <c r="G16" s="12" t="inlineStr">
        <is>
          <t>PMU COLSOF</t>
        </is>
      </c>
      <c r="H16" s="13" t="n">
        <v>46317</v>
      </c>
      <c r="I16" s="13" t="n">
        <v>46317</v>
      </c>
      <c r="J16" s="13" t="n"/>
      <c r="K16" s="13" t="n"/>
      <c r="L16" s="12" t="inlineStr">
        <is>
          <t>Programada</t>
        </is>
      </c>
      <c r="M16" s="13" t="n"/>
      <c r="N16" s="14">
        <f>SI(O([@[Fecha_Programada_Inicio]]="";[@[Fecha_Inicio_Real]]="");"";SI([@[Fecha_Inicio_Real]]&lt;=[@[Fecha_Programada_Inicio]];"SÍ";"NO"))</f>
        <v/>
      </c>
      <c r="O16" s="14">
        <f>SI(O([@[Fecha_Programada_Fin]]="";[@[Fecha_Cierre_Operativo]]="");"";SI([@[Fecha_Cierre_Operativo]]&lt;=SI([@[Fecha_Nueva_Programada]]&lt;&gt;"";[@[Fecha_Nueva_Programada]];[@[Fecha_Programada_Fin]]);"SÍ";"NO"))</f>
        <v/>
      </c>
      <c r="P16" s="14">
        <f>SI(O([@[Cumpli_Ingreso]]="";[@[Cumpli_Salida]]="");"";SI(Y([@[Cumpli_Ingreso]]="SÍ";[@[Cumpli_Salida]]="SÍ");"SÍ";"NO"))</f>
        <v/>
      </c>
      <c r="Q16" s="15">
        <f>SI(O([@[Fecha_Programada_Fin]]="";[@[Fecha_Cierre_Operativo]]="");"";MAX(0;ENTERO([@[Fecha_Cierre_Operativo]])-ENTERO(SI([@[Fecha_Nueva_Programada]]&lt;&gt;"";[@[Fecha_Nueva_Programada]];[@[Fecha_Programada_Fin]])))</f>
        <v/>
      </c>
      <c r="R16" s="12" t="n"/>
      <c r="S16" s="12" t="n"/>
      <c r="T16" s="13" t="n"/>
      <c r="U16" s="12" t="n">
        <v>23</v>
      </c>
      <c r="V16" s="12" t="n"/>
      <c r="W1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6" s="14">
        <f>SI([@SBAN]="";"";BUSCARV([@SBAN];Cronograma_Maestro!$A:$M;6;FALSO))</f>
        <v/>
      </c>
    </row>
    <row r="17">
      <c r="A17" s="11" t="inlineStr">
        <is>
          <t>890</t>
        </is>
      </c>
      <c r="B17" s="12">
        <f>SI([@SBAN]="";"";BUSCARV([@SBAN];Cronograma_Maestro!$A:$M;2;FALSO))</f>
        <v/>
      </c>
      <c r="C17" s="12">
        <f>SI([@SBAN]="";"";BUSCARV([@SBAN];Cronograma_Maestro!$A:$M;3;FALSO))</f>
        <v/>
      </c>
      <c r="D17" s="12">
        <f>SI([@SBAN]="";"";BUSCARV([@SBAN];Cronograma_Maestro!$A:$M;4;FALSO))</f>
        <v/>
      </c>
      <c r="E17" s="12">
        <f>SI([@SBAN]="";"";BUSCARV([@SBAN];Cronograma_Maestro!$A:$M;5;FALSO))</f>
        <v/>
      </c>
      <c r="F17" s="12" t="inlineStr">
        <is>
          <t>Anderson Forero Mora</t>
        </is>
      </c>
      <c r="G17" s="12" t="inlineStr">
        <is>
          <t>PMU COLSOF</t>
        </is>
      </c>
      <c r="H17" s="13" t="n">
        <v>46322</v>
      </c>
      <c r="I17" s="13" t="n">
        <v>46322</v>
      </c>
      <c r="J17" s="13" t="n"/>
      <c r="K17" s="13" t="n"/>
      <c r="L17" s="12" t="inlineStr">
        <is>
          <t>Programada</t>
        </is>
      </c>
      <c r="M17" s="13" t="n"/>
      <c r="N17" s="14">
        <f>SI(O([@[Fecha_Programada_Inicio]]="";[@[Fecha_Inicio_Real]]="");"";SI([@[Fecha_Inicio_Real]]&lt;=[@[Fecha_Programada_Inicio]];"SÍ";"NO"))</f>
        <v/>
      </c>
      <c r="O17" s="14">
        <f>SI(O([@[Fecha_Programada_Fin]]="";[@[Fecha_Cierre_Operativo]]="");"";SI([@[Fecha_Cierre_Operativo]]&lt;=SI([@[Fecha_Nueva_Programada]]&lt;&gt;"";[@[Fecha_Nueva_Programada]];[@[Fecha_Programada_Fin]]);"SÍ";"NO"))</f>
        <v/>
      </c>
      <c r="P17" s="14">
        <f>SI(O([@[Cumpli_Ingreso]]="";[@[Cumpli_Salida]]="");"";SI(Y([@[Cumpli_Ingreso]]="SÍ";[@[Cumpli_Salida]]="SÍ");"SÍ";"NO"))</f>
        <v/>
      </c>
      <c r="Q17" s="15">
        <f>SI(O([@[Fecha_Programada_Fin]]="";[@[Fecha_Cierre_Operativo]]="");"";MAX(0;ENTERO([@[Fecha_Cierre_Operativo]])-ENTERO(SI([@[Fecha_Nueva_Programada]]&lt;&gt;"";[@[Fecha_Nueva_Programada]];[@[Fecha_Programada_Fin]])))</f>
        <v/>
      </c>
      <c r="R17" s="12" t="n"/>
      <c r="S17" s="12" t="n"/>
      <c r="T17" s="13" t="n"/>
      <c r="U17" s="12" t="n">
        <v>18</v>
      </c>
      <c r="V17" s="12" t="n"/>
      <c r="W1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7" s="14">
        <f>SI([@SBAN]="";"";BUSCARV([@SBAN];Cronograma_Maestro!$A:$M;6;FALSO))</f>
        <v/>
      </c>
    </row>
    <row r="18">
      <c r="A18" s="11" t="inlineStr">
        <is>
          <t>900</t>
        </is>
      </c>
      <c r="B18" s="12">
        <f>SI([@SBAN]="";"";BUSCARV([@SBAN];Cronograma_Maestro!$A:$M;2;FALSO))</f>
        <v/>
      </c>
      <c r="C18" s="12">
        <f>SI([@SBAN]="";"";BUSCARV([@SBAN];Cronograma_Maestro!$A:$M;3;FALSO))</f>
        <v/>
      </c>
      <c r="D18" s="12">
        <f>SI([@SBAN]="";"";BUSCARV([@SBAN];Cronograma_Maestro!$A:$M;4;FALSO))</f>
        <v/>
      </c>
      <c r="E18" s="12">
        <f>SI([@SBAN]="";"";BUSCARV([@SBAN];Cronograma_Maestro!$A:$M;5;FALSO))</f>
        <v/>
      </c>
      <c r="F18" s="12" t="inlineStr">
        <is>
          <t>Jhonatan Felipe Hernandez Gamboa</t>
        </is>
      </c>
      <c r="G18" s="12" t="inlineStr">
        <is>
          <t>PMU COLSOF</t>
        </is>
      </c>
      <c r="H18" s="13" t="n">
        <v>46296</v>
      </c>
      <c r="I18" s="13" t="n">
        <v>46296</v>
      </c>
      <c r="J18" s="13" t="n"/>
      <c r="K18" s="13" t="n"/>
      <c r="L18" s="12" t="inlineStr">
        <is>
          <t>Programada</t>
        </is>
      </c>
      <c r="M18" s="13" t="n"/>
      <c r="N18" s="14">
        <f>SI(O([@[Fecha_Programada_Inicio]]="";[@[Fecha_Inicio_Real]]="");"";SI([@[Fecha_Inicio_Real]]&lt;=[@[Fecha_Programada_Inicio]];"SÍ";"NO"))</f>
        <v/>
      </c>
      <c r="O18" s="14">
        <f>SI(O([@[Fecha_Programada_Fin]]="";[@[Fecha_Cierre_Operativo]]="");"";SI([@[Fecha_Cierre_Operativo]]&lt;=SI([@[Fecha_Nueva_Programada]]&lt;&gt;"";[@[Fecha_Nueva_Programada]];[@[Fecha_Programada_Fin]]);"SÍ";"NO"))</f>
        <v/>
      </c>
      <c r="P18" s="14">
        <f>SI(O([@[Cumpli_Ingreso]]="";[@[Cumpli_Salida]]="");"";SI(Y([@[Cumpli_Ingreso]]="SÍ";[@[Cumpli_Salida]]="SÍ");"SÍ";"NO"))</f>
        <v/>
      </c>
      <c r="Q18" s="15">
        <f>SI(O([@[Fecha_Programada_Fin]]="";[@[Fecha_Cierre_Operativo]]="");"";MAX(0;ENTERO([@[Fecha_Cierre_Operativo]])-ENTERO(SI([@[Fecha_Nueva_Programada]]&lt;&gt;"";[@[Fecha_Nueva_Programada]];[@[Fecha_Programada_Fin]])))</f>
        <v/>
      </c>
      <c r="R18" s="12" t="n"/>
      <c r="S18" s="12" t="n"/>
      <c r="T18" s="13" t="n"/>
      <c r="U18" s="12" t="n">
        <v>34</v>
      </c>
      <c r="V18" s="12" t="n"/>
      <c r="W1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8" s="14">
        <f>SI([@SBAN]="";"";BUSCARV([@SBAN];Cronograma_Maestro!$A:$M;6;FALSO))</f>
        <v/>
      </c>
    </row>
    <row r="19">
      <c r="A19" s="11" t="inlineStr">
        <is>
          <t>910</t>
        </is>
      </c>
      <c r="B19" s="12">
        <f>SI([@SBAN]="";"";BUSCARV([@SBAN];Cronograma_Maestro!$A:$M;2;FALSO))</f>
        <v/>
      </c>
      <c r="C19" s="12">
        <f>SI([@SBAN]="";"";BUSCARV([@SBAN];Cronograma_Maestro!$A:$M;3;FALSO))</f>
        <v/>
      </c>
      <c r="D19" s="12">
        <f>SI([@SBAN]="";"";BUSCARV([@SBAN];Cronograma_Maestro!$A:$M;4;FALSO))</f>
        <v/>
      </c>
      <c r="E19" s="12">
        <f>SI([@SBAN]="";"";BUSCARV([@SBAN];Cronograma_Maestro!$A:$M;5;FALSO))</f>
        <v/>
      </c>
      <c r="F19" s="12" t="inlineStr">
        <is>
          <t>Jhonatan Felipe Hernandez Gamboa</t>
        </is>
      </c>
      <c r="G19" s="12" t="inlineStr">
        <is>
          <t>PMU COLSOF</t>
        </is>
      </c>
      <c r="H19" s="13" t="n">
        <v>46283</v>
      </c>
      <c r="I19" s="13" t="n">
        <v>46283</v>
      </c>
      <c r="J19" s="13" t="n"/>
      <c r="K19" s="13" t="n"/>
      <c r="L19" s="12" t="inlineStr">
        <is>
          <t>Programada</t>
        </is>
      </c>
      <c r="M19" s="13" t="n"/>
      <c r="N19" s="14">
        <f>SI(O([@[Fecha_Programada_Inicio]]="";[@[Fecha_Inicio_Real]]="");"";SI([@[Fecha_Inicio_Real]]&lt;=[@[Fecha_Programada_Inicio]];"SÍ";"NO"))</f>
        <v/>
      </c>
      <c r="O19" s="14">
        <f>SI(O([@[Fecha_Programada_Fin]]="";[@[Fecha_Cierre_Operativo]]="");"";SI([@[Fecha_Cierre_Operativo]]&lt;=SI([@[Fecha_Nueva_Programada]]&lt;&gt;"";[@[Fecha_Nueva_Programada]];[@[Fecha_Programada_Fin]]);"SÍ";"NO"))</f>
        <v/>
      </c>
      <c r="P19" s="14">
        <f>SI(O([@[Cumpli_Ingreso]]="";[@[Cumpli_Salida]]="");"";SI(Y([@[Cumpli_Ingreso]]="SÍ";[@[Cumpli_Salida]]="SÍ");"SÍ";"NO"))</f>
        <v/>
      </c>
      <c r="Q19" s="15">
        <f>SI(O([@[Fecha_Programada_Fin]]="";[@[Fecha_Cierre_Operativo]]="");"";MAX(0;ENTERO([@[Fecha_Cierre_Operativo]])-ENTERO(SI([@[Fecha_Nueva_Programada]]&lt;&gt;"";[@[Fecha_Nueva_Programada]];[@[Fecha_Programada_Fin]])))</f>
        <v/>
      </c>
      <c r="R19" s="12" t="n"/>
      <c r="S19" s="12" t="n"/>
      <c r="T19" s="13" t="n"/>
      <c r="U19" s="12" t="n">
        <v>24</v>
      </c>
      <c r="V19" s="12" t="n"/>
      <c r="W1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9" s="14">
        <f>SI([@SBAN]="";"";BUSCARV([@SBAN];Cronograma_Maestro!$A:$M;6;FALSO))</f>
        <v/>
      </c>
    </row>
    <row r="20">
      <c r="A20" s="11" t="inlineStr">
        <is>
          <t>920</t>
        </is>
      </c>
      <c r="B20" s="12">
        <f>SI([@SBAN]="";"";BUSCARV([@SBAN];Cronograma_Maestro!$A:$M;2;FALSO))</f>
        <v/>
      </c>
      <c r="C20" s="12">
        <f>SI([@SBAN]="";"";BUSCARV([@SBAN];Cronograma_Maestro!$A:$M;3;FALSO))</f>
        <v/>
      </c>
      <c r="D20" s="12">
        <f>SI([@SBAN]="";"";BUSCARV([@SBAN];Cronograma_Maestro!$A:$M;4;FALSO))</f>
        <v/>
      </c>
      <c r="E20" s="12">
        <f>SI([@SBAN]="";"";BUSCARV([@SBAN];Cronograma_Maestro!$A:$M;5;FALSO))</f>
        <v/>
      </c>
      <c r="F20" s="12" t="inlineStr">
        <is>
          <t>Edwin Santiago Cuchivaguen Diaz</t>
        </is>
      </c>
      <c r="G20" s="12" t="inlineStr">
        <is>
          <t>PMU COLSOF</t>
        </is>
      </c>
      <c r="H20" s="13" t="n">
        <v>46279</v>
      </c>
      <c r="I20" s="13" t="n">
        <v>46279</v>
      </c>
      <c r="J20" s="13" t="n"/>
      <c r="K20" s="13" t="n"/>
      <c r="L20" s="12" t="inlineStr">
        <is>
          <t>Programada</t>
        </is>
      </c>
      <c r="M20" s="13" t="n"/>
      <c r="N20" s="14">
        <f>SI(O([@[Fecha_Programada_Inicio]]="";[@[Fecha_Inicio_Real]]="");"";SI([@[Fecha_Inicio_Real]]&lt;=[@[Fecha_Programada_Inicio]];"SÍ";"NO"))</f>
        <v/>
      </c>
      <c r="O20" s="14">
        <f>SI(O([@[Fecha_Programada_Fin]]="";[@[Fecha_Cierre_Operativo]]="");"";SI([@[Fecha_Cierre_Operativo]]&lt;=SI([@[Fecha_Nueva_Programada]]&lt;&gt;"";[@[Fecha_Nueva_Programada]];[@[Fecha_Programada_Fin]]);"SÍ";"NO"))</f>
        <v/>
      </c>
      <c r="P20" s="14">
        <f>SI(O([@[Cumpli_Ingreso]]="";[@[Cumpli_Salida]]="");"";SI(Y([@[Cumpli_Ingreso]]="SÍ";[@[Cumpli_Salida]]="SÍ");"SÍ";"NO"))</f>
        <v/>
      </c>
      <c r="Q20" s="15">
        <f>SI(O([@[Fecha_Programada_Fin]]="";[@[Fecha_Cierre_Operativo]]="");"";MAX(0;ENTERO([@[Fecha_Cierre_Operativo]])-ENTERO(SI([@[Fecha_Nueva_Programada]]&lt;&gt;"";[@[Fecha_Nueva_Programada]];[@[Fecha_Programada_Fin]])))</f>
        <v/>
      </c>
      <c r="R20" s="12" t="n"/>
      <c r="S20" s="12" t="n"/>
      <c r="T20" s="13" t="n"/>
      <c r="U20" s="12" t="n">
        <v>21</v>
      </c>
      <c r="V20" s="12" t="n"/>
      <c r="W2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0" s="14">
        <f>SI([@SBAN]="";"";BUSCARV([@SBAN];Cronograma_Maestro!$A:$M;6;FALSO))</f>
        <v/>
      </c>
    </row>
    <row r="21">
      <c r="A21" s="11" t="inlineStr">
        <is>
          <t>940</t>
        </is>
      </c>
      <c r="B21" s="12">
        <f>SI([@SBAN]="";"";BUSCARV([@SBAN];Cronograma_Maestro!$A:$M;2;FALSO))</f>
        <v/>
      </c>
      <c r="C21" s="12">
        <f>SI([@SBAN]="";"";BUSCARV([@SBAN];Cronograma_Maestro!$A:$M;3;FALSO))</f>
        <v/>
      </c>
      <c r="D21" s="12">
        <f>SI([@SBAN]="";"";BUSCARV([@SBAN];Cronograma_Maestro!$A:$M;4;FALSO))</f>
        <v/>
      </c>
      <c r="E21" s="12">
        <f>SI([@SBAN]="";"";BUSCARV([@SBAN];Cronograma_Maestro!$A:$M;5;FALSO))</f>
        <v/>
      </c>
      <c r="F21" s="12" t="inlineStr">
        <is>
          <t>Jhonatan Felipe Hernandez Gamboa</t>
        </is>
      </c>
      <c r="G21" s="12" t="inlineStr">
        <is>
          <t>PMU COLSOF</t>
        </is>
      </c>
      <c r="H21" s="13" t="n">
        <v>46282</v>
      </c>
      <c r="I21" s="13" t="n">
        <v>46282</v>
      </c>
      <c r="J21" s="13" t="n"/>
      <c r="K21" s="13" t="n"/>
      <c r="L21" s="12" t="inlineStr">
        <is>
          <t>Programada</t>
        </is>
      </c>
      <c r="M21" s="13" t="n"/>
      <c r="N21" s="14">
        <f>SI(O([@[Fecha_Programada_Inicio]]="";[@[Fecha_Inicio_Real]]="");"";SI([@[Fecha_Inicio_Real]]&lt;=[@[Fecha_Programada_Inicio]];"SÍ";"NO"))</f>
        <v/>
      </c>
      <c r="O21" s="14">
        <f>SI(O([@[Fecha_Programada_Fin]]="";[@[Fecha_Cierre_Operativo]]="");"";SI([@[Fecha_Cierre_Operativo]]&lt;=SI([@[Fecha_Nueva_Programada]]&lt;&gt;"";[@[Fecha_Nueva_Programada]];[@[Fecha_Programada_Fin]]);"SÍ";"NO"))</f>
        <v/>
      </c>
      <c r="P21" s="14">
        <f>SI(O([@[Cumpli_Ingreso]]="";[@[Cumpli_Salida]]="");"";SI(Y([@[Cumpli_Ingreso]]="SÍ";[@[Cumpli_Salida]]="SÍ");"SÍ";"NO"))</f>
        <v/>
      </c>
      <c r="Q21" s="15">
        <f>SI(O([@[Fecha_Programada_Fin]]="";[@[Fecha_Cierre_Operativo]]="");"";MAX(0;ENTERO([@[Fecha_Cierre_Operativo]])-ENTERO(SI([@[Fecha_Nueva_Programada]]&lt;&gt;"";[@[Fecha_Nueva_Programada]];[@[Fecha_Programada_Fin]])))</f>
        <v/>
      </c>
      <c r="R21" s="12" t="n"/>
      <c r="S21" s="12" t="n"/>
      <c r="T21" s="13" t="n"/>
      <c r="U21" s="12" t="n">
        <v>15</v>
      </c>
      <c r="V21" s="12" t="n"/>
      <c r="W2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1" s="14">
        <f>SI([@SBAN]="";"";BUSCARV([@SBAN];Cronograma_Maestro!$A:$M;6;FALSO))</f>
        <v/>
      </c>
    </row>
    <row r="22">
      <c r="A22" s="11" t="inlineStr">
        <is>
          <t>960</t>
        </is>
      </c>
      <c r="B22" s="12">
        <f>SI([@SBAN]="";"";BUSCARV([@SBAN];Cronograma_Maestro!$A:$M;2;FALSO))</f>
        <v/>
      </c>
      <c r="C22" s="12">
        <f>SI([@SBAN]="";"";BUSCARV([@SBAN];Cronograma_Maestro!$A:$M;3;FALSO))</f>
        <v/>
      </c>
      <c r="D22" s="12">
        <f>SI([@SBAN]="";"";BUSCARV([@SBAN];Cronograma_Maestro!$A:$M;4;FALSO))</f>
        <v/>
      </c>
      <c r="E22" s="12">
        <f>SI([@SBAN]="";"";BUSCARV([@SBAN];Cronograma_Maestro!$A:$M;5;FALSO))</f>
        <v/>
      </c>
      <c r="F22" s="12" t="inlineStr">
        <is>
          <t>Edwin Santiago Cuchivaguen Diaz</t>
        </is>
      </c>
      <c r="G22" s="12" t="inlineStr">
        <is>
          <t>PMU COLSOF</t>
        </is>
      </c>
      <c r="H22" s="13" t="n">
        <v>46281</v>
      </c>
      <c r="I22" s="13" t="n">
        <v>46281</v>
      </c>
      <c r="J22" s="13" t="n"/>
      <c r="K22" s="13" t="n"/>
      <c r="L22" s="12" t="inlineStr">
        <is>
          <t>Programada</t>
        </is>
      </c>
      <c r="M22" s="13" t="n"/>
      <c r="N22" s="14">
        <f>SI(O([@[Fecha_Programada_Inicio]]="";[@[Fecha_Inicio_Real]]="");"";SI([@[Fecha_Inicio_Real]]&lt;=[@[Fecha_Programada_Inicio]];"SÍ";"NO"))</f>
        <v/>
      </c>
      <c r="O22" s="14">
        <f>SI(O([@[Fecha_Programada_Fin]]="";[@[Fecha_Cierre_Operativo]]="");"";SI([@[Fecha_Cierre_Operativo]]&lt;=SI([@[Fecha_Nueva_Programada]]&lt;&gt;"";[@[Fecha_Nueva_Programada]];[@[Fecha_Programada_Fin]]);"SÍ";"NO"))</f>
        <v/>
      </c>
      <c r="P22" s="14">
        <f>SI(O([@[Cumpli_Ingreso]]="";[@[Cumpli_Salida]]="");"";SI(Y([@[Cumpli_Ingreso]]="SÍ";[@[Cumpli_Salida]]="SÍ");"SÍ";"NO"))</f>
        <v/>
      </c>
      <c r="Q22" s="15">
        <f>SI(O([@[Fecha_Programada_Fin]]="";[@[Fecha_Cierre_Operativo]]="");"";MAX(0;ENTERO([@[Fecha_Cierre_Operativo]])-ENTERO(SI([@[Fecha_Nueva_Programada]]&lt;&gt;"";[@[Fecha_Nueva_Programada]];[@[Fecha_Programada_Fin]])))</f>
        <v/>
      </c>
      <c r="R22" s="12" t="n"/>
      <c r="S22" s="12" t="n"/>
      <c r="T22" s="13" t="n"/>
      <c r="U22" s="12" t="n">
        <v>14</v>
      </c>
      <c r="V22" s="12" t="n"/>
      <c r="W2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2" s="14">
        <f>SI([@SBAN]="";"";BUSCARV([@SBAN];Cronograma_Maestro!$A:$M;6;FALSO))</f>
        <v/>
      </c>
    </row>
    <row r="23">
      <c r="A23" s="11" t="inlineStr">
        <is>
          <t>970</t>
        </is>
      </c>
      <c r="B23" s="12">
        <f>SI([@SBAN]="";"";BUSCARV([@SBAN];Cronograma_Maestro!$A:$M;2;FALSO))</f>
        <v/>
      </c>
      <c r="C23" s="12">
        <f>SI([@SBAN]="";"";BUSCARV([@SBAN];Cronograma_Maestro!$A:$M;3;FALSO))</f>
        <v/>
      </c>
      <c r="D23" s="12">
        <f>SI([@SBAN]="";"";BUSCARV([@SBAN];Cronograma_Maestro!$A:$M;4;FALSO))</f>
        <v/>
      </c>
      <c r="E23" s="12">
        <f>SI([@SBAN]="";"";BUSCARV([@SBAN];Cronograma_Maestro!$A:$M;5;FALSO))</f>
        <v/>
      </c>
      <c r="F23" s="12" t="inlineStr">
        <is>
          <t>Jhonatan Felipe Hernandez Gamboa</t>
        </is>
      </c>
      <c r="G23" s="12" t="inlineStr">
        <is>
          <t>PMU COLSOF</t>
        </is>
      </c>
      <c r="H23" s="13" t="n">
        <v>46281</v>
      </c>
      <c r="I23" s="13" t="n">
        <v>46281</v>
      </c>
      <c r="J23" s="13" t="n"/>
      <c r="K23" s="13" t="n"/>
      <c r="L23" s="12" t="inlineStr">
        <is>
          <t>Programada</t>
        </is>
      </c>
      <c r="M23" s="13" t="n"/>
      <c r="N23" s="14">
        <f>SI(O([@[Fecha_Programada_Inicio]]="";[@[Fecha_Inicio_Real]]="");"";SI([@[Fecha_Inicio_Real]]&lt;=[@[Fecha_Programada_Inicio]];"SÍ";"NO"))</f>
        <v/>
      </c>
      <c r="O23" s="14">
        <f>SI(O([@[Fecha_Programada_Fin]]="";[@[Fecha_Cierre_Operativo]]="");"";SI([@[Fecha_Cierre_Operativo]]&lt;=SI([@[Fecha_Nueva_Programada]]&lt;&gt;"";[@[Fecha_Nueva_Programada]];[@[Fecha_Programada_Fin]]);"SÍ";"NO"))</f>
        <v/>
      </c>
      <c r="P23" s="14">
        <f>SI(O([@[Cumpli_Ingreso]]="";[@[Cumpli_Salida]]="");"";SI(Y([@[Cumpli_Ingreso]]="SÍ";[@[Cumpli_Salida]]="SÍ");"SÍ";"NO"))</f>
        <v/>
      </c>
      <c r="Q23" s="15">
        <f>SI(O([@[Fecha_Programada_Fin]]="";[@[Fecha_Cierre_Operativo]]="");"";MAX(0;ENTERO([@[Fecha_Cierre_Operativo]])-ENTERO(SI([@[Fecha_Nueva_Programada]]&lt;&gt;"";[@[Fecha_Nueva_Programada]];[@[Fecha_Programada_Fin]])))</f>
        <v/>
      </c>
      <c r="R23" s="12" t="n"/>
      <c r="S23" s="12" t="n"/>
      <c r="T23" s="13" t="n"/>
      <c r="U23" s="12" t="n">
        <v>38</v>
      </c>
      <c r="V23" s="12" t="n"/>
      <c r="W2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3" s="14">
        <f>SI([@SBAN]="";"";BUSCARV([@SBAN];Cronograma_Maestro!$A:$M;6;FALSO))</f>
        <v/>
      </c>
    </row>
    <row r="24">
      <c r="A24" s="11" t="inlineStr">
        <is>
          <t>980</t>
        </is>
      </c>
      <c r="B24" s="12">
        <f>SI([@SBAN]="";"";BUSCARV([@SBAN];Cronograma_Maestro!$A:$M;2;FALSO))</f>
        <v/>
      </c>
      <c r="C24" s="12">
        <f>SI([@SBAN]="";"";BUSCARV([@SBAN];Cronograma_Maestro!$A:$M;3;FALSO))</f>
        <v/>
      </c>
      <c r="D24" s="12">
        <f>SI([@SBAN]="";"";BUSCARV([@SBAN];Cronograma_Maestro!$A:$M;4;FALSO))</f>
        <v/>
      </c>
      <c r="E24" s="12">
        <f>SI([@SBAN]="";"";BUSCARV([@SBAN];Cronograma_Maestro!$A:$M;5;FALSO))</f>
        <v/>
      </c>
      <c r="F24" s="12" t="inlineStr">
        <is>
          <t>Carlos Andres Cuchivaguen Diaz</t>
        </is>
      </c>
      <c r="G24" s="12" t="inlineStr">
        <is>
          <t>PMU COLSOF</t>
        </is>
      </c>
      <c r="H24" s="13" t="n">
        <v>46295</v>
      </c>
      <c r="I24" s="13" t="n">
        <v>46295</v>
      </c>
      <c r="J24" s="13" t="n"/>
      <c r="K24" s="13" t="n"/>
      <c r="L24" s="12" t="inlineStr">
        <is>
          <t>Programada</t>
        </is>
      </c>
      <c r="M24" s="13" t="n"/>
      <c r="N24" s="14">
        <f>SI(O([@[Fecha_Programada_Inicio]]="";[@[Fecha_Inicio_Real]]="");"";SI([@[Fecha_Inicio_Real]]&lt;=[@[Fecha_Programada_Inicio]];"SÍ";"NO"))</f>
        <v/>
      </c>
      <c r="O24" s="14">
        <f>SI(O([@[Fecha_Programada_Fin]]="";[@[Fecha_Cierre_Operativo]]="");"";SI([@[Fecha_Cierre_Operativo]]&lt;=SI([@[Fecha_Nueva_Programada]]&lt;&gt;"";[@[Fecha_Nueva_Programada]];[@[Fecha_Programada_Fin]]);"SÍ";"NO"))</f>
        <v/>
      </c>
      <c r="P24" s="14">
        <f>SI(O([@[Cumpli_Ingreso]]="";[@[Cumpli_Salida]]="");"";SI(Y([@[Cumpli_Ingreso]]="SÍ";[@[Cumpli_Salida]]="SÍ");"SÍ";"NO"))</f>
        <v/>
      </c>
      <c r="Q24" s="15">
        <f>SI(O([@[Fecha_Programada_Fin]]="";[@[Fecha_Cierre_Operativo]]="");"";MAX(0;ENTERO([@[Fecha_Cierre_Operativo]])-ENTERO(SI([@[Fecha_Nueva_Programada]]&lt;&gt;"";[@[Fecha_Nueva_Programada]];[@[Fecha_Programada_Fin]])))</f>
        <v/>
      </c>
      <c r="R24" s="12" t="n"/>
      <c r="S24" s="12" t="n"/>
      <c r="T24" s="13" t="n"/>
      <c r="U24" s="12" t="n">
        <v>14</v>
      </c>
      <c r="V24" s="12" t="n"/>
      <c r="W2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4" s="14">
        <f>SI([@SBAN]="";"";BUSCARV([@SBAN];Cronograma_Maestro!$A:$M;6;FALSO))</f>
        <v/>
      </c>
    </row>
    <row r="25">
      <c r="A25" s="11" t="inlineStr">
        <is>
          <t>1203</t>
        </is>
      </c>
      <c r="B25" s="12">
        <f>SI([@SBAN]="";"";BUSCARV([@SBAN];Cronograma_Maestro!$A:$M;2;FALSO))</f>
        <v/>
      </c>
      <c r="C25" s="12">
        <f>SI([@SBAN]="";"";BUSCARV([@SBAN];Cronograma_Maestro!$A:$M;3;FALSO))</f>
        <v/>
      </c>
      <c r="D25" s="12">
        <f>SI([@SBAN]="";"";BUSCARV([@SBAN];Cronograma_Maestro!$A:$M;4;FALSO))</f>
        <v/>
      </c>
      <c r="E25" s="12">
        <f>SI([@SBAN]="";"";BUSCARV([@SBAN];Cronograma_Maestro!$A:$M;5;FALSO))</f>
        <v/>
      </c>
      <c r="F25" s="12" t="inlineStr">
        <is>
          <t>Jorge Felipe Munive Medina</t>
        </is>
      </c>
      <c r="G25" s="12" t="inlineStr">
        <is>
          <t>PMU COLSOF</t>
        </is>
      </c>
      <c r="H25" s="13" t="n">
        <v>46287</v>
      </c>
      <c r="I25" s="13" t="n">
        <v>46287</v>
      </c>
      <c r="J25" s="13" t="n"/>
      <c r="K25" s="13" t="n"/>
      <c r="L25" s="12" t="inlineStr">
        <is>
          <t>Programada</t>
        </is>
      </c>
      <c r="M25" s="13" t="n"/>
      <c r="N25" s="14">
        <f>SI(O([@[Fecha_Programada_Inicio]]="";[@[Fecha_Inicio_Real]]="");"";SI([@[Fecha_Inicio_Real]]&lt;=[@[Fecha_Programada_Inicio]];"SÍ";"NO"))</f>
        <v/>
      </c>
      <c r="O25" s="14">
        <f>SI(O([@[Fecha_Programada_Fin]]="";[@[Fecha_Cierre_Operativo]]="");"";SI([@[Fecha_Cierre_Operativo]]&lt;=SI([@[Fecha_Nueva_Programada]]&lt;&gt;"";[@[Fecha_Nueva_Programada]];[@[Fecha_Programada_Fin]]);"SÍ";"NO"))</f>
        <v/>
      </c>
      <c r="P25" s="14">
        <f>SI(O([@[Cumpli_Ingreso]]="";[@[Cumpli_Salida]]="");"";SI(Y([@[Cumpli_Ingreso]]="SÍ";[@[Cumpli_Salida]]="SÍ");"SÍ";"NO"))</f>
        <v/>
      </c>
      <c r="Q25" s="15">
        <f>SI(O([@[Fecha_Programada_Fin]]="";[@[Fecha_Cierre_Operativo]]="");"";MAX(0;ENTERO([@[Fecha_Cierre_Operativo]])-ENTERO(SI([@[Fecha_Nueva_Programada]]&lt;&gt;"";[@[Fecha_Nueva_Programada]];[@[Fecha_Programada_Fin]])))</f>
        <v/>
      </c>
      <c r="R25" s="12" t="n"/>
      <c r="S25" s="12" t="n"/>
      <c r="T25" s="13" t="n"/>
      <c r="U25" s="12" t="n">
        <v>14</v>
      </c>
      <c r="V25" s="12" t="n"/>
      <c r="W2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5" s="14">
        <f>SI([@SBAN]="";"";BUSCARV([@SBAN];Cronograma_Maestro!$A:$M;6;FALSO))</f>
        <v/>
      </c>
    </row>
    <row r="26">
      <c r="A26" s="11" t="inlineStr">
        <is>
          <t>1204</t>
        </is>
      </c>
      <c r="B26" s="12">
        <f>SI([@SBAN]="";"";BUSCARV([@SBAN];Cronograma_Maestro!$A:$M;2;FALSO))</f>
        <v/>
      </c>
      <c r="C26" s="12">
        <f>SI([@SBAN]="";"";BUSCARV([@SBAN];Cronograma_Maestro!$A:$M;3;FALSO))</f>
        <v/>
      </c>
      <c r="D26" s="12">
        <f>SI([@SBAN]="";"";BUSCARV([@SBAN];Cronograma_Maestro!$A:$M;4;FALSO))</f>
        <v/>
      </c>
      <c r="E26" s="12">
        <f>SI([@SBAN]="";"";BUSCARV([@SBAN];Cronograma_Maestro!$A:$M;5;FALSO))</f>
        <v/>
      </c>
      <c r="F26" s="12" t="inlineStr">
        <is>
          <t>Vladimir Faneyte Taborda</t>
        </is>
      </c>
      <c r="G26" s="12" t="inlineStr">
        <is>
          <t>PMU COLSOF</t>
        </is>
      </c>
      <c r="H26" s="13" t="n">
        <v>46304</v>
      </c>
      <c r="I26" s="13" t="n">
        <v>46304</v>
      </c>
      <c r="J26" s="13" t="n"/>
      <c r="K26" s="13" t="n"/>
      <c r="L26" s="12" t="inlineStr">
        <is>
          <t>Programada</t>
        </is>
      </c>
      <c r="M26" s="13" t="n"/>
      <c r="N26" s="14">
        <f>SI(O([@[Fecha_Programada_Inicio]]="";[@[Fecha_Inicio_Real]]="");"";SI([@[Fecha_Inicio_Real]]&lt;=[@[Fecha_Programada_Inicio]];"SÍ";"NO"))</f>
        <v/>
      </c>
      <c r="O26" s="14">
        <f>SI(O([@[Fecha_Programada_Fin]]="";[@[Fecha_Cierre_Operativo]]="");"";SI([@[Fecha_Cierre_Operativo]]&lt;=SI([@[Fecha_Nueva_Programada]]&lt;&gt;"";[@[Fecha_Nueva_Programada]];[@[Fecha_Programada_Fin]]);"SÍ";"NO"))</f>
        <v/>
      </c>
      <c r="P26" s="14">
        <f>SI(O([@[Cumpli_Ingreso]]="";[@[Cumpli_Salida]]="");"";SI(Y([@[Cumpli_Ingreso]]="SÍ";[@[Cumpli_Salida]]="SÍ");"SÍ";"NO"))</f>
        <v/>
      </c>
      <c r="Q26" s="15">
        <f>SI(O([@[Fecha_Programada_Fin]]="";[@[Fecha_Cierre_Operativo]]="");"";MAX(0;ENTERO([@[Fecha_Cierre_Operativo]])-ENTERO(SI([@[Fecha_Nueva_Programada]]&lt;&gt;"";[@[Fecha_Nueva_Programada]];[@[Fecha_Programada_Fin]])))</f>
        <v/>
      </c>
      <c r="R26" s="12" t="n"/>
      <c r="S26" s="12" t="n"/>
      <c r="T26" s="13" t="n"/>
      <c r="U26" s="12" t="n">
        <v>23</v>
      </c>
      <c r="V26" s="12" t="n"/>
      <c r="W2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6" s="14">
        <f>SI([@SBAN]="";"";BUSCARV([@SBAN];Cronograma_Maestro!$A:$M;6;FALSO))</f>
        <v/>
      </c>
    </row>
    <row r="27">
      <c r="A27" s="11" t="inlineStr">
        <is>
          <t>1205</t>
        </is>
      </c>
      <c r="B27" s="12">
        <f>SI([@SBAN]="";"";BUSCARV([@SBAN];Cronograma_Maestro!$A:$M;2;FALSO))</f>
        <v/>
      </c>
      <c r="C27" s="12">
        <f>SI([@SBAN]="";"";BUSCARV([@SBAN];Cronograma_Maestro!$A:$M;3;FALSO))</f>
        <v/>
      </c>
      <c r="D27" s="12">
        <f>SI([@SBAN]="";"";BUSCARV([@SBAN];Cronograma_Maestro!$A:$M;4;FALSO))</f>
        <v/>
      </c>
      <c r="E27" s="12">
        <f>SI([@SBAN]="";"";BUSCARV([@SBAN];Cronograma_Maestro!$A:$M;5;FALSO))</f>
        <v/>
      </c>
      <c r="F27" s="12" t="inlineStr">
        <is>
          <t>Andrés Felipe Carvajal Pire</t>
        </is>
      </c>
      <c r="G27" s="12" t="inlineStr">
        <is>
          <t>PMU COLSOF</t>
        </is>
      </c>
      <c r="H27" s="13" t="n">
        <v>46323</v>
      </c>
      <c r="I27" s="13" t="n">
        <v>46324</v>
      </c>
      <c r="J27" s="13" t="n"/>
      <c r="K27" s="13" t="n"/>
      <c r="L27" s="12" t="inlineStr">
        <is>
          <t>Programada</t>
        </is>
      </c>
      <c r="M27" s="13" t="n"/>
      <c r="N27" s="14">
        <f>SI(O([@[Fecha_Programada_Inicio]]="";[@[Fecha_Inicio_Real]]="");"";SI([@[Fecha_Inicio_Real]]&lt;=[@[Fecha_Programada_Inicio]];"SÍ";"NO"))</f>
        <v/>
      </c>
      <c r="O27" s="14">
        <f>SI(O([@[Fecha_Programada_Fin]]="";[@[Fecha_Cierre_Operativo]]="");"";SI([@[Fecha_Cierre_Operativo]]&lt;=SI([@[Fecha_Nueva_Programada]]&lt;&gt;"";[@[Fecha_Nueva_Programada]];[@[Fecha_Programada_Fin]]);"SÍ";"NO"))</f>
        <v/>
      </c>
      <c r="P27" s="14">
        <f>SI(O([@[Cumpli_Ingreso]]="";[@[Cumpli_Salida]]="");"";SI(Y([@[Cumpli_Ingreso]]="SÍ";[@[Cumpli_Salida]]="SÍ");"SÍ";"NO"))</f>
        <v/>
      </c>
      <c r="Q27" s="15">
        <f>SI(O([@[Fecha_Programada_Fin]]="";[@[Fecha_Cierre_Operativo]]="");"";MAX(0;ENTERO([@[Fecha_Cierre_Operativo]])-ENTERO(SI([@[Fecha_Nueva_Programada]]&lt;&gt;"";[@[Fecha_Nueva_Programada]];[@[Fecha_Programada_Fin]])))</f>
        <v/>
      </c>
      <c r="R27" s="12" t="n"/>
      <c r="S27" s="12" t="n"/>
      <c r="T27" s="13" t="n"/>
      <c r="U27" s="12" t="n">
        <v>15</v>
      </c>
      <c r="V27" s="12" t="n"/>
      <c r="W2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7" s="14">
        <f>SI([@SBAN]="";"";BUSCARV([@SBAN];Cronograma_Maestro!$A:$M;6;FALSO))</f>
        <v/>
      </c>
    </row>
    <row r="28">
      <c r="A28" s="11" t="inlineStr">
        <is>
          <t>1207</t>
        </is>
      </c>
      <c r="B28" s="12">
        <f>SI([@SBAN]="";"";BUSCARV([@SBAN];Cronograma_Maestro!$A:$M;2;FALSO))</f>
        <v/>
      </c>
      <c r="C28" s="12">
        <f>SI([@SBAN]="";"";BUSCARV([@SBAN];Cronograma_Maestro!$A:$M;3;FALSO))</f>
        <v/>
      </c>
      <c r="D28" s="12">
        <f>SI([@SBAN]="";"";BUSCARV([@SBAN];Cronograma_Maestro!$A:$M;4;FALSO))</f>
        <v/>
      </c>
      <c r="E28" s="12">
        <f>SI([@SBAN]="";"";BUSCARV([@SBAN];Cronograma_Maestro!$A:$M;5;FALSO))</f>
        <v/>
      </c>
      <c r="F28" s="12" t="inlineStr">
        <is>
          <t>Rafael Antonio Molina Ortega</t>
        </is>
      </c>
      <c r="G28" s="12" t="inlineStr">
        <is>
          <t>PMU COLSOF</t>
        </is>
      </c>
      <c r="H28" s="13" t="n">
        <v>46282</v>
      </c>
      <c r="I28" s="13" t="n">
        <v>46283</v>
      </c>
      <c r="J28" s="13" t="n"/>
      <c r="K28" s="13" t="n"/>
      <c r="L28" s="12" t="inlineStr">
        <is>
          <t>Programada</t>
        </is>
      </c>
      <c r="M28" s="13" t="n"/>
      <c r="N28" s="14">
        <f>SI(O([@[Fecha_Programada_Inicio]]="";[@[Fecha_Inicio_Real]]="");"";SI([@[Fecha_Inicio_Real]]&lt;=[@[Fecha_Programada_Inicio]];"SÍ";"NO"))</f>
        <v/>
      </c>
      <c r="O28" s="14">
        <f>SI(O([@[Fecha_Programada_Fin]]="";[@[Fecha_Cierre_Operativo]]="");"";SI([@[Fecha_Cierre_Operativo]]&lt;=SI([@[Fecha_Nueva_Programada]]&lt;&gt;"";[@[Fecha_Nueva_Programada]];[@[Fecha_Programada_Fin]]);"SÍ";"NO"))</f>
        <v/>
      </c>
      <c r="P28" s="14">
        <f>SI(O([@[Cumpli_Ingreso]]="";[@[Cumpli_Salida]]="");"";SI(Y([@[Cumpli_Ingreso]]="SÍ";[@[Cumpli_Salida]]="SÍ");"SÍ";"NO"))</f>
        <v/>
      </c>
      <c r="Q28" s="15">
        <f>SI(O([@[Fecha_Programada_Fin]]="";[@[Fecha_Cierre_Operativo]]="");"";MAX(0;ENTERO([@[Fecha_Cierre_Operativo]])-ENTERO(SI([@[Fecha_Nueva_Programada]]&lt;&gt;"";[@[Fecha_Nueva_Programada]];[@[Fecha_Programada_Fin]])))</f>
        <v/>
      </c>
      <c r="R28" s="12" t="n"/>
      <c r="S28" s="12" t="n"/>
      <c r="T28" s="13" t="n"/>
      <c r="U28" s="12" t="n">
        <v>55</v>
      </c>
      <c r="V28" s="12" t="n"/>
      <c r="W2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8" s="14">
        <f>SI([@SBAN]="";"";BUSCARV([@SBAN];Cronograma_Maestro!$A:$M;6;FALSO))</f>
        <v/>
      </c>
    </row>
    <row r="29">
      <c r="A29" s="11" t="inlineStr">
        <is>
          <t>1215</t>
        </is>
      </c>
      <c r="B29" s="12">
        <f>SI([@SBAN]="";"";BUSCARV([@SBAN];Cronograma_Maestro!$A:$M;2;FALSO))</f>
        <v/>
      </c>
      <c r="C29" s="12">
        <f>SI([@SBAN]="";"";BUSCARV([@SBAN];Cronograma_Maestro!$A:$M;3;FALSO))</f>
        <v/>
      </c>
      <c r="D29" s="12">
        <f>SI([@SBAN]="";"";BUSCARV([@SBAN];Cronograma_Maestro!$A:$M;4;FALSO))</f>
        <v/>
      </c>
      <c r="E29" s="12">
        <f>SI([@SBAN]="";"";BUSCARV([@SBAN];Cronograma_Maestro!$A:$M;5;FALSO))</f>
        <v/>
      </c>
      <c r="F29" s="12" t="inlineStr">
        <is>
          <t>Ramon Salgado Romero</t>
        </is>
      </c>
      <c r="G29" s="12" t="inlineStr">
        <is>
          <t>PMU COLSOF</t>
        </is>
      </c>
      <c r="H29" s="13" t="n">
        <v>46302</v>
      </c>
      <c r="I29" s="13" t="n">
        <v>46302</v>
      </c>
      <c r="J29" s="13" t="n"/>
      <c r="K29" s="13" t="n"/>
      <c r="L29" s="12" t="inlineStr">
        <is>
          <t>Programada</t>
        </is>
      </c>
      <c r="M29" s="13" t="n"/>
      <c r="N29" s="14">
        <f>SI(O([@[Fecha_Programada_Inicio]]="";[@[Fecha_Inicio_Real]]="");"";SI([@[Fecha_Inicio_Real]]&lt;=[@[Fecha_Programada_Inicio]];"SÍ";"NO"))</f>
        <v/>
      </c>
      <c r="O29" s="14">
        <f>SI(O([@[Fecha_Programada_Fin]]="";[@[Fecha_Cierre_Operativo]]="");"";SI([@[Fecha_Cierre_Operativo]]&lt;=SI([@[Fecha_Nueva_Programada]]&lt;&gt;"";[@[Fecha_Nueva_Programada]];[@[Fecha_Programada_Fin]]);"SÍ";"NO"))</f>
        <v/>
      </c>
      <c r="P29" s="14">
        <f>SI(O([@[Cumpli_Ingreso]]="";[@[Cumpli_Salida]]="");"";SI(Y([@[Cumpli_Ingreso]]="SÍ";[@[Cumpli_Salida]]="SÍ");"SÍ";"NO"))</f>
        <v/>
      </c>
      <c r="Q29" s="15">
        <f>SI(O([@[Fecha_Programada_Fin]]="";[@[Fecha_Cierre_Operativo]]="");"";MAX(0;ENTERO([@[Fecha_Cierre_Operativo]])-ENTERO(SI([@[Fecha_Nueva_Programada]]&lt;&gt;"";[@[Fecha_Nueva_Programada]];[@[Fecha_Programada_Fin]])))</f>
        <v/>
      </c>
      <c r="R29" s="12" t="n"/>
      <c r="S29" s="12" t="n"/>
      <c r="T29" s="13" t="n"/>
      <c r="U29" s="12" t="n">
        <v>25</v>
      </c>
      <c r="V29" s="12" t="n"/>
      <c r="W2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9" s="14">
        <f>SI([@SBAN]="";"";BUSCARV([@SBAN];Cronograma_Maestro!$A:$M;6;FALSO))</f>
        <v/>
      </c>
    </row>
    <row r="30">
      <c r="A30" s="11" t="inlineStr">
        <is>
          <t>1216</t>
        </is>
      </c>
      <c r="B30" s="12">
        <f>SI([@SBAN]="";"";BUSCARV([@SBAN];Cronograma_Maestro!$A:$M;2;FALSO))</f>
        <v/>
      </c>
      <c r="C30" s="12">
        <f>SI([@SBAN]="";"";BUSCARV([@SBAN];Cronograma_Maestro!$A:$M;3;FALSO))</f>
        <v/>
      </c>
      <c r="D30" s="12">
        <f>SI([@SBAN]="";"";BUSCARV([@SBAN];Cronograma_Maestro!$A:$M;4;FALSO))</f>
        <v/>
      </c>
      <c r="E30" s="12">
        <f>SI([@SBAN]="";"";BUSCARV([@SBAN];Cronograma_Maestro!$A:$M;5;FALSO))</f>
        <v/>
      </c>
      <c r="F30" s="12" t="inlineStr">
        <is>
          <t>Vladimir Faneyte Taborda</t>
        </is>
      </c>
      <c r="G30" s="12" t="inlineStr">
        <is>
          <t>PMU COLSOF</t>
        </is>
      </c>
      <c r="H30" s="13" t="n">
        <v>46315</v>
      </c>
      <c r="I30" s="13" t="n">
        <v>46315</v>
      </c>
      <c r="J30" s="13" t="n"/>
      <c r="K30" s="13" t="n"/>
      <c r="L30" s="12" t="inlineStr">
        <is>
          <t>Programada</t>
        </is>
      </c>
      <c r="M30" s="13" t="n"/>
      <c r="N30" s="14">
        <f>SI(O([@[Fecha_Programada_Inicio]]="";[@[Fecha_Inicio_Real]]="");"";SI([@[Fecha_Inicio_Real]]&lt;=[@[Fecha_Programada_Inicio]];"SÍ";"NO"))</f>
        <v/>
      </c>
      <c r="O30" s="14">
        <f>SI(O([@[Fecha_Programada_Fin]]="";[@[Fecha_Cierre_Operativo]]="");"";SI([@[Fecha_Cierre_Operativo]]&lt;=SI([@[Fecha_Nueva_Programada]]&lt;&gt;"";[@[Fecha_Nueva_Programada]];[@[Fecha_Programada_Fin]]);"SÍ";"NO"))</f>
        <v/>
      </c>
      <c r="P30" s="14">
        <f>SI(O([@[Cumpli_Ingreso]]="";[@[Cumpli_Salida]]="");"";SI(Y([@[Cumpli_Ingreso]]="SÍ";[@[Cumpli_Salida]]="SÍ");"SÍ";"NO"))</f>
        <v/>
      </c>
      <c r="Q30" s="15">
        <f>SI(O([@[Fecha_Programada_Fin]]="";[@[Fecha_Cierre_Operativo]]="");"";MAX(0;ENTERO([@[Fecha_Cierre_Operativo]])-ENTERO(SI([@[Fecha_Nueva_Programada]]&lt;&gt;"";[@[Fecha_Nueva_Programada]];[@[Fecha_Programada_Fin]])))</f>
        <v/>
      </c>
      <c r="R30" s="12" t="n"/>
      <c r="S30" s="12" t="n"/>
      <c r="T30" s="13" t="n"/>
      <c r="U30" s="12" t="n">
        <v>12</v>
      </c>
      <c r="V30" s="12" t="n"/>
      <c r="W3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0" s="14">
        <f>SI([@SBAN]="";"";BUSCARV([@SBAN];Cronograma_Maestro!$A:$M;6;FALSO))</f>
        <v/>
      </c>
    </row>
    <row r="31">
      <c r="A31" s="11" t="inlineStr">
        <is>
          <t>1218</t>
        </is>
      </c>
      <c r="B31" s="12">
        <f>SI([@SBAN]="";"";BUSCARV([@SBAN];Cronograma_Maestro!$A:$M;2;FALSO))</f>
        <v/>
      </c>
      <c r="C31" s="12">
        <f>SI([@SBAN]="";"";BUSCARV([@SBAN];Cronograma_Maestro!$A:$M;3;FALSO))</f>
        <v/>
      </c>
      <c r="D31" s="12">
        <f>SI([@SBAN]="";"";BUSCARV([@SBAN];Cronograma_Maestro!$A:$M;4;FALSO))</f>
        <v/>
      </c>
      <c r="E31" s="12">
        <f>SI([@SBAN]="";"";BUSCARV([@SBAN];Cronograma_Maestro!$A:$M;5;FALSO))</f>
        <v/>
      </c>
      <c r="F31" s="12" t="inlineStr">
        <is>
          <t>Ramon Salgado Romero</t>
        </is>
      </c>
      <c r="G31" s="12" t="inlineStr">
        <is>
          <t>PMU COLSOF</t>
        </is>
      </c>
      <c r="H31" s="13" t="n">
        <v>46300</v>
      </c>
      <c r="I31" s="13" t="n">
        <v>46300</v>
      </c>
      <c r="J31" s="13" t="n"/>
      <c r="K31" s="13" t="n"/>
      <c r="L31" s="12" t="inlineStr">
        <is>
          <t>Programada</t>
        </is>
      </c>
      <c r="M31" s="13" t="n"/>
      <c r="N31" s="14">
        <f>SI(O([@[Fecha_Programada_Inicio]]="";[@[Fecha_Inicio_Real]]="");"";SI([@[Fecha_Inicio_Real]]&lt;=[@[Fecha_Programada_Inicio]];"SÍ";"NO"))</f>
        <v/>
      </c>
      <c r="O31" s="14">
        <f>SI(O([@[Fecha_Programada_Fin]]="";[@[Fecha_Cierre_Operativo]]="");"";SI([@[Fecha_Cierre_Operativo]]&lt;=SI([@[Fecha_Nueva_Programada]]&lt;&gt;"";[@[Fecha_Nueva_Programada]];[@[Fecha_Programada_Fin]]);"SÍ";"NO"))</f>
        <v/>
      </c>
      <c r="P31" s="14">
        <f>SI(O([@[Cumpli_Ingreso]]="";[@[Cumpli_Salida]]="");"";SI(Y([@[Cumpli_Ingreso]]="SÍ";[@[Cumpli_Salida]]="SÍ");"SÍ";"NO"))</f>
        <v/>
      </c>
      <c r="Q31" s="15">
        <f>SI(O([@[Fecha_Programada_Fin]]="";[@[Fecha_Cierre_Operativo]]="");"";MAX(0;ENTERO([@[Fecha_Cierre_Operativo]])-ENTERO(SI([@[Fecha_Nueva_Programada]]&lt;&gt;"";[@[Fecha_Nueva_Programada]];[@[Fecha_Programada_Fin]])))</f>
        <v/>
      </c>
      <c r="R31" s="12" t="n"/>
      <c r="S31" s="12" t="n"/>
      <c r="T31" s="13" t="n"/>
      <c r="U31" s="12" t="n">
        <v>23</v>
      </c>
      <c r="V31" s="12" t="n"/>
      <c r="W3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1" s="14">
        <f>SI([@SBAN]="";"";BUSCARV([@SBAN];Cronograma_Maestro!$A:$M;6;FALSO))</f>
        <v/>
      </c>
    </row>
    <row r="32">
      <c r="A32" s="11" t="inlineStr">
        <is>
          <t>1230</t>
        </is>
      </c>
      <c r="B32" s="12">
        <f>SI([@SBAN]="";"";BUSCARV([@SBAN];Cronograma_Maestro!$A:$M;2;FALSO))</f>
        <v/>
      </c>
      <c r="C32" s="12">
        <f>SI([@SBAN]="";"";BUSCARV([@SBAN];Cronograma_Maestro!$A:$M;3;FALSO))</f>
        <v/>
      </c>
      <c r="D32" s="12">
        <f>SI([@SBAN]="";"";BUSCARV([@SBAN];Cronograma_Maestro!$A:$M;4;FALSO))</f>
        <v/>
      </c>
      <c r="E32" s="12">
        <f>SI([@SBAN]="";"";BUSCARV([@SBAN];Cronograma_Maestro!$A:$M;5;FALSO))</f>
        <v/>
      </c>
      <c r="F32" s="12" t="inlineStr">
        <is>
          <t>Gabriel Eduardo Tapias Castellar</t>
        </is>
      </c>
      <c r="G32" s="12" t="inlineStr">
        <is>
          <t>PMU COLSOF</t>
        </is>
      </c>
      <c r="H32" s="13" t="n">
        <v>46279</v>
      </c>
      <c r="I32" s="13" t="n">
        <v>46279</v>
      </c>
      <c r="J32" s="13" t="n"/>
      <c r="K32" s="13" t="n"/>
      <c r="L32" s="12" t="inlineStr">
        <is>
          <t>Programada</t>
        </is>
      </c>
      <c r="M32" s="13" t="n"/>
      <c r="N32" s="14">
        <f>SI(O([@[Fecha_Programada_Inicio]]="";[@[Fecha_Inicio_Real]]="");"";SI([@[Fecha_Inicio_Real]]&lt;=[@[Fecha_Programada_Inicio]];"SÍ";"NO"))</f>
        <v/>
      </c>
      <c r="O32" s="14">
        <f>SI(O([@[Fecha_Programada_Fin]]="";[@[Fecha_Cierre_Operativo]]="");"";SI([@[Fecha_Cierre_Operativo]]&lt;=SI([@[Fecha_Nueva_Programada]]&lt;&gt;"";[@[Fecha_Nueva_Programada]];[@[Fecha_Programada_Fin]]);"SÍ";"NO"))</f>
        <v/>
      </c>
      <c r="P32" s="14">
        <f>SI(O([@[Cumpli_Ingreso]]="";[@[Cumpli_Salida]]="");"";SI(Y([@[Cumpli_Ingreso]]="SÍ";[@[Cumpli_Salida]]="SÍ");"SÍ";"NO"))</f>
        <v/>
      </c>
      <c r="Q32" s="15">
        <f>SI(O([@[Fecha_Programada_Fin]]="";[@[Fecha_Cierre_Operativo]]="");"";MAX(0;ENTERO([@[Fecha_Cierre_Operativo]])-ENTERO(SI([@[Fecha_Nueva_Programada]]&lt;&gt;"";[@[Fecha_Nueva_Programada]];[@[Fecha_Programada_Fin]])))</f>
        <v/>
      </c>
      <c r="R32" s="12" t="n"/>
      <c r="S32" s="12" t="n"/>
      <c r="T32" s="13" t="n"/>
      <c r="U32" s="12" t="n">
        <v>19</v>
      </c>
      <c r="V32" s="12" t="n"/>
      <c r="W3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2" s="14">
        <f>SI([@SBAN]="";"";BUSCARV([@SBAN];Cronograma_Maestro!$A:$M;6;FALSO))</f>
        <v/>
      </c>
    </row>
    <row r="33">
      <c r="A33" s="11" t="inlineStr">
        <is>
          <t>1240</t>
        </is>
      </c>
      <c r="B33" s="12">
        <f>SI([@SBAN]="";"";BUSCARV([@SBAN];Cronograma_Maestro!$A:$M;2;FALSO))</f>
        <v/>
      </c>
      <c r="C33" s="12">
        <f>SI([@SBAN]="";"";BUSCARV([@SBAN];Cronograma_Maestro!$A:$M;3;FALSO))</f>
        <v/>
      </c>
      <c r="D33" s="12">
        <f>SI([@SBAN]="";"";BUSCARV([@SBAN];Cronograma_Maestro!$A:$M;4;FALSO))</f>
        <v/>
      </c>
      <c r="E33" s="12">
        <f>SI([@SBAN]="";"";BUSCARV([@SBAN];Cronograma_Maestro!$A:$M;5;FALSO))</f>
        <v/>
      </c>
      <c r="F33" s="12" t="inlineStr">
        <is>
          <t>Gabriel Ivan Ballesteros Quiroz</t>
        </is>
      </c>
      <c r="G33" s="12" t="inlineStr">
        <is>
          <t>PMU COLSOF</t>
        </is>
      </c>
      <c r="H33" s="13" t="n">
        <v>46286</v>
      </c>
      <c r="I33" s="13" t="n">
        <v>46286</v>
      </c>
      <c r="J33" s="13" t="n"/>
      <c r="K33" s="13" t="n"/>
      <c r="L33" s="12" t="inlineStr">
        <is>
          <t>Programada</t>
        </is>
      </c>
      <c r="M33" s="13" t="n"/>
      <c r="N33" s="14">
        <f>SI(O([@[Fecha_Programada_Inicio]]="";[@[Fecha_Inicio_Real]]="");"";SI([@[Fecha_Inicio_Real]]&lt;=[@[Fecha_Programada_Inicio]];"SÍ";"NO"))</f>
        <v/>
      </c>
      <c r="O33" s="14">
        <f>SI(O([@[Fecha_Programada_Fin]]="";[@[Fecha_Cierre_Operativo]]="");"";SI([@[Fecha_Cierre_Operativo]]&lt;=SI([@[Fecha_Nueva_Programada]]&lt;&gt;"";[@[Fecha_Nueva_Programada]];[@[Fecha_Programada_Fin]]);"SÍ";"NO"))</f>
        <v/>
      </c>
      <c r="P33" s="14">
        <f>SI(O([@[Cumpli_Ingreso]]="";[@[Cumpli_Salida]]="");"";SI(Y([@[Cumpli_Ingreso]]="SÍ";[@[Cumpli_Salida]]="SÍ");"SÍ";"NO"))</f>
        <v/>
      </c>
      <c r="Q33" s="15">
        <f>SI(O([@[Fecha_Programada_Fin]]="";[@[Fecha_Cierre_Operativo]]="");"";MAX(0;ENTERO([@[Fecha_Cierre_Operativo]])-ENTERO(SI([@[Fecha_Nueva_Programada]]&lt;&gt;"";[@[Fecha_Nueva_Programada]];[@[Fecha_Programada_Fin]])))</f>
        <v/>
      </c>
      <c r="R33" s="12" t="n"/>
      <c r="S33" s="12" t="n"/>
      <c r="T33" s="13" t="n"/>
      <c r="U33" s="12" t="n">
        <v>31</v>
      </c>
      <c r="V33" s="12" t="n"/>
      <c r="W3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3" s="14">
        <f>SI([@SBAN]="";"";BUSCARV([@SBAN];Cronograma_Maestro!$A:$M;6;FALSO))</f>
        <v/>
      </c>
    </row>
    <row r="34">
      <c r="A34" s="11" t="inlineStr">
        <is>
          <t>1243</t>
        </is>
      </c>
      <c r="B34" s="12">
        <f>SI([@SBAN]="";"";BUSCARV([@SBAN];Cronograma_Maestro!$A:$M;2;FALSO))</f>
        <v/>
      </c>
      <c r="C34" s="12">
        <f>SI([@SBAN]="";"";BUSCARV([@SBAN];Cronograma_Maestro!$A:$M;3;FALSO))</f>
        <v/>
      </c>
      <c r="D34" s="12">
        <f>SI([@SBAN]="";"";BUSCARV([@SBAN];Cronograma_Maestro!$A:$M;4;FALSO))</f>
        <v/>
      </c>
      <c r="E34" s="12">
        <f>SI([@SBAN]="";"";BUSCARV([@SBAN];Cronograma_Maestro!$A:$M;5;FALSO))</f>
        <v/>
      </c>
      <c r="F34" s="12" t="inlineStr">
        <is>
          <t>Gabriel Ivan Ballesteros Quiroz</t>
        </is>
      </c>
      <c r="G34" s="12" t="inlineStr">
        <is>
          <t>PMU COLSOF</t>
        </is>
      </c>
      <c r="H34" s="13" t="n">
        <v>46282</v>
      </c>
      <c r="I34" s="13" t="n">
        <v>46282</v>
      </c>
      <c r="J34" s="13" t="n"/>
      <c r="K34" s="13" t="n"/>
      <c r="L34" s="12" t="inlineStr">
        <is>
          <t>Programada</t>
        </is>
      </c>
      <c r="M34" s="13" t="n"/>
      <c r="N34" s="14">
        <f>SI(O([@[Fecha_Programada_Inicio]]="";[@[Fecha_Inicio_Real]]="");"";SI([@[Fecha_Inicio_Real]]&lt;=[@[Fecha_Programada_Inicio]];"SÍ";"NO"))</f>
        <v/>
      </c>
      <c r="O34" s="14">
        <f>SI(O([@[Fecha_Programada_Fin]]="";[@[Fecha_Cierre_Operativo]]="");"";SI([@[Fecha_Cierre_Operativo]]&lt;=SI([@[Fecha_Nueva_Programada]]&lt;&gt;"";[@[Fecha_Nueva_Programada]];[@[Fecha_Programada_Fin]]);"SÍ";"NO"))</f>
        <v/>
      </c>
      <c r="P34" s="14">
        <f>SI(O([@[Cumpli_Ingreso]]="";[@[Cumpli_Salida]]="");"";SI(Y([@[Cumpli_Ingreso]]="SÍ";[@[Cumpli_Salida]]="SÍ");"SÍ";"NO"))</f>
        <v/>
      </c>
      <c r="Q34" s="15">
        <f>SI(O([@[Fecha_Programada_Fin]]="";[@[Fecha_Cierre_Operativo]]="");"";MAX(0;ENTERO([@[Fecha_Cierre_Operativo]])-ENTERO(SI([@[Fecha_Nueva_Programada]]&lt;&gt;"";[@[Fecha_Nueva_Programada]];[@[Fecha_Programada_Fin]])))</f>
        <v/>
      </c>
      <c r="R34" s="12" t="n"/>
      <c r="S34" s="12" t="n"/>
      <c r="T34" s="13" t="n"/>
      <c r="U34" s="12" t="n">
        <v>21</v>
      </c>
      <c r="V34" s="12" t="n"/>
      <c r="W3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4" s="14">
        <f>SI([@SBAN]="";"";BUSCARV([@SBAN];Cronograma_Maestro!$A:$M;6;FALSO))</f>
        <v/>
      </c>
    </row>
    <row r="35">
      <c r="A35" s="11" t="inlineStr">
        <is>
          <t>1244</t>
        </is>
      </c>
      <c r="B35" s="12">
        <f>SI([@SBAN]="";"";BUSCARV([@SBAN];Cronograma_Maestro!$A:$M;2;FALSO))</f>
        <v/>
      </c>
      <c r="C35" s="12">
        <f>SI([@SBAN]="";"";BUSCARV([@SBAN];Cronograma_Maestro!$A:$M;3;FALSO))</f>
        <v/>
      </c>
      <c r="D35" s="12">
        <f>SI([@SBAN]="";"";BUSCARV([@SBAN];Cronograma_Maestro!$A:$M;4;FALSO))</f>
        <v/>
      </c>
      <c r="E35" s="12">
        <f>SI([@SBAN]="";"";BUSCARV([@SBAN];Cronograma_Maestro!$A:$M;5;FALSO))</f>
        <v/>
      </c>
      <c r="F35" s="12" t="inlineStr">
        <is>
          <t>Libni Simei Pardo Yanes</t>
        </is>
      </c>
      <c r="G35" s="12" t="inlineStr">
        <is>
          <t>PMU COLSOF</t>
        </is>
      </c>
      <c r="H35" s="13" t="n">
        <v>46276</v>
      </c>
      <c r="I35" s="13" t="n">
        <v>46276</v>
      </c>
      <c r="J35" s="13" t="n"/>
      <c r="K35" s="13" t="n"/>
      <c r="L35" s="12" t="inlineStr">
        <is>
          <t>Programada</t>
        </is>
      </c>
      <c r="M35" s="13" t="n"/>
      <c r="N35" s="14">
        <f>SI(O([@[Fecha_Programada_Inicio]]="";[@[Fecha_Inicio_Real]]="");"";SI([@[Fecha_Inicio_Real]]&lt;=[@[Fecha_Programada_Inicio]];"SÍ";"NO"))</f>
        <v/>
      </c>
      <c r="O35" s="14">
        <f>SI(O([@[Fecha_Programada_Fin]]="";[@[Fecha_Cierre_Operativo]]="");"";SI([@[Fecha_Cierre_Operativo]]&lt;=SI([@[Fecha_Nueva_Programada]]&lt;&gt;"";[@[Fecha_Nueva_Programada]];[@[Fecha_Programada_Fin]]);"SÍ";"NO"))</f>
        <v/>
      </c>
      <c r="P35" s="14">
        <f>SI(O([@[Cumpli_Ingreso]]="";[@[Cumpli_Salida]]="");"";SI(Y([@[Cumpli_Ingreso]]="SÍ";[@[Cumpli_Salida]]="SÍ");"SÍ";"NO"))</f>
        <v/>
      </c>
      <c r="Q35" s="15">
        <f>SI(O([@[Fecha_Programada_Fin]]="";[@[Fecha_Cierre_Operativo]]="");"";MAX(0;ENTERO([@[Fecha_Cierre_Operativo]])-ENTERO(SI([@[Fecha_Nueva_Programada]]&lt;&gt;"";[@[Fecha_Nueva_Programada]];[@[Fecha_Programada_Fin]])))</f>
        <v/>
      </c>
      <c r="R35" s="12" t="n"/>
      <c r="S35" s="12" t="n"/>
      <c r="T35" s="13" t="n"/>
      <c r="U35" s="12" t="n">
        <v>15</v>
      </c>
      <c r="V35" s="12" t="n"/>
      <c r="W3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5" s="14">
        <f>SI([@SBAN]="";"";BUSCARV([@SBAN];Cronograma_Maestro!$A:$M;6;FALSO))</f>
        <v/>
      </c>
    </row>
    <row r="36">
      <c r="A36" s="11" t="inlineStr">
        <is>
          <t>1246</t>
        </is>
      </c>
      <c r="B36" s="12">
        <f>SI([@SBAN]="";"";BUSCARV([@SBAN];Cronograma_Maestro!$A:$M;2;FALSO))</f>
        <v/>
      </c>
      <c r="C36" s="12">
        <f>SI([@SBAN]="";"";BUSCARV([@SBAN];Cronograma_Maestro!$A:$M;3;FALSO))</f>
        <v/>
      </c>
      <c r="D36" s="12">
        <f>SI([@SBAN]="";"";BUSCARV([@SBAN];Cronograma_Maestro!$A:$M;4;FALSO))</f>
        <v/>
      </c>
      <c r="E36" s="12">
        <f>SI([@SBAN]="";"";BUSCARV([@SBAN];Cronograma_Maestro!$A:$M;5;FALSO))</f>
        <v/>
      </c>
      <c r="F36" s="12" t="inlineStr">
        <is>
          <t>Gabriel Ivan Ballesteros Quiroz</t>
        </is>
      </c>
      <c r="G36" s="12" t="inlineStr">
        <is>
          <t>PMU COLSOF</t>
        </is>
      </c>
      <c r="H36" s="13" t="n">
        <v>46293</v>
      </c>
      <c r="I36" s="13" t="n">
        <v>46293</v>
      </c>
      <c r="J36" s="13" t="n"/>
      <c r="K36" s="13" t="n"/>
      <c r="L36" s="12" t="inlineStr">
        <is>
          <t>Programada</t>
        </is>
      </c>
      <c r="M36" s="13" t="n"/>
      <c r="N36" s="14">
        <f>SI(O([@[Fecha_Programada_Inicio]]="";[@[Fecha_Inicio_Real]]="");"";SI([@[Fecha_Inicio_Real]]&lt;=[@[Fecha_Programada_Inicio]];"SÍ";"NO"))</f>
        <v/>
      </c>
      <c r="O36" s="14">
        <f>SI(O([@[Fecha_Programada_Fin]]="";[@[Fecha_Cierre_Operativo]]="");"";SI([@[Fecha_Cierre_Operativo]]&lt;=SI([@[Fecha_Nueva_Programada]]&lt;&gt;"";[@[Fecha_Nueva_Programada]];[@[Fecha_Programada_Fin]]);"SÍ";"NO"))</f>
        <v/>
      </c>
      <c r="P36" s="14">
        <f>SI(O([@[Cumpli_Ingreso]]="";[@[Cumpli_Salida]]="");"";SI(Y([@[Cumpli_Ingreso]]="SÍ";[@[Cumpli_Salida]]="SÍ");"SÍ";"NO"))</f>
        <v/>
      </c>
      <c r="Q36" s="15">
        <f>SI(O([@[Fecha_Programada_Fin]]="";[@[Fecha_Cierre_Operativo]]="");"";MAX(0;ENTERO([@[Fecha_Cierre_Operativo]])-ENTERO(SI([@[Fecha_Nueva_Programada]]&lt;&gt;"";[@[Fecha_Nueva_Programada]];[@[Fecha_Programada_Fin]])))</f>
        <v/>
      </c>
      <c r="R36" s="12" t="n"/>
      <c r="S36" s="12" t="n"/>
      <c r="T36" s="13" t="n"/>
      <c r="U36" s="12" t="n">
        <v>15</v>
      </c>
      <c r="V36" s="12" t="n"/>
      <c r="W3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6" s="14">
        <f>SI([@SBAN]="";"";BUSCARV([@SBAN];Cronograma_Maestro!$A:$M;6;FALSO))</f>
        <v/>
      </c>
    </row>
    <row r="37">
      <c r="A37" s="11" t="inlineStr">
        <is>
          <t>1250</t>
        </is>
      </c>
      <c r="B37" s="12">
        <f>SI([@SBAN]="";"";BUSCARV([@SBAN];Cronograma_Maestro!$A:$M;2;FALSO))</f>
        <v/>
      </c>
      <c r="C37" s="12">
        <f>SI([@SBAN]="";"";BUSCARV([@SBAN];Cronograma_Maestro!$A:$M;3;FALSO))</f>
        <v/>
      </c>
      <c r="D37" s="12">
        <f>SI([@SBAN]="";"";BUSCARV([@SBAN];Cronograma_Maestro!$A:$M;4;FALSO))</f>
        <v/>
      </c>
      <c r="E37" s="12">
        <f>SI([@SBAN]="";"";BUSCARV([@SBAN];Cronograma_Maestro!$A:$M;5;FALSO))</f>
        <v/>
      </c>
      <c r="F37" s="12" t="inlineStr">
        <is>
          <t>Gabriel Eduardo Tapias Castellar</t>
        </is>
      </c>
      <c r="G37" s="12" t="inlineStr">
        <is>
          <t>PMU COLSOF</t>
        </is>
      </c>
      <c r="H37" s="13" t="n">
        <v>46281</v>
      </c>
      <c r="I37" s="13" t="n">
        <v>46281</v>
      </c>
      <c r="J37" s="13" t="n"/>
      <c r="K37" s="13" t="n"/>
      <c r="L37" s="12" t="inlineStr">
        <is>
          <t>Programada</t>
        </is>
      </c>
      <c r="M37" s="13" t="n"/>
      <c r="N37" s="14">
        <f>SI(O([@[Fecha_Programada_Inicio]]="";[@[Fecha_Inicio_Real]]="");"";SI([@[Fecha_Inicio_Real]]&lt;=[@[Fecha_Programada_Inicio]];"SÍ";"NO"))</f>
        <v/>
      </c>
      <c r="O37" s="14">
        <f>SI(O([@[Fecha_Programada_Fin]]="";[@[Fecha_Cierre_Operativo]]="");"";SI([@[Fecha_Cierre_Operativo]]&lt;=SI([@[Fecha_Nueva_Programada]]&lt;&gt;"";[@[Fecha_Nueva_Programada]];[@[Fecha_Programada_Fin]]);"SÍ";"NO"))</f>
        <v/>
      </c>
      <c r="P37" s="14">
        <f>SI(O([@[Cumpli_Ingreso]]="";[@[Cumpli_Salida]]="");"";SI(Y([@[Cumpli_Ingreso]]="SÍ";[@[Cumpli_Salida]]="SÍ");"SÍ";"NO"))</f>
        <v/>
      </c>
      <c r="Q37" s="15">
        <f>SI(O([@[Fecha_Programada_Fin]]="";[@[Fecha_Cierre_Operativo]]="");"";MAX(0;ENTERO([@[Fecha_Cierre_Operativo]])-ENTERO(SI([@[Fecha_Nueva_Programada]]&lt;&gt;"";[@[Fecha_Nueva_Programada]];[@[Fecha_Programada_Fin]])))</f>
        <v/>
      </c>
      <c r="R37" s="12" t="n"/>
      <c r="S37" s="12" t="n"/>
      <c r="T37" s="13" t="n"/>
      <c r="U37" s="12" t="n">
        <v>23</v>
      </c>
      <c r="V37" s="12" t="n"/>
      <c r="W3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7" s="14">
        <f>SI([@SBAN]="";"";BUSCARV([@SBAN];Cronograma_Maestro!$A:$M;6;FALSO))</f>
        <v/>
      </c>
    </row>
    <row r="38">
      <c r="A38" s="11" t="inlineStr">
        <is>
          <t>1255</t>
        </is>
      </c>
      <c r="B38" s="12">
        <f>SI([@SBAN]="";"";BUSCARV([@SBAN];Cronograma_Maestro!$A:$M;2;FALSO))</f>
        <v/>
      </c>
      <c r="C38" s="12">
        <f>SI([@SBAN]="";"";BUSCARV([@SBAN];Cronograma_Maestro!$A:$M;3;FALSO))</f>
        <v/>
      </c>
      <c r="D38" s="12">
        <f>SI([@SBAN]="";"";BUSCARV([@SBAN];Cronograma_Maestro!$A:$M;4;FALSO))</f>
        <v/>
      </c>
      <c r="E38" s="12">
        <f>SI([@SBAN]="";"";BUSCARV([@SBAN];Cronograma_Maestro!$A:$M;5;FALSO))</f>
        <v/>
      </c>
      <c r="F38" s="12" t="inlineStr">
        <is>
          <t>Libni Simei Pardo Yanes</t>
        </is>
      </c>
      <c r="G38" s="12" t="inlineStr">
        <is>
          <t>PMU COLSOF</t>
        </is>
      </c>
      <c r="H38" s="13" t="n">
        <v>46273</v>
      </c>
      <c r="I38" s="13" t="n">
        <v>46273</v>
      </c>
      <c r="J38" s="13" t="n"/>
      <c r="K38" s="13" t="n"/>
      <c r="L38" s="12" t="inlineStr">
        <is>
          <t>Programada</t>
        </is>
      </c>
      <c r="M38" s="13" t="n"/>
      <c r="N38" s="14">
        <f>SI(O([@[Fecha_Programada_Inicio]]="";[@[Fecha_Inicio_Real]]="");"";SI([@[Fecha_Inicio_Real]]&lt;=[@[Fecha_Programada_Inicio]];"SÍ";"NO"))</f>
        <v/>
      </c>
      <c r="O38" s="14">
        <f>SI(O([@[Fecha_Programada_Fin]]="";[@[Fecha_Cierre_Operativo]]="");"";SI([@[Fecha_Cierre_Operativo]]&lt;=SI([@[Fecha_Nueva_Programada]]&lt;&gt;"";[@[Fecha_Nueva_Programada]];[@[Fecha_Programada_Fin]]);"SÍ";"NO"))</f>
        <v/>
      </c>
      <c r="P38" s="14">
        <f>SI(O([@[Cumpli_Ingreso]]="";[@[Cumpli_Salida]]="");"";SI(Y([@[Cumpli_Ingreso]]="SÍ";[@[Cumpli_Salida]]="SÍ");"SÍ";"NO"))</f>
        <v/>
      </c>
      <c r="Q38" s="15">
        <f>SI(O([@[Fecha_Programada_Fin]]="";[@[Fecha_Cierre_Operativo]]="");"";MAX(0;ENTERO([@[Fecha_Cierre_Operativo]])-ENTERO(SI([@[Fecha_Nueva_Programada]]&lt;&gt;"";[@[Fecha_Nueva_Programada]];[@[Fecha_Programada_Fin]])))</f>
        <v/>
      </c>
      <c r="R38" s="12" t="n"/>
      <c r="S38" s="12" t="n"/>
      <c r="T38" s="13" t="n"/>
      <c r="U38" s="12" t="n">
        <v>23</v>
      </c>
      <c r="V38" s="12" t="n"/>
      <c r="W3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8" s="14">
        <f>SI([@SBAN]="";"";BUSCARV([@SBAN];Cronograma_Maestro!$A:$M;6;FALSO))</f>
        <v/>
      </c>
    </row>
    <row r="39">
      <c r="A39" s="11" t="inlineStr">
        <is>
          <t>1260</t>
        </is>
      </c>
      <c r="B39" s="12">
        <f>SI([@SBAN]="";"";BUSCARV([@SBAN];Cronograma_Maestro!$A:$M;2;FALSO))</f>
        <v/>
      </c>
      <c r="C39" s="12">
        <f>SI([@SBAN]="";"";BUSCARV([@SBAN];Cronograma_Maestro!$A:$M;3;FALSO))</f>
        <v/>
      </c>
      <c r="D39" s="12">
        <f>SI([@SBAN]="";"";BUSCARV([@SBAN];Cronograma_Maestro!$A:$M;4;FALSO))</f>
        <v/>
      </c>
      <c r="E39" s="12">
        <f>SI([@SBAN]="";"";BUSCARV([@SBAN];Cronograma_Maestro!$A:$M;5;FALSO))</f>
        <v/>
      </c>
      <c r="F39" s="12" t="inlineStr">
        <is>
          <t>Ramon Salgado Romero</t>
        </is>
      </c>
      <c r="G39" s="12" t="inlineStr">
        <is>
          <t>PMU COLSOF</t>
        </is>
      </c>
      <c r="H39" s="13" t="n">
        <v>46304</v>
      </c>
      <c r="I39" s="13" t="n">
        <v>46304</v>
      </c>
      <c r="J39" s="13" t="n"/>
      <c r="K39" s="13" t="n"/>
      <c r="L39" s="12" t="inlineStr">
        <is>
          <t>Programada</t>
        </is>
      </c>
      <c r="M39" s="13" t="n"/>
      <c r="N39" s="14">
        <f>SI(O([@[Fecha_Programada_Inicio]]="";[@[Fecha_Inicio_Real]]="");"";SI([@[Fecha_Inicio_Real]]&lt;=[@[Fecha_Programada_Inicio]];"SÍ";"NO"))</f>
        <v/>
      </c>
      <c r="O39" s="14">
        <f>SI(O([@[Fecha_Programada_Fin]]="";[@[Fecha_Cierre_Operativo]]="");"";SI([@[Fecha_Cierre_Operativo]]&lt;=SI([@[Fecha_Nueva_Programada]]&lt;&gt;"";[@[Fecha_Nueva_Programada]];[@[Fecha_Programada_Fin]]);"SÍ";"NO"))</f>
        <v/>
      </c>
      <c r="P39" s="14">
        <f>SI(O([@[Cumpli_Ingreso]]="";[@[Cumpli_Salida]]="");"";SI(Y([@[Cumpli_Ingreso]]="SÍ";[@[Cumpli_Salida]]="SÍ");"SÍ";"NO"))</f>
        <v/>
      </c>
      <c r="Q39" s="15">
        <f>SI(O([@[Fecha_Programada_Fin]]="";[@[Fecha_Cierre_Operativo]]="");"";MAX(0;ENTERO([@[Fecha_Cierre_Operativo]])-ENTERO(SI([@[Fecha_Nueva_Programada]]&lt;&gt;"";[@[Fecha_Nueva_Programada]];[@[Fecha_Programada_Fin]])))</f>
        <v/>
      </c>
      <c r="R39" s="12" t="n"/>
      <c r="S39" s="12" t="n"/>
      <c r="T39" s="13" t="n"/>
      <c r="U39" s="12" t="n">
        <v>13</v>
      </c>
      <c r="V39" s="12" t="n"/>
      <c r="W3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9" s="14">
        <f>SI([@SBAN]="";"";BUSCARV([@SBAN];Cronograma_Maestro!$A:$M;6;FALSO))</f>
        <v/>
      </c>
    </row>
    <row r="40">
      <c r="A40" s="11" t="inlineStr">
        <is>
          <t>1263</t>
        </is>
      </c>
      <c r="B40" s="12">
        <f>SI([@SBAN]="";"";BUSCARV([@SBAN];Cronograma_Maestro!$A:$M;2;FALSO))</f>
        <v/>
      </c>
      <c r="C40" s="12">
        <f>SI([@SBAN]="";"";BUSCARV([@SBAN];Cronograma_Maestro!$A:$M;3;FALSO))</f>
        <v/>
      </c>
      <c r="D40" s="12">
        <f>SI([@SBAN]="";"";BUSCARV([@SBAN];Cronograma_Maestro!$A:$M;4;FALSO))</f>
        <v/>
      </c>
      <c r="E40" s="12">
        <f>SI([@SBAN]="";"";BUSCARV([@SBAN];Cronograma_Maestro!$A:$M;5;FALSO))</f>
        <v/>
      </c>
      <c r="F40" s="12" t="inlineStr">
        <is>
          <t>Gabriel Eduardo Tapias Castellar</t>
        </is>
      </c>
      <c r="G40" s="12" t="inlineStr">
        <is>
          <t>PMU COLSOF</t>
        </is>
      </c>
      <c r="H40" s="13" t="n">
        <v>46276</v>
      </c>
      <c r="I40" s="13" t="n">
        <v>46276</v>
      </c>
      <c r="J40" s="13" t="n"/>
      <c r="K40" s="13" t="n"/>
      <c r="L40" s="12" t="inlineStr">
        <is>
          <t>Programada</t>
        </is>
      </c>
      <c r="M40" s="13" t="n"/>
      <c r="N40" s="14">
        <f>SI(O([@[Fecha_Programada_Inicio]]="";[@[Fecha_Inicio_Real]]="");"";SI([@[Fecha_Inicio_Real]]&lt;=[@[Fecha_Programada_Inicio]];"SÍ";"NO"))</f>
        <v/>
      </c>
      <c r="O40" s="14">
        <f>SI(O([@[Fecha_Programada_Fin]]="";[@[Fecha_Cierre_Operativo]]="");"";SI([@[Fecha_Cierre_Operativo]]&lt;=SI([@[Fecha_Nueva_Programada]]&lt;&gt;"";[@[Fecha_Nueva_Programada]];[@[Fecha_Programada_Fin]]);"SÍ";"NO"))</f>
        <v/>
      </c>
      <c r="P40" s="14">
        <f>SI(O([@[Cumpli_Ingreso]]="";[@[Cumpli_Salida]]="");"";SI(Y([@[Cumpli_Ingreso]]="SÍ";[@[Cumpli_Salida]]="SÍ");"SÍ";"NO"))</f>
        <v/>
      </c>
      <c r="Q40" s="15">
        <f>SI(O([@[Fecha_Programada_Fin]]="";[@[Fecha_Cierre_Operativo]]="");"";MAX(0;ENTERO([@[Fecha_Cierre_Operativo]])-ENTERO(SI([@[Fecha_Nueva_Programada]]&lt;&gt;"";[@[Fecha_Nueva_Programada]];[@[Fecha_Programada_Fin]])))</f>
        <v/>
      </c>
      <c r="R40" s="12" t="n"/>
      <c r="S40" s="12" t="n"/>
      <c r="T40" s="13" t="n"/>
      <c r="U40" s="12" t="n">
        <v>19</v>
      </c>
      <c r="V40" s="12" t="n"/>
      <c r="W4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0" s="14">
        <f>SI([@SBAN]="";"";BUSCARV([@SBAN];Cronograma_Maestro!$A:$M;6;FALSO))</f>
        <v/>
      </c>
    </row>
    <row r="41">
      <c r="A41" s="11" t="inlineStr">
        <is>
          <t>1265</t>
        </is>
      </c>
      <c r="B41" s="12">
        <f>SI([@SBAN]="";"";BUSCARV([@SBAN];Cronograma_Maestro!$A:$M;2;FALSO))</f>
        <v/>
      </c>
      <c r="C41" s="12">
        <f>SI([@SBAN]="";"";BUSCARV([@SBAN];Cronograma_Maestro!$A:$M;3;FALSO))</f>
        <v/>
      </c>
      <c r="D41" s="12">
        <f>SI([@SBAN]="";"";BUSCARV([@SBAN];Cronograma_Maestro!$A:$M;4;FALSO))</f>
        <v/>
      </c>
      <c r="E41" s="12">
        <f>SI([@SBAN]="";"";BUSCARV([@SBAN];Cronograma_Maestro!$A:$M;5;FALSO))</f>
        <v/>
      </c>
      <c r="F41" s="12" t="inlineStr">
        <is>
          <t>Libni Simei Pardo Yanes</t>
        </is>
      </c>
      <c r="G41" s="12" t="inlineStr">
        <is>
          <t>PMU COLSOF</t>
        </is>
      </c>
      <c r="H41" s="13" t="n">
        <v>46275</v>
      </c>
      <c r="I41" s="13" t="n">
        <v>46275</v>
      </c>
      <c r="J41" s="13" t="n"/>
      <c r="K41" s="13" t="n"/>
      <c r="L41" s="12" t="inlineStr">
        <is>
          <t>Programada</t>
        </is>
      </c>
      <c r="M41" s="13" t="n"/>
      <c r="N41" s="14">
        <f>SI(O([@[Fecha_Programada_Inicio]]="";[@[Fecha_Inicio_Real]]="");"";SI([@[Fecha_Inicio_Real]]&lt;=[@[Fecha_Programada_Inicio]];"SÍ";"NO"))</f>
        <v/>
      </c>
      <c r="O41" s="14">
        <f>SI(O([@[Fecha_Programada_Fin]]="";[@[Fecha_Cierre_Operativo]]="");"";SI([@[Fecha_Cierre_Operativo]]&lt;=SI([@[Fecha_Nueva_Programada]]&lt;&gt;"";[@[Fecha_Nueva_Programada]];[@[Fecha_Programada_Fin]]);"SÍ";"NO"))</f>
        <v/>
      </c>
      <c r="P41" s="14">
        <f>SI(O([@[Cumpli_Ingreso]]="";[@[Cumpli_Salida]]="");"";SI(Y([@[Cumpli_Ingreso]]="SÍ";[@[Cumpli_Salida]]="SÍ");"SÍ";"NO"))</f>
        <v/>
      </c>
      <c r="Q41" s="15">
        <f>SI(O([@[Fecha_Programada_Fin]]="";[@[Fecha_Cierre_Operativo]]="");"";MAX(0;ENTERO([@[Fecha_Cierre_Operativo]])-ENTERO(SI([@[Fecha_Nueva_Programada]]&lt;&gt;"";[@[Fecha_Nueva_Programada]];[@[Fecha_Programada_Fin]])))</f>
        <v/>
      </c>
      <c r="R41" s="12" t="n"/>
      <c r="S41" s="12" t="n"/>
      <c r="T41" s="13" t="n"/>
      <c r="U41" s="12" t="n">
        <v>16</v>
      </c>
      <c r="V41" s="12" t="n"/>
      <c r="W4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1" s="14">
        <f>SI([@SBAN]="";"";BUSCARV([@SBAN];Cronograma_Maestro!$A:$M;6;FALSO))</f>
        <v/>
      </c>
    </row>
    <row r="42">
      <c r="A42" s="11" t="inlineStr">
        <is>
          <t>1267</t>
        </is>
      </c>
      <c r="B42" s="12">
        <f>SI([@SBAN]="";"";BUSCARV([@SBAN];Cronograma_Maestro!$A:$M;2;FALSO))</f>
        <v/>
      </c>
      <c r="C42" s="12">
        <f>SI([@SBAN]="";"";BUSCARV([@SBAN];Cronograma_Maestro!$A:$M;3;FALSO))</f>
        <v/>
      </c>
      <c r="D42" s="12">
        <f>SI([@SBAN]="";"";BUSCARV([@SBAN];Cronograma_Maestro!$A:$M;4;FALSO))</f>
        <v/>
      </c>
      <c r="E42" s="12">
        <f>SI([@SBAN]="";"";BUSCARV([@SBAN];Cronograma_Maestro!$A:$M;5;FALSO))</f>
        <v/>
      </c>
      <c r="F42" s="12" t="inlineStr">
        <is>
          <t>Ramon Salgado Romero</t>
        </is>
      </c>
      <c r="G42" s="12" t="inlineStr">
        <is>
          <t>PMU COLSOF</t>
        </is>
      </c>
      <c r="H42" s="13" t="n">
        <v>46301</v>
      </c>
      <c r="I42" s="13" t="n">
        <v>46301</v>
      </c>
      <c r="J42" s="13" t="n"/>
      <c r="K42" s="13" t="n"/>
      <c r="L42" s="12" t="inlineStr">
        <is>
          <t>Programada</t>
        </is>
      </c>
      <c r="M42" s="13" t="n"/>
      <c r="N42" s="14">
        <f>SI(O([@[Fecha_Programada_Inicio]]="";[@[Fecha_Inicio_Real]]="");"";SI([@[Fecha_Inicio_Real]]&lt;=[@[Fecha_Programada_Inicio]];"SÍ";"NO"))</f>
        <v/>
      </c>
      <c r="O42" s="14">
        <f>SI(O([@[Fecha_Programada_Fin]]="";[@[Fecha_Cierre_Operativo]]="");"";SI([@[Fecha_Cierre_Operativo]]&lt;=SI([@[Fecha_Nueva_Programada]]&lt;&gt;"";[@[Fecha_Nueva_Programada]];[@[Fecha_Programada_Fin]]);"SÍ";"NO"))</f>
        <v/>
      </c>
      <c r="P42" s="14">
        <f>SI(O([@[Cumpli_Ingreso]]="";[@[Cumpli_Salida]]="");"";SI(Y([@[Cumpli_Ingreso]]="SÍ";[@[Cumpli_Salida]]="SÍ");"SÍ";"NO"))</f>
        <v/>
      </c>
      <c r="Q42" s="15">
        <f>SI(O([@[Fecha_Programada_Fin]]="";[@[Fecha_Cierre_Operativo]]="");"";MAX(0;ENTERO([@[Fecha_Cierre_Operativo]])-ENTERO(SI([@[Fecha_Nueva_Programada]]&lt;&gt;"";[@[Fecha_Nueva_Programada]];[@[Fecha_Programada_Fin]])))</f>
        <v/>
      </c>
      <c r="R42" s="12" t="n"/>
      <c r="S42" s="12" t="n"/>
      <c r="T42" s="13" t="n"/>
      <c r="U42" s="12" t="n">
        <v>12</v>
      </c>
      <c r="V42" s="12" t="n"/>
      <c r="W4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2" s="14">
        <f>SI([@SBAN]="";"";BUSCARV([@SBAN];Cronograma_Maestro!$A:$M;6;FALSO))</f>
        <v/>
      </c>
    </row>
    <row r="43">
      <c r="A43" s="11" t="inlineStr">
        <is>
          <t>1270</t>
        </is>
      </c>
      <c r="B43" s="12">
        <f>SI([@SBAN]="";"";BUSCARV([@SBAN];Cronograma_Maestro!$A:$M;2;FALSO))</f>
        <v/>
      </c>
      <c r="C43" s="12">
        <f>SI([@SBAN]="";"";BUSCARV([@SBAN];Cronograma_Maestro!$A:$M;3;FALSO))</f>
        <v/>
      </c>
      <c r="D43" s="12">
        <f>SI([@SBAN]="";"";BUSCARV([@SBAN];Cronograma_Maestro!$A:$M;4;FALSO))</f>
        <v/>
      </c>
      <c r="E43" s="12">
        <f>SI([@SBAN]="";"";BUSCARV([@SBAN];Cronograma_Maestro!$A:$M;5;FALSO))</f>
        <v/>
      </c>
      <c r="F43" s="12" t="inlineStr">
        <is>
          <t>Libni Simei Pardo Yanes</t>
        </is>
      </c>
      <c r="G43" s="12" t="inlineStr">
        <is>
          <t>PMU COLSOF</t>
        </is>
      </c>
      <c r="H43" s="13" t="n">
        <v>46274</v>
      </c>
      <c r="I43" s="13" t="n">
        <v>46274</v>
      </c>
      <c r="J43" s="13" t="n"/>
      <c r="K43" s="13" t="n"/>
      <c r="L43" s="12" t="inlineStr">
        <is>
          <t>Programada</t>
        </is>
      </c>
      <c r="M43" s="13" t="n"/>
      <c r="N43" s="14">
        <f>SI(O([@[Fecha_Programada_Inicio]]="";[@[Fecha_Inicio_Real]]="");"";SI([@[Fecha_Inicio_Real]]&lt;=[@[Fecha_Programada_Inicio]];"SÍ";"NO"))</f>
        <v/>
      </c>
      <c r="O43" s="14">
        <f>SI(O([@[Fecha_Programada_Fin]]="";[@[Fecha_Cierre_Operativo]]="");"";SI([@[Fecha_Cierre_Operativo]]&lt;=SI([@[Fecha_Nueva_Programada]]&lt;&gt;"";[@[Fecha_Nueva_Programada]];[@[Fecha_Programada_Fin]]);"SÍ";"NO"))</f>
        <v/>
      </c>
      <c r="P43" s="14">
        <f>SI(O([@[Cumpli_Ingreso]]="";[@[Cumpli_Salida]]="");"";SI(Y([@[Cumpli_Ingreso]]="SÍ";[@[Cumpli_Salida]]="SÍ");"SÍ";"NO"))</f>
        <v/>
      </c>
      <c r="Q43" s="15">
        <f>SI(O([@[Fecha_Programada_Fin]]="";[@[Fecha_Cierre_Operativo]]="");"";MAX(0;ENTERO([@[Fecha_Cierre_Operativo]])-ENTERO(SI([@[Fecha_Nueva_Programada]]&lt;&gt;"";[@[Fecha_Nueva_Programada]];[@[Fecha_Programada_Fin]])))</f>
        <v/>
      </c>
      <c r="R43" s="12" t="n"/>
      <c r="S43" s="12" t="n"/>
      <c r="T43" s="13" t="n"/>
      <c r="U43" s="12" t="n">
        <v>32</v>
      </c>
      <c r="V43" s="12" t="n"/>
      <c r="W4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3" s="14">
        <f>SI([@SBAN]="";"";BUSCARV([@SBAN];Cronograma_Maestro!$A:$M;6;FALSO))</f>
        <v/>
      </c>
    </row>
    <row r="44">
      <c r="A44" s="11" t="inlineStr">
        <is>
          <t>1301</t>
        </is>
      </c>
      <c r="B44" s="12">
        <f>SI([@SBAN]="";"";BUSCARV([@SBAN];Cronograma_Maestro!$A:$M;2;FALSO))</f>
        <v/>
      </c>
      <c r="C44" s="12">
        <f>SI([@SBAN]="";"";BUSCARV([@SBAN];Cronograma_Maestro!$A:$M;3;FALSO))</f>
        <v/>
      </c>
      <c r="D44" s="12">
        <f>SI([@SBAN]="";"";BUSCARV([@SBAN];Cronograma_Maestro!$A:$M;4;FALSO))</f>
        <v/>
      </c>
      <c r="E44" s="12">
        <f>SI([@SBAN]="";"";BUSCARV([@SBAN];Cronograma_Maestro!$A:$M;5;FALSO))</f>
        <v/>
      </c>
      <c r="F44" s="12" t="inlineStr">
        <is>
          <t>Juan Pablo Osorio Ramirez</t>
        </is>
      </c>
      <c r="G44" s="12" t="inlineStr">
        <is>
          <t>PMU COLSOF</t>
        </is>
      </c>
      <c r="H44" s="13" t="n">
        <v>46276</v>
      </c>
      <c r="I44" s="13" t="n">
        <v>46276</v>
      </c>
      <c r="J44" s="13" t="n"/>
      <c r="K44" s="13" t="n"/>
      <c r="L44" s="12" t="inlineStr">
        <is>
          <t>Programada</t>
        </is>
      </c>
      <c r="M44" s="13" t="n"/>
      <c r="N44" s="14">
        <f>SI(O([@[Fecha_Programada_Inicio]]="";[@[Fecha_Inicio_Real]]="");"";SI([@[Fecha_Inicio_Real]]&lt;=[@[Fecha_Programada_Inicio]];"SÍ";"NO"))</f>
        <v/>
      </c>
      <c r="O44" s="14">
        <f>SI(O([@[Fecha_Programada_Fin]]="";[@[Fecha_Cierre_Operativo]]="");"";SI([@[Fecha_Cierre_Operativo]]&lt;=SI([@[Fecha_Nueva_Programada]]&lt;&gt;"";[@[Fecha_Nueva_Programada]];[@[Fecha_Programada_Fin]]);"SÍ";"NO"))</f>
        <v/>
      </c>
      <c r="P44" s="14">
        <f>SI(O([@[Cumpli_Ingreso]]="";[@[Cumpli_Salida]]="");"";SI(Y([@[Cumpli_Ingreso]]="SÍ";[@[Cumpli_Salida]]="SÍ");"SÍ";"NO"))</f>
        <v/>
      </c>
      <c r="Q44" s="15">
        <f>SI(O([@[Fecha_Programada_Fin]]="";[@[Fecha_Cierre_Operativo]]="");"";MAX(0;ENTERO([@[Fecha_Cierre_Operativo]])-ENTERO(SI([@[Fecha_Nueva_Programada]]&lt;&gt;"";[@[Fecha_Nueva_Programada]];[@[Fecha_Programada_Fin]])))</f>
        <v/>
      </c>
      <c r="R44" s="12" t="n"/>
      <c r="S44" s="12" t="n"/>
      <c r="T44" s="13" t="n"/>
      <c r="U44" s="12" t="n">
        <v>22</v>
      </c>
      <c r="V44" s="12" t="n"/>
      <c r="W4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4" s="14">
        <f>SI([@SBAN]="";"";BUSCARV([@SBAN];Cronograma_Maestro!$A:$M;6;FALSO))</f>
        <v/>
      </c>
    </row>
    <row r="45">
      <c r="A45" s="11" t="inlineStr">
        <is>
          <t>1302</t>
        </is>
      </c>
      <c r="B45" s="12">
        <f>SI([@SBAN]="";"";BUSCARV([@SBAN];Cronograma_Maestro!$A:$M;2;FALSO))</f>
        <v/>
      </c>
      <c r="C45" s="12">
        <f>SI([@SBAN]="";"";BUSCARV([@SBAN];Cronograma_Maestro!$A:$M;3;FALSO))</f>
        <v/>
      </c>
      <c r="D45" s="12">
        <f>SI([@SBAN]="";"";BUSCARV([@SBAN];Cronograma_Maestro!$A:$M;4;FALSO))</f>
        <v/>
      </c>
      <c r="E45" s="12">
        <f>SI([@SBAN]="";"";BUSCARV([@SBAN];Cronograma_Maestro!$A:$M;5;FALSO))</f>
        <v/>
      </c>
      <c r="F45" s="12" t="inlineStr">
        <is>
          <t>Juan Pablo Osorio Ramirez</t>
        </is>
      </c>
      <c r="G45" s="12" t="inlineStr">
        <is>
          <t>PMU COLSOF</t>
        </is>
      </c>
      <c r="H45" s="13" t="n">
        <v>46310</v>
      </c>
      <c r="I45" s="13" t="n">
        <v>46310</v>
      </c>
      <c r="J45" s="13" t="n"/>
      <c r="K45" s="13" t="n"/>
      <c r="L45" s="12" t="inlineStr">
        <is>
          <t>Programada</t>
        </is>
      </c>
      <c r="M45" s="13" t="n"/>
      <c r="N45" s="14">
        <f>SI(O([@[Fecha_Programada_Inicio]]="";[@[Fecha_Inicio_Real]]="");"";SI([@[Fecha_Inicio_Real]]&lt;=[@[Fecha_Programada_Inicio]];"SÍ";"NO"))</f>
        <v/>
      </c>
      <c r="O45" s="14">
        <f>SI(O([@[Fecha_Programada_Fin]]="";[@[Fecha_Cierre_Operativo]]="");"";SI([@[Fecha_Cierre_Operativo]]&lt;=SI([@[Fecha_Nueva_Programada]]&lt;&gt;"";[@[Fecha_Nueva_Programada]];[@[Fecha_Programada_Fin]]);"SÍ";"NO"))</f>
        <v/>
      </c>
      <c r="P45" s="14">
        <f>SI(O([@[Cumpli_Ingreso]]="";[@[Cumpli_Salida]]="");"";SI(Y([@[Cumpli_Ingreso]]="SÍ";[@[Cumpli_Salida]]="SÍ");"SÍ";"NO"))</f>
        <v/>
      </c>
      <c r="Q45" s="15">
        <f>SI(O([@[Fecha_Programada_Fin]]="";[@[Fecha_Cierre_Operativo]]="");"";MAX(0;ENTERO([@[Fecha_Cierre_Operativo]])-ENTERO(SI([@[Fecha_Nueva_Programada]]&lt;&gt;"";[@[Fecha_Nueva_Programada]];[@[Fecha_Programada_Fin]])))</f>
        <v/>
      </c>
      <c r="R45" s="12" t="n"/>
      <c r="S45" s="12" t="n"/>
      <c r="T45" s="13" t="n"/>
      <c r="U45" s="12" t="n">
        <v>15</v>
      </c>
      <c r="V45" s="12" t="n"/>
      <c r="W4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5" s="14">
        <f>SI([@SBAN]="";"";BUSCARV([@SBAN];Cronograma_Maestro!$A:$M;6;FALSO))</f>
        <v/>
      </c>
    </row>
    <row r="46">
      <c r="A46" s="11" t="inlineStr">
        <is>
          <t>1303</t>
        </is>
      </c>
      <c r="B46" s="12">
        <f>SI([@SBAN]="";"";BUSCARV([@SBAN];Cronograma_Maestro!$A:$M;2;FALSO))</f>
        <v/>
      </c>
      <c r="C46" s="12">
        <f>SI([@SBAN]="";"";BUSCARV([@SBAN];Cronograma_Maestro!$A:$M;3;FALSO))</f>
        <v/>
      </c>
      <c r="D46" s="12">
        <f>SI([@SBAN]="";"";BUSCARV([@SBAN];Cronograma_Maestro!$A:$M;4;FALSO))</f>
        <v/>
      </c>
      <c r="E46" s="12">
        <f>SI([@SBAN]="";"";BUSCARV([@SBAN];Cronograma_Maestro!$A:$M;5;FALSO))</f>
        <v/>
      </c>
      <c r="F46" s="12" t="inlineStr">
        <is>
          <t>Andrés Mariano Bustamante Castro</t>
        </is>
      </c>
      <c r="G46" s="12" t="inlineStr">
        <is>
          <t>PMU COLSOF</t>
        </is>
      </c>
      <c r="H46" s="13" t="n">
        <v>46287</v>
      </c>
      <c r="I46" s="13" t="n">
        <v>46289</v>
      </c>
      <c r="J46" s="13" t="n"/>
      <c r="K46" s="13" t="n"/>
      <c r="L46" s="12" t="inlineStr">
        <is>
          <t>Programada</t>
        </is>
      </c>
      <c r="M46" s="13" t="n"/>
      <c r="N46" s="14">
        <f>SI(O([@[Fecha_Programada_Inicio]]="";[@[Fecha_Inicio_Real]]="");"";SI([@[Fecha_Inicio_Real]]&lt;=[@[Fecha_Programada_Inicio]];"SÍ";"NO"))</f>
        <v/>
      </c>
      <c r="O46" s="14">
        <f>SI(O([@[Fecha_Programada_Fin]]="";[@[Fecha_Cierre_Operativo]]="");"";SI([@[Fecha_Cierre_Operativo]]&lt;=SI([@[Fecha_Nueva_Programada]]&lt;&gt;"";[@[Fecha_Nueva_Programada]];[@[Fecha_Programada_Fin]]);"SÍ";"NO"))</f>
        <v/>
      </c>
      <c r="P46" s="14">
        <f>SI(O([@[Cumpli_Ingreso]]="";[@[Cumpli_Salida]]="");"";SI(Y([@[Cumpli_Ingreso]]="SÍ";[@[Cumpli_Salida]]="SÍ");"SÍ";"NO"))</f>
        <v/>
      </c>
      <c r="Q46" s="15">
        <f>SI(O([@[Fecha_Programada_Fin]]="";[@[Fecha_Cierre_Operativo]]="");"";MAX(0;ENTERO([@[Fecha_Cierre_Operativo]])-ENTERO(SI([@[Fecha_Nueva_Programada]]&lt;&gt;"";[@[Fecha_Nueva_Programada]];[@[Fecha_Programada_Fin]])))</f>
        <v/>
      </c>
      <c r="R46" s="12" t="n"/>
      <c r="S46" s="12" t="n"/>
      <c r="T46" s="13" t="n"/>
      <c r="U46" s="12" t="n">
        <v>22</v>
      </c>
      <c r="V46" s="12" t="n"/>
      <c r="W4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6" s="14">
        <f>SI([@SBAN]="";"";BUSCARV([@SBAN];Cronograma_Maestro!$A:$M;6;FALSO))</f>
        <v/>
      </c>
    </row>
    <row r="47">
      <c r="A47" s="11" t="inlineStr">
        <is>
          <t>1305</t>
        </is>
      </c>
      <c r="B47" s="12">
        <f>SI([@SBAN]="";"";BUSCARV([@SBAN];Cronograma_Maestro!$A:$M;2;FALSO))</f>
        <v/>
      </c>
      <c r="C47" s="12">
        <f>SI([@SBAN]="";"";BUSCARV([@SBAN];Cronograma_Maestro!$A:$M;3;FALSO))</f>
        <v/>
      </c>
      <c r="D47" s="12">
        <f>SI([@SBAN]="";"";BUSCARV([@SBAN];Cronograma_Maestro!$A:$M;4;FALSO))</f>
        <v/>
      </c>
      <c r="E47" s="12">
        <f>SI([@SBAN]="";"";BUSCARV([@SBAN];Cronograma_Maestro!$A:$M;5;FALSO))</f>
        <v/>
      </c>
      <c r="F47" s="12" t="inlineStr">
        <is>
          <t>Andrés Mariano Bustamante Castro</t>
        </is>
      </c>
      <c r="G47" s="12" t="inlineStr">
        <is>
          <t>PMU COLSOF</t>
        </is>
      </c>
      <c r="H47" s="13" t="n">
        <v>46281</v>
      </c>
      <c r="I47" s="13" t="n">
        <v>46283</v>
      </c>
      <c r="J47" s="13" t="n"/>
      <c r="K47" s="13" t="n"/>
      <c r="L47" s="12" t="inlineStr">
        <is>
          <t>Programada</t>
        </is>
      </c>
      <c r="M47" s="13" t="n"/>
      <c r="N47" s="14">
        <f>SI(O([@[Fecha_Programada_Inicio]]="";[@[Fecha_Inicio_Real]]="");"";SI([@[Fecha_Inicio_Real]]&lt;=[@[Fecha_Programada_Inicio]];"SÍ";"NO"))</f>
        <v/>
      </c>
      <c r="O47" s="14">
        <f>SI(O([@[Fecha_Programada_Fin]]="";[@[Fecha_Cierre_Operativo]]="");"";SI([@[Fecha_Cierre_Operativo]]&lt;=SI([@[Fecha_Nueva_Programada]]&lt;&gt;"";[@[Fecha_Nueva_Programada]];[@[Fecha_Programada_Fin]]);"SÍ";"NO"))</f>
        <v/>
      </c>
      <c r="P47" s="14">
        <f>SI(O([@[Cumpli_Ingreso]]="";[@[Cumpli_Salida]]="");"";SI(Y([@[Cumpli_Ingreso]]="SÍ";[@[Cumpli_Salida]]="SÍ");"SÍ";"NO"))</f>
        <v/>
      </c>
      <c r="Q47" s="15">
        <f>SI(O([@[Fecha_Programada_Fin]]="";[@[Fecha_Cierre_Operativo]]="");"";MAX(0;ENTERO([@[Fecha_Cierre_Operativo]])-ENTERO(SI([@[Fecha_Nueva_Programada]]&lt;&gt;"";[@[Fecha_Nueva_Programada]];[@[Fecha_Programada_Fin]])))</f>
        <v/>
      </c>
      <c r="R47" s="12" t="n"/>
      <c r="S47" s="12" t="n"/>
      <c r="T47" s="13" t="n"/>
      <c r="U47" s="12" t="n">
        <v>24</v>
      </c>
      <c r="V47" s="12" t="n"/>
      <c r="W4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7" s="14">
        <f>SI([@SBAN]="";"";BUSCARV([@SBAN];Cronograma_Maestro!$A:$M;6;FALSO))</f>
        <v/>
      </c>
    </row>
    <row r="48">
      <c r="A48" s="11" t="inlineStr">
        <is>
          <t>1307</t>
        </is>
      </c>
      <c r="B48" s="12">
        <f>SI([@SBAN]="";"";BUSCARV([@SBAN];Cronograma_Maestro!$A:$M;2;FALSO))</f>
        <v/>
      </c>
      <c r="C48" s="12">
        <f>SI([@SBAN]="";"";BUSCARV([@SBAN];Cronograma_Maestro!$A:$M;3;FALSO))</f>
        <v/>
      </c>
      <c r="D48" s="12">
        <f>SI([@SBAN]="";"";BUSCARV([@SBAN];Cronograma_Maestro!$A:$M;4;FALSO))</f>
        <v/>
      </c>
      <c r="E48" s="12">
        <f>SI([@SBAN]="";"";BUSCARV([@SBAN];Cronograma_Maestro!$A:$M;5;FALSO))</f>
        <v/>
      </c>
      <c r="F48" s="12" t="inlineStr">
        <is>
          <t>Andrés Mariano Bustamante Castro</t>
        </is>
      </c>
      <c r="G48" s="12" t="inlineStr">
        <is>
          <t>PMU COLSOF</t>
        </is>
      </c>
      <c r="H48" s="13" t="n">
        <v>46269</v>
      </c>
      <c r="I48" s="13" t="n">
        <v>46273</v>
      </c>
      <c r="J48" s="13" t="n"/>
      <c r="K48" s="13" t="n"/>
      <c r="L48" s="12" t="inlineStr">
        <is>
          <t>Programada</t>
        </is>
      </c>
      <c r="M48" s="13" t="n"/>
      <c r="N48" s="14">
        <f>SI(O([@[Fecha_Programada_Inicio]]="";[@[Fecha_Inicio_Real]]="");"";SI([@[Fecha_Inicio_Real]]&lt;=[@[Fecha_Programada_Inicio]];"SÍ";"NO"))</f>
        <v/>
      </c>
      <c r="O48" s="14">
        <f>SI(O([@[Fecha_Programada_Fin]]="";[@[Fecha_Cierre_Operativo]]="");"";SI([@[Fecha_Cierre_Operativo]]&lt;=SI([@[Fecha_Nueva_Programada]]&lt;&gt;"";[@[Fecha_Nueva_Programada]];[@[Fecha_Programada_Fin]]);"SÍ";"NO"))</f>
        <v/>
      </c>
      <c r="P48" s="14">
        <f>SI(O([@[Cumpli_Ingreso]]="";[@[Cumpli_Salida]]="");"";SI(Y([@[Cumpli_Ingreso]]="SÍ";[@[Cumpli_Salida]]="SÍ");"SÍ";"NO"))</f>
        <v/>
      </c>
      <c r="Q48" s="15">
        <f>SI(O([@[Fecha_Programada_Fin]]="";[@[Fecha_Cierre_Operativo]]="");"";MAX(0;ENTERO([@[Fecha_Cierre_Operativo]])-ENTERO(SI([@[Fecha_Nueva_Programada]]&lt;&gt;"";[@[Fecha_Nueva_Programada]];[@[Fecha_Programada_Fin]])))</f>
        <v/>
      </c>
      <c r="R48" s="12" t="n"/>
      <c r="S48" s="12" t="n"/>
      <c r="T48" s="13" t="n"/>
      <c r="U48" s="12" t="n">
        <v>22</v>
      </c>
      <c r="V48" s="12" t="n"/>
      <c r="W4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8" s="14">
        <f>SI([@SBAN]="";"";BUSCARV([@SBAN];Cronograma_Maestro!$A:$M;6;FALSO))</f>
        <v/>
      </c>
    </row>
    <row r="49">
      <c r="A49" s="11" t="inlineStr">
        <is>
          <t>1309</t>
        </is>
      </c>
      <c r="B49" s="12">
        <f>SI([@SBAN]="";"";BUSCARV([@SBAN];Cronograma_Maestro!$A:$M;2;FALSO))</f>
        <v/>
      </c>
      <c r="C49" s="12">
        <f>SI([@SBAN]="";"";BUSCARV([@SBAN];Cronograma_Maestro!$A:$M;3;FALSO))</f>
        <v/>
      </c>
      <c r="D49" s="12">
        <f>SI([@SBAN]="";"";BUSCARV([@SBAN];Cronograma_Maestro!$A:$M;4;FALSO))</f>
        <v/>
      </c>
      <c r="E49" s="12">
        <f>SI([@SBAN]="";"";BUSCARV([@SBAN];Cronograma_Maestro!$A:$M;5;FALSO))</f>
        <v/>
      </c>
      <c r="F49" s="12" t="inlineStr">
        <is>
          <t>Juan Pablo Osorio Ramirez</t>
        </is>
      </c>
      <c r="G49" s="12" t="inlineStr">
        <is>
          <t>PMU COLSOF</t>
        </is>
      </c>
      <c r="H49" s="13" t="n">
        <v>46317</v>
      </c>
      <c r="I49" s="13" t="n">
        <v>46317</v>
      </c>
      <c r="J49" s="13" t="n"/>
      <c r="K49" s="13" t="n"/>
      <c r="L49" s="12" t="inlineStr">
        <is>
          <t>Programada</t>
        </is>
      </c>
      <c r="M49" s="13" t="n"/>
      <c r="N49" s="14">
        <f>SI(O([@[Fecha_Programada_Inicio]]="";[@[Fecha_Inicio_Real]]="");"";SI([@[Fecha_Inicio_Real]]&lt;=[@[Fecha_Programada_Inicio]];"SÍ";"NO"))</f>
        <v/>
      </c>
      <c r="O49" s="14">
        <f>SI(O([@[Fecha_Programada_Fin]]="";[@[Fecha_Cierre_Operativo]]="");"";SI([@[Fecha_Cierre_Operativo]]&lt;=SI([@[Fecha_Nueva_Programada]]&lt;&gt;"";[@[Fecha_Nueva_Programada]];[@[Fecha_Programada_Fin]]);"SÍ";"NO"))</f>
        <v/>
      </c>
      <c r="P49" s="14">
        <f>SI(O([@[Cumpli_Ingreso]]="";[@[Cumpli_Salida]]="");"";SI(Y([@[Cumpli_Ingreso]]="SÍ";[@[Cumpli_Salida]]="SÍ");"SÍ";"NO"))</f>
        <v/>
      </c>
      <c r="Q49" s="15">
        <f>SI(O([@[Fecha_Programada_Fin]]="";[@[Fecha_Cierre_Operativo]]="");"";MAX(0;ENTERO([@[Fecha_Cierre_Operativo]])-ENTERO(SI([@[Fecha_Nueva_Programada]]&lt;&gt;"";[@[Fecha_Nueva_Programada]];[@[Fecha_Programada_Fin]])))</f>
        <v/>
      </c>
      <c r="R49" s="12" t="n"/>
      <c r="S49" s="12" t="n"/>
      <c r="T49" s="13" t="n"/>
      <c r="U49" s="12" t="n">
        <v>12</v>
      </c>
      <c r="V49" s="12" t="n"/>
      <c r="W4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9" s="14">
        <f>SI([@SBAN]="";"";BUSCARV([@SBAN];Cronograma_Maestro!$A:$M;6;FALSO))</f>
        <v/>
      </c>
    </row>
    <row r="50">
      <c r="A50" s="11" t="inlineStr">
        <is>
          <t>1314</t>
        </is>
      </c>
      <c r="B50" s="12">
        <f>SI([@SBAN]="";"";BUSCARV([@SBAN];Cronograma_Maestro!$A:$M;2;FALSO))</f>
        <v/>
      </c>
      <c r="C50" s="12">
        <f>SI([@SBAN]="";"";BUSCARV([@SBAN];Cronograma_Maestro!$A:$M;3;FALSO))</f>
        <v/>
      </c>
      <c r="D50" s="12">
        <f>SI([@SBAN]="";"";BUSCARV([@SBAN];Cronograma_Maestro!$A:$M;4;FALSO))</f>
        <v/>
      </c>
      <c r="E50" s="12">
        <f>SI([@SBAN]="";"";BUSCARV([@SBAN];Cronograma_Maestro!$A:$M;5;FALSO))</f>
        <v/>
      </c>
      <c r="F50" s="12" t="inlineStr">
        <is>
          <t>Juan Pablo Osorio Ramirez</t>
        </is>
      </c>
      <c r="G50" s="12" t="inlineStr">
        <is>
          <t>PMU COLSOF</t>
        </is>
      </c>
      <c r="H50" s="13" t="n">
        <v>46293</v>
      </c>
      <c r="I50" s="13" t="n">
        <v>46293</v>
      </c>
      <c r="J50" s="13" t="n"/>
      <c r="K50" s="13" t="n"/>
      <c r="L50" s="12" t="inlineStr">
        <is>
          <t>Programada</t>
        </is>
      </c>
      <c r="M50" s="13" t="n"/>
      <c r="N50" s="14">
        <f>SI(O([@[Fecha_Programada_Inicio]]="";[@[Fecha_Inicio_Real]]="");"";SI([@[Fecha_Inicio_Real]]&lt;=[@[Fecha_Programada_Inicio]];"SÍ";"NO"))</f>
        <v/>
      </c>
      <c r="O50" s="14">
        <f>SI(O([@[Fecha_Programada_Fin]]="";[@[Fecha_Cierre_Operativo]]="");"";SI([@[Fecha_Cierre_Operativo]]&lt;=SI([@[Fecha_Nueva_Programada]]&lt;&gt;"";[@[Fecha_Nueva_Programada]];[@[Fecha_Programada_Fin]]);"SÍ";"NO"))</f>
        <v/>
      </c>
      <c r="P50" s="14">
        <f>SI(O([@[Cumpli_Ingreso]]="";[@[Cumpli_Salida]]="");"";SI(Y([@[Cumpli_Ingreso]]="SÍ";[@[Cumpli_Salida]]="SÍ");"SÍ";"NO"))</f>
        <v/>
      </c>
      <c r="Q50" s="15">
        <f>SI(O([@[Fecha_Programada_Fin]]="";[@[Fecha_Cierre_Operativo]]="");"";MAX(0;ENTERO([@[Fecha_Cierre_Operativo]])-ENTERO(SI([@[Fecha_Nueva_Programada]]&lt;&gt;"";[@[Fecha_Nueva_Programada]];[@[Fecha_Programada_Fin]])))</f>
        <v/>
      </c>
      <c r="R50" s="12" t="n"/>
      <c r="S50" s="12" t="n"/>
      <c r="T50" s="13" t="n"/>
      <c r="U50" s="12" t="n">
        <v>15</v>
      </c>
      <c r="V50" s="12" t="n"/>
      <c r="W5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0" s="14">
        <f>SI([@SBAN]="";"";BUSCARV([@SBAN];Cronograma_Maestro!$A:$M;6;FALSO))</f>
        <v/>
      </c>
    </row>
    <row r="51">
      <c r="A51" s="11" t="inlineStr">
        <is>
          <t>1316</t>
        </is>
      </c>
      <c r="B51" s="12">
        <f>SI([@SBAN]="";"";BUSCARV([@SBAN];Cronograma_Maestro!$A:$M;2;FALSO))</f>
        <v/>
      </c>
      <c r="C51" s="12">
        <f>SI([@SBAN]="";"";BUSCARV([@SBAN];Cronograma_Maestro!$A:$M;3;FALSO))</f>
        <v/>
      </c>
      <c r="D51" s="12">
        <f>SI([@SBAN]="";"";BUSCARV([@SBAN];Cronograma_Maestro!$A:$M;4;FALSO))</f>
        <v/>
      </c>
      <c r="E51" s="12">
        <f>SI([@SBAN]="";"";BUSCARV([@SBAN];Cronograma_Maestro!$A:$M;5;FALSO))</f>
        <v/>
      </c>
      <c r="F51" s="12" t="inlineStr">
        <is>
          <t>Juan Pablo Osorio Ramirez</t>
        </is>
      </c>
      <c r="G51" s="12" t="inlineStr">
        <is>
          <t>PMU COLSOF</t>
        </is>
      </c>
      <c r="H51" s="13" t="n">
        <v>46289</v>
      </c>
      <c r="I51" s="13" t="n">
        <v>46289</v>
      </c>
      <c r="J51" s="13" t="n"/>
      <c r="K51" s="13" t="n"/>
      <c r="L51" s="12" t="inlineStr">
        <is>
          <t>Programada</t>
        </is>
      </c>
      <c r="M51" s="13" t="n"/>
      <c r="N51" s="14">
        <f>SI(O([@[Fecha_Programada_Inicio]]="";[@[Fecha_Inicio_Real]]="");"";SI([@[Fecha_Inicio_Real]]&lt;=[@[Fecha_Programada_Inicio]];"SÍ";"NO"))</f>
        <v/>
      </c>
      <c r="O51" s="14">
        <f>SI(O([@[Fecha_Programada_Fin]]="";[@[Fecha_Cierre_Operativo]]="");"";SI([@[Fecha_Cierre_Operativo]]&lt;=SI([@[Fecha_Nueva_Programada]]&lt;&gt;"";[@[Fecha_Nueva_Programada]];[@[Fecha_Programada_Fin]]);"SÍ";"NO"))</f>
        <v/>
      </c>
      <c r="P51" s="14">
        <f>SI(O([@[Cumpli_Ingreso]]="";[@[Cumpli_Salida]]="");"";SI(Y([@[Cumpli_Ingreso]]="SÍ";[@[Cumpli_Salida]]="SÍ");"SÍ";"NO"))</f>
        <v/>
      </c>
      <c r="Q51" s="15">
        <f>SI(O([@[Fecha_Programada_Fin]]="";[@[Fecha_Cierre_Operativo]]="");"";MAX(0;ENTERO([@[Fecha_Cierre_Operativo]])-ENTERO(SI([@[Fecha_Nueva_Programada]]&lt;&gt;"";[@[Fecha_Nueva_Programada]];[@[Fecha_Programada_Fin]])))</f>
        <v/>
      </c>
      <c r="R51" s="12" t="n"/>
      <c r="S51" s="12" t="n"/>
      <c r="T51" s="13" t="n"/>
      <c r="U51" s="12" t="n">
        <v>13</v>
      </c>
      <c r="V51" s="12" t="n"/>
      <c r="W5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1" s="14">
        <f>SI([@SBAN]="";"";BUSCARV([@SBAN];Cronograma_Maestro!$A:$M;6;FALSO))</f>
        <v/>
      </c>
    </row>
    <row r="52">
      <c r="A52" s="11" t="inlineStr">
        <is>
          <t>1317</t>
        </is>
      </c>
      <c r="B52" s="12">
        <f>SI([@SBAN]="";"";BUSCARV([@SBAN];Cronograma_Maestro!$A:$M;2;FALSO))</f>
        <v/>
      </c>
      <c r="C52" s="12">
        <f>SI([@SBAN]="";"";BUSCARV([@SBAN];Cronograma_Maestro!$A:$M;3;FALSO))</f>
        <v/>
      </c>
      <c r="D52" s="12">
        <f>SI([@SBAN]="";"";BUSCARV([@SBAN];Cronograma_Maestro!$A:$M;4;FALSO))</f>
        <v/>
      </c>
      <c r="E52" s="12">
        <f>SI([@SBAN]="";"";BUSCARV([@SBAN];Cronograma_Maestro!$A:$M;5;FALSO))</f>
        <v/>
      </c>
      <c r="F52" s="12" t="inlineStr">
        <is>
          <t>Ever Enrique Esquivel Movilla</t>
        </is>
      </c>
      <c r="G52" s="12" t="inlineStr">
        <is>
          <t>PMU COLSOF</t>
        </is>
      </c>
      <c r="H52" s="13" t="n">
        <v>46282</v>
      </c>
      <c r="I52" s="13" t="n">
        <v>46282</v>
      </c>
      <c r="J52" s="13" t="n"/>
      <c r="K52" s="13" t="n"/>
      <c r="L52" s="12" t="inlineStr">
        <is>
          <t>Programada</t>
        </is>
      </c>
      <c r="M52" s="13" t="n"/>
      <c r="N52" s="14">
        <f>SI(O([@[Fecha_Programada_Inicio]]="";[@[Fecha_Inicio_Real]]="");"";SI([@[Fecha_Inicio_Real]]&lt;=[@[Fecha_Programada_Inicio]];"SÍ";"NO"))</f>
        <v/>
      </c>
      <c r="O52" s="14">
        <f>SI(O([@[Fecha_Programada_Fin]]="";[@[Fecha_Cierre_Operativo]]="");"";SI([@[Fecha_Cierre_Operativo]]&lt;=SI([@[Fecha_Nueva_Programada]]&lt;&gt;"";[@[Fecha_Nueva_Programada]];[@[Fecha_Programada_Fin]]);"SÍ";"NO"))</f>
        <v/>
      </c>
      <c r="P52" s="14">
        <f>SI(O([@[Cumpli_Ingreso]]="";[@[Cumpli_Salida]]="");"";SI(Y([@[Cumpli_Ingreso]]="SÍ";[@[Cumpli_Salida]]="SÍ");"SÍ";"NO"))</f>
        <v/>
      </c>
      <c r="Q52" s="15">
        <f>SI(O([@[Fecha_Programada_Fin]]="";[@[Fecha_Cierre_Operativo]]="");"";MAX(0;ENTERO([@[Fecha_Cierre_Operativo]])-ENTERO(SI([@[Fecha_Nueva_Programada]]&lt;&gt;"";[@[Fecha_Nueva_Programada]];[@[Fecha_Programada_Fin]])))</f>
        <v/>
      </c>
      <c r="R52" s="12" t="n"/>
      <c r="S52" s="12" t="n"/>
      <c r="T52" s="13" t="n"/>
      <c r="U52" s="12" t="n">
        <v>12</v>
      </c>
      <c r="V52" s="12" t="n"/>
      <c r="W5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2" s="14">
        <f>SI([@SBAN]="";"";BUSCARV([@SBAN];Cronograma_Maestro!$A:$M;6;FALSO))</f>
        <v/>
      </c>
    </row>
    <row r="53">
      <c r="A53" s="11" t="inlineStr">
        <is>
          <t>1318</t>
        </is>
      </c>
      <c r="B53" s="12">
        <f>SI([@SBAN]="";"";BUSCARV([@SBAN];Cronograma_Maestro!$A:$M;2;FALSO))</f>
        <v/>
      </c>
      <c r="C53" s="12">
        <f>SI([@SBAN]="";"";BUSCARV([@SBAN];Cronograma_Maestro!$A:$M;3;FALSO))</f>
        <v/>
      </c>
      <c r="D53" s="12">
        <f>SI([@SBAN]="";"";BUSCARV([@SBAN];Cronograma_Maestro!$A:$M;4;FALSO))</f>
        <v/>
      </c>
      <c r="E53" s="12">
        <f>SI([@SBAN]="";"";BUSCARV([@SBAN];Cronograma_Maestro!$A:$M;5;FALSO))</f>
        <v/>
      </c>
      <c r="F53" s="12" t="inlineStr">
        <is>
          <t>Ever Enrique Esquivel Movilla</t>
        </is>
      </c>
      <c r="G53" s="12" t="inlineStr">
        <is>
          <t>PMU COLSOF</t>
        </is>
      </c>
      <c r="H53" s="13" t="n">
        <v>46308</v>
      </c>
      <c r="I53" s="13" t="n">
        <v>46309</v>
      </c>
      <c r="J53" s="13" t="n"/>
      <c r="K53" s="13" t="n"/>
      <c r="L53" s="12" t="inlineStr">
        <is>
          <t>Programada</t>
        </is>
      </c>
      <c r="M53" s="13" t="n"/>
      <c r="N53" s="14">
        <f>SI(O([@[Fecha_Programada_Inicio]]="";[@[Fecha_Inicio_Real]]="");"";SI([@[Fecha_Inicio_Real]]&lt;=[@[Fecha_Programada_Inicio]];"SÍ";"NO"))</f>
        <v/>
      </c>
      <c r="O53" s="14">
        <f>SI(O([@[Fecha_Programada_Fin]]="";[@[Fecha_Cierre_Operativo]]="");"";SI([@[Fecha_Cierre_Operativo]]&lt;=SI([@[Fecha_Nueva_Programada]]&lt;&gt;"";[@[Fecha_Nueva_Programada]];[@[Fecha_Programada_Fin]]);"SÍ";"NO"))</f>
        <v/>
      </c>
      <c r="P53" s="14">
        <f>SI(O([@[Cumpli_Ingreso]]="";[@[Cumpli_Salida]]="");"";SI(Y([@[Cumpli_Ingreso]]="SÍ";[@[Cumpli_Salida]]="SÍ");"SÍ";"NO"))</f>
        <v/>
      </c>
      <c r="Q53" s="15">
        <f>SI(O([@[Fecha_Programada_Fin]]="";[@[Fecha_Cierre_Operativo]]="");"";MAX(0;ENTERO([@[Fecha_Cierre_Operativo]])-ENTERO(SI([@[Fecha_Nueva_Programada]]&lt;&gt;"";[@[Fecha_Nueva_Programada]];[@[Fecha_Programada_Fin]])))</f>
        <v/>
      </c>
      <c r="R53" s="12" t="n"/>
      <c r="S53" s="12" t="n"/>
      <c r="T53" s="13" t="n"/>
      <c r="U53" s="12" t="n">
        <v>23</v>
      </c>
      <c r="V53" s="12" t="n"/>
      <c r="W5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3" s="14">
        <f>SI([@SBAN]="";"";BUSCARV([@SBAN];Cronograma_Maestro!$A:$M;6;FALSO))</f>
        <v/>
      </c>
    </row>
    <row r="54">
      <c r="A54" s="11" t="inlineStr">
        <is>
          <t>1320</t>
        </is>
      </c>
      <c r="B54" s="12">
        <f>SI([@SBAN]="";"";BUSCARV([@SBAN];Cronograma_Maestro!$A:$M;2;FALSO))</f>
        <v/>
      </c>
      <c r="C54" s="12">
        <f>SI([@SBAN]="";"";BUSCARV([@SBAN];Cronograma_Maestro!$A:$M;3;FALSO))</f>
        <v/>
      </c>
      <c r="D54" s="12">
        <f>SI([@SBAN]="";"";BUSCARV([@SBAN];Cronograma_Maestro!$A:$M;4;FALSO))</f>
        <v/>
      </c>
      <c r="E54" s="12">
        <f>SI([@SBAN]="";"";BUSCARV([@SBAN];Cronograma_Maestro!$A:$M;5;FALSO))</f>
        <v/>
      </c>
      <c r="F54" s="12" t="inlineStr">
        <is>
          <t>Ever Enrique Esquivel Movilla</t>
        </is>
      </c>
      <c r="G54" s="12" t="inlineStr">
        <is>
          <t>PMU COLSOF</t>
        </is>
      </c>
      <c r="H54" s="13" t="n">
        <v>46272</v>
      </c>
      <c r="I54" s="13" t="n">
        <v>46272</v>
      </c>
      <c r="J54" s="13" t="n"/>
      <c r="K54" s="13" t="n"/>
      <c r="L54" s="12" t="inlineStr">
        <is>
          <t>Programada</t>
        </is>
      </c>
      <c r="M54" s="13" t="n"/>
      <c r="N54" s="14">
        <f>SI(O([@[Fecha_Programada_Inicio]]="";[@[Fecha_Inicio_Real]]="");"";SI([@[Fecha_Inicio_Real]]&lt;=[@[Fecha_Programada_Inicio]];"SÍ";"NO"))</f>
        <v/>
      </c>
      <c r="O54" s="14">
        <f>SI(O([@[Fecha_Programada_Fin]]="";[@[Fecha_Cierre_Operativo]]="");"";SI([@[Fecha_Cierre_Operativo]]&lt;=SI([@[Fecha_Nueva_Programada]]&lt;&gt;"";[@[Fecha_Nueva_Programada]];[@[Fecha_Programada_Fin]]);"SÍ";"NO"))</f>
        <v/>
      </c>
      <c r="P54" s="14">
        <f>SI(O([@[Cumpli_Ingreso]]="";[@[Cumpli_Salida]]="");"";SI(Y([@[Cumpli_Ingreso]]="SÍ";[@[Cumpli_Salida]]="SÍ");"SÍ";"NO"))</f>
        <v/>
      </c>
      <c r="Q54" s="15">
        <f>SI(O([@[Fecha_Programada_Fin]]="";[@[Fecha_Cierre_Operativo]]="");"";MAX(0;ENTERO([@[Fecha_Cierre_Operativo]])-ENTERO(SI([@[Fecha_Nueva_Programada]]&lt;&gt;"";[@[Fecha_Nueva_Programada]];[@[Fecha_Programada_Fin]])))</f>
        <v/>
      </c>
      <c r="R54" s="12" t="n"/>
      <c r="S54" s="12" t="n"/>
      <c r="T54" s="13" t="n"/>
      <c r="U54" s="12" t="n">
        <v>23</v>
      </c>
      <c r="V54" s="12" t="n"/>
      <c r="W5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4" s="14">
        <f>SI([@SBAN]="";"";BUSCARV([@SBAN];Cronograma_Maestro!$A:$M;6;FALSO))</f>
        <v/>
      </c>
    </row>
    <row r="55">
      <c r="A55" s="11" t="inlineStr">
        <is>
          <t>1321</t>
        </is>
      </c>
      <c r="B55" s="12">
        <f>SI([@SBAN]="";"";BUSCARV([@SBAN];Cronograma_Maestro!$A:$M;2;FALSO))</f>
        <v/>
      </c>
      <c r="C55" s="12">
        <f>SI([@SBAN]="";"";BUSCARV([@SBAN];Cronograma_Maestro!$A:$M;3;FALSO))</f>
        <v/>
      </c>
      <c r="D55" s="12">
        <f>SI([@SBAN]="";"";BUSCARV([@SBAN];Cronograma_Maestro!$A:$M;4;FALSO))</f>
        <v/>
      </c>
      <c r="E55" s="12">
        <f>SI([@SBAN]="";"";BUSCARV([@SBAN];Cronograma_Maestro!$A:$M;5;FALSO))</f>
        <v/>
      </c>
      <c r="F55" s="12" t="inlineStr">
        <is>
          <t>Ever Enrique Esquivel Movilla</t>
        </is>
      </c>
      <c r="G55" s="12" t="inlineStr">
        <is>
          <t>PMU COLSOF</t>
        </is>
      </c>
      <c r="H55" s="13" t="n">
        <v>46266</v>
      </c>
      <c r="I55" s="13" t="n">
        <v>46267</v>
      </c>
      <c r="J55" s="13" t="n">
        <v>46266</v>
      </c>
      <c r="K55" s="13" t="n"/>
      <c r="L55" s="12" t="inlineStr">
        <is>
          <t>En Proceso</t>
        </is>
      </c>
      <c r="M55" s="13" t="n"/>
      <c r="N55" s="14">
        <f>SI(O([@[Fecha_Programada_Inicio]]="";[@[Fecha_Inicio_Real]]="");"";SI([@[Fecha_Inicio_Real]]&lt;=[@[Fecha_Programada_Inicio]];"SÍ";"NO"))</f>
        <v/>
      </c>
      <c r="O55" s="14">
        <f>SI(O([@[Fecha_Programada_Fin]]="";[@[Fecha_Cierre_Operativo]]="");"";SI([@[Fecha_Cierre_Operativo]]&lt;=SI([@[Fecha_Nueva_Programada]]&lt;&gt;"";[@[Fecha_Nueva_Programada]];[@[Fecha_Programada_Fin]]);"SÍ";"NO"))</f>
        <v/>
      </c>
      <c r="P55" s="14">
        <f>SI(O([@[Cumpli_Ingreso]]="";[@[Cumpli_Salida]]="");"";SI(Y([@[Cumpli_Ingreso]]="SÍ";[@[Cumpli_Salida]]="SÍ");"SÍ";"NO"))</f>
        <v/>
      </c>
      <c r="Q55" s="15">
        <f>SI(O([@[Fecha_Programada_Fin]]="";[@[Fecha_Cierre_Operativo]]="");"";MAX(0;ENTERO([@[Fecha_Cierre_Operativo]])-ENTERO(SI([@[Fecha_Nueva_Programada]]&lt;&gt;"";[@[Fecha_Nueva_Programada]];[@[Fecha_Programada_Fin]])))</f>
        <v/>
      </c>
      <c r="R55" s="12" t="n"/>
      <c r="S55" s="12" t="n"/>
      <c r="T55" s="13" t="n"/>
      <c r="U55" s="12" t="n">
        <v>34</v>
      </c>
      <c r="V55" s="12" t="inlineStr">
        <is>
          <t>No firma el director debido en vacaiones, firma el encergado de la sede</t>
        </is>
      </c>
      <c r="W5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5" s="14">
        <f>SI([@SBAN]="";"";BUSCARV([@SBAN];Cronograma_Maestro!$A:$M;6;FALSO))</f>
        <v/>
      </c>
    </row>
    <row r="56">
      <c r="A56" s="11" t="inlineStr">
        <is>
          <t>1323</t>
        </is>
      </c>
      <c r="B56" s="12">
        <f>SI([@SBAN]="";"";BUSCARV([@SBAN];Cronograma_Maestro!$A:$M;2;FALSO))</f>
        <v/>
      </c>
      <c r="C56" s="12">
        <f>SI([@SBAN]="";"";BUSCARV([@SBAN];Cronograma_Maestro!$A:$M;3;FALSO))</f>
        <v/>
      </c>
      <c r="D56" s="12">
        <f>SI([@SBAN]="";"";BUSCARV([@SBAN];Cronograma_Maestro!$A:$M;4;FALSO))</f>
        <v/>
      </c>
      <c r="E56" s="12">
        <f>SI([@SBAN]="";"";BUSCARV([@SBAN];Cronograma_Maestro!$A:$M;5;FALSO))</f>
        <v/>
      </c>
      <c r="F56" s="12" t="inlineStr">
        <is>
          <t>Andrés Mariano Bustamante Castro</t>
        </is>
      </c>
      <c r="G56" s="12" t="inlineStr">
        <is>
          <t>PMU COLSOF</t>
        </is>
      </c>
      <c r="H56" s="13" t="n">
        <v>46297</v>
      </c>
      <c r="I56" s="13" t="n">
        <v>46304</v>
      </c>
      <c r="J56" s="13" t="n"/>
      <c r="K56" s="13" t="n"/>
      <c r="L56" s="12" t="inlineStr">
        <is>
          <t>Programada</t>
        </is>
      </c>
      <c r="M56" s="13" t="n"/>
      <c r="N56" s="14">
        <f>SI(O([@[Fecha_Programada_Inicio]]="";[@[Fecha_Inicio_Real]]="");"";SI([@[Fecha_Inicio_Real]]&lt;=[@[Fecha_Programada_Inicio]];"SÍ";"NO"))</f>
        <v/>
      </c>
      <c r="O56" s="14">
        <f>SI(O([@[Fecha_Programada_Fin]]="";[@[Fecha_Cierre_Operativo]]="");"";SI([@[Fecha_Cierre_Operativo]]&lt;=SI([@[Fecha_Nueva_Programada]]&lt;&gt;"";[@[Fecha_Nueva_Programada]];[@[Fecha_Programada_Fin]]);"SÍ";"NO"))</f>
        <v/>
      </c>
      <c r="P56" s="14">
        <f>SI(O([@[Cumpli_Ingreso]]="";[@[Cumpli_Salida]]="");"";SI(Y([@[Cumpli_Ingreso]]="SÍ";[@[Cumpli_Salida]]="SÍ");"SÍ";"NO"))</f>
        <v/>
      </c>
      <c r="Q56" s="15">
        <f>SI(O([@[Fecha_Programada_Fin]]="";[@[Fecha_Cierre_Operativo]]="");"";MAX(0;ENTERO([@[Fecha_Cierre_Operativo]])-ENTERO(SI([@[Fecha_Nueva_Programada]]&lt;&gt;"";[@[Fecha_Nueva_Programada]];[@[Fecha_Programada_Fin]])))</f>
        <v/>
      </c>
      <c r="R56" s="12" t="n"/>
      <c r="S56" s="12" t="n"/>
      <c r="T56" s="13" t="n"/>
      <c r="U56" s="12" t="n">
        <v>40</v>
      </c>
      <c r="V56" s="12" t="n"/>
      <c r="W5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6" s="14">
        <f>SI([@SBAN]="";"";BUSCARV([@SBAN];Cronograma_Maestro!$A:$M;6;FALSO))</f>
        <v/>
      </c>
    </row>
    <row r="57">
      <c r="A57" s="11" t="inlineStr">
        <is>
          <t>1324</t>
        </is>
      </c>
      <c r="B57" s="12">
        <f>SI([@SBAN]="";"";BUSCARV([@SBAN];Cronograma_Maestro!$A:$M;2;FALSO))</f>
        <v/>
      </c>
      <c r="C57" s="12">
        <f>SI([@SBAN]="";"";BUSCARV([@SBAN];Cronograma_Maestro!$A:$M;3;FALSO))</f>
        <v/>
      </c>
      <c r="D57" s="12">
        <f>SI([@SBAN]="";"";BUSCARV([@SBAN];Cronograma_Maestro!$A:$M;4;FALSO))</f>
        <v/>
      </c>
      <c r="E57" s="12">
        <f>SI([@SBAN]="";"";BUSCARV([@SBAN];Cronograma_Maestro!$A:$M;5;FALSO))</f>
        <v/>
      </c>
      <c r="F57" s="12" t="inlineStr">
        <is>
          <t>Andrés Mariano Bustamante Castro</t>
        </is>
      </c>
      <c r="G57" s="12" t="inlineStr">
        <is>
          <t>PMU COLSOF</t>
        </is>
      </c>
      <c r="H57" s="13" t="n">
        <v>46309</v>
      </c>
      <c r="I57" s="13" t="n">
        <v>46309</v>
      </c>
      <c r="J57" s="13" t="n"/>
      <c r="K57" s="13" t="n"/>
      <c r="L57" s="12" t="inlineStr">
        <is>
          <t>Programada</t>
        </is>
      </c>
      <c r="M57" s="13" t="n"/>
      <c r="N57" s="14">
        <f>SI(O([@[Fecha_Programada_Inicio]]="";[@[Fecha_Inicio_Real]]="");"";SI([@[Fecha_Inicio_Real]]&lt;=[@[Fecha_Programada_Inicio]];"SÍ";"NO"))</f>
        <v/>
      </c>
      <c r="O57" s="14">
        <f>SI(O([@[Fecha_Programada_Fin]]="";[@[Fecha_Cierre_Operativo]]="");"";SI([@[Fecha_Cierre_Operativo]]&lt;=SI([@[Fecha_Nueva_Programada]]&lt;&gt;"";[@[Fecha_Nueva_Programada]];[@[Fecha_Programada_Fin]]);"SÍ";"NO"))</f>
        <v/>
      </c>
      <c r="P57" s="14">
        <f>SI(O([@[Cumpli_Ingreso]]="";[@[Cumpli_Salida]]="");"";SI(Y([@[Cumpli_Ingreso]]="SÍ";[@[Cumpli_Salida]]="SÍ");"SÍ";"NO"))</f>
        <v/>
      </c>
      <c r="Q57" s="15">
        <f>SI(O([@[Fecha_Programada_Fin]]="";[@[Fecha_Cierre_Operativo]]="");"";MAX(0;ENTERO([@[Fecha_Cierre_Operativo]])-ENTERO(SI([@[Fecha_Nueva_Programada]]&lt;&gt;"";[@[Fecha_Nueva_Programada]];[@[Fecha_Programada_Fin]])))</f>
        <v/>
      </c>
      <c r="R57" s="12" t="n"/>
      <c r="S57" s="12" t="n"/>
      <c r="T57" s="13" t="n"/>
      <c r="U57" s="12" t="n">
        <v>15</v>
      </c>
      <c r="V57" s="12" t="n"/>
      <c r="W5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7" s="14">
        <f>SI([@SBAN]="";"";BUSCARV([@SBAN];Cronograma_Maestro!$A:$M;6;FALSO))</f>
        <v/>
      </c>
    </row>
    <row r="58">
      <c r="A58" s="11" t="inlineStr">
        <is>
          <t>1325</t>
        </is>
      </c>
      <c r="B58" s="12">
        <f>SI([@SBAN]="";"";BUSCARV([@SBAN];Cronograma_Maestro!$A:$M;2;FALSO))</f>
        <v/>
      </c>
      <c r="C58" s="12">
        <f>SI([@SBAN]="";"";BUSCARV([@SBAN];Cronograma_Maestro!$A:$M;3;FALSO))</f>
        <v/>
      </c>
      <c r="D58" s="12">
        <f>SI([@SBAN]="";"";BUSCARV([@SBAN];Cronograma_Maestro!$A:$M;4;FALSO))</f>
        <v/>
      </c>
      <c r="E58" s="12">
        <f>SI([@SBAN]="";"";BUSCARV([@SBAN];Cronograma_Maestro!$A:$M;5;FALSO))</f>
        <v/>
      </c>
      <c r="F58" s="12" t="inlineStr">
        <is>
          <t>Ever Enrique Esquivel Movilla</t>
        </is>
      </c>
      <c r="G58" s="12" t="inlineStr">
        <is>
          <t>PMU COLSOF</t>
        </is>
      </c>
      <c r="H58" s="13" t="n">
        <v>46276</v>
      </c>
      <c r="I58" s="13" t="n">
        <v>46276</v>
      </c>
      <c r="J58" s="13" t="n"/>
      <c r="K58" s="13" t="n"/>
      <c r="L58" s="12" t="inlineStr">
        <is>
          <t>Programada</t>
        </is>
      </c>
      <c r="M58" s="13" t="n"/>
      <c r="N58" s="14">
        <f>SI(O([@[Fecha_Programada_Inicio]]="";[@[Fecha_Inicio_Real]]="");"";SI([@[Fecha_Inicio_Real]]&lt;=[@[Fecha_Programada_Inicio]];"SÍ";"NO"))</f>
        <v/>
      </c>
      <c r="O58" s="14">
        <f>SI(O([@[Fecha_Programada_Fin]]="";[@[Fecha_Cierre_Operativo]]="");"";SI([@[Fecha_Cierre_Operativo]]&lt;=SI([@[Fecha_Nueva_Programada]]&lt;&gt;"";[@[Fecha_Nueva_Programada]];[@[Fecha_Programada_Fin]]);"SÍ";"NO"))</f>
        <v/>
      </c>
      <c r="P58" s="14">
        <f>SI(O([@[Cumpli_Ingreso]]="";[@[Cumpli_Salida]]="");"";SI(Y([@[Cumpli_Ingreso]]="SÍ";[@[Cumpli_Salida]]="SÍ");"SÍ";"NO"))</f>
        <v/>
      </c>
      <c r="Q58" s="15">
        <f>SI(O([@[Fecha_Programada_Fin]]="";[@[Fecha_Cierre_Operativo]]="");"";MAX(0;ENTERO([@[Fecha_Cierre_Operativo]])-ENTERO(SI([@[Fecha_Nueva_Programada]]&lt;&gt;"";[@[Fecha_Nueva_Programada]];[@[Fecha_Programada_Fin]])))</f>
        <v/>
      </c>
      <c r="R58" s="12" t="n"/>
      <c r="S58" s="12" t="n"/>
      <c r="T58" s="13" t="n"/>
      <c r="U58" s="12" t="n">
        <v>29</v>
      </c>
      <c r="V58" s="12" t="n"/>
      <c r="W5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8" s="14">
        <f>SI([@SBAN]="";"";BUSCARV([@SBAN];Cronograma_Maestro!$A:$M;6;FALSO))</f>
        <v/>
      </c>
    </row>
    <row r="59">
      <c r="A59" s="11" t="inlineStr">
        <is>
          <t>1326</t>
        </is>
      </c>
      <c r="B59" s="12">
        <f>SI([@SBAN]="";"";BUSCARV([@SBAN];Cronograma_Maestro!$A:$M;2;FALSO))</f>
        <v/>
      </c>
      <c r="C59" s="12">
        <f>SI([@SBAN]="";"";BUSCARV([@SBAN];Cronograma_Maestro!$A:$M;3;FALSO))</f>
        <v/>
      </c>
      <c r="D59" s="12">
        <f>SI([@SBAN]="";"";BUSCARV([@SBAN];Cronograma_Maestro!$A:$M;4;FALSO))</f>
        <v/>
      </c>
      <c r="E59" s="12">
        <f>SI([@SBAN]="";"";BUSCARV([@SBAN];Cronograma_Maestro!$A:$M;5;FALSO))</f>
        <v/>
      </c>
      <c r="F59" s="12" t="inlineStr">
        <is>
          <t>Ever Enrique Esquivel Movilla</t>
        </is>
      </c>
      <c r="G59" s="12" t="inlineStr">
        <is>
          <t>PMU COLSOF</t>
        </is>
      </c>
      <c r="H59" s="13" t="n">
        <v>46279</v>
      </c>
      <c r="I59" s="13" t="n">
        <v>46279</v>
      </c>
      <c r="J59" s="13" t="n"/>
      <c r="K59" s="13" t="n"/>
      <c r="L59" s="12" t="inlineStr">
        <is>
          <t>Programada</t>
        </is>
      </c>
      <c r="M59" s="13" t="n"/>
      <c r="N59" s="14">
        <f>SI(O([@[Fecha_Programada_Inicio]]="";[@[Fecha_Inicio_Real]]="");"";SI([@[Fecha_Inicio_Real]]&lt;=[@[Fecha_Programada_Inicio]];"SÍ";"NO"))</f>
        <v/>
      </c>
      <c r="O59" s="14">
        <f>SI(O([@[Fecha_Programada_Fin]]="";[@[Fecha_Cierre_Operativo]]="");"";SI([@[Fecha_Cierre_Operativo]]&lt;=SI([@[Fecha_Nueva_Programada]]&lt;&gt;"";[@[Fecha_Nueva_Programada]];[@[Fecha_Programada_Fin]]);"SÍ";"NO"))</f>
        <v/>
      </c>
      <c r="P59" s="14">
        <f>SI(O([@[Cumpli_Ingreso]]="";[@[Cumpli_Salida]]="");"";SI(Y([@[Cumpli_Ingreso]]="SÍ";[@[Cumpli_Salida]]="SÍ");"SÍ";"NO"))</f>
        <v/>
      </c>
      <c r="Q59" s="15">
        <f>SI(O([@[Fecha_Programada_Fin]]="";[@[Fecha_Cierre_Operativo]]="");"";MAX(0;ENTERO([@[Fecha_Cierre_Operativo]])-ENTERO(SI([@[Fecha_Nueva_Programada]]&lt;&gt;"";[@[Fecha_Nueva_Programada]];[@[Fecha_Programada_Fin]])))</f>
        <v/>
      </c>
      <c r="R59" s="12" t="n"/>
      <c r="S59" s="12" t="n"/>
      <c r="T59" s="13" t="n"/>
      <c r="U59" s="12" t="n">
        <v>14</v>
      </c>
      <c r="V59" s="12" t="n"/>
      <c r="W5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9" s="14">
        <f>SI([@SBAN]="";"";BUSCARV([@SBAN];Cronograma_Maestro!$A:$M;6;FALSO))</f>
        <v/>
      </c>
    </row>
    <row r="60">
      <c r="A60" s="11" t="inlineStr">
        <is>
          <t>1330</t>
        </is>
      </c>
      <c r="B60" s="12">
        <f>SI([@SBAN]="";"";BUSCARV([@SBAN];Cronograma_Maestro!$A:$M;2;FALSO))</f>
        <v/>
      </c>
      <c r="C60" s="12">
        <f>SI([@SBAN]="";"";BUSCARV([@SBAN];Cronograma_Maestro!$A:$M;3;FALSO))</f>
        <v/>
      </c>
      <c r="D60" s="12">
        <f>SI([@SBAN]="";"";BUSCARV([@SBAN];Cronograma_Maestro!$A:$M;4;FALSO))</f>
        <v/>
      </c>
      <c r="E60" s="12">
        <f>SI([@SBAN]="";"";BUSCARV([@SBAN];Cronograma_Maestro!$A:$M;5;FALSO))</f>
        <v/>
      </c>
      <c r="F60" s="12" t="inlineStr">
        <is>
          <t>Juan Pablo Osorio Ramirez</t>
        </is>
      </c>
      <c r="G60" s="12" t="inlineStr">
        <is>
          <t>PMU COLSOF</t>
        </is>
      </c>
      <c r="H60" s="13" t="n">
        <v>46309</v>
      </c>
      <c r="I60" s="13" t="n">
        <v>46309</v>
      </c>
      <c r="J60" s="13" t="n"/>
      <c r="K60" s="13" t="n"/>
      <c r="L60" s="12" t="inlineStr">
        <is>
          <t>Programada</t>
        </is>
      </c>
      <c r="M60" s="13" t="n"/>
      <c r="N60" s="14">
        <f>SI(O([@[Fecha_Programada_Inicio]]="";[@[Fecha_Inicio_Real]]="");"";SI([@[Fecha_Inicio_Real]]&lt;=[@[Fecha_Programada_Inicio]];"SÍ";"NO"))</f>
        <v/>
      </c>
      <c r="O60" s="14">
        <f>SI(O([@[Fecha_Programada_Fin]]="";[@[Fecha_Cierre_Operativo]]="");"";SI([@[Fecha_Cierre_Operativo]]&lt;=SI([@[Fecha_Nueva_Programada]]&lt;&gt;"";[@[Fecha_Nueva_Programada]];[@[Fecha_Programada_Fin]]);"SÍ";"NO"))</f>
        <v/>
      </c>
      <c r="P60" s="14">
        <f>SI(O([@[Cumpli_Ingreso]]="";[@[Cumpli_Salida]]="");"";SI(Y([@[Cumpli_Ingreso]]="SÍ";[@[Cumpli_Salida]]="SÍ");"SÍ";"NO"))</f>
        <v/>
      </c>
      <c r="Q60" s="15">
        <f>SI(O([@[Fecha_Programada_Fin]]="";[@[Fecha_Cierre_Operativo]]="");"";MAX(0;ENTERO([@[Fecha_Cierre_Operativo]])-ENTERO(SI([@[Fecha_Nueva_Programada]]&lt;&gt;"";[@[Fecha_Nueva_Programada]];[@[Fecha_Programada_Fin]])))</f>
        <v/>
      </c>
      <c r="R60" s="12" t="n"/>
      <c r="S60" s="12" t="n"/>
      <c r="T60" s="13" t="n"/>
      <c r="U60" s="12" t="n">
        <v>12</v>
      </c>
      <c r="V60" s="12" t="n"/>
      <c r="W6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0" s="14">
        <f>SI([@SBAN]="";"";BUSCARV([@SBAN];Cronograma_Maestro!$A:$M;6;FALSO))</f>
        <v/>
      </c>
    </row>
    <row r="61">
      <c r="A61" s="11" t="inlineStr">
        <is>
          <t>1331</t>
        </is>
      </c>
      <c r="B61" s="12">
        <f>SI([@SBAN]="";"";BUSCARV([@SBAN];Cronograma_Maestro!$A:$M;2;FALSO))</f>
        <v/>
      </c>
      <c r="C61" s="12">
        <f>SI([@SBAN]="";"";BUSCARV([@SBAN];Cronograma_Maestro!$A:$M;3;FALSO))</f>
        <v/>
      </c>
      <c r="D61" s="12">
        <f>SI([@SBAN]="";"";BUSCARV([@SBAN];Cronograma_Maestro!$A:$M;4;FALSO))</f>
        <v/>
      </c>
      <c r="E61" s="12">
        <f>SI([@SBAN]="";"";BUSCARV([@SBAN];Cronograma_Maestro!$A:$M;5;FALSO))</f>
        <v/>
      </c>
      <c r="F61" s="12" t="inlineStr">
        <is>
          <t>Andrés Mariano Bustamante Castro</t>
        </is>
      </c>
      <c r="G61" s="12" t="inlineStr">
        <is>
          <t>PMU COLSOF</t>
        </is>
      </c>
      <c r="H61" s="13" t="n">
        <v>46294</v>
      </c>
      <c r="I61" s="13" t="n">
        <v>46296</v>
      </c>
      <c r="J61" s="13" t="n"/>
      <c r="K61" s="13" t="n"/>
      <c r="L61" s="12" t="inlineStr">
        <is>
          <t>Programada</t>
        </is>
      </c>
      <c r="M61" s="13" t="n"/>
      <c r="N61" s="14">
        <f>SI(O([@[Fecha_Programada_Inicio]]="";[@[Fecha_Inicio_Real]]="");"";SI([@[Fecha_Inicio_Real]]&lt;=[@[Fecha_Programada_Inicio]];"SÍ";"NO"))</f>
        <v/>
      </c>
      <c r="O61" s="14">
        <f>SI(O([@[Fecha_Programada_Fin]]="";[@[Fecha_Cierre_Operativo]]="");"";SI([@[Fecha_Cierre_Operativo]]&lt;=SI([@[Fecha_Nueva_Programada]]&lt;&gt;"";[@[Fecha_Nueva_Programada]];[@[Fecha_Programada_Fin]]);"SÍ";"NO"))</f>
        <v/>
      </c>
      <c r="P61" s="14">
        <f>SI(O([@[Cumpli_Ingreso]]="";[@[Cumpli_Salida]]="");"";SI(Y([@[Cumpli_Ingreso]]="SÍ";[@[Cumpli_Salida]]="SÍ");"SÍ";"NO"))</f>
        <v/>
      </c>
      <c r="Q61" s="15">
        <f>SI(O([@[Fecha_Programada_Fin]]="";[@[Fecha_Cierre_Operativo]]="");"";MAX(0;ENTERO([@[Fecha_Cierre_Operativo]])-ENTERO(SI([@[Fecha_Nueva_Programada]]&lt;&gt;"";[@[Fecha_Nueva_Programada]];[@[Fecha_Programada_Fin]])))</f>
        <v/>
      </c>
      <c r="R61" s="12" t="n"/>
      <c r="S61" s="12" t="n"/>
      <c r="T61" s="13" t="n"/>
      <c r="U61" s="12" t="n">
        <v>28</v>
      </c>
      <c r="V61" s="12" t="n"/>
      <c r="W6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1" s="14">
        <f>SI([@SBAN]="";"";BUSCARV([@SBAN];Cronograma_Maestro!$A:$M;6;FALSO))</f>
        <v/>
      </c>
    </row>
    <row r="62">
      <c r="A62" s="11" t="inlineStr">
        <is>
          <t>1332</t>
        </is>
      </c>
      <c r="B62" s="12">
        <f>SI([@SBAN]="";"";BUSCARV([@SBAN];Cronograma_Maestro!$A:$M;2;FALSO))</f>
        <v/>
      </c>
      <c r="C62" s="12">
        <f>SI([@SBAN]="";"";BUSCARV([@SBAN];Cronograma_Maestro!$A:$M;3;FALSO))</f>
        <v/>
      </c>
      <c r="D62" s="12">
        <f>SI([@SBAN]="";"";BUSCARV([@SBAN];Cronograma_Maestro!$A:$M;4;FALSO))</f>
        <v/>
      </c>
      <c r="E62" s="12">
        <f>SI([@SBAN]="";"";BUSCARV([@SBAN];Cronograma_Maestro!$A:$M;5;FALSO))</f>
        <v/>
      </c>
      <c r="F62" s="12" t="inlineStr">
        <is>
          <t>Ever Enrique Esquivel Movilla</t>
        </is>
      </c>
      <c r="G62" s="12" t="inlineStr">
        <is>
          <t>PMU COLSOF</t>
        </is>
      </c>
      <c r="H62" s="13" t="n">
        <v>46286</v>
      </c>
      <c r="I62" s="13" t="n">
        <v>46286</v>
      </c>
      <c r="J62" s="13" t="n"/>
      <c r="K62" s="13" t="n"/>
      <c r="L62" s="12" t="inlineStr">
        <is>
          <t>Programada</t>
        </is>
      </c>
      <c r="M62" s="13" t="n"/>
      <c r="N62" s="14">
        <f>SI(O([@[Fecha_Programada_Inicio]]="";[@[Fecha_Inicio_Real]]="");"";SI([@[Fecha_Inicio_Real]]&lt;=[@[Fecha_Programada_Inicio]];"SÍ";"NO"))</f>
        <v/>
      </c>
      <c r="O62" s="14">
        <f>SI(O([@[Fecha_Programada_Fin]]="";[@[Fecha_Cierre_Operativo]]="");"";SI([@[Fecha_Cierre_Operativo]]&lt;=SI([@[Fecha_Nueva_Programada]]&lt;&gt;"";[@[Fecha_Nueva_Programada]];[@[Fecha_Programada_Fin]]);"SÍ";"NO"))</f>
        <v/>
      </c>
      <c r="P62" s="14">
        <f>SI(O([@[Cumpli_Ingreso]]="";[@[Cumpli_Salida]]="");"";SI(Y([@[Cumpli_Ingreso]]="SÍ";[@[Cumpli_Salida]]="SÍ");"SÍ";"NO"))</f>
        <v/>
      </c>
      <c r="Q62" s="15">
        <f>SI(O([@[Fecha_Programada_Fin]]="";[@[Fecha_Cierre_Operativo]]="");"";MAX(0;ENTERO([@[Fecha_Cierre_Operativo]])-ENTERO(SI([@[Fecha_Nueva_Programada]]&lt;&gt;"";[@[Fecha_Nueva_Programada]];[@[Fecha_Programada_Fin]])))</f>
        <v/>
      </c>
      <c r="R62" s="12" t="n"/>
      <c r="S62" s="12" t="n"/>
      <c r="T62" s="13" t="n"/>
      <c r="U62" s="12" t="n">
        <v>25</v>
      </c>
      <c r="V62" s="12" t="n"/>
      <c r="W6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2" s="14">
        <f>SI([@SBAN]="";"";BUSCARV([@SBAN];Cronograma_Maestro!$A:$M;6;FALSO))</f>
        <v/>
      </c>
    </row>
    <row r="63">
      <c r="A63" s="11" t="inlineStr">
        <is>
          <t>1334</t>
        </is>
      </c>
      <c r="B63" s="12">
        <f>SI([@SBAN]="";"";BUSCARV([@SBAN];Cronograma_Maestro!$A:$M;2;FALSO))</f>
        <v/>
      </c>
      <c r="C63" s="12">
        <f>SI([@SBAN]="";"";BUSCARV([@SBAN];Cronograma_Maestro!$A:$M;3;FALSO))</f>
        <v/>
      </c>
      <c r="D63" s="12">
        <f>SI([@SBAN]="";"";BUSCARV([@SBAN];Cronograma_Maestro!$A:$M;4;FALSO))</f>
        <v/>
      </c>
      <c r="E63" s="12">
        <f>SI([@SBAN]="";"";BUSCARV([@SBAN];Cronograma_Maestro!$A:$M;5;FALSO))</f>
        <v/>
      </c>
      <c r="F63" s="12" t="inlineStr">
        <is>
          <t>Juan Pablo Osorio Ramirez</t>
        </is>
      </c>
      <c r="G63" s="12" t="inlineStr">
        <is>
          <t>PMU COLSOF</t>
        </is>
      </c>
      <c r="H63" s="13" t="n">
        <v>46274</v>
      </c>
      <c r="I63" s="13" t="n">
        <v>46274</v>
      </c>
      <c r="J63" s="13" t="n"/>
      <c r="K63" s="13" t="n"/>
      <c r="L63" s="12" t="inlineStr">
        <is>
          <t>Programada</t>
        </is>
      </c>
      <c r="M63" s="13" t="n"/>
      <c r="N63" s="14">
        <f>SI(O([@[Fecha_Programada_Inicio]]="";[@[Fecha_Inicio_Real]]="");"";SI([@[Fecha_Inicio_Real]]&lt;=[@[Fecha_Programada_Inicio]];"SÍ";"NO"))</f>
        <v/>
      </c>
      <c r="O63" s="14">
        <f>SI(O([@[Fecha_Programada_Fin]]="";[@[Fecha_Cierre_Operativo]]="");"";SI([@[Fecha_Cierre_Operativo]]&lt;=SI([@[Fecha_Nueva_Programada]]&lt;&gt;"";[@[Fecha_Nueva_Programada]];[@[Fecha_Programada_Fin]]);"SÍ";"NO"))</f>
        <v/>
      </c>
      <c r="P63" s="14">
        <f>SI(O([@[Cumpli_Ingreso]]="";[@[Cumpli_Salida]]="");"";SI(Y([@[Cumpli_Ingreso]]="SÍ";[@[Cumpli_Salida]]="SÍ");"SÍ";"NO"))</f>
        <v/>
      </c>
      <c r="Q63" s="15">
        <f>SI(O([@[Fecha_Programada_Fin]]="";[@[Fecha_Cierre_Operativo]]="");"";MAX(0;ENTERO([@[Fecha_Cierre_Operativo]])-ENTERO(SI([@[Fecha_Nueva_Programada]]&lt;&gt;"";[@[Fecha_Nueva_Programada]];[@[Fecha_Programada_Fin]])))</f>
        <v/>
      </c>
      <c r="R63" s="12" t="n"/>
      <c r="S63" s="12" t="n"/>
      <c r="T63" s="13" t="n"/>
      <c r="U63" s="12" t="n">
        <v>16</v>
      </c>
      <c r="V63" s="12" t="n"/>
      <c r="W6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3" s="14">
        <f>SI([@SBAN]="";"";BUSCARV([@SBAN];Cronograma_Maestro!$A:$M;6;FALSO))</f>
        <v/>
      </c>
    </row>
    <row r="64">
      <c r="A64" s="11" t="inlineStr">
        <is>
          <t>1336</t>
        </is>
      </c>
      <c r="B64" s="12">
        <f>SI([@SBAN]="";"";BUSCARV([@SBAN];Cronograma_Maestro!$A:$M;2;FALSO))</f>
        <v/>
      </c>
      <c r="C64" s="12">
        <f>SI([@SBAN]="";"";BUSCARV([@SBAN];Cronograma_Maestro!$A:$M;3;FALSO))</f>
        <v/>
      </c>
      <c r="D64" s="12">
        <f>SI([@SBAN]="";"";BUSCARV([@SBAN];Cronograma_Maestro!$A:$M;4;FALSO))</f>
        <v/>
      </c>
      <c r="E64" s="12">
        <f>SI([@SBAN]="";"";BUSCARV([@SBAN];Cronograma_Maestro!$A:$M;5;FALSO))</f>
        <v/>
      </c>
      <c r="F64" s="12" t="inlineStr">
        <is>
          <t>Juan Pablo Osorio Ramirez</t>
        </is>
      </c>
      <c r="G64" s="12" t="inlineStr">
        <is>
          <t>PMU COLSOF</t>
        </is>
      </c>
      <c r="H64" s="13" t="n">
        <v>46276</v>
      </c>
      <c r="I64" s="13" t="n">
        <v>46276</v>
      </c>
      <c r="J64" s="13" t="n"/>
      <c r="K64" s="13" t="n"/>
      <c r="L64" s="12" t="inlineStr">
        <is>
          <t>Programada</t>
        </is>
      </c>
      <c r="M64" s="13" t="n"/>
      <c r="N64" s="14">
        <f>SI(O([@[Fecha_Programada_Inicio]]="";[@[Fecha_Inicio_Real]]="");"";SI([@[Fecha_Inicio_Real]]&lt;=[@[Fecha_Programada_Inicio]];"SÍ";"NO"))</f>
        <v/>
      </c>
      <c r="O64" s="14">
        <f>SI(O([@[Fecha_Programada_Fin]]="";[@[Fecha_Cierre_Operativo]]="");"";SI([@[Fecha_Cierre_Operativo]]&lt;=SI([@[Fecha_Nueva_Programada]]&lt;&gt;"";[@[Fecha_Nueva_Programada]];[@[Fecha_Programada_Fin]]);"SÍ";"NO"))</f>
        <v/>
      </c>
      <c r="P64" s="14">
        <f>SI(O([@[Cumpli_Ingreso]]="";[@[Cumpli_Salida]]="");"";SI(Y([@[Cumpli_Ingreso]]="SÍ";[@[Cumpli_Salida]]="SÍ");"SÍ";"NO"))</f>
        <v/>
      </c>
      <c r="Q64" s="15">
        <f>SI(O([@[Fecha_Programada_Fin]]="";[@[Fecha_Cierre_Operativo]]="");"";MAX(0;ENTERO([@[Fecha_Cierre_Operativo]])-ENTERO(SI([@[Fecha_Nueva_Programada]]&lt;&gt;"";[@[Fecha_Nueva_Programada]];[@[Fecha_Programada_Fin]])))</f>
        <v/>
      </c>
      <c r="R64" s="12" t="n"/>
      <c r="S64" s="12" t="n"/>
      <c r="T64" s="13" t="n"/>
      <c r="U64" s="12" t="n">
        <v>14</v>
      </c>
      <c r="V64" s="12" t="n"/>
      <c r="W6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4" s="14">
        <f>SI([@SBAN]="";"";BUSCARV([@SBAN];Cronograma_Maestro!$A:$M;6;FALSO))</f>
        <v/>
      </c>
    </row>
    <row r="65">
      <c r="A65" s="11" t="inlineStr">
        <is>
          <t>1340</t>
        </is>
      </c>
      <c r="B65" s="12">
        <f>SI([@SBAN]="";"";BUSCARV([@SBAN];Cronograma_Maestro!$A:$M;2;FALSO))</f>
        <v/>
      </c>
      <c r="C65" s="12">
        <f>SI([@SBAN]="";"";BUSCARV([@SBAN];Cronograma_Maestro!$A:$M;3;FALSO))</f>
        <v/>
      </c>
      <c r="D65" s="12">
        <f>SI([@SBAN]="";"";BUSCARV([@SBAN];Cronograma_Maestro!$A:$M;4;FALSO))</f>
        <v/>
      </c>
      <c r="E65" s="12">
        <f>SI([@SBAN]="";"";BUSCARV([@SBAN];Cronograma_Maestro!$A:$M;5;FALSO))</f>
        <v/>
      </c>
      <c r="F65" s="12" t="inlineStr">
        <is>
          <t>Juan Pablo Osorio Ramirez</t>
        </is>
      </c>
      <c r="G65" s="12" t="inlineStr">
        <is>
          <t>PMU COLSOF</t>
        </is>
      </c>
      <c r="H65" s="13" t="n">
        <v>46314</v>
      </c>
      <c r="I65" s="13" t="n">
        <v>46314</v>
      </c>
      <c r="J65" s="13" t="n"/>
      <c r="K65" s="13" t="n"/>
      <c r="L65" s="12" t="inlineStr">
        <is>
          <t>Programada</t>
        </is>
      </c>
      <c r="M65" s="13" t="n"/>
      <c r="N65" s="14">
        <f>SI(O([@[Fecha_Programada_Inicio]]="";[@[Fecha_Inicio_Real]]="");"";SI([@[Fecha_Inicio_Real]]&lt;=[@[Fecha_Programada_Inicio]];"SÍ";"NO"))</f>
        <v/>
      </c>
      <c r="O65" s="14">
        <f>SI(O([@[Fecha_Programada_Fin]]="";[@[Fecha_Cierre_Operativo]]="");"";SI([@[Fecha_Cierre_Operativo]]&lt;=SI([@[Fecha_Nueva_Programada]]&lt;&gt;"";[@[Fecha_Nueva_Programada]];[@[Fecha_Programada_Fin]]);"SÍ";"NO"))</f>
        <v/>
      </c>
      <c r="P65" s="14">
        <f>SI(O([@[Cumpli_Ingreso]]="";[@[Cumpli_Salida]]="");"";SI(Y([@[Cumpli_Ingreso]]="SÍ";[@[Cumpli_Salida]]="SÍ");"SÍ";"NO"))</f>
        <v/>
      </c>
      <c r="Q65" s="15">
        <f>SI(O([@[Fecha_Programada_Fin]]="";[@[Fecha_Cierre_Operativo]]="");"";MAX(0;ENTERO([@[Fecha_Cierre_Operativo]])-ENTERO(SI([@[Fecha_Nueva_Programada]]&lt;&gt;"";[@[Fecha_Nueva_Programada]];[@[Fecha_Programada_Fin]])))</f>
        <v/>
      </c>
      <c r="R65" s="12" t="n"/>
      <c r="S65" s="12" t="n"/>
      <c r="T65" s="13" t="n"/>
      <c r="U65" s="12" t="n">
        <v>27</v>
      </c>
      <c r="V65" s="12" t="n"/>
      <c r="W6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5" s="14">
        <f>SI([@SBAN]="";"";BUSCARV([@SBAN];Cronograma_Maestro!$A:$M;6;FALSO))</f>
        <v/>
      </c>
    </row>
    <row r="66">
      <c r="A66" s="11" t="inlineStr">
        <is>
          <t>1341</t>
        </is>
      </c>
      <c r="B66" s="12">
        <f>SI([@SBAN]="";"";BUSCARV([@SBAN];Cronograma_Maestro!$A:$M;2;FALSO))</f>
        <v/>
      </c>
      <c r="C66" s="12">
        <f>SI([@SBAN]="";"";BUSCARV([@SBAN];Cronograma_Maestro!$A:$M;3;FALSO))</f>
        <v/>
      </c>
      <c r="D66" s="12">
        <f>SI([@SBAN]="";"";BUSCARV([@SBAN];Cronograma_Maestro!$A:$M;4;FALSO))</f>
        <v/>
      </c>
      <c r="E66" s="12">
        <f>SI([@SBAN]="";"";BUSCARV([@SBAN];Cronograma_Maestro!$A:$M;5;FALSO))</f>
        <v/>
      </c>
      <c r="F66" s="12" t="inlineStr">
        <is>
          <t>Juan Pablo Osorio Ramirez</t>
        </is>
      </c>
      <c r="G66" s="12" t="inlineStr">
        <is>
          <t>PMU COLSOF</t>
        </is>
      </c>
      <c r="H66" s="13" t="n">
        <v>46275</v>
      </c>
      <c r="I66" s="13" t="n">
        <v>46275</v>
      </c>
      <c r="J66" s="13" t="n"/>
      <c r="K66" s="13" t="n"/>
      <c r="L66" s="12" t="inlineStr">
        <is>
          <t>Programada</t>
        </is>
      </c>
      <c r="M66" s="13" t="n"/>
      <c r="N66" s="14">
        <f>SI(O([@[Fecha_Programada_Inicio]]="";[@[Fecha_Inicio_Real]]="");"";SI([@[Fecha_Inicio_Real]]&lt;=[@[Fecha_Programada_Inicio]];"SÍ";"NO"))</f>
        <v/>
      </c>
      <c r="O66" s="14">
        <f>SI(O([@[Fecha_Programada_Fin]]="";[@[Fecha_Cierre_Operativo]]="");"";SI([@[Fecha_Cierre_Operativo]]&lt;=SI([@[Fecha_Nueva_Programada]]&lt;&gt;"";[@[Fecha_Nueva_Programada]];[@[Fecha_Programada_Fin]]);"SÍ";"NO"))</f>
        <v/>
      </c>
      <c r="P66" s="14">
        <f>SI(O([@[Cumpli_Ingreso]]="";[@[Cumpli_Salida]]="");"";SI(Y([@[Cumpli_Ingreso]]="SÍ";[@[Cumpli_Salida]]="SÍ");"SÍ";"NO"))</f>
        <v/>
      </c>
      <c r="Q66" s="15">
        <f>SI(O([@[Fecha_Programada_Fin]]="";[@[Fecha_Cierre_Operativo]]="");"";MAX(0;ENTERO([@[Fecha_Cierre_Operativo]])-ENTERO(SI([@[Fecha_Nueva_Programada]]&lt;&gt;"";[@[Fecha_Nueva_Programada]];[@[Fecha_Programada_Fin]])))</f>
        <v/>
      </c>
      <c r="R66" s="12" t="n"/>
      <c r="S66" s="12" t="n"/>
      <c r="T66" s="13" t="n"/>
      <c r="U66" s="12" t="n">
        <v>13</v>
      </c>
      <c r="V66" s="12" t="n"/>
      <c r="W6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6" s="14">
        <f>SI([@SBAN]="";"";BUSCARV([@SBAN];Cronograma_Maestro!$A:$M;6;FALSO))</f>
        <v/>
      </c>
    </row>
    <row r="67">
      <c r="A67" s="11" t="inlineStr">
        <is>
          <t>1342</t>
        </is>
      </c>
      <c r="B67" s="12">
        <f>SI([@SBAN]="";"";BUSCARV([@SBAN];Cronograma_Maestro!$A:$M;2;FALSO))</f>
        <v/>
      </c>
      <c r="C67" s="12">
        <f>SI([@SBAN]="";"";BUSCARV([@SBAN];Cronograma_Maestro!$A:$M;3;FALSO))</f>
        <v/>
      </c>
      <c r="D67" s="12">
        <f>SI([@SBAN]="";"";BUSCARV([@SBAN];Cronograma_Maestro!$A:$M;4;FALSO))</f>
        <v/>
      </c>
      <c r="E67" s="12">
        <f>SI([@SBAN]="";"";BUSCARV([@SBAN];Cronograma_Maestro!$A:$M;5;FALSO))</f>
        <v/>
      </c>
      <c r="F67" s="12" t="inlineStr">
        <is>
          <t>Juan Pablo Osorio Ramirez</t>
        </is>
      </c>
      <c r="G67" s="12" t="inlineStr">
        <is>
          <t>PMU COLSOF</t>
        </is>
      </c>
      <c r="H67" s="13" t="n">
        <v>46275</v>
      </c>
      <c r="I67" s="13" t="n">
        <v>46275</v>
      </c>
      <c r="J67" s="13" t="n"/>
      <c r="K67" s="13" t="n"/>
      <c r="L67" s="12" t="inlineStr">
        <is>
          <t>Programada</t>
        </is>
      </c>
      <c r="M67" s="13" t="n"/>
      <c r="N67" s="14">
        <f>SI(O([@[Fecha_Programada_Inicio]]="";[@[Fecha_Inicio_Real]]="");"";SI([@[Fecha_Inicio_Real]]&lt;=[@[Fecha_Programada_Inicio]];"SÍ";"NO"))</f>
        <v/>
      </c>
      <c r="O67" s="14">
        <f>SI(O([@[Fecha_Programada_Fin]]="";[@[Fecha_Cierre_Operativo]]="");"";SI([@[Fecha_Cierre_Operativo]]&lt;=SI([@[Fecha_Nueva_Programada]]&lt;&gt;"";[@[Fecha_Nueva_Programada]];[@[Fecha_Programada_Fin]]);"SÍ";"NO"))</f>
        <v/>
      </c>
      <c r="P67" s="14">
        <f>SI(O([@[Cumpli_Ingreso]]="";[@[Cumpli_Salida]]="");"";SI(Y([@[Cumpli_Ingreso]]="SÍ";[@[Cumpli_Salida]]="SÍ");"SÍ";"NO"))</f>
        <v/>
      </c>
      <c r="Q67" s="15">
        <f>SI(O([@[Fecha_Programada_Fin]]="";[@[Fecha_Cierre_Operativo]]="");"";MAX(0;ENTERO([@[Fecha_Cierre_Operativo]])-ENTERO(SI([@[Fecha_Nueva_Programada]]&lt;&gt;"";[@[Fecha_Nueva_Programada]];[@[Fecha_Programada_Fin]])))</f>
        <v/>
      </c>
      <c r="R67" s="12" t="n"/>
      <c r="S67" s="12" t="n"/>
      <c r="T67" s="13" t="n"/>
      <c r="U67" s="12" t="n">
        <v>23</v>
      </c>
      <c r="V67" s="12" t="n"/>
      <c r="W6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7" s="14">
        <f>SI([@SBAN]="";"";BUSCARV([@SBAN];Cronograma_Maestro!$A:$M;6;FALSO))</f>
        <v/>
      </c>
    </row>
    <row r="68">
      <c r="A68" s="11" t="inlineStr">
        <is>
          <t>1345</t>
        </is>
      </c>
      <c r="B68" s="12">
        <f>SI([@SBAN]="";"";BUSCARV([@SBAN];Cronograma_Maestro!$A:$M;2;FALSO))</f>
        <v/>
      </c>
      <c r="C68" s="12">
        <f>SI([@SBAN]="";"";BUSCARV([@SBAN];Cronograma_Maestro!$A:$M;3;FALSO))</f>
        <v/>
      </c>
      <c r="D68" s="12">
        <f>SI([@SBAN]="";"";BUSCARV([@SBAN];Cronograma_Maestro!$A:$M;4;FALSO))</f>
        <v/>
      </c>
      <c r="E68" s="12">
        <f>SI([@SBAN]="";"";BUSCARV([@SBAN];Cronograma_Maestro!$A:$M;5;FALSO))</f>
        <v/>
      </c>
      <c r="F68" s="12" t="inlineStr">
        <is>
          <t>Juan Pablo Osorio Ramirez</t>
        </is>
      </c>
      <c r="G68" s="12" t="inlineStr">
        <is>
          <t>PMU COLSOF</t>
        </is>
      </c>
      <c r="H68" s="13" t="n">
        <v>46304</v>
      </c>
      <c r="I68" s="13" t="n">
        <v>46304</v>
      </c>
      <c r="J68" s="13" t="n"/>
      <c r="K68" s="13" t="n"/>
      <c r="L68" s="12" t="inlineStr">
        <is>
          <t>Programada</t>
        </is>
      </c>
      <c r="M68" s="13" t="n"/>
      <c r="N68" s="14">
        <f>SI(O([@[Fecha_Programada_Inicio]]="";[@[Fecha_Inicio_Real]]="");"";SI([@[Fecha_Inicio_Real]]&lt;=[@[Fecha_Programada_Inicio]];"SÍ";"NO"))</f>
        <v/>
      </c>
      <c r="O68" s="14">
        <f>SI(O([@[Fecha_Programada_Fin]]="";[@[Fecha_Cierre_Operativo]]="");"";SI([@[Fecha_Cierre_Operativo]]&lt;=SI([@[Fecha_Nueva_Programada]]&lt;&gt;"";[@[Fecha_Nueva_Programada]];[@[Fecha_Programada_Fin]]);"SÍ";"NO"))</f>
        <v/>
      </c>
      <c r="P68" s="14">
        <f>SI(O([@[Cumpli_Ingreso]]="";[@[Cumpli_Salida]]="");"";SI(Y([@[Cumpli_Ingreso]]="SÍ";[@[Cumpli_Salida]]="SÍ");"SÍ";"NO"))</f>
        <v/>
      </c>
      <c r="Q68" s="15">
        <f>SI(O([@[Fecha_Programada_Fin]]="";[@[Fecha_Cierre_Operativo]]="");"";MAX(0;ENTERO([@[Fecha_Cierre_Operativo]])-ENTERO(SI([@[Fecha_Nueva_Programada]]&lt;&gt;"";[@[Fecha_Nueva_Programada]];[@[Fecha_Programada_Fin]])))</f>
        <v/>
      </c>
      <c r="R68" s="12" t="n"/>
      <c r="S68" s="12" t="n"/>
      <c r="T68" s="13" t="n"/>
      <c r="U68" s="12" t="n">
        <v>12</v>
      </c>
      <c r="V68" s="12" t="n"/>
      <c r="W6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8" s="14">
        <f>SI([@SBAN]="";"";BUSCARV([@SBAN];Cronograma_Maestro!$A:$M;6;FALSO))</f>
        <v/>
      </c>
    </row>
    <row r="69">
      <c r="A69" s="11" t="inlineStr">
        <is>
          <t>1346</t>
        </is>
      </c>
      <c r="B69" s="12">
        <f>SI([@SBAN]="";"";BUSCARV([@SBAN];Cronograma_Maestro!$A:$M;2;FALSO))</f>
        <v/>
      </c>
      <c r="C69" s="12">
        <f>SI([@SBAN]="";"";BUSCARV([@SBAN];Cronograma_Maestro!$A:$M;3;FALSO))</f>
        <v/>
      </c>
      <c r="D69" s="12">
        <f>SI([@SBAN]="";"";BUSCARV([@SBAN];Cronograma_Maestro!$A:$M;4;FALSO))</f>
        <v/>
      </c>
      <c r="E69" s="12">
        <f>SI([@SBAN]="";"";BUSCARV([@SBAN];Cronograma_Maestro!$A:$M;5;FALSO))</f>
        <v/>
      </c>
      <c r="F69" s="12" t="inlineStr">
        <is>
          <t>Juan Pablo Osorio Ramirez</t>
        </is>
      </c>
      <c r="G69" s="12" t="inlineStr">
        <is>
          <t>PMU COLSOF</t>
        </is>
      </c>
      <c r="H69" s="13" t="n">
        <v>46310</v>
      </c>
      <c r="I69" s="13" t="n">
        <v>46310</v>
      </c>
      <c r="J69" s="13" t="n"/>
      <c r="K69" s="13" t="n"/>
      <c r="L69" s="12" t="inlineStr">
        <is>
          <t>Programada</t>
        </is>
      </c>
      <c r="M69" s="13" t="n"/>
      <c r="N69" s="14">
        <f>SI(O([@[Fecha_Programada_Inicio]]="";[@[Fecha_Inicio_Real]]="");"";SI([@[Fecha_Inicio_Real]]&lt;=[@[Fecha_Programada_Inicio]];"SÍ";"NO"))</f>
        <v/>
      </c>
      <c r="O69" s="14">
        <f>SI(O([@[Fecha_Programada_Fin]]="";[@[Fecha_Cierre_Operativo]]="");"";SI([@[Fecha_Cierre_Operativo]]&lt;=SI([@[Fecha_Nueva_Programada]]&lt;&gt;"";[@[Fecha_Nueva_Programada]];[@[Fecha_Programada_Fin]]);"SÍ";"NO"))</f>
        <v/>
      </c>
      <c r="P69" s="14">
        <f>SI(O([@[Cumpli_Ingreso]]="";[@[Cumpli_Salida]]="");"";SI(Y([@[Cumpli_Ingreso]]="SÍ";[@[Cumpli_Salida]]="SÍ");"SÍ";"NO"))</f>
        <v/>
      </c>
      <c r="Q69" s="15">
        <f>SI(O([@[Fecha_Programada_Fin]]="";[@[Fecha_Cierre_Operativo]]="");"";MAX(0;ENTERO([@[Fecha_Cierre_Operativo]])-ENTERO(SI([@[Fecha_Nueva_Programada]]&lt;&gt;"";[@[Fecha_Nueva_Programada]];[@[Fecha_Programada_Fin]])))</f>
        <v/>
      </c>
      <c r="R69" s="12" t="n"/>
      <c r="S69" s="12" t="n"/>
      <c r="T69" s="13" t="n"/>
      <c r="U69" s="12" t="n">
        <v>21</v>
      </c>
      <c r="V69" s="12" t="n"/>
      <c r="W6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9" s="14">
        <f>SI([@SBAN]="";"";BUSCARV([@SBAN];Cronograma_Maestro!$A:$M;6;FALSO))</f>
        <v/>
      </c>
    </row>
    <row r="70">
      <c r="A70" s="11" t="inlineStr">
        <is>
          <t>1348</t>
        </is>
      </c>
      <c r="B70" s="12">
        <f>SI([@SBAN]="";"";BUSCARV([@SBAN];Cronograma_Maestro!$A:$M;2;FALSO))</f>
        <v/>
      </c>
      <c r="C70" s="12">
        <f>SI([@SBAN]="";"";BUSCARV([@SBAN];Cronograma_Maestro!$A:$M;3;FALSO))</f>
        <v/>
      </c>
      <c r="D70" s="12">
        <f>SI([@SBAN]="";"";BUSCARV([@SBAN];Cronograma_Maestro!$A:$M;4;FALSO))</f>
        <v/>
      </c>
      <c r="E70" s="12">
        <f>SI([@SBAN]="";"";BUSCARV([@SBAN];Cronograma_Maestro!$A:$M;5;FALSO))</f>
        <v/>
      </c>
      <c r="F70" s="12" t="inlineStr">
        <is>
          <t>Juan Pablo Osorio Ramirez</t>
        </is>
      </c>
      <c r="G70" s="12" t="inlineStr">
        <is>
          <t>PMU COLSOF</t>
        </is>
      </c>
      <c r="H70" s="13" t="n">
        <v>46283</v>
      </c>
      <c r="I70" s="13" t="n">
        <v>46283</v>
      </c>
      <c r="J70" s="13" t="n"/>
      <c r="K70" s="13" t="n"/>
      <c r="L70" s="12" t="inlineStr">
        <is>
          <t>Programada</t>
        </is>
      </c>
      <c r="M70" s="13" t="n"/>
      <c r="N70" s="14">
        <f>SI(O([@[Fecha_Programada_Inicio]]="";[@[Fecha_Inicio_Real]]="");"";SI([@[Fecha_Inicio_Real]]&lt;=[@[Fecha_Programada_Inicio]];"SÍ";"NO"))</f>
        <v/>
      </c>
      <c r="O70" s="14">
        <f>SI(O([@[Fecha_Programada_Fin]]="";[@[Fecha_Cierre_Operativo]]="");"";SI([@[Fecha_Cierre_Operativo]]&lt;=SI([@[Fecha_Nueva_Programada]]&lt;&gt;"";[@[Fecha_Nueva_Programada]];[@[Fecha_Programada_Fin]]);"SÍ";"NO"))</f>
        <v/>
      </c>
      <c r="P70" s="14">
        <f>SI(O([@[Cumpli_Ingreso]]="";[@[Cumpli_Salida]]="");"";SI(Y([@[Cumpli_Ingreso]]="SÍ";[@[Cumpli_Salida]]="SÍ");"SÍ";"NO"))</f>
        <v/>
      </c>
      <c r="Q70" s="15">
        <f>SI(O([@[Fecha_Programada_Fin]]="";[@[Fecha_Cierre_Operativo]]="");"";MAX(0;ENTERO([@[Fecha_Cierre_Operativo]])-ENTERO(SI([@[Fecha_Nueva_Programada]]&lt;&gt;"";[@[Fecha_Nueva_Programada]];[@[Fecha_Programada_Fin]])))</f>
        <v/>
      </c>
      <c r="R70" s="12" t="n"/>
      <c r="S70" s="12" t="n"/>
      <c r="T70" s="13" t="n"/>
      <c r="U70" s="12" t="n">
        <v>14</v>
      </c>
      <c r="V70" s="12" t="n"/>
      <c r="W7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0" s="14">
        <f>SI([@SBAN]="";"";BUSCARV([@SBAN];Cronograma_Maestro!$A:$M;6;FALSO))</f>
        <v/>
      </c>
    </row>
    <row r="71">
      <c r="A71" s="11" t="inlineStr">
        <is>
          <t>1349</t>
        </is>
      </c>
      <c r="B71" s="12">
        <f>SI([@SBAN]="";"";BUSCARV([@SBAN];Cronograma_Maestro!$A:$M;2;FALSO))</f>
        <v/>
      </c>
      <c r="C71" s="12">
        <f>SI([@SBAN]="";"";BUSCARV([@SBAN];Cronograma_Maestro!$A:$M;3;FALSO))</f>
        <v/>
      </c>
      <c r="D71" s="12">
        <f>SI([@SBAN]="";"";BUSCARV([@SBAN];Cronograma_Maestro!$A:$M;4;FALSO))</f>
        <v/>
      </c>
      <c r="E71" s="12">
        <f>SI([@SBAN]="";"";BUSCARV([@SBAN];Cronograma_Maestro!$A:$M;5;FALSO))</f>
        <v/>
      </c>
      <c r="F71" s="12" t="inlineStr">
        <is>
          <t>Juan Pablo Osorio Ramirez</t>
        </is>
      </c>
      <c r="G71" s="12" t="inlineStr">
        <is>
          <t>PMU COLSOF</t>
        </is>
      </c>
      <c r="H71" s="13" t="n">
        <v>46318</v>
      </c>
      <c r="I71" s="13" t="n">
        <v>46318</v>
      </c>
      <c r="J71" s="13" t="n"/>
      <c r="K71" s="13" t="n"/>
      <c r="L71" s="12" t="inlineStr">
        <is>
          <t>Programada</t>
        </is>
      </c>
      <c r="M71" s="13" t="n"/>
      <c r="N71" s="14">
        <f>SI(O([@[Fecha_Programada_Inicio]]="";[@[Fecha_Inicio_Real]]="");"";SI([@[Fecha_Inicio_Real]]&lt;=[@[Fecha_Programada_Inicio]];"SÍ";"NO"))</f>
        <v/>
      </c>
      <c r="O71" s="14">
        <f>SI(O([@[Fecha_Programada_Fin]]="";[@[Fecha_Cierre_Operativo]]="");"";SI([@[Fecha_Cierre_Operativo]]&lt;=SI([@[Fecha_Nueva_Programada]]&lt;&gt;"";[@[Fecha_Nueva_Programada]];[@[Fecha_Programada_Fin]]);"SÍ";"NO"))</f>
        <v/>
      </c>
      <c r="P71" s="14">
        <f>SI(O([@[Cumpli_Ingreso]]="";[@[Cumpli_Salida]]="");"";SI(Y([@[Cumpli_Ingreso]]="SÍ";[@[Cumpli_Salida]]="SÍ");"SÍ";"NO"))</f>
        <v/>
      </c>
      <c r="Q71" s="15">
        <f>SI(O([@[Fecha_Programada_Fin]]="";[@[Fecha_Cierre_Operativo]]="");"";MAX(0;ENTERO([@[Fecha_Cierre_Operativo]])-ENTERO(SI([@[Fecha_Nueva_Programada]]&lt;&gt;"";[@[Fecha_Nueva_Programada]];[@[Fecha_Programada_Fin]])))</f>
        <v/>
      </c>
      <c r="R71" s="12" t="n"/>
      <c r="S71" s="12" t="n"/>
      <c r="T71" s="13" t="n"/>
      <c r="U71" s="12" t="n">
        <v>12</v>
      </c>
      <c r="V71" s="12" t="n"/>
      <c r="W7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1" s="14">
        <f>SI([@SBAN]="";"";BUSCARV([@SBAN];Cronograma_Maestro!$A:$M;6;FALSO))</f>
        <v/>
      </c>
    </row>
    <row r="72">
      <c r="A72" s="11" t="inlineStr">
        <is>
          <t>1350</t>
        </is>
      </c>
      <c r="B72" s="12">
        <f>SI([@SBAN]="";"";BUSCARV([@SBAN];Cronograma_Maestro!$A:$M;2;FALSO))</f>
        <v/>
      </c>
      <c r="C72" s="12">
        <f>SI([@SBAN]="";"";BUSCARV([@SBAN];Cronograma_Maestro!$A:$M;3;FALSO))</f>
        <v/>
      </c>
      <c r="D72" s="12">
        <f>SI([@SBAN]="";"";BUSCARV([@SBAN];Cronograma_Maestro!$A:$M;4;FALSO))</f>
        <v/>
      </c>
      <c r="E72" s="12">
        <f>SI([@SBAN]="";"";BUSCARV([@SBAN];Cronograma_Maestro!$A:$M;5;FALSO))</f>
        <v/>
      </c>
      <c r="F72" s="12" t="inlineStr">
        <is>
          <t>Juan Pablo Osorio Ramirez</t>
        </is>
      </c>
      <c r="G72" s="12" t="inlineStr">
        <is>
          <t>PMU COLSOF</t>
        </is>
      </c>
      <c r="H72" s="13" t="n">
        <v>46316</v>
      </c>
      <c r="I72" s="13" t="n">
        <v>46316</v>
      </c>
      <c r="J72" s="13" t="n"/>
      <c r="K72" s="13" t="n"/>
      <c r="L72" s="12" t="inlineStr">
        <is>
          <t>Programada</t>
        </is>
      </c>
      <c r="M72" s="13" t="n"/>
      <c r="N72" s="14">
        <f>SI(O([@[Fecha_Programada_Inicio]]="";[@[Fecha_Inicio_Real]]="");"";SI([@[Fecha_Inicio_Real]]&lt;=[@[Fecha_Programada_Inicio]];"SÍ";"NO"))</f>
        <v/>
      </c>
      <c r="O72" s="14">
        <f>SI(O([@[Fecha_Programada_Fin]]="";[@[Fecha_Cierre_Operativo]]="");"";SI([@[Fecha_Cierre_Operativo]]&lt;=SI([@[Fecha_Nueva_Programada]]&lt;&gt;"";[@[Fecha_Nueva_Programada]];[@[Fecha_Programada_Fin]]);"SÍ";"NO"))</f>
        <v/>
      </c>
      <c r="P72" s="14">
        <f>SI(O([@[Cumpli_Ingreso]]="";[@[Cumpli_Salida]]="");"";SI(Y([@[Cumpli_Ingreso]]="SÍ";[@[Cumpli_Salida]]="SÍ");"SÍ";"NO"))</f>
        <v/>
      </c>
      <c r="Q72" s="15">
        <f>SI(O([@[Fecha_Programada_Fin]]="";[@[Fecha_Cierre_Operativo]]="");"";MAX(0;ENTERO([@[Fecha_Cierre_Operativo]])-ENTERO(SI([@[Fecha_Nueva_Programada]]&lt;&gt;"";[@[Fecha_Nueva_Programada]];[@[Fecha_Programada_Fin]])))</f>
        <v/>
      </c>
      <c r="R72" s="12" t="n"/>
      <c r="S72" s="12" t="n"/>
      <c r="T72" s="13" t="n"/>
      <c r="U72" s="12" t="n">
        <v>16</v>
      </c>
      <c r="V72" s="12" t="n"/>
      <c r="W7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2" s="14">
        <f>SI([@SBAN]="";"";BUSCARV([@SBAN];Cronograma_Maestro!$A:$M;6;FALSO))</f>
        <v/>
      </c>
    </row>
    <row r="73">
      <c r="A73" s="11" t="inlineStr">
        <is>
          <t>1351</t>
        </is>
      </c>
      <c r="B73" s="12">
        <f>SI([@SBAN]="";"";BUSCARV([@SBAN];Cronograma_Maestro!$A:$M;2;FALSO))</f>
        <v/>
      </c>
      <c r="C73" s="12">
        <f>SI([@SBAN]="";"";BUSCARV([@SBAN];Cronograma_Maestro!$A:$M;3;FALSO))</f>
        <v/>
      </c>
      <c r="D73" s="12">
        <f>SI([@SBAN]="";"";BUSCARV([@SBAN];Cronograma_Maestro!$A:$M;4;FALSO))</f>
        <v/>
      </c>
      <c r="E73" s="12">
        <f>SI([@SBAN]="";"";BUSCARV([@SBAN];Cronograma_Maestro!$A:$M;5;FALSO))</f>
        <v/>
      </c>
      <c r="F73" s="12" t="inlineStr">
        <is>
          <t>Andrés Mariano Bustamante Castro</t>
        </is>
      </c>
      <c r="G73" s="12" t="inlineStr">
        <is>
          <t>PMU COLSOF</t>
        </is>
      </c>
      <c r="H73" s="13" t="n">
        <v>46266</v>
      </c>
      <c r="I73" s="13" t="n">
        <v>46268</v>
      </c>
      <c r="J73" s="13" t="n">
        <v>46266</v>
      </c>
      <c r="K73" s="13" t="n"/>
      <c r="L73" s="12" t="inlineStr">
        <is>
          <t>En Proceso</t>
        </is>
      </c>
      <c r="M73" s="13" t="n"/>
      <c r="N73" s="14">
        <f>SI(O([@[Fecha_Programada_Inicio]]="";[@[Fecha_Inicio_Real]]="");"";SI([@[Fecha_Inicio_Real]]&lt;=[@[Fecha_Programada_Inicio]];"SÍ";"NO"))</f>
        <v/>
      </c>
      <c r="O73" s="14">
        <f>SI(O([@[Fecha_Programada_Fin]]="";[@[Fecha_Cierre_Operativo]]="");"";SI([@[Fecha_Cierre_Operativo]]&lt;=SI([@[Fecha_Nueva_Programada]]&lt;&gt;"";[@[Fecha_Nueva_Programada]];[@[Fecha_Programada_Fin]]);"SÍ";"NO"))</f>
        <v/>
      </c>
      <c r="P73" s="14">
        <f>SI(O([@[Cumpli_Ingreso]]="";[@[Cumpli_Salida]]="");"";SI(Y([@[Cumpli_Ingreso]]="SÍ";[@[Cumpli_Salida]]="SÍ");"SÍ";"NO"))</f>
        <v/>
      </c>
      <c r="Q73" s="15">
        <f>SI(O([@[Fecha_Programada_Fin]]="";[@[Fecha_Cierre_Operativo]]="");"";MAX(0;ENTERO([@[Fecha_Cierre_Operativo]])-ENTERO(SI([@[Fecha_Nueva_Programada]]&lt;&gt;"";[@[Fecha_Nueva_Programada]];[@[Fecha_Programada_Fin]])))</f>
        <v/>
      </c>
      <c r="R73" s="12" t="n"/>
      <c r="S73" s="12" t="n"/>
      <c r="T73" s="13" t="n"/>
      <c r="U73" s="12" t="n">
        <v>31</v>
      </c>
      <c r="V73" s="12" t="n"/>
      <c r="W7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3" s="14">
        <f>SI([@SBAN]="";"";BUSCARV([@SBAN];Cronograma_Maestro!$A:$M;6;FALSO))</f>
        <v/>
      </c>
    </row>
    <row r="74">
      <c r="A74" s="11" t="inlineStr">
        <is>
          <t>1352</t>
        </is>
      </c>
      <c r="B74" s="12">
        <f>SI([@SBAN]="";"";BUSCARV([@SBAN];Cronograma_Maestro!$A:$M;2;FALSO))</f>
        <v/>
      </c>
      <c r="C74" s="12">
        <f>SI([@SBAN]="";"";BUSCARV([@SBAN];Cronograma_Maestro!$A:$M;3;FALSO))</f>
        <v/>
      </c>
      <c r="D74" s="12">
        <f>SI([@SBAN]="";"";BUSCARV([@SBAN];Cronograma_Maestro!$A:$M;4;FALSO))</f>
        <v/>
      </c>
      <c r="E74" s="12">
        <f>SI([@SBAN]="";"";BUSCARV([@SBAN];Cronograma_Maestro!$A:$M;5;FALSO))</f>
        <v/>
      </c>
      <c r="F74" s="12" t="inlineStr">
        <is>
          <t>Ever Enrique Esquivel Movilla</t>
        </is>
      </c>
      <c r="G74" s="12" t="inlineStr">
        <is>
          <t>PMU COLSOF</t>
        </is>
      </c>
      <c r="H74" s="13" t="n">
        <v>46295</v>
      </c>
      <c r="I74" s="13" t="n">
        <v>46296</v>
      </c>
      <c r="J74" s="13" t="n"/>
      <c r="K74" s="13" t="n"/>
      <c r="L74" s="12" t="inlineStr">
        <is>
          <t>Programada</t>
        </is>
      </c>
      <c r="M74" s="13" t="n"/>
      <c r="N74" s="14">
        <f>SI(O([@[Fecha_Programada_Inicio]]="";[@[Fecha_Inicio_Real]]="");"";SI([@[Fecha_Inicio_Real]]&lt;=[@[Fecha_Programada_Inicio]];"SÍ";"NO"))</f>
        <v/>
      </c>
      <c r="O74" s="14">
        <f>SI(O([@[Fecha_Programada_Fin]]="";[@[Fecha_Cierre_Operativo]]="");"";SI([@[Fecha_Cierre_Operativo]]&lt;=SI([@[Fecha_Nueva_Programada]]&lt;&gt;"";[@[Fecha_Nueva_Programada]];[@[Fecha_Programada_Fin]]);"SÍ";"NO"))</f>
        <v/>
      </c>
      <c r="P74" s="14">
        <f>SI(O([@[Cumpli_Ingreso]]="";[@[Cumpli_Salida]]="");"";SI(Y([@[Cumpli_Ingreso]]="SÍ";[@[Cumpli_Salida]]="SÍ");"SÍ";"NO"))</f>
        <v/>
      </c>
      <c r="Q74" s="15">
        <f>SI(O([@[Fecha_Programada_Fin]]="";[@[Fecha_Cierre_Operativo]]="");"";MAX(0;ENTERO([@[Fecha_Cierre_Operativo]])-ENTERO(SI([@[Fecha_Nueva_Programada]]&lt;&gt;"";[@[Fecha_Nueva_Programada]];[@[Fecha_Programada_Fin]])))</f>
        <v/>
      </c>
      <c r="R74" s="12" t="n"/>
      <c r="S74" s="12" t="n"/>
      <c r="T74" s="13" t="n"/>
      <c r="U74" s="12" t="n">
        <v>36</v>
      </c>
      <c r="V74" s="12" t="n"/>
      <c r="W7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4" s="14">
        <f>SI([@SBAN]="";"";BUSCARV([@SBAN];Cronograma_Maestro!$A:$M;6;FALSO))</f>
        <v/>
      </c>
    </row>
    <row r="75">
      <c r="A75" s="11" t="inlineStr">
        <is>
          <t>1353</t>
        </is>
      </c>
      <c r="B75" s="12">
        <f>SI([@SBAN]="";"";BUSCARV([@SBAN];Cronograma_Maestro!$A:$M;2;FALSO))</f>
        <v/>
      </c>
      <c r="C75" s="12">
        <f>SI([@SBAN]="";"";BUSCARV([@SBAN];Cronograma_Maestro!$A:$M;3;FALSO))</f>
        <v/>
      </c>
      <c r="D75" s="12">
        <f>SI([@SBAN]="";"";BUSCARV([@SBAN];Cronograma_Maestro!$A:$M;4;FALSO))</f>
        <v/>
      </c>
      <c r="E75" s="12">
        <f>SI([@SBAN]="";"";BUSCARV([@SBAN];Cronograma_Maestro!$A:$M;5;FALSO))</f>
        <v/>
      </c>
      <c r="F75" s="12" t="inlineStr">
        <is>
          <t>Juan Pablo Osorio Ramirez</t>
        </is>
      </c>
      <c r="G75" s="12" t="inlineStr">
        <is>
          <t>PMU COLSOF</t>
        </is>
      </c>
      <c r="H75" s="13" t="n">
        <v>46266</v>
      </c>
      <c r="I75" s="13" t="n">
        <v>46266</v>
      </c>
      <c r="J75" s="13" t="n">
        <v>46266</v>
      </c>
      <c r="K75" s="13" t="n">
        <v>46266</v>
      </c>
      <c r="L75" s="12" t="inlineStr">
        <is>
          <t>Finalizada</t>
        </is>
      </c>
      <c r="M75" s="13" t="n"/>
      <c r="N75" s="14">
        <f>SI(O([@[Fecha_Programada_Inicio]]="";[@[Fecha_Inicio_Real]]="");"";SI([@[Fecha_Inicio_Real]]&lt;=[@[Fecha_Programada_Inicio]];"SÍ";"NO"))</f>
        <v/>
      </c>
      <c r="O75" s="14">
        <f>SI(O([@[Fecha_Programada_Fin]]="";[@[Fecha_Cierre_Operativo]]="");"";SI([@[Fecha_Cierre_Operativo]]&lt;=SI([@[Fecha_Nueva_Programada]]&lt;&gt;"";[@[Fecha_Nueva_Programada]];[@[Fecha_Programada_Fin]]);"SÍ";"NO"))</f>
        <v/>
      </c>
      <c r="P75" s="14">
        <f>SI(O([@[Cumpli_Ingreso]]="";[@[Cumpli_Salida]]="");"";SI(Y([@[Cumpli_Ingreso]]="SÍ";[@[Cumpli_Salida]]="SÍ");"SÍ";"NO"))</f>
        <v/>
      </c>
      <c r="Q75" s="15">
        <f>SI(O([@[Fecha_Programada_Fin]]="";[@[Fecha_Cierre_Operativo]]="");"";MAX(0;ENTERO([@[Fecha_Cierre_Operativo]])-ENTERO(SI([@[Fecha_Nueva_Programada]]&lt;&gt;"";[@[Fecha_Nueva_Programada]];[@[Fecha_Programada_Fin]])))</f>
        <v/>
      </c>
      <c r="R75" s="12" t="inlineStr">
        <is>
          <t>N/A - A Tiempo</t>
        </is>
      </c>
      <c r="S75" s="12" t="inlineStr">
        <is>
          <t>Firmada</t>
        </is>
      </c>
      <c r="T75" s="13" t="n"/>
      <c r="U75" s="12" t="n">
        <v>13</v>
      </c>
      <c r="V75" s="12" t="inlineStr">
        <is>
          <t>El directo del Sban se encentra en vacaiones, firma en su nombre el encargdo del cargo durante su ausencia Zayda Cabanzo</t>
        </is>
      </c>
      <c r="W7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5" s="14">
        <f>SI([@SBAN]="";"";BUSCARV([@SBAN];Cronograma_Maestro!$A:$M;6;FALSO))</f>
        <v/>
      </c>
    </row>
    <row r="76">
      <c r="A76" s="11" t="inlineStr">
        <is>
          <t>1354</t>
        </is>
      </c>
      <c r="B76" s="12">
        <f>SI([@SBAN]="";"";BUSCARV([@SBAN];Cronograma_Maestro!$A:$M;2;FALSO))</f>
        <v/>
      </c>
      <c r="C76" s="12">
        <f>SI([@SBAN]="";"";BUSCARV([@SBAN];Cronograma_Maestro!$A:$M;3;FALSO))</f>
        <v/>
      </c>
      <c r="D76" s="12">
        <f>SI([@SBAN]="";"";BUSCARV([@SBAN];Cronograma_Maestro!$A:$M;4;FALSO))</f>
        <v/>
      </c>
      <c r="E76" s="12">
        <f>SI([@SBAN]="";"";BUSCARV([@SBAN];Cronograma_Maestro!$A:$M;5;FALSO))</f>
        <v/>
      </c>
      <c r="F76" s="12" t="inlineStr">
        <is>
          <t>Juan Pablo Osorio Ramirez</t>
        </is>
      </c>
      <c r="G76" s="12" t="inlineStr">
        <is>
          <t>PMU COLSOF</t>
        </is>
      </c>
      <c r="H76" s="13" t="n">
        <v>46273</v>
      </c>
      <c r="I76" s="13" t="n">
        <v>46273</v>
      </c>
      <c r="J76" s="13" t="n"/>
      <c r="K76" s="13" t="n"/>
      <c r="L76" s="12" t="inlineStr">
        <is>
          <t>Programada</t>
        </is>
      </c>
      <c r="M76" s="13" t="n"/>
      <c r="N76" s="14">
        <f>SI(O([@[Fecha_Programada_Inicio]]="";[@[Fecha_Inicio_Real]]="");"";SI([@[Fecha_Inicio_Real]]&lt;=[@[Fecha_Programada_Inicio]];"SÍ";"NO"))</f>
        <v/>
      </c>
      <c r="O76" s="14">
        <f>SI(O([@[Fecha_Programada_Fin]]="";[@[Fecha_Cierre_Operativo]]="");"";SI([@[Fecha_Cierre_Operativo]]&lt;=SI([@[Fecha_Nueva_Programada]]&lt;&gt;"";[@[Fecha_Nueva_Programada]];[@[Fecha_Programada_Fin]]);"SÍ";"NO"))</f>
        <v/>
      </c>
      <c r="P76" s="14">
        <f>SI(O([@[Cumpli_Ingreso]]="";[@[Cumpli_Salida]]="");"";SI(Y([@[Cumpli_Ingreso]]="SÍ";[@[Cumpli_Salida]]="SÍ");"SÍ";"NO"))</f>
        <v/>
      </c>
      <c r="Q76" s="15">
        <f>SI(O([@[Fecha_Programada_Fin]]="";[@[Fecha_Cierre_Operativo]]="");"";MAX(0;ENTERO([@[Fecha_Cierre_Operativo]])-ENTERO(SI([@[Fecha_Nueva_Programada]]&lt;&gt;"";[@[Fecha_Nueva_Programada]];[@[Fecha_Programada_Fin]])))</f>
        <v/>
      </c>
      <c r="R76" s="12" t="n"/>
      <c r="S76" s="12" t="n"/>
      <c r="T76" s="13" t="n"/>
      <c r="U76" s="12" t="n">
        <v>17</v>
      </c>
      <c r="V76" s="12" t="n"/>
      <c r="W7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6" s="14">
        <f>SI([@SBAN]="";"";BUSCARV([@SBAN];Cronograma_Maestro!$A:$M;6;FALSO))</f>
        <v/>
      </c>
    </row>
    <row r="77">
      <c r="A77" s="11" t="inlineStr">
        <is>
          <t>1355</t>
        </is>
      </c>
      <c r="B77" s="12">
        <f>SI([@SBAN]="";"";BUSCARV([@SBAN];Cronograma_Maestro!$A:$M;2;FALSO))</f>
        <v/>
      </c>
      <c r="C77" s="12">
        <f>SI([@SBAN]="";"";BUSCARV([@SBAN];Cronograma_Maestro!$A:$M;3;FALSO))</f>
        <v/>
      </c>
      <c r="D77" s="12">
        <f>SI([@SBAN]="";"";BUSCARV([@SBAN];Cronograma_Maestro!$A:$M;4;FALSO))</f>
        <v/>
      </c>
      <c r="E77" s="12">
        <f>SI([@SBAN]="";"";BUSCARV([@SBAN];Cronograma_Maestro!$A:$M;5;FALSO))</f>
        <v/>
      </c>
      <c r="F77" s="12" t="inlineStr">
        <is>
          <t>Andrés Mariano Bustamante Castro</t>
        </is>
      </c>
      <c r="G77" s="12" t="inlineStr">
        <is>
          <t>PMU COLSOF</t>
        </is>
      </c>
      <c r="H77" s="13" t="n">
        <v>46308</v>
      </c>
      <c r="I77" s="13" t="n">
        <v>46308</v>
      </c>
      <c r="J77" s="13" t="n"/>
      <c r="K77" s="13" t="n"/>
      <c r="L77" s="12" t="inlineStr">
        <is>
          <t>Programada</t>
        </is>
      </c>
      <c r="M77" s="13" t="n"/>
      <c r="N77" s="14">
        <f>SI(O([@[Fecha_Programada_Inicio]]="";[@[Fecha_Inicio_Real]]="");"";SI([@[Fecha_Inicio_Real]]&lt;=[@[Fecha_Programada_Inicio]];"SÍ";"NO"))</f>
        <v/>
      </c>
      <c r="O77" s="14">
        <f>SI(O([@[Fecha_Programada_Fin]]="";[@[Fecha_Cierre_Operativo]]="");"";SI([@[Fecha_Cierre_Operativo]]&lt;=SI([@[Fecha_Nueva_Programada]]&lt;&gt;"";[@[Fecha_Nueva_Programada]];[@[Fecha_Programada_Fin]]);"SÍ";"NO"))</f>
        <v/>
      </c>
      <c r="P77" s="14">
        <f>SI(O([@[Cumpli_Ingreso]]="";[@[Cumpli_Salida]]="");"";SI(Y([@[Cumpli_Ingreso]]="SÍ";[@[Cumpli_Salida]]="SÍ");"SÍ";"NO"))</f>
        <v/>
      </c>
      <c r="Q77" s="15">
        <f>SI(O([@[Fecha_Programada_Fin]]="";[@[Fecha_Cierre_Operativo]]="");"";MAX(0;ENTERO([@[Fecha_Cierre_Operativo]])-ENTERO(SI([@[Fecha_Nueva_Programada]]&lt;&gt;"";[@[Fecha_Nueva_Programada]];[@[Fecha_Programada_Fin]])))</f>
        <v/>
      </c>
      <c r="R77" s="12" t="n"/>
      <c r="S77" s="12" t="n"/>
      <c r="T77" s="13" t="n"/>
      <c r="U77" s="12" t="n">
        <v>19</v>
      </c>
      <c r="V77" s="12" t="n"/>
      <c r="W7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7" s="14">
        <f>SI([@SBAN]="";"";BUSCARV([@SBAN];Cronograma_Maestro!$A:$M;6;FALSO))</f>
        <v/>
      </c>
    </row>
    <row r="78">
      <c r="A78" s="11" t="inlineStr">
        <is>
          <t>1356</t>
        </is>
      </c>
      <c r="B78" s="12">
        <f>SI([@SBAN]="";"";BUSCARV([@SBAN];Cronograma_Maestro!$A:$M;2;FALSO))</f>
        <v/>
      </c>
      <c r="C78" s="12">
        <f>SI([@SBAN]="";"";BUSCARV([@SBAN];Cronograma_Maestro!$A:$M;3;FALSO))</f>
        <v/>
      </c>
      <c r="D78" s="12">
        <f>SI([@SBAN]="";"";BUSCARV([@SBAN];Cronograma_Maestro!$A:$M;4;FALSO))</f>
        <v/>
      </c>
      <c r="E78" s="12">
        <f>SI([@SBAN]="";"";BUSCARV([@SBAN];Cronograma_Maestro!$A:$M;5;FALSO))</f>
        <v/>
      </c>
      <c r="F78" s="12" t="inlineStr">
        <is>
          <t>Ever Enrique Esquivel Movilla</t>
        </is>
      </c>
      <c r="G78" s="12" t="inlineStr">
        <is>
          <t>PMU COLSOF</t>
        </is>
      </c>
      <c r="H78" s="13" t="n">
        <v>46297</v>
      </c>
      <c r="I78" s="13" t="n">
        <v>46297</v>
      </c>
      <c r="J78" s="13" t="n"/>
      <c r="K78" s="13" t="n"/>
      <c r="L78" s="12" t="inlineStr">
        <is>
          <t>Programada</t>
        </is>
      </c>
      <c r="M78" s="13" t="n"/>
      <c r="N78" s="14">
        <f>SI(O([@[Fecha_Programada_Inicio]]="";[@[Fecha_Inicio_Real]]="");"";SI([@[Fecha_Inicio_Real]]&lt;=[@[Fecha_Programada_Inicio]];"SÍ";"NO"))</f>
        <v/>
      </c>
      <c r="O78" s="14">
        <f>SI(O([@[Fecha_Programada_Fin]]="";[@[Fecha_Cierre_Operativo]]="");"";SI([@[Fecha_Cierre_Operativo]]&lt;=SI([@[Fecha_Nueva_Programada]]&lt;&gt;"";[@[Fecha_Nueva_Programada]];[@[Fecha_Programada_Fin]]);"SÍ";"NO"))</f>
        <v/>
      </c>
      <c r="P78" s="14">
        <f>SI(O([@[Cumpli_Ingreso]]="";[@[Cumpli_Salida]]="");"";SI(Y([@[Cumpli_Ingreso]]="SÍ";[@[Cumpli_Salida]]="SÍ");"SÍ";"NO"))</f>
        <v/>
      </c>
      <c r="Q78" s="15">
        <f>SI(O([@[Fecha_Programada_Fin]]="";[@[Fecha_Cierre_Operativo]]="");"";MAX(0;ENTERO([@[Fecha_Cierre_Operativo]])-ENTERO(SI([@[Fecha_Nueva_Programada]]&lt;&gt;"";[@[Fecha_Nueva_Programada]];[@[Fecha_Programada_Fin]])))</f>
        <v/>
      </c>
      <c r="R78" s="12" t="n"/>
      <c r="S78" s="12" t="n"/>
      <c r="T78" s="13" t="n"/>
      <c r="U78" s="12" t="n">
        <v>13</v>
      </c>
      <c r="V78" s="12" t="n"/>
      <c r="W7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8" s="14">
        <f>SI([@SBAN]="";"";BUSCARV([@SBAN];Cronograma_Maestro!$A:$M;6;FALSO))</f>
        <v/>
      </c>
    </row>
    <row r="79">
      <c r="A79" s="11" t="inlineStr">
        <is>
          <t>1357</t>
        </is>
      </c>
      <c r="B79" s="12">
        <f>SI([@SBAN]="";"";BUSCARV([@SBAN];Cronograma_Maestro!$A:$M;2;FALSO))</f>
        <v/>
      </c>
      <c r="C79" s="12">
        <f>SI([@SBAN]="";"";BUSCARV([@SBAN];Cronograma_Maestro!$A:$M;3;FALSO))</f>
        <v/>
      </c>
      <c r="D79" s="12">
        <f>SI([@SBAN]="";"";BUSCARV([@SBAN];Cronograma_Maestro!$A:$M;4;FALSO))</f>
        <v/>
      </c>
      <c r="E79" s="12">
        <f>SI([@SBAN]="";"";BUSCARV([@SBAN];Cronograma_Maestro!$A:$M;5;FALSO))</f>
        <v/>
      </c>
      <c r="F79" s="12" t="inlineStr">
        <is>
          <t>Juan Pablo Osorio Ramirez</t>
        </is>
      </c>
      <c r="G79" s="12" t="inlineStr">
        <is>
          <t>PMU COLSOF</t>
        </is>
      </c>
      <c r="H79" s="13" t="n">
        <v>46280</v>
      </c>
      <c r="I79" s="13" t="n">
        <v>46280</v>
      </c>
      <c r="J79" s="13" t="n"/>
      <c r="K79" s="13" t="n"/>
      <c r="L79" s="12" t="inlineStr">
        <is>
          <t>Programada</t>
        </is>
      </c>
      <c r="M79" s="13" t="n"/>
      <c r="N79" s="14">
        <f>SI(O([@[Fecha_Programada_Inicio]]="";[@[Fecha_Inicio_Real]]="");"";SI([@[Fecha_Inicio_Real]]&lt;=[@[Fecha_Programada_Inicio]];"SÍ";"NO"))</f>
        <v/>
      </c>
      <c r="O79" s="14">
        <f>SI(O([@[Fecha_Programada_Fin]]="";[@[Fecha_Cierre_Operativo]]="");"";SI([@[Fecha_Cierre_Operativo]]&lt;=SI([@[Fecha_Nueva_Programada]]&lt;&gt;"";[@[Fecha_Nueva_Programada]];[@[Fecha_Programada_Fin]]);"SÍ";"NO"))</f>
        <v/>
      </c>
      <c r="P79" s="14">
        <f>SI(O([@[Cumpli_Ingreso]]="";[@[Cumpli_Salida]]="");"";SI(Y([@[Cumpli_Ingreso]]="SÍ";[@[Cumpli_Salida]]="SÍ");"SÍ";"NO"))</f>
        <v/>
      </c>
      <c r="Q79" s="15">
        <f>SI(O([@[Fecha_Programada_Fin]]="";[@[Fecha_Cierre_Operativo]]="");"";MAX(0;ENTERO([@[Fecha_Cierre_Operativo]])-ENTERO(SI([@[Fecha_Nueva_Programada]]&lt;&gt;"";[@[Fecha_Nueva_Programada]];[@[Fecha_Programada_Fin]])))</f>
        <v/>
      </c>
      <c r="R79" s="12" t="n"/>
      <c r="S79" s="12" t="n"/>
      <c r="T79" s="13" t="n"/>
      <c r="U79" s="12" t="n">
        <v>13</v>
      </c>
      <c r="V79" s="12" t="n"/>
      <c r="W7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9" s="14">
        <f>SI([@SBAN]="";"";BUSCARV([@SBAN];Cronograma_Maestro!$A:$M;6;FALSO))</f>
        <v/>
      </c>
    </row>
    <row r="80">
      <c r="A80" s="11" t="inlineStr">
        <is>
          <t>1359</t>
        </is>
      </c>
      <c r="B80" s="12">
        <f>SI([@SBAN]="";"";BUSCARV([@SBAN];Cronograma_Maestro!$A:$M;2;FALSO))</f>
        <v/>
      </c>
      <c r="C80" s="12">
        <f>SI([@SBAN]="";"";BUSCARV([@SBAN];Cronograma_Maestro!$A:$M;3;FALSO))</f>
        <v/>
      </c>
      <c r="D80" s="12">
        <f>SI([@SBAN]="";"";BUSCARV([@SBAN];Cronograma_Maestro!$A:$M;4;FALSO))</f>
        <v/>
      </c>
      <c r="E80" s="12">
        <f>SI([@SBAN]="";"";BUSCARV([@SBAN];Cronograma_Maestro!$A:$M;5;FALSO))</f>
        <v/>
      </c>
      <c r="F80" s="12" t="inlineStr">
        <is>
          <t>Andrés Mariano Bustamante Castro</t>
        </is>
      </c>
      <c r="G80" s="12" t="inlineStr">
        <is>
          <t>PMU COLSOF</t>
        </is>
      </c>
      <c r="H80" s="13" t="n">
        <v>46274</v>
      </c>
      <c r="I80" s="13" t="n">
        <v>46276</v>
      </c>
      <c r="J80" s="13" t="n"/>
      <c r="K80" s="13" t="n"/>
      <c r="L80" s="12" t="inlineStr">
        <is>
          <t>Programada</t>
        </is>
      </c>
      <c r="M80" s="13" t="n"/>
      <c r="N80" s="14">
        <f>SI(O([@[Fecha_Programada_Inicio]]="";[@[Fecha_Inicio_Real]]="");"";SI([@[Fecha_Inicio_Real]]&lt;=[@[Fecha_Programada_Inicio]];"SÍ";"NO"))</f>
        <v/>
      </c>
      <c r="O80" s="14">
        <f>SI(O([@[Fecha_Programada_Fin]]="";[@[Fecha_Cierre_Operativo]]="");"";SI([@[Fecha_Cierre_Operativo]]&lt;=SI([@[Fecha_Nueva_Programada]]&lt;&gt;"";[@[Fecha_Nueva_Programada]];[@[Fecha_Programada_Fin]]);"SÍ";"NO"))</f>
        <v/>
      </c>
      <c r="P80" s="14">
        <f>SI(O([@[Cumpli_Ingreso]]="";[@[Cumpli_Salida]]="");"";SI(Y([@[Cumpli_Ingreso]]="SÍ";[@[Cumpli_Salida]]="SÍ");"SÍ";"NO"))</f>
        <v/>
      </c>
      <c r="Q80" s="15">
        <f>SI(O([@[Fecha_Programada_Fin]]="";[@[Fecha_Cierre_Operativo]]="");"";MAX(0;ENTERO([@[Fecha_Cierre_Operativo]])-ENTERO(SI([@[Fecha_Nueva_Programada]]&lt;&gt;"";[@[Fecha_Nueva_Programada]];[@[Fecha_Programada_Fin]])))</f>
        <v/>
      </c>
      <c r="R80" s="12" t="n"/>
      <c r="S80" s="12" t="n"/>
      <c r="T80" s="13" t="n"/>
      <c r="U80" s="12" t="n">
        <v>27</v>
      </c>
      <c r="V80" s="12" t="n"/>
      <c r="W8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80" s="14">
        <f>SI([@SBAN]="";"";BUSCARV([@SBAN];Cronograma_Maestro!$A:$M;6;FALSO))</f>
        <v/>
      </c>
    </row>
    <row r="81">
      <c r="A81" s="11" t="inlineStr">
        <is>
          <t>1360</t>
        </is>
      </c>
      <c r="B81" s="12">
        <f>SI([@SBAN]="";"";BUSCARV([@SBAN];Cronograma_Maestro!$A:$M;2;FALSO))</f>
        <v/>
      </c>
      <c r="C81" s="12">
        <f>SI([@SBAN]="";"";BUSCARV([@SBAN];Cronograma_Maestro!$A:$M;3;FALSO))</f>
        <v/>
      </c>
      <c r="D81" s="12">
        <f>SI([@SBAN]="";"";BUSCARV([@SBAN];Cronograma_Maestro!$A:$M;4;FALSO))</f>
        <v/>
      </c>
      <c r="E81" s="12">
        <f>SI([@SBAN]="";"";BUSCARV([@SBAN];Cronograma_Maestro!$A:$M;5;FALSO))</f>
        <v/>
      </c>
      <c r="F81" s="12" t="inlineStr">
        <is>
          <t>Juan Pablo Osorio Ramirez</t>
        </is>
      </c>
      <c r="G81" s="12" t="inlineStr">
        <is>
          <t>PMU COLSOF</t>
        </is>
      </c>
      <c r="H81" s="13" t="n">
        <v>46317</v>
      </c>
      <c r="I81" s="13" t="n">
        <v>46317</v>
      </c>
      <c r="J81" s="13" t="n"/>
      <c r="K81" s="13" t="n"/>
      <c r="L81" s="12" t="inlineStr">
        <is>
          <t>Programada</t>
        </is>
      </c>
      <c r="M81" s="13" t="n"/>
      <c r="N81" s="14">
        <f>SI(O([@[Fecha_Programada_Inicio]]="";[@[Fecha_Inicio_Real]]="");"";SI([@[Fecha_Inicio_Real]]&lt;=[@[Fecha_Programada_Inicio]];"SÍ";"NO"))</f>
        <v/>
      </c>
      <c r="O81" s="14">
        <f>SI(O([@[Fecha_Programada_Fin]]="";[@[Fecha_Cierre_Operativo]]="");"";SI([@[Fecha_Cierre_Operativo]]&lt;=SI([@[Fecha_Nueva_Programada]]&lt;&gt;"";[@[Fecha_Nueva_Programada]];[@[Fecha_Programada_Fin]]);"SÍ";"NO"))</f>
        <v/>
      </c>
      <c r="P81" s="14">
        <f>SI(O([@[Cumpli_Ingreso]]="";[@[Cumpli_Salida]]="");"";SI(Y([@[Cumpli_Ingreso]]="SÍ";[@[Cumpli_Salida]]="SÍ");"SÍ";"NO"))</f>
        <v/>
      </c>
      <c r="Q81" s="15">
        <f>SI(O([@[Fecha_Programada_Fin]]="";[@[Fecha_Cierre_Operativo]]="");"";MAX(0;ENTERO([@[Fecha_Cierre_Operativo]])-ENTERO(SI([@[Fecha_Nueva_Programada]]&lt;&gt;"";[@[Fecha_Nueva_Programada]];[@[Fecha_Programada_Fin]])))</f>
        <v/>
      </c>
      <c r="R81" s="12" t="n"/>
      <c r="S81" s="12" t="n"/>
      <c r="T81" s="13" t="n"/>
      <c r="U81" s="12" t="n">
        <v>13</v>
      </c>
      <c r="V81" s="12" t="n"/>
      <c r="W8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81" s="14">
        <f>SI([@SBAN]="";"";BUSCARV([@SBAN];Cronograma_Maestro!$A:$M;6;FALSO))</f>
        <v/>
      </c>
    </row>
    <row r="82">
      <c r="A82" s="11" t="inlineStr">
        <is>
          <t>1361</t>
        </is>
      </c>
      <c r="B82" s="12">
        <f>SI([@SBAN]="";"";BUSCARV([@SBAN];Cronograma_Maestro!$A:$M;2;FALSO))</f>
        <v/>
      </c>
      <c r="C82" s="12">
        <f>SI([@SBAN]="";"";BUSCARV([@SBAN];Cronograma_Maestro!$A:$M;3;FALSO))</f>
        <v/>
      </c>
      <c r="D82" s="12">
        <f>SI([@SBAN]="";"";BUSCARV([@SBAN];Cronograma_Maestro!$A:$M;4;FALSO))</f>
        <v/>
      </c>
      <c r="E82" s="12">
        <f>SI([@SBAN]="";"";BUSCARV([@SBAN];Cronograma_Maestro!$A:$M;5;FALSO))</f>
        <v/>
      </c>
      <c r="F82" s="12" t="inlineStr">
        <is>
          <t>Juan Pablo Osorio Ramirez</t>
        </is>
      </c>
      <c r="G82" s="12" t="inlineStr">
        <is>
          <t>PMU COLSOF</t>
        </is>
      </c>
      <c r="H82" s="13" t="n">
        <v>46293</v>
      </c>
      <c r="I82" s="13" t="n">
        <v>46293</v>
      </c>
      <c r="J82" s="13" t="n"/>
      <c r="K82" s="13" t="n"/>
      <c r="L82" s="12" t="inlineStr">
        <is>
          <t>Programada</t>
        </is>
      </c>
      <c r="M82" s="13" t="n"/>
      <c r="N82" s="14">
        <f>SI(O([@[Fecha_Programada_Inicio]]="";[@[Fecha_Inicio_Real]]="");"";SI([@[Fecha_Inicio_Real]]&lt;=[@[Fecha_Programada_Inicio]];"SÍ";"NO"))</f>
        <v/>
      </c>
      <c r="O82" s="14">
        <f>SI(O([@[Fecha_Programada_Fin]]="";[@[Fecha_Cierre_Operativo]]="");"";SI([@[Fecha_Cierre_Operativo]]&lt;=SI([@[Fecha_Nueva_Programada]]&lt;&gt;"";[@[Fecha_Nueva_Programada]];[@[Fecha_Programada_Fin]]);"SÍ";"NO"))</f>
        <v/>
      </c>
      <c r="P82" s="14">
        <f>SI(O([@[Cumpli_Ingreso]]="";[@[Cumpli_Salida]]="");"";SI(Y([@[Cumpli_Ingreso]]="SÍ";[@[Cumpli_Salida]]="SÍ");"SÍ";"NO"))</f>
        <v/>
      </c>
      <c r="Q82" s="15">
        <f>SI(O([@[Fecha_Programada_Fin]]="";[@[Fecha_Cierre_Operativo]]="");"";MAX(0;ENTERO([@[Fecha_Cierre_Operativo]])-ENTERO(SI([@[Fecha_Nueva_Programada]]&lt;&gt;"";[@[Fecha_Nueva_Programada]];[@[Fecha_Programada_Fin]])))</f>
        <v/>
      </c>
      <c r="R82" s="12" t="n"/>
      <c r="S82" s="12" t="n"/>
      <c r="T82" s="13" t="n"/>
      <c r="U82" s="12" t="n">
        <v>13</v>
      </c>
      <c r="V82" s="12" t="n"/>
      <c r="W8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82" s="14">
        <f>SI([@SBAN]="";"";BUSCARV([@SBAN];Cronograma_Maestro!$A:$M;6;FALSO))</f>
        <v/>
      </c>
    </row>
    <row r="83">
      <c r="A83" s="11" t="inlineStr">
        <is>
          <t>1362</t>
        </is>
      </c>
      <c r="B83" s="12">
        <f>SI([@SBAN]="";"";BUSCARV([@SBAN];Cronograma_Maestro!$A:$M;2;FALSO))</f>
        <v/>
      </c>
      <c r="C83" s="12">
        <f>SI([@SBAN]="";"";BUSCARV([@SBAN];Cronograma_Maestro!$A:$M;3;FALSO))</f>
        <v/>
      </c>
      <c r="D83" s="12">
        <f>SI([@SBAN]="";"";BUSCARV([@SBAN];Cronograma_Maestro!$A:$M;4;FALSO))</f>
        <v/>
      </c>
      <c r="E83" s="12">
        <f>SI([@SBAN]="";"";BUSCARV([@SBAN];Cronograma_Maestro!$A:$M;5;FALSO))</f>
        <v/>
      </c>
      <c r="F83" s="12" t="inlineStr">
        <is>
          <t>Ever Enrique Esquivel Movilla</t>
        </is>
      </c>
      <c r="G83" s="12" t="inlineStr">
        <is>
          <t>PMU COLSOF</t>
        </is>
      </c>
      <c r="H83" s="13" t="n">
        <v>46283</v>
      </c>
      <c r="I83" s="13" t="n">
        <v>46283</v>
      </c>
      <c r="J83" s="13" t="n"/>
      <c r="K83" s="13" t="n"/>
      <c r="L83" s="12" t="inlineStr">
        <is>
          <t>Programada</t>
        </is>
      </c>
      <c r="M83" s="13" t="n"/>
      <c r="N83" s="14">
        <f>SI(O([@[Fecha_Programada_Inicio]]="";[@[Fecha_Inicio_Real]]="");"";SI([@[Fecha_Inicio_Real]]&lt;=[@[Fecha_Programada_Inicio]];"SÍ";"NO"))</f>
        <v/>
      </c>
      <c r="O83" s="14">
        <f>SI(O([@[Fecha_Programada_Fin]]="";[@[Fecha_Cierre_Operativo]]="");"";SI([@[Fecha_Cierre_Operativo]]&lt;=SI([@[Fecha_Nueva_Programada]]&lt;&gt;"";[@[Fecha_Nueva_Programada]];[@[Fecha_Programada_Fin]]);"SÍ";"NO"))</f>
        <v/>
      </c>
      <c r="P83" s="14">
        <f>SI(O([@[Cumpli_Ingreso]]="";[@[Cumpli_Salida]]="");"";SI(Y([@[Cumpli_Ingreso]]="SÍ";[@[Cumpli_Salida]]="SÍ");"SÍ";"NO"))</f>
        <v/>
      </c>
      <c r="Q83" s="15">
        <f>SI(O([@[Fecha_Programada_Fin]]="";[@[Fecha_Cierre_Operativo]]="");"";MAX(0;ENTERO([@[Fecha_Cierre_Operativo]])-ENTERO(SI([@[Fecha_Nueva_Programada]]&lt;&gt;"";[@[Fecha_Nueva_Programada]];[@[Fecha_Programada_Fin]])))</f>
        <v/>
      </c>
      <c r="R83" s="12" t="n"/>
      <c r="S83" s="12" t="n"/>
      <c r="T83" s="13" t="n"/>
      <c r="U83" s="12" t="n">
        <v>20</v>
      </c>
      <c r="V83" s="12" t="n"/>
      <c r="W8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83" s="14">
        <f>SI([@SBAN]="";"";BUSCARV([@SBAN];Cronograma_Maestro!$A:$M;6;FALSO))</f>
        <v/>
      </c>
    </row>
    <row r="84">
      <c r="A84" s="11" t="inlineStr">
        <is>
          <t>1363</t>
        </is>
      </c>
      <c r="B84" s="12">
        <f>SI([@SBAN]="";"";BUSCARV([@SBAN];Cronograma_Maestro!$A:$M;2;FALSO))</f>
        <v/>
      </c>
      <c r="C84" s="12">
        <f>SI([@SBAN]="";"";BUSCARV([@SBAN];Cronograma_Maestro!$A:$M;3;FALSO))</f>
        <v/>
      </c>
      <c r="D84" s="12">
        <f>SI([@SBAN]="";"";BUSCARV([@SBAN];Cronograma_Maestro!$A:$M;4;FALSO))</f>
        <v/>
      </c>
      <c r="E84" s="12">
        <f>SI([@SBAN]="";"";BUSCARV([@SBAN];Cronograma_Maestro!$A:$M;5;FALSO))</f>
        <v/>
      </c>
      <c r="F84" s="12" t="inlineStr">
        <is>
          <t>Juan Pablo Osorio Ramirez</t>
        </is>
      </c>
      <c r="G84" s="12" t="inlineStr">
        <is>
          <t>PMU COLSOF</t>
        </is>
      </c>
      <c r="H84" s="13" t="n">
        <v>46282</v>
      </c>
      <c r="I84" s="13" t="n">
        <v>46282</v>
      </c>
      <c r="J84" s="13" t="n"/>
      <c r="K84" s="13" t="n"/>
      <c r="L84" s="12" t="inlineStr">
        <is>
          <t>Programada</t>
        </is>
      </c>
      <c r="M84" s="13" t="n"/>
      <c r="N84" s="14">
        <f>SI(O([@[Fecha_Programada_Inicio]]="";[@[Fecha_Inicio_Real]]="");"";SI([@[Fecha_Inicio_Real]]&lt;=[@[Fecha_Programada_Inicio]];"SÍ";"NO"))</f>
        <v/>
      </c>
      <c r="O84" s="14">
        <f>SI(O([@[Fecha_Programada_Fin]]="";[@[Fecha_Cierre_Operativo]]="");"";SI([@[Fecha_Cierre_Operativo]]&lt;=SI([@[Fecha_Nueva_Programada]]&lt;&gt;"";[@[Fecha_Nueva_Programada]];[@[Fecha_Programada_Fin]]);"SÍ";"NO"))</f>
        <v/>
      </c>
      <c r="P84" s="14">
        <f>SI(O([@[Cumpli_Ingreso]]="";[@[Cumpli_Salida]]="");"";SI(Y([@[Cumpli_Ingreso]]="SÍ";[@[Cumpli_Salida]]="SÍ");"SÍ";"NO"))</f>
        <v/>
      </c>
      <c r="Q84" s="15">
        <f>SI(O([@[Fecha_Programada_Fin]]="";[@[Fecha_Cierre_Operativo]]="");"";MAX(0;ENTERO([@[Fecha_Cierre_Operativo]])-ENTERO(SI([@[Fecha_Nueva_Programada]]&lt;&gt;"";[@[Fecha_Nueva_Programada]];[@[Fecha_Programada_Fin]])))</f>
        <v/>
      </c>
      <c r="R84" s="12" t="n"/>
      <c r="S84" s="12" t="n"/>
      <c r="T84" s="13" t="n"/>
      <c r="U84" s="12" t="n">
        <v>11</v>
      </c>
      <c r="V84" s="12" t="n"/>
      <c r="W8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84" s="14">
        <f>SI([@SBAN]="";"";BUSCARV([@SBAN];Cronograma_Maestro!$A:$M;6;FALSO))</f>
        <v/>
      </c>
    </row>
    <row r="85">
      <c r="A85" s="11" t="inlineStr">
        <is>
          <t>1365</t>
        </is>
      </c>
      <c r="B85" s="12">
        <f>SI([@SBAN]="";"";BUSCARV([@SBAN];Cronograma_Maestro!$A:$M;2;FALSO))</f>
        <v/>
      </c>
      <c r="C85" s="12">
        <f>SI([@SBAN]="";"";BUSCARV([@SBAN];Cronograma_Maestro!$A:$M;3;FALSO))</f>
        <v/>
      </c>
      <c r="D85" s="12">
        <f>SI([@SBAN]="";"";BUSCARV([@SBAN];Cronograma_Maestro!$A:$M;4;FALSO))</f>
        <v/>
      </c>
      <c r="E85" s="12">
        <f>SI([@SBAN]="";"";BUSCARV([@SBAN];Cronograma_Maestro!$A:$M;5;FALSO))</f>
        <v/>
      </c>
      <c r="F85" s="12" t="inlineStr">
        <is>
          <t>Andrés Mariano Bustamante Castro</t>
        </is>
      </c>
      <c r="G85" s="12" t="inlineStr">
        <is>
          <t>PMU COLSOF</t>
        </is>
      </c>
      <c r="H85" s="13" t="n">
        <v>46314</v>
      </c>
      <c r="I85" s="13" t="n">
        <v>46314</v>
      </c>
      <c r="J85" s="13" t="n"/>
      <c r="K85" s="13" t="n"/>
      <c r="L85" s="12" t="inlineStr">
        <is>
          <t>Programada</t>
        </is>
      </c>
      <c r="M85" s="13" t="n"/>
      <c r="N85" s="14">
        <f>SI(O([@[Fecha_Programada_Inicio]]="";[@[Fecha_Inicio_Real]]="");"";SI([@[Fecha_Inicio_Real]]&lt;=[@[Fecha_Programada_Inicio]];"SÍ";"NO"))</f>
        <v/>
      </c>
      <c r="O85" s="14">
        <f>SI(O([@[Fecha_Programada_Fin]]="";[@[Fecha_Cierre_Operativo]]="");"";SI([@[Fecha_Cierre_Operativo]]&lt;=SI([@[Fecha_Nueva_Programada]]&lt;&gt;"";[@[Fecha_Nueva_Programada]];[@[Fecha_Programada_Fin]]);"SÍ";"NO"))</f>
        <v/>
      </c>
      <c r="P85" s="14">
        <f>SI(O([@[Cumpli_Ingreso]]="";[@[Cumpli_Salida]]="");"";SI(Y([@[Cumpli_Ingreso]]="SÍ";[@[Cumpli_Salida]]="SÍ");"SÍ";"NO"))</f>
        <v/>
      </c>
      <c r="Q85" s="15">
        <f>SI(O([@[Fecha_Programada_Fin]]="";[@[Fecha_Cierre_Operativo]]="");"";MAX(0;ENTERO([@[Fecha_Cierre_Operativo]])-ENTERO(SI([@[Fecha_Nueva_Programada]]&lt;&gt;"";[@[Fecha_Nueva_Programada]];[@[Fecha_Programada_Fin]])))</f>
        <v/>
      </c>
      <c r="R85" s="12" t="n"/>
      <c r="S85" s="12" t="n"/>
      <c r="T85" s="13" t="n"/>
      <c r="U85" s="12" t="n">
        <v>27</v>
      </c>
      <c r="V85" s="12" t="n"/>
      <c r="W8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85" s="14">
        <f>SI([@SBAN]="";"";BUSCARV([@SBAN];Cronograma_Maestro!$A:$M;6;FALSO))</f>
        <v/>
      </c>
    </row>
    <row r="86">
      <c r="A86" s="11" t="inlineStr">
        <is>
          <t>1366</t>
        </is>
      </c>
      <c r="B86" s="12">
        <f>SI([@SBAN]="";"";BUSCARV([@SBAN];Cronograma_Maestro!$A:$M;2;FALSO))</f>
        <v/>
      </c>
      <c r="C86" s="12">
        <f>SI([@SBAN]="";"";BUSCARV([@SBAN];Cronograma_Maestro!$A:$M;3;FALSO))</f>
        <v/>
      </c>
      <c r="D86" s="12">
        <f>SI([@SBAN]="";"";BUSCARV([@SBAN];Cronograma_Maestro!$A:$M;4;FALSO))</f>
        <v/>
      </c>
      <c r="E86" s="12">
        <f>SI([@SBAN]="";"";BUSCARV([@SBAN];Cronograma_Maestro!$A:$M;5;FALSO))</f>
        <v/>
      </c>
      <c r="F86" s="12" t="inlineStr">
        <is>
          <t>Andrés Mariano Bustamante Castro</t>
        </is>
      </c>
      <c r="G86" s="12" t="inlineStr">
        <is>
          <t>PMU COLSOF</t>
        </is>
      </c>
      <c r="H86" s="13" t="n">
        <v>46318</v>
      </c>
      <c r="I86" s="13" t="n">
        <v>46318</v>
      </c>
      <c r="J86" s="13" t="n"/>
      <c r="K86" s="13" t="n"/>
      <c r="L86" s="12" t="inlineStr">
        <is>
          <t>Programada</t>
        </is>
      </c>
      <c r="M86" s="13" t="n"/>
      <c r="N86" s="14">
        <f>SI(O([@[Fecha_Programada_Inicio]]="";[@[Fecha_Inicio_Real]]="");"";SI([@[Fecha_Inicio_Real]]&lt;=[@[Fecha_Programada_Inicio]];"SÍ";"NO"))</f>
        <v/>
      </c>
      <c r="O86" s="14">
        <f>SI(O([@[Fecha_Programada_Fin]]="";[@[Fecha_Cierre_Operativo]]="");"";SI([@[Fecha_Cierre_Operativo]]&lt;=SI([@[Fecha_Nueva_Programada]]&lt;&gt;"";[@[Fecha_Nueva_Programada]];[@[Fecha_Programada_Fin]]);"SÍ";"NO"))</f>
        <v/>
      </c>
      <c r="P86" s="14">
        <f>SI(O([@[Cumpli_Ingreso]]="";[@[Cumpli_Salida]]="");"";SI(Y([@[Cumpli_Ingreso]]="SÍ";[@[Cumpli_Salida]]="SÍ");"SÍ";"NO"))</f>
        <v/>
      </c>
      <c r="Q86" s="15">
        <f>SI(O([@[Fecha_Programada_Fin]]="";[@[Fecha_Cierre_Operativo]]="");"";MAX(0;ENTERO([@[Fecha_Cierre_Operativo]])-ENTERO(SI([@[Fecha_Nueva_Programada]]&lt;&gt;"";[@[Fecha_Nueva_Programada]];[@[Fecha_Programada_Fin]])))</f>
        <v/>
      </c>
      <c r="R86" s="12" t="n"/>
      <c r="S86" s="12" t="n"/>
      <c r="T86" s="13" t="n"/>
      <c r="U86" s="12" t="n">
        <v>14</v>
      </c>
      <c r="V86" s="12" t="n"/>
      <c r="W8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86" s="14">
        <f>SI([@SBAN]="";"";BUSCARV([@SBAN];Cronograma_Maestro!$A:$M;6;FALSO))</f>
        <v/>
      </c>
    </row>
    <row r="87">
      <c r="A87" s="11" t="inlineStr">
        <is>
          <t>1368</t>
        </is>
      </c>
      <c r="B87" s="12">
        <f>SI([@SBAN]="";"";BUSCARV([@SBAN];Cronograma_Maestro!$A:$M;2;FALSO))</f>
        <v/>
      </c>
      <c r="C87" s="12">
        <f>SI([@SBAN]="";"";BUSCARV([@SBAN];Cronograma_Maestro!$A:$M;3;FALSO))</f>
        <v/>
      </c>
      <c r="D87" s="12">
        <f>SI([@SBAN]="";"";BUSCARV([@SBAN];Cronograma_Maestro!$A:$M;4;FALSO))</f>
        <v/>
      </c>
      <c r="E87" s="12">
        <f>SI([@SBAN]="";"";BUSCARV([@SBAN];Cronograma_Maestro!$A:$M;5;FALSO))</f>
        <v/>
      </c>
      <c r="F87" s="12" t="inlineStr">
        <is>
          <t>Juan Pablo Osorio Ramirez</t>
        </is>
      </c>
      <c r="G87" s="12" t="inlineStr">
        <is>
          <t>PMU COLSOF</t>
        </is>
      </c>
      <c r="H87" s="13" t="n">
        <v>46268</v>
      </c>
      <c r="I87" s="13" t="n">
        <v>46268</v>
      </c>
      <c r="J87" s="13" t="n"/>
      <c r="K87" s="13" t="n"/>
      <c r="L87" s="12" t="inlineStr">
        <is>
          <t>Programada</t>
        </is>
      </c>
      <c r="M87" s="13" t="n"/>
      <c r="N87" s="14">
        <f>SI(O([@[Fecha_Programada_Inicio]]="";[@[Fecha_Inicio_Real]]="");"";SI([@[Fecha_Inicio_Real]]&lt;=[@[Fecha_Programada_Inicio]];"SÍ";"NO"))</f>
        <v/>
      </c>
      <c r="O87" s="14">
        <f>SI(O([@[Fecha_Programada_Fin]]="";[@[Fecha_Cierre_Operativo]]="");"";SI([@[Fecha_Cierre_Operativo]]&lt;=SI([@[Fecha_Nueva_Programada]]&lt;&gt;"";[@[Fecha_Nueva_Programada]];[@[Fecha_Programada_Fin]]);"SÍ";"NO"))</f>
        <v/>
      </c>
      <c r="P87" s="14">
        <f>SI(O([@[Cumpli_Ingreso]]="";[@[Cumpli_Salida]]="");"";SI(Y([@[Cumpli_Ingreso]]="SÍ";[@[Cumpli_Salida]]="SÍ");"SÍ";"NO"))</f>
        <v/>
      </c>
      <c r="Q87" s="15">
        <f>SI(O([@[Fecha_Programada_Fin]]="";[@[Fecha_Cierre_Operativo]]="");"";MAX(0;ENTERO([@[Fecha_Cierre_Operativo]])-ENTERO(SI([@[Fecha_Nueva_Programada]]&lt;&gt;"";[@[Fecha_Nueva_Programada]];[@[Fecha_Programada_Fin]])))</f>
        <v/>
      </c>
      <c r="R87" s="12" t="n"/>
      <c r="S87" s="12" t="n"/>
      <c r="T87" s="13" t="n"/>
      <c r="U87" s="12" t="n">
        <v>22</v>
      </c>
      <c r="V87" s="12" t="n"/>
      <c r="W8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87" s="14">
        <f>SI([@SBAN]="";"";BUSCARV([@SBAN];Cronograma_Maestro!$A:$M;6;FALSO))</f>
        <v/>
      </c>
    </row>
    <row r="88">
      <c r="A88" s="11" t="inlineStr">
        <is>
          <t>1370</t>
        </is>
      </c>
      <c r="B88" s="12">
        <f>SI([@SBAN]="";"";BUSCARV([@SBAN];Cronograma_Maestro!$A:$M;2;FALSO))</f>
        <v/>
      </c>
      <c r="C88" s="12">
        <f>SI([@SBAN]="";"";BUSCARV([@SBAN];Cronograma_Maestro!$A:$M;3;FALSO))</f>
        <v/>
      </c>
      <c r="D88" s="12">
        <f>SI([@SBAN]="";"";BUSCARV([@SBAN];Cronograma_Maestro!$A:$M;4;FALSO))</f>
        <v/>
      </c>
      <c r="E88" s="12">
        <f>SI([@SBAN]="";"";BUSCARV([@SBAN];Cronograma_Maestro!$A:$M;5;FALSO))</f>
        <v/>
      </c>
      <c r="F88" s="12" t="inlineStr">
        <is>
          <t>Juan Pablo Osorio Ramirez</t>
        </is>
      </c>
      <c r="G88" s="12" t="inlineStr">
        <is>
          <t>PMU COLSOF</t>
        </is>
      </c>
      <c r="H88" s="13" t="n">
        <v>46272</v>
      </c>
      <c r="I88" s="13" t="n">
        <v>46272</v>
      </c>
      <c r="J88" s="13" t="n"/>
      <c r="K88" s="13" t="n"/>
      <c r="L88" s="12" t="inlineStr">
        <is>
          <t>Programada</t>
        </is>
      </c>
      <c r="M88" s="13" t="n"/>
      <c r="N88" s="14">
        <f>SI(O([@[Fecha_Programada_Inicio]]="";[@[Fecha_Inicio_Real]]="");"";SI([@[Fecha_Inicio_Real]]&lt;=[@[Fecha_Programada_Inicio]];"SÍ";"NO"))</f>
        <v/>
      </c>
      <c r="O88" s="14">
        <f>SI(O([@[Fecha_Programada_Fin]]="";[@[Fecha_Cierre_Operativo]]="");"";SI([@[Fecha_Cierre_Operativo]]&lt;=SI([@[Fecha_Nueva_Programada]]&lt;&gt;"";[@[Fecha_Nueva_Programada]];[@[Fecha_Programada_Fin]]);"SÍ";"NO"))</f>
        <v/>
      </c>
      <c r="P88" s="14">
        <f>SI(O([@[Cumpli_Ingreso]]="";[@[Cumpli_Salida]]="");"";SI(Y([@[Cumpli_Ingreso]]="SÍ";[@[Cumpli_Salida]]="SÍ");"SÍ";"NO"))</f>
        <v/>
      </c>
      <c r="Q88" s="15">
        <f>SI(O([@[Fecha_Programada_Fin]]="";[@[Fecha_Cierre_Operativo]]="");"";MAX(0;ENTERO([@[Fecha_Cierre_Operativo]])-ENTERO(SI([@[Fecha_Nueva_Programada]]&lt;&gt;"";[@[Fecha_Nueva_Programada]];[@[Fecha_Programada_Fin]])))</f>
        <v/>
      </c>
      <c r="R88" s="12" t="n"/>
      <c r="S88" s="12" t="n"/>
      <c r="T88" s="13" t="n"/>
      <c r="U88" s="12" t="n">
        <v>25</v>
      </c>
      <c r="V88" s="12" t="n"/>
      <c r="W8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88" s="14">
        <f>SI([@SBAN]="";"";BUSCARV([@SBAN];Cronograma_Maestro!$A:$M;6;FALSO))</f>
        <v/>
      </c>
    </row>
    <row r="89">
      <c r="A89" s="11" t="inlineStr">
        <is>
          <t>1371</t>
        </is>
      </c>
      <c r="B89" s="12">
        <f>SI([@SBAN]="";"";BUSCARV([@SBAN];Cronograma_Maestro!$A:$M;2;FALSO))</f>
        <v/>
      </c>
      <c r="C89" s="12">
        <f>SI([@SBAN]="";"";BUSCARV([@SBAN];Cronograma_Maestro!$A:$M;3;FALSO))</f>
        <v/>
      </c>
      <c r="D89" s="12">
        <f>SI([@SBAN]="";"";BUSCARV([@SBAN];Cronograma_Maestro!$A:$M;4;FALSO))</f>
        <v/>
      </c>
      <c r="E89" s="12">
        <f>SI([@SBAN]="";"";BUSCARV([@SBAN];Cronograma_Maestro!$A:$M;5;FALSO))</f>
        <v/>
      </c>
      <c r="F89" s="12" t="inlineStr">
        <is>
          <t>Andrés Mariano Bustamante Castro</t>
        </is>
      </c>
      <c r="G89" s="12" t="inlineStr">
        <is>
          <t>PMU COLSOF</t>
        </is>
      </c>
      <c r="H89" s="13" t="n">
        <v>46286</v>
      </c>
      <c r="I89" s="13" t="n">
        <v>46287</v>
      </c>
      <c r="J89" s="13" t="n"/>
      <c r="K89" s="13" t="n"/>
      <c r="L89" s="12" t="inlineStr">
        <is>
          <t>Programada</t>
        </is>
      </c>
      <c r="M89" s="13" t="n"/>
      <c r="N89" s="14">
        <f>SI(O([@[Fecha_Programada_Inicio]]="";[@[Fecha_Inicio_Real]]="");"";SI([@[Fecha_Inicio_Real]]&lt;=[@[Fecha_Programada_Inicio]];"SÍ";"NO"))</f>
        <v/>
      </c>
      <c r="O89" s="14">
        <f>SI(O([@[Fecha_Programada_Fin]]="";[@[Fecha_Cierre_Operativo]]="");"";SI([@[Fecha_Cierre_Operativo]]&lt;=SI([@[Fecha_Nueva_Programada]]&lt;&gt;"";[@[Fecha_Nueva_Programada]];[@[Fecha_Programada_Fin]]);"SÍ";"NO"))</f>
        <v/>
      </c>
      <c r="P89" s="14">
        <f>SI(O([@[Cumpli_Ingreso]]="";[@[Cumpli_Salida]]="");"";SI(Y([@[Cumpli_Ingreso]]="SÍ";[@[Cumpli_Salida]]="SÍ");"SÍ";"NO"))</f>
        <v/>
      </c>
      <c r="Q89" s="15">
        <f>SI(O([@[Fecha_Programada_Fin]]="";[@[Fecha_Cierre_Operativo]]="");"";MAX(0;ENTERO([@[Fecha_Cierre_Operativo]])-ENTERO(SI([@[Fecha_Nueva_Programada]]&lt;&gt;"";[@[Fecha_Nueva_Programada]];[@[Fecha_Programada_Fin]])))</f>
        <v/>
      </c>
      <c r="R89" s="12" t="n"/>
      <c r="S89" s="12" t="n"/>
      <c r="T89" s="13" t="n"/>
      <c r="U89" s="12" t="n">
        <v>18</v>
      </c>
      <c r="V89" s="12" t="n"/>
      <c r="W8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89" s="14">
        <f>SI([@SBAN]="";"";BUSCARV([@SBAN];Cronograma_Maestro!$A:$M;6;FALSO))</f>
        <v/>
      </c>
    </row>
    <row r="90">
      <c r="A90" s="11" t="inlineStr">
        <is>
          <t>1372</t>
        </is>
      </c>
      <c r="B90" s="12">
        <f>SI([@SBAN]="";"";BUSCARV([@SBAN];Cronograma_Maestro!$A:$M;2;FALSO))</f>
        <v/>
      </c>
      <c r="C90" s="12">
        <f>SI([@SBAN]="";"";BUSCARV([@SBAN];Cronograma_Maestro!$A:$M;3;FALSO))</f>
        <v/>
      </c>
      <c r="D90" s="12">
        <f>SI([@SBAN]="";"";BUSCARV([@SBAN];Cronograma_Maestro!$A:$M;4;FALSO))</f>
        <v/>
      </c>
      <c r="E90" s="12">
        <f>SI([@SBAN]="";"";BUSCARV([@SBAN];Cronograma_Maestro!$A:$M;5;FALSO))</f>
        <v/>
      </c>
      <c r="F90" s="12" t="inlineStr">
        <is>
          <t>Juan Pablo Osorio Ramirez</t>
        </is>
      </c>
      <c r="G90" s="12" t="inlineStr">
        <is>
          <t>PMU COLSOF</t>
        </is>
      </c>
      <c r="H90" s="13" t="n">
        <v>46303</v>
      </c>
      <c r="I90" s="13" t="n">
        <v>46303</v>
      </c>
      <c r="J90" s="13" t="n"/>
      <c r="K90" s="13" t="n"/>
      <c r="L90" s="12" t="inlineStr">
        <is>
          <t>Programada</t>
        </is>
      </c>
      <c r="M90" s="13" t="n"/>
      <c r="N90" s="14">
        <f>SI(O([@[Fecha_Programada_Inicio]]="";[@[Fecha_Inicio_Real]]="");"";SI([@[Fecha_Inicio_Real]]&lt;=[@[Fecha_Programada_Inicio]];"SÍ";"NO"))</f>
        <v/>
      </c>
      <c r="O90" s="14">
        <f>SI(O([@[Fecha_Programada_Fin]]="";[@[Fecha_Cierre_Operativo]]="");"";SI([@[Fecha_Cierre_Operativo]]&lt;=SI([@[Fecha_Nueva_Programada]]&lt;&gt;"";[@[Fecha_Nueva_Programada]];[@[Fecha_Programada_Fin]]);"SÍ";"NO"))</f>
        <v/>
      </c>
      <c r="P90" s="14">
        <f>SI(O([@[Cumpli_Ingreso]]="";[@[Cumpli_Salida]]="");"";SI(Y([@[Cumpli_Ingreso]]="SÍ";[@[Cumpli_Salida]]="SÍ");"SÍ";"NO"))</f>
        <v/>
      </c>
      <c r="Q90" s="15">
        <f>SI(O([@[Fecha_Programada_Fin]]="";[@[Fecha_Cierre_Operativo]]="");"";MAX(0;ENTERO([@[Fecha_Cierre_Operativo]])-ENTERO(SI([@[Fecha_Nueva_Programada]]&lt;&gt;"";[@[Fecha_Nueva_Programada]];[@[Fecha_Programada_Fin]])))</f>
        <v/>
      </c>
      <c r="R90" s="12" t="n"/>
      <c r="S90" s="12" t="n"/>
      <c r="T90" s="13" t="n"/>
      <c r="U90" s="12" t="n">
        <v>14</v>
      </c>
      <c r="V90" s="12" t="n"/>
      <c r="W9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90" s="14">
        <f>SI([@SBAN]="";"";BUSCARV([@SBAN];Cronograma_Maestro!$A:$M;6;FALSO))</f>
        <v/>
      </c>
    </row>
    <row r="91">
      <c r="A91" s="11" t="inlineStr">
        <is>
          <t>1374</t>
        </is>
      </c>
      <c r="B91" s="12">
        <f>SI([@SBAN]="";"";BUSCARV([@SBAN];Cronograma_Maestro!$A:$M;2;FALSO))</f>
        <v/>
      </c>
      <c r="C91" s="12">
        <f>SI([@SBAN]="";"";BUSCARV([@SBAN];Cronograma_Maestro!$A:$M;3;FALSO))</f>
        <v/>
      </c>
      <c r="D91" s="12">
        <f>SI([@SBAN]="";"";BUSCARV([@SBAN];Cronograma_Maestro!$A:$M;4;FALSO))</f>
        <v/>
      </c>
      <c r="E91" s="12">
        <f>SI([@SBAN]="";"";BUSCARV([@SBAN];Cronograma_Maestro!$A:$M;5;FALSO))</f>
        <v/>
      </c>
      <c r="F91" s="12" t="inlineStr">
        <is>
          <t>Juan Pablo Osorio Ramirez</t>
        </is>
      </c>
      <c r="G91" s="12" t="inlineStr">
        <is>
          <t>PMU COLSOF</t>
        </is>
      </c>
      <c r="H91" s="13" t="n">
        <v>46330</v>
      </c>
      <c r="I91" s="13" t="n">
        <v>46330</v>
      </c>
      <c r="J91" s="13" t="n"/>
      <c r="K91" s="13" t="n"/>
      <c r="L91" s="12" t="inlineStr">
        <is>
          <t>Programada</t>
        </is>
      </c>
      <c r="M91" s="13" t="n"/>
      <c r="N91" s="14">
        <f>SI(O([@[Fecha_Programada_Inicio]]="";[@[Fecha_Inicio_Real]]="");"";SI([@[Fecha_Inicio_Real]]&lt;=[@[Fecha_Programada_Inicio]];"SÍ";"NO"))</f>
        <v/>
      </c>
      <c r="O91" s="14">
        <f>SI(O([@[Fecha_Programada_Fin]]="";[@[Fecha_Cierre_Operativo]]="");"";SI([@[Fecha_Cierre_Operativo]]&lt;=SI([@[Fecha_Nueva_Programada]]&lt;&gt;"";[@[Fecha_Nueva_Programada]];[@[Fecha_Programada_Fin]]);"SÍ";"NO"))</f>
        <v/>
      </c>
      <c r="P91" s="14">
        <f>SI(O([@[Cumpli_Ingreso]]="";[@[Cumpli_Salida]]="");"";SI(Y([@[Cumpli_Ingreso]]="SÍ";[@[Cumpli_Salida]]="SÍ");"SÍ";"NO"))</f>
        <v/>
      </c>
      <c r="Q91" s="15">
        <f>SI(O([@[Fecha_Programada_Fin]]="";[@[Fecha_Cierre_Operativo]]="");"";MAX(0;ENTERO([@[Fecha_Cierre_Operativo]])-ENTERO(SI([@[Fecha_Nueva_Programada]]&lt;&gt;"";[@[Fecha_Nueva_Programada]];[@[Fecha_Programada_Fin]])))</f>
        <v/>
      </c>
      <c r="R91" s="12" t="n"/>
      <c r="S91" s="12" t="n"/>
      <c r="T91" s="13" t="n"/>
      <c r="U91" s="12" t="n">
        <v>22</v>
      </c>
      <c r="V91" s="12" t="n"/>
      <c r="W9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91" s="14">
        <f>SI([@SBAN]="";"";BUSCARV([@SBAN];Cronograma_Maestro!$A:$M;6;FALSO))</f>
        <v/>
      </c>
    </row>
    <row r="92">
      <c r="A92" s="11" t="inlineStr">
        <is>
          <t>1375</t>
        </is>
      </c>
      <c r="B92" s="12">
        <f>SI([@SBAN]="";"";BUSCARV([@SBAN];Cronograma_Maestro!$A:$M;2;FALSO))</f>
        <v/>
      </c>
      <c r="C92" s="12">
        <f>SI([@SBAN]="";"";BUSCARV([@SBAN];Cronograma_Maestro!$A:$M;3;FALSO))</f>
        <v/>
      </c>
      <c r="D92" s="12">
        <f>SI([@SBAN]="";"";BUSCARV([@SBAN];Cronograma_Maestro!$A:$M;4;FALSO))</f>
        <v/>
      </c>
      <c r="E92" s="12">
        <f>SI([@SBAN]="";"";BUSCARV([@SBAN];Cronograma_Maestro!$A:$M;5;FALSO))</f>
        <v/>
      </c>
      <c r="F92" s="12" t="inlineStr">
        <is>
          <t>Andrés Mariano Bustamante Castro</t>
        </is>
      </c>
      <c r="G92" s="12" t="inlineStr">
        <is>
          <t>PMU COLSOF</t>
        </is>
      </c>
      <c r="H92" s="13" t="n">
        <v>46310</v>
      </c>
      <c r="I92" s="13" t="n">
        <v>46311</v>
      </c>
      <c r="J92" s="13" t="n"/>
      <c r="K92" s="13" t="n"/>
      <c r="L92" s="12" t="inlineStr">
        <is>
          <t>Programada</t>
        </is>
      </c>
      <c r="M92" s="13" t="n"/>
      <c r="N92" s="14">
        <f>SI(O([@[Fecha_Programada_Inicio]]="";[@[Fecha_Inicio_Real]]="");"";SI([@[Fecha_Inicio_Real]]&lt;=[@[Fecha_Programada_Inicio]];"SÍ";"NO"))</f>
        <v/>
      </c>
      <c r="O92" s="14">
        <f>SI(O([@[Fecha_Programada_Fin]]="";[@[Fecha_Cierre_Operativo]]="");"";SI([@[Fecha_Cierre_Operativo]]&lt;=SI([@[Fecha_Nueva_Programada]]&lt;&gt;"";[@[Fecha_Nueva_Programada]];[@[Fecha_Programada_Fin]]);"SÍ";"NO"))</f>
        <v/>
      </c>
      <c r="P92" s="14">
        <f>SI(O([@[Cumpli_Ingreso]]="";[@[Cumpli_Salida]]="");"";SI(Y([@[Cumpli_Ingreso]]="SÍ";[@[Cumpli_Salida]]="SÍ");"SÍ";"NO"))</f>
        <v/>
      </c>
      <c r="Q92" s="15">
        <f>SI(O([@[Fecha_Programada_Fin]]="";[@[Fecha_Cierre_Operativo]]="");"";MAX(0;ENTERO([@[Fecha_Cierre_Operativo]])-ENTERO(SI([@[Fecha_Nueva_Programada]]&lt;&gt;"";[@[Fecha_Nueva_Programada]];[@[Fecha_Programada_Fin]])))</f>
        <v/>
      </c>
      <c r="R92" s="12" t="n"/>
      <c r="S92" s="12" t="n"/>
      <c r="T92" s="13" t="n"/>
      <c r="U92" s="12" t="n">
        <v>19</v>
      </c>
      <c r="V92" s="12" t="n"/>
      <c r="W9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92" s="14">
        <f>SI([@SBAN]="";"";BUSCARV([@SBAN];Cronograma_Maestro!$A:$M;6;FALSO))</f>
        <v/>
      </c>
    </row>
    <row r="93">
      <c r="A93" s="11" t="inlineStr">
        <is>
          <t>1377</t>
        </is>
      </c>
      <c r="B93" s="12">
        <f>SI([@SBAN]="";"";BUSCARV([@SBAN];Cronograma_Maestro!$A:$M;2;FALSO))</f>
        <v/>
      </c>
      <c r="C93" s="12">
        <f>SI([@SBAN]="";"";BUSCARV([@SBAN];Cronograma_Maestro!$A:$M;3;FALSO))</f>
        <v/>
      </c>
      <c r="D93" s="12">
        <f>SI([@SBAN]="";"";BUSCARV([@SBAN];Cronograma_Maestro!$A:$M;4;FALSO))</f>
        <v/>
      </c>
      <c r="E93" s="12">
        <f>SI([@SBAN]="";"";BUSCARV([@SBAN];Cronograma_Maestro!$A:$M;5;FALSO))</f>
        <v/>
      </c>
      <c r="F93" s="12" t="inlineStr">
        <is>
          <t>Andrés Mariano Bustamante Castro</t>
        </is>
      </c>
      <c r="G93" s="12" t="inlineStr">
        <is>
          <t>PMU COLSOF</t>
        </is>
      </c>
      <c r="H93" s="13" t="n">
        <v>46279</v>
      </c>
      <c r="I93" s="13" t="n">
        <v>46280</v>
      </c>
      <c r="J93" s="13" t="n"/>
      <c r="K93" s="13" t="n"/>
      <c r="L93" s="12" t="inlineStr">
        <is>
          <t>Programada</t>
        </is>
      </c>
      <c r="M93" s="13" t="n"/>
      <c r="N93" s="14">
        <f>SI(O([@[Fecha_Programada_Inicio]]="";[@[Fecha_Inicio_Real]]="");"";SI([@[Fecha_Inicio_Real]]&lt;=[@[Fecha_Programada_Inicio]];"SÍ";"NO"))</f>
        <v/>
      </c>
      <c r="O93" s="14">
        <f>SI(O([@[Fecha_Programada_Fin]]="";[@[Fecha_Cierre_Operativo]]="");"";SI([@[Fecha_Cierre_Operativo]]&lt;=SI([@[Fecha_Nueva_Programada]]&lt;&gt;"";[@[Fecha_Nueva_Programada]];[@[Fecha_Programada_Fin]]);"SÍ";"NO"))</f>
        <v/>
      </c>
      <c r="P93" s="14">
        <f>SI(O([@[Cumpli_Ingreso]]="";[@[Cumpli_Salida]]="");"";SI(Y([@[Cumpli_Ingreso]]="SÍ";[@[Cumpli_Salida]]="SÍ");"SÍ";"NO"))</f>
        <v/>
      </c>
      <c r="Q93" s="15">
        <f>SI(O([@[Fecha_Programada_Fin]]="";[@[Fecha_Cierre_Operativo]]="");"";MAX(0;ENTERO([@[Fecha_Cierre_Operativo]])-ENTERO(SI([@[Fecha_Nueva_Programada]]&lt;&gt;"";[@[Fecha_Nueva_Programada]];[@[Fecha_Programada_Fin]])))</f>
        <v/>
      </c>
      <c r="R93" s="12" t="n"/>
      <c r="S93" s="12" t="n"/>
      <c r="T93" s="13" t="n"/>
      <c r="U93" s="12" t="n">
        <v>22</v>
      </c>
      <c r="V93" s="12" t="n"/>
      <c r="W9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93" s="14">
        <f>SI([@SBAN]="";"";BUSCARV([@SBAN];Cronograma_Maestro!$A:$M;6;FALSO))</f>
        <v/>
      </c>
    </row>
    <row r="94">
      <c r="A94" s="11" t="inlineStr">
        <is>
          <t>1378</t>
        </is>
      </c>
      <c r="B94" s="12">
        <f>SI([@SBAN]="";"";BUSCARV([@SBAN];Cronograma_Maestro!$A:$M;2;FALSO))</f>
        <v/>
      </c>
      <c r="C94" s="12">
        <f>SI([@SBAN]="";"";BUSCARV([@SBAN];Cronograma_Maestro!$A:$M;3;FALSO))</f>
        <v/>
      </c>
      <c r="D94" s="12">
        <f>SI([@SBAN]="";"";BUSCARV([@SBAN];Cronograma_Maestro!$A:$M;4;FALSO))</f>
        <v/>
      </c>
      <c r="E94" s="12">
        <f>SI([@SBAN]="";"";BUSCARV([@SBAN];Cronograma_Maestro!$A:$M;5;FALSO))</f>
        <v/>
      </c>
      <c r="F94" s="12" t="inlineStr">
        <is>
          <t>Juan Pablo Osorio Ramirez</t>
        </is>
      </c>
      <c r="G94" s="12" t="inlineStr">
        <is>
          <t>PMU COLSOF</t>
        </is>
      </c>
      <c r="H94" s="13" t="n">
        <v>46297</v>
      </c>
      <c r="I94" s="13" t="n">
        <v>46297</v>
      </c>
      <c r="J94" s="13" t="n"/>
      <c r="K94" s="13" t="n"/>
      <c r="L94" s="12" t="inlineStr">
        <is>
          <t>Programada</t>
        </is>
      </c>
      <c r="M94" s="13" t="n"/>
      <c r="N94" s="14">
        <f>SI(O([@[Fecha_Programada_Inicio]]="";[@[Fecha_Inicio_Real]]="");"";SI([@[Fecha_Inicio_Real]]&lt;=[@[Fecha_Programada_Inicio]];"SÍ";"NO"))</f>
        <v/>
      </c>
      <c r="O94" s="14">
        <f>SI(O([@[Fecha_Programada_Fin]]="";[@[Fecha_Cierre_Operativo]]="");"";SI([@[Fecha_Cierre_Operativo]]&lt;=SI([@[Fecha_Nueva_Programada]]&lt;&gt;"";[@[Fecha_Nueva_Programada]];[@[Fecha_Programada_Fin]]);"SÍ";"NO"))</f>
        <v/>
      </c>
      <c r="P94" s="14">
        <f>SI(O([@[Cumpli_Ingreso]]="";[@[Cumpli_Salida]]="");"";SI(Y([@[Cumpli_Ingreso]]="SÍ";[@[Cumpli_Salida]]="SÍ");"SÍ";"NO"))</f>
        <v/>
      </c>
      <c r="Q94" s="15">
        <f>SI(O([@[Fecha_Programada_Fin]]="";[@[Fecha_Cierre_Operativo]]="");"";MAX(0;ENTERO([@[Fecha_Cierre_Operativo]])-ENTERO(SI([@[Fecha_Nueva_Programada]]&lt;&gt;"";[@[Fecha_Nueva_Programada]];[@[Fecha_Programada_Fin]])))</f>
        <v/>
      </c>
      <c r="R94" s="12" t="n"/>
      <c r="S94" s="12" t="n"/>
      <c r="T94" s="13" t="n"/>
      <c r="U94" s="12" t="n">
        <v>12</v>
      </c>
      <c r="V94" s="12" t="n"/>
      <c r="W9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94" s="14">
        <f>SI([@SBAN]="";"";BUSCARV([@SBAN];Cronograma_Maestro!$A:$M;6;FALSO))</f>
        <v/>
      </c>
    </row>
    <row r="95">
      <c r="A95" s="11" t="inlineStr">
        <is>
          <t>1379</t>
        </is>
      </c>
      <c r="B95" s="12">
        <f>SI([@SBAN]="";"";BUSCARV([@SBAN];Cronograma_Maestro!$A:$M;2;FALSO))</f>
        <v/>
      </c>
      <c r="C95" s="12">
        <f>SI([@SBAN]="";"";BUSCARV([@SBAN];Cronograma_Maestro!$A:$M;3;FALSO))</f>
        <v/>
      </c>
      <c r="D95" s="12">
        <f>SI([@SBAN]="";"";BUSCARV([@SBAN];Cronograma_Maestro!$A:$M;4;FALSO))</f>
        <v/>
      </c>
      <c r="E95" s="12">
        <f>SI([@SBAN]="";"";BUSCARV([@SBAN];Cronograma_Maestro!$A:$M;5;FALSO))</f>
        <v/>
      </c>
      <c r="F95" s="12" t="inlineStr">
        <is>
          <t>Juan Pablo Osorio Ramirez</t>
        </is>
      </c>
      <c r="G95" s="12" t="inlineStr">
        <is>
          <t>PMU COLSOF</t>
        </is>
      </c>
      <c r="H95" s="13" t="n">
        <v>46283</v>
      </c>
      <c r="I95" s="13" t="n">
        <v>46283</v>
      </c>
      <c r="J95" s="13" t="n"/>
      <c r="K95" s="13" t="n"/>
      <c r="L95" s="12" t="inlineStr">
        <is>
          <t>Programada</t>
        </is>
      </c>
      <c r="M95" s="13" t="n"/>
      <c r="N95" s="14">
        <f>SI(O([@[Fecha_Programada_Inicio]]="";[@[Fecha_Inicio_Real]]="");"";SI([@[Fecha_Inicio_Real]]&lt;=[@[Fecha_Programada_Inicio]];"SÍ";"NO"))</f>
        <v/>
      </c>
      <c r="O95" s="14">
        <f>SI(O([@[Fecha_Programada_Fin]]="";[@[Fecha_Cierre_Operativo]]="");"";SI([@[Fecha_Cierre_Operativo]]&lt;=SI([@[Fecha_Nueva_Programada]]&lt;&gt;"";[@[Fecha_Nueva_Programada]];[@[Fecha_Programada_Fin]]);"SÍ";"NO"))</f>
        <v/>
      </c>
      <c r="P95" s="14">
        <f>SI(O([@[Cumpli_Ingreso]]="";[@[Cumpli_Salida]]="");"";SI(Y([@[Cumpli_Ingreso]]="SÍ";[@[Cumpli_Salida]]="SÍ");"SÍ";"NO"))</f>
        <v/>
      </c>
      <c r="Q95" s="15">
        <f>SI(O([@[Fecha_Programada_Fin]]="";[@[Fecha_Cierre_Operativo]]="");"";MAX(0;ENTERO([@[Fecha_Cierre_Operativo]])-ENTERO(SI([@[Fecha_Nueva_Programada]]&lt;&gt;"";[@[Fecha_Nueva_Programada]];[@[Fecha_Programada_Fin]])))</f>
        <v/>
      </c>
      <c r="R95" s="12" t="n"/>
      <c r="S95" s="12" t="n"/>
      <c r="T95" s="13" t="n"/>
      <c r="U95" s="12" t="n">
        <v>18</v>
      </c>
      <c r="V95" s="12" t="n"/>
      <c r="W9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95" s="14">
        <f>SI([@SBAN]="";"";BUSCARV([@SBAN];Cronograma_Maestro!$A:$M;6;FALSO))</f>
        <v/>
      </c>
    </row>
    <row r="96">
      <c r="A96" s="11" t="inlineStr">
        <is>
          <t>1380</t>
        </is>
      </c>
      <c r="B96" s="12">
        <f>SI([@SBAN]="";"";BUSCARV([@SBAN];Cronograma_Maestro!$A:$M;2;FALSO))</f>
        <v/>
      </c>
      <c r="C96" s="12">
        <f>SI([@SBAN]="";"";BUSCARV([@SBAN];Cronograma_Maestro!$A:$M;3;FALSO))</f>
        <v/>
      </c>
      <c r="D96" s="12">
        <f>SI([@SBAN]="";"";BUSCARV([@SBAN];Cronograma_Maestro!$A:$M;4;FALSO))</f>
        <v/>
      </c>
      <c r="E96" s="12">
        <f>SI([@SBAN]="";"";BUSCARV([@SBAN];Cronograma_Maestro!$A:$M;5;FALSO))</f>
        <v/>
      </c>
      <c r="F96" s="12" t="inlineStr">
        <is>
          <t>Juan Pablo Osorio Ramirez</t>
        </is>
      </c>
      <c r="G96" s="12" t="inlineStr">
        <is>
          <t>PMU COLSOF</t>
        </is>
      </c>
      <c r="H96" s="13" t="n">
        <v>46324</v>
      </c>
      <c r="I96" s="13" t="n">
        <v>46324</v>
      </c>
      <c r="J96" s="13" t="n"/>
      <c r="K96" s="13" t="n"/>
      <c r="L96" s="12" t="inlineStr">
        <is>
          <t>Programada</t>
        </is>
      </c>
      <c r="M96" s="13" t="n"/>
      <c r="N96" s="14">
        <f>SI(O([@[Fecha_Programada_Inicio]]="";[@[Fecha_Inicio_Real]]="");"";SI([@[Fecha_Inicio_Real]]&lt;=[@[Fecha_Programada_Inicio]];"SÍ";"NO"))</f>
        <v/>
      </c>
      <c r="O96" s="14">
        <f>SI(O([@[Fecha_Programada_Fin]]="";[@[Fecha_Cierre_Operativo]]="");"";SI([@[Fecha_Cierre_Operativo]]&lt;=SI([@[Fecha_Nueva_Programada]]&lt;&gt;"";[@[Fecha_Nueva_Programada]];[@[Fecha_Programada_Fin]]);"SÍ";"NO"))</f>
        <v/>
      </c>
      <c r="P96" s="14">
        <f>SI(O([@[Cumpli_Ingreso]]="";[@[Cumpli_Salida]]="");"";SI(Y([@[Cumpli_Ingreso]]="SÍ";[@[Cumpli_Salida]]="SÍ");"SÍ";"NO"))</f>
        <v/>
      </c>
      <c r="Q96" s="15">
        <f>SI(O([@[Fecha_Programada_Fin]]="";[@[Fecha_Cierre_Operativo]]="");"";MAX(0;ENTERO([@[Fecha_Cierre_Operativo]])-ENTERO(SI([@[Fecha_Nueva_Programada]]&lt;&gt;"";[@[Fecha_Nueva_Programada]];[@[Fecha_Programada_Fin]])))</f>
        <v/>
      </c>
      <c r="R96" s="12" t="n"/>
      <c r="S96" s="12" t="n"/>
      <c r="T96" s="13" t="n"/>
      <c r="U96" s="12" t="n">
        <v>12</v>
      </c>
      <c r="V96" s="12" t="n"/>
      <c r="W9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96" s="14">
        <f>SI([@SBAN]="";"";BUSCARV([@SBAN];Cronograma_Maestro!$A:$M;6;FALSO))</f>
        <v/>
      </c>
    </row>
    <row r="97">
      <c r="A97" s="11" t="inlineStr">
        <is>
          <t>1381</t>
        </is>
      </c>
      <c r="B97" s="12">
        <f>SI([@SBAN]="";"";BUSCARV([@SBAN];Cronograma_Maestro!$A:$M;2;FALSO))</f>
        <v/>
      </c>
      <c r="C97" s="12">
        <f>SI([@SBAN]="";"";BUSCARV([@SBAN];Cronograma_Maestro!$A:$M;3;FALSO))</f>
        <v/>
      </c>
      <c r="D97" s="12">
        <f>SI([@SBAN]="";"";BUSCARV([@SBAN];Cronograma_Maestro!$A:$M;4;FALSO))</f>
        <v/>
      </c>
      <c r="E97" s="12">
        <f>SI([@SBAN]="";"";BUSCARV([@SBAN];Cronograma_Maestro!$A:$M;5;FALSO))</f>
        <v/>
      </c>
      <c r="F97" s="12" t="inlineStr">
        <is>
          <t>Juan Pablo Osorio Ramirez</t>
        </is>
      </c>
      <c r="G97" s="12" t="inlineStr">
        <is>
          <t>PMU COLSOF</t>
        </is>
      </c>
      <c r="H97" s="13" t="n">
        <v>46267</v>
      </c>
      <c r="I97" s="13" t="n">
        <v>46267</v>
      </c>
      <c r="J97" s="13" t="n"/>
      <c r="K97" s="13" t="n"/>
      <c r="L97" s="12" t="inlineStr">
        <is>
          <t>Programada</t>
        </is>
      </c>
      <c r="M97" s="13" t="n"/>
      <c r="N97" s="14">
        <f>SI(O([@[Fecha_Programada_Inicio]]="";[@[Fecha_Inicio_Real]]="");"";SI([@[Fecha_Inicio_Real]]&lt;=[@[Fecha_Programada_Inicio]];"SÍ";"NO"))</f>
        <v/>
      </c>
      <c r="O97" s="14">
        <f>SI(O([@[Fecha_Programada_Fin]]="";[@[Fecha_Cierre_Operativo]]="");"";SI([@[Fecha_Cierre_Operativo]]&lt;=SI([@[Fecha_Nueva_Programada]]&lt;&gt;"";[@[Fecha_Nueva_Programada]];[@[Fecha_Programada_Fin]]);"SÍ";"NO"))</f>
        <v/>
      </c>
      <c r="P97" s="14">
        <f>SI(O([@[Cumpli_Ingreso]]="";[@[Cumpli_Salida]]="");"";SI(Y([@[Cumpli_Ingreso]]="SÍ";[@[Cumpli_Salida]]="SÍ");"SÍ";"NO"))</f>
        <v/>
      </c>
      <c r="Q97" s="15">
        <f>SI(O([@[Fecha_Programada_Fin]]="";[@[Fecha_Cierre_Operativo]]="");"";MAX(0;ENTERO([@[Fecha_Cierre_Operativo]])-ENTERO(SI([@[Fecha_Nueva_Programada]]&lt;&gt;"";[@[Fecha_Nueva_Programada]];[@[Fecha_Programada_Fin]])))</f>
        <v/>
      </c>
      <c r="R97" s="12" t="n"/>
      <c r="S97" s="12" t="n"/>
      <c r="T97" s="13" t="n"/>
      <c r="U97" s="12" t="n">
        <v>31</v>
      </c>
      <c r="V97" s="12" t="n"/>
      <c r="W9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97" s="14">
        <f>SI([@SBAN]="";"";BUSCARV([@SBAN];Cronograma_Maestro!$A:$M;6;FALSO))</f>
        <v/>
      </c>
    </row>
    <row r="98">
      <c r="A98" s="11" t="inlineStr">
        <is>
          <t>1382</t>
        </is>
      </c>
      <c r="B98" s="12">
        <f>SI([@SBAN]="";"";BUSCARV([@SBAN];Cronograma_Maestro!$A:$M;2;FALSO))</f>
        <v/>
      </c>
      <c r="C98" s="12">
        <f>SI([@SBAN]="";"";BUSCARV([@SBAN];Cronograma_Maestro!$A:$M;3;FALSO))</f>
        <v/>
      </c>
      <c r="D98" s="12">
        <f>SI([@SBAN]="";"";BUSCARV([@SBAN];Cronograma_Maestro!$A:$M;4;FALSO))</f>
        <v/>
      </c>
      <c r="E98" s="12">
        <f>SI([@SBAN]="";"";BUSCARV([@SBAN];Cronograma_Maestro!$A:$M;5;FALSO))</f>
        <v/>
      </c>
      <c r="F98" s="12" t="inlineStr">
        <is>
          <t>Juan Pablo Osorio Ramirez</t>
        </is>
      </c>
      <c r="G98" s="12" t="inlineStr">
        <is>
          <t>PMU COLSOF</t>
        </is>
      </c>
      <c r="H98" s="13" t="n">
        <v>46311</v>
      </c>
      <c r="I98" s="13" t="n">
        <v>46311</v>
      </c>
      <c r="J98" s="13" t="n"/>
      <c r="K98" s="13" t="n"/>
      <c r="L98" s="12" t="inlineStr">
        <is>
          <t>Programada</t>
        </is>
      </c>
      <c r="M98" s="13" t="n"/>
      <c r="N98" s="14">
        <f>SI(O([@[Fecha_Programada_Inicio]]="";[@[Fecha_Inicio_Real]]="");"";SI([@[Fecha_Inicio_Real]]&lt;=[@[Fecha_Programada_Inicio]];"SÍ";"NO"))</f>
        <v/>
      </c>
      <c r="O98" s="14">
        <f>SI(O([@[Fecha_Programada_Fin]]="";[@[Fecha_Cierre_Operativo]]="");"";SI([@[Fecha_Cierre_Operativo]]&lt;=SI([@[Fecha_Nueva_Programada]]&lt;&gt;"";[@[Fecha_Nueva_Programada]];[@[Fecha_Programada_Fin]]);"SÍ";"NO"))</f>
        <v/>
      </c>
      <c r="P98" s="14">
        <f>SI(O([@[Cumpli_Ingreso]]="";[@[Cumpli_Salida]]="");"";SI(Y([@[Cumpli_Ingreso]]="SÍ";[@[Cumpli_Salida]]="SÍ");"SÍ";"NO"))</f>
        <v/>
      </c>
      <c r="Q98" s="15">
        <f>SI(O([@[Fecha_Programada_Fin]]="";[@[Fecha_Cierre_Operativo]]="");"";MAX(0;ENTERO([@[Fecha_Cierre_Operativo]])-ENTERO(SI([@[Fecha_Nueva_Programada]]&lt;&gt;"";[@[Fecha_Nueva_Programada]];[@[Fecha_Programada_Fin]])))</f>
        <v/>
      </c>
      <c r="R98" s="12" t="n"/>
      <c r="S98" s="12" t="n"/>
      <c r="T98" s="13" t="n"/>
      <c r="U98" s="12" t="n">
        <v>16</v>
      </c>
      <c r="V98" s="12" t="n"/>
      <c r="W9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98" s="14">
        <f>SI([@SBAN]="";"";BUSCARV([@SBAN];Cronograma_Maestro!$A:$M;6;FALSO))</f>
        <v/>
      </c>
    </row>
    <row r="99">
      <c r="A99" s="11" t="inlineStr">
        <is>
          <t>1383</t>
        </is>
      </c>
      <c r="B99" s="12">
        <f>SI([@SBAN]="";"";BUSCARV([@SBAN];Cronograma_Maestro!$A:$M;2;FALSO))</f>
        <v/>
      </c>
      <c r="C99" s="12">
        <f>SI([@SBAN]="";"";BUSCARV([@SBAN];Cronograma_Maestro!$A:$M;3;FALSO))</f>
        <v/>
      </c>
      <c r="D99" s="12">
        <f>SI([@SBAN]="";"";BUSCARV([@SBAN];Cronograma_Maestro!$A:$M;4;FALSO))</f>
        <v/>
      </c>
      <c r="E99" s="12">
        <f>SI([@SBAN]="";"";BUSCARV([@SBAN];Cronograma_Maestro!$A:$M;5;FALSO))</f>
        <v/>
      </c>
      <c r="F99" s="12" t="inlineStr">
        <is>
          <t>Juan Pablo Osorio Ramirez</t>
        </is>
      </c>
      <c r="G99" s="12" t="inlineStr">
        <is>
          <t>PMU COLSOF</t>
        </is>
      </c>
      <c r="H99" s="13" t="n">
        <v>46325</v>
      </c>
      <c r="I99" s="13" t="n">
        <v>46325</v>
      </c>
      <c r="J99" s="13" t="n"/>
      <c r="K99" s="13" t="n"/>
      <c r="L99" s="12" t="inlineStr">
        <is>
          <t>Programada</t>
        </is>
      </c>
      <c r="M99" s="13" t="n"/>
      <c r="N99" s="14">
        <f>SI(O([@[Fecha_Programada_Inicio]]="";[@[Fecha_Inicio_Real]]="");"";SI([@[Fecha_Inicio_Real]]&lt;=[@[Fecha_Programada_Inicio]];"SÍ";"NO"))</f>
        <v/>
      </c>
      <c r="O99" s="14">
        <f>SI(O([@[Fecha_Programada_Fin]]="";[@[Fecha_Cierre_Operativo]]="");"";SI([@[Fecha_Cierre_Operativo]]&lt;=SI([@[Fecha_Nueva_Programada]]&lt;&gt;"";[@[Fecha_Nueva_Programada]];[@[Fecha_Programada_Fin]]);"SÍ";"NO"))</f>
        <v/>
      </c>
      <c r="P99" s="14">
        <f>SI(O([@[Cumpli_Ingreso]]="";[@[Cumpli_Salida]]="");"";SI(Y([@[Cumpli_Ingreso]]="SÍ";[@[Cumpli_Salida]]="SÍ");"SÍ";"NO"))</f>
        <v/>
      </c>
      <c r="Q99" s="15">
        <f>SI(O([@[Fecha_Programada_Fin]]="";[@[Fecha_Cierre_Operativo]]="");"";MAX(0;ENTERO([@[Fecha_Cierre_Operativo]])-ENTERO(SI([@[Fecha_Nueva_Programada]]&lt;&gt;"";[@[Fecha_Nueva_Programada]];[@[Fecha_Programada_Fin]])))</f>
        <v/>
      </c>
      <c r="R99" s="12" t="n"/>
      <c r="S99" s="12" t="n"/>
      <c r="T99" s="13" t="n"/>
      <c r="U99" s="12" t="n">
        <v>26</v>
      </c>
      <c r="V99" s="12" t="n"/>
      <c r="W9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99" s="14">
        <f>SI([@SBAN]="";"";BUSCARV([@SBAN];Cronograma_Maestro!$A:$M;6;FALSO))</f>
        <v/>
      </c>
    </row>
    <row r="100">
      <c r="A100" s="11" t="inlineStr">
        <is>
          <t>1385</t>
        </is>
      </c>
      <c r="B100" s="12">
        <f>SI([@SBAN]="";"";BUSCARV([@SBAN];Cronograma_Maestro!$A:$M;2;FALSO))</f>
        <v/>
      </c>
      <c r="C100" s="12">
        <f>SI([@SBAN]="";"";BUSCARV([@SBAN];Cronograma_Maestro!$A:$M;3;FALSO))</f>
        <v/>
      </c>
      <c r="D100" s="12">
        <f>SI([@SBAN]="";"";BUSCARV([@SBAN];Cronograma_Maestro!$A:$M;4;FALSO))</f>
        <v/>
      </c>
      <c r="E100" s="12">
        <f>SI([@SBAN]="";"";BUSCARV([@SBAN];Cronograma_Maestro!$A:$M;5;FALSO))</f>
        <v/>
      </c>
      <c r="F100" s="12" t="inlineStr">
        <is>
          <t>Andrés Mariano Bustamante Castro</t>
        </is>
      </c>
      <c r="G100" s="12" t="inlineStr">
        <is>
          <t>PMU COLSOF</t>
        </is>
      </c>
      <c r="H100" s="13" t="n">
        <v>46290</v>
      </c>
      <c r="I100" s="13" t="n">
        <v>46290</v>
      </c>
      <c r="J100" s="13" t="n"/>
      <c r="K100" s="13" t="n"/>
      <c r="L100" s="12" t="inlineStr">
        <is>
          <t>Programada</t>
        </is>
      </c>
      <c r="M100" s="13" t="n"/>
      <c r="N100" s="14">
        <f>SI(O([@[Fecha_Programada_Inicio]]="";[@[Fecha_Inicio_Real]]="");"";SI([@[Fecha_Inicio_Real]]&lt;=[@[Fecha_Programada_Inicio]];"SÍ";"NO"))</f>
        <v/>
      </c>
      <c r="O100" s="14">
        <f>SI(O([@[Fecha_Programada_Fin]]="";[@[Fecha_Cierre_Operativo]]="");"";SI([@[Fecha_Cierre_Operativo]]&lt;=SI([@[Fecha_Nueva_Programada]]&lt;&gt;"";[@[Fecha_Nueva_Programada]];[@[Fecha_Programada_Fin]]);"SÍ";"NO"))</f>
        <v/>
      </c>
      <c r="P100" s="14">
        <f>SI(O([@[Cumpli_Ingreso]]="";[@[Cumpli_Salida]]="");"";SI(Y([@[Cumpli_Ingreso]]="SÍ";[@[Cumpli_Salida]]="SÍ");"SÍ";"NO"))</f>
        <v/>
      </c>
      <c r="Q100" s="15">
        <f>SI(O([@[Fecha_Programada_Fin]]="";[@[Fecha_Cierre_Operativo]]="");"";MAX(0;ENTERO([@[Fecha_Cierre_Operativo]])-ENTERO(SI([@[Fecha_Nueva_Programada]]&lt;&gt;"";[@[Fecha_Nueva_Programada]];[@[Fecha_Programada_Fin]])))</f>
        <v/>
      </c>
      <c r="R100" s="12" t="n"/>
      <c r="S100" s="12" t="n"/>
      <c r="T100" s="13" t="n"/>
      <c r="U100" s="12" t="n">
        <v>13</v>
      </c>
      <c r="V100" s="12" t="n"/>
      <c r="W10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00" s="14">
        <f>SI([@SBAN]="";"";BUSCARV([@SBAN];Cronograma_Maestro!$A:$M;6;FALSO))</f>
        <v/>
      </c>
    </row>
    <row r="101">
      <c r="A101" s="11" t="inlineStr">
        <is>
          <t>1386</t>
        </is>
      </c>
      <c r="B101" s="12">
        <f>SI([@SBAN]="";"";BUSCARV([@SBAN];Cronograma_Maestro!$A:$M;2;FALSO))</f>
        <v/>
      </c>
      <c r="C101" s="12">
        <f>SI([@SBAN]="";"";BUSCARV([@SBAN];Cronograma_Maestro!$A:$M;3;FALSO))</f>
        <v/>
      </c>
      <c r="D101" s="12">
        <f>SI([@SBAN]="";"";BUSCARV([@SBAN];Cronograma_Maestro!$A:$M;4;FALSO))</f>
        <v/>
      </c>
      <c r="E101" s="12">
        <f>SI([@SBAN]="";"";BUSCARV([@SBAN];Cronograma_Maestro!$A:$M;5;FALSO))</f>
        <v/>
      </c>
      <c r="F101" s="12" t="inlineStr">
        <is>
          <t>Ever Enrique Esquivel Movilla</t>
        </is>
      </c>
      <c r="G101" s="12" t="inlineStr">
        <is>
          <t>PMU COLSOF</t>
        </is>
      </c>
      <c r="H101" s="13" t="n">
        <v>46287</v>
      </c>
      <c r="I101" s="13" t="n">
        <v>46287</v>
      </c>
      <c r="J101" s="13" t="n"/>
      <c r="K101" s="13" t="n"/>
      <c r="L101" s="12" t="inlineStr">
        <is>
          <t>Programada</t>
        </is>
      </c>
      <c r="M101" s="13" t="n"/>
      <c r="N101" s="14">
        <f>SI(O([@[Fecha_Programada_Inicio]]="";[@[Fecha_Inicio_Real]]="");"";SI([@[Fecha_Inicio_Real]]&lt;=[@[Fecha_Programada_Inicio]];"SÍ";"NO"))</f>
        <v/>
      </c>
      <c r="O101" s="14">
        <f>SI(O([@[Fecha_Programada_Fin]]="";[@[Fecha_Cierre_Operativo]]="");"";SI([@[Fecha_Cierre_Operativo]]&lt;=SI([@[Fecha_Nueva_Programada]]&lt;&gt;"";[@[Fecha_Nueva_Programada]];[@[Fecha_Programada_Fin]]);"SÍ";"NO"))</f>
        <v/>
      </c>
      <c r="P101" s="14">
        <f>SI(O([@[Cumpli_Ingreso]]="";[@[Cumpli_Salida]]="");"";SI(Y([@[Cumpli_Ingreso]]="SÍ";[@[Cumpli_Salida]]="SÍ");"SÍ";"NO"))</f>
        <v/>
      </c>
      <c r="Q101" s="15">
        <f>SI(O([@[Fecha_Programada_Fin]]="";[@[Fecha_Cierre_Operativo]]="");"";MAX(0;ENTERO([@[Fecha_Cierre_Operativo]])-ENTERO(SI([@[Fecha_Nueva_Programada]]&lt;&gt;"";[@[Fecha_Nueva_Programada]];[@[Fecha_Programada_Fin]])))</f>
        <v/>
      </c>
      <c r="R101" s="12" t="n"/>
      <c r="S101" s="12" t="n"/>
      <c r="T101" s="13" t="n"/>
      <c r="U101" s="12" t="n">
        <v>16</v>
      </c>
      <c r="V101" s="12" t="n"/>
      <c r="W10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01" s="14">
        <f>SI([@SBAN]="";"";BUSCARV([@SBAN];Cronograma_Maestro!$A:$M;6;FALSO))</f>
        <v/>
      </c>
    </row>
    <row r="102">
      <c r="A102" s="11" t="inlineStr">
        <is>
          <t>1387</t>
        </is>
      </c>
      <c r="B102" s="12">
        <f>SI([@SBAN]="";"";BUSCARV([@SBAN];Cronograma_Maestro!$A:$M;2;FALSO))</f>
        <v/>
      </c>
      <c r="C102" s="12">
        <f>SI([@SBAN]="";"";BUSCARV([@SBAN];Cronograma_Maestro!$A:$M;3;FALSO))</f>
        <v/>
      </c>
      <c r="D102" s="12">
        <f>SI([@SBAN]="";"";BUSCARV([@SBAN];Cronograma_Maestro!$A:$M;4;FALSO))</f>
        <v/>
      </c>
      <c r="E102" s="12">
        <f>SI([@SBAN]="";"";BUSCARV([@SBAN];Cronograma_Maestro!$A:$M;5;FALSO))</f>
        <v/>
      </c>
      <c r="F102" s="12" t="inlineStr">
        <is>
          <t>Andrés Mariano Bustamante Castro</t>
        </is>
      </c>
      <c r="G102" s="12" t="inlineStr">
        <is>
          <t>PMU COLSOF</t>
        </is>
      </c>
      <c r="H102" s="13" t="n">
        <v>46293</v>
      </c>
      <c r="I102" s="13" t="n">
        <v>46293</v>
      </c>
      <c r="J102" s="13" t="n"/>
      <c r="K102" s="13" t="n"/>
      <c r="L102" s="12" t="inlineStr">
        <is>
          <t>Programada</t>
        </is>
      </c>
      <c r="M102" s="13" t="n"/>
      <c r="N102" s="14">
        <f>SI(O([@[Fecha_Programada_Inicio]]="";[@[Fecha_Inicio_Real]]="");"";SI([@[Fecha_Inicio_Real]]&lt;=[@[Fecha_Programada_Inicio]];"SÍ";"NO"))</f>
        <v/>
      </c>
      <c r="O102" s="14">
        <f>SI(O([@[Fecha_Programada_Fin]]="";[@[Fecha_Cierre_Operativo]]="");"";SI([@[Fecha_Cierre_Operativo]]&lt;=SI([@[Fecha_Nueva_Programada]]&lt;&gt;"";[@[Fecha_Nueva_Programada]];[@[Fecha_Programada_Fin]]);"SÍ";"NO"))</f>
        <v/>
      </c>
      <c r="P102" s="14">
        <f>SI(O([@[Cumpli_Ingreso]]="";[@[Cumpli_Salida]]="");"";SI(Y([@[Cumpli_Ingreso]]="SÍ";[@[Cumpli_Salida]]="SÍ");"SÍ";"NO"))</f>
        <v/>
      </c>
      <c r="Q102" s="15">
        <f>SI(O([@[Fecha_Programada_Fin]]="";[@[Fecha_Cierre_Operativo]]="");"";MAX(0;ENTERO([@[Fecha_Cierre_Operativo]])-ENTERO(SI([@[Fecha_Nueva_Programada]]&lt;&gt;"";[@[Fecha_Nueva_Programada]];[@[Fecha_Programada_Fin]])))</f>
        <v/>
      </c>
      <c r="R102" s="12" t="n"/>
      <c r="S102" s="12" t="n"/>
      <c r="T102" s="13" t="n"/>
      <c r="U102" s="12" t="n">
        <v>17</v>
      </c>
      <c r="V102" s="12" t="n"/>
      <c r="W10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02" s="14">
        <f>SI([@SBAN]="";"";BUSCARV([@SBAN];Cronograma_Maestro!$A:$M;6;FALSO))</f>
        <v/>
      </c>
    </row>
    <row r="103">
      <c r="A103" s="11" t="inlineStr">
        <is>
          <t>1388</t>
        </is>
      </c>
      <c r="B103" s="12">
        <f>SI([@SBAN]="";"";BUSCARV([@SBAN];Cronograma_Maestro!$A:$M;2;FALSO))</f>
        <v/>
      </c>
      <c r="C103" s="12">
        <f>SI([@SBAN]="";"";BUSCARV([@SBAN];Cronograma_Maestro!$A:$M;3;FALSO))</f>
        <v/>
      </c>
      <c r="D103" s="12">
        <f>SI([@SBAN]="";"";BUSCARV([@SBAN];Cronograma_Maestro!$A:$M;4;FALSO))</f>
        <v/>
      </c>
      <c r="E103" s="12">
        <f>SI([@SBAN]="";"";BUSCARV([@SBAN];Cronograma_Maestro!$A:$M;5;FALSO))</f>
        <v/>
      </c>
      <c r="F103" s="12" t="inlineStr">
        <is>
          <t>Juan Pablo Osorio Ramirez</t>
        </is>
      </c>
      <c r="G103" s="12" t="inlineStr">
        <is>
          <t>PMU COLSOF</t>
        </is>
      </c>
      <c r="H103" s="13" t="n">
        <v>46302</v>
      </c>
      <c r="I103" s="13" t="n">
        <v>46302</v>
      </c>
      <c r="J103" s="13" t="n"/>
      <c r="K103" s="13" t="n"/>
      <c r="L103" s="12" t="inlineStr">
        <is>
          <t>Programada</t>
        </is>
      </c>
      <c r="M103" s="13" t="n"/>
      <c r="N103" s="14">
        <f>SI(O([@[Fecha_Programada_Inicio]]="";[@[Fecha_Inicio_Real]]="");"";SI([@[Fecha_Inicio_Real]]&lt;=[@[Fecha_Programada_Inicio]];"SÍ";"NO"))</f>
        <v/>
      </c>
      <c r="O103" s="14">
        <f>SI(O([@[Fecha_Programada_Fin]]="";[@[Fecha_Cierre_Operativo]]="");"";SI([@[Fecha_Cierre_Operativo]]&lt;=SI([@[Fecha_Nueva_Programada]]&lt;&gt;"";[@[Fecha_Nueva_Programada]];[@[Fecha_Programada_Fin]]);"SÍ";"NO"))</f>
        <v/>
      </c>
      <c r="P103" s="14">
        <f>SI(O([@[Cumpli_Ingreso]]="";[@[Cumpli_Salida]]="");"";SI(Y([@[Cumpli_Ingreso]]="SÍ";[@[Cumpli_Salida]]="SÍ");"SÍ";"NO"))</f>
        <v/>
      </c>
      <c r="Q103" s="15">
        <f>SI(O([@[Fecha_Programada_Fin]]="";[@[Fecha_Cierre_Operativo]]="");"";MAX(0;ENTERO([@[Fecha_Cierre_Operativo]])-ENTERO(SI([@[Fecha_Nueva_Programada]]&lt;&gt;"";[@[Fecha_Nueva_Programada]];[@[Fecha_Programada_Fin]])))</f>
        <v/>
      </c>
      <c r="R103" s="12" t="n"/>
      <c r="S103" s="12" t="n"/>
      <c r="T103" s="13" t="n"/>
      <c r="U103" s="12" t="n">
        <v>19</v>
      </c>
      <c r="V103" s="12" t="n"/>
      <c r="W10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03" s="14">
        <f>SI([@SBAN]="";"";BUSCARV([@SBAN];Cronograma_Maestro!$A:$M;6;FALSO))</f>
        <v/>
      </c>
    </row>
    <row r="104">
      <c r="A104" s="11" t="inlineStr">
        <is>
          <t>1389</t>
        </is>
      </c>
      <c r="B104" s="12">
        <f>SI([@SBAN]="";"";BUSCARV([@SBAN];Cronograma_Maestro!$A:$M;2;FALSO))</f>
        <v/>
      </c>
      <c r="C104" s="12">
        <f>SI([@SBAN]="";"";BUSCARV([@SBAN];Cronograma_Maestro!$A:$M;3;FALSO))</f>
        <v/>
      </c>
      <c r="D104" s="12">
        <f>SI([@SBAN]="";"";BUSCARV([@SBAN];Cronograma_Maestro!$A:$M;4;FALSO))</f>
        <v/>
      </c>
      <c r="E104" s="12">
        <f>SI([@SBAN]="";"";BUSCARV([@SBAN];Cronograma_Maestro!$A:$M;5;FALSO))</f>
        <v/>
      </c>
      <c r="F104" s="12" t="inlineStr">
        <is>
          <t>Ever Enrique Esquivel Movilla</t>
        </is>
      </c>
      <c r="G104" s="12" t="inlineStr">
        <is>
          <t>PMU COLSOF</t>
        </is>
      </c>
      <c r="H104" s="13" t="n">
        <v>46281</v>
      </c>
      <c r="I104" s="13" t="n">
        <v>46282</v>
      </c>
      <c r="J104" s="13" t="n"/>
      <c r="K104" s="13" t="n"/>
      <c r="L104" s="12" t="inlineStr">
        <is>
          <t>Programada</t>
        </is>
      </c>
      <c r="M104" s="13" t="n"/>
      <c r="N104" s="14">
        <f>SI(O([@[Fecha_Programada_Inicio]]="";[@[Fecha_Inicio_Real]]="");"";SI([@[Fecha_Inicio_Real]]&lt;=[@[Fecha_Programada_Inicio]];"SÍ";"NO"))</f>
        <v/>
      </c>
      <c r="O104" s="14">
        <f>SI(O([@[Fecha_Programada_Fin]]="";[@[Fecha_Cierre_Operativo]]="");"";SI([@[Fecha_Cierre_Operativo]]&lt;=SI([@[Fecha_Nueva_Programada]]&lt;&gt;"";[@[Fecha_Nueva_Programada]];[@[Fecha_Programada_Fin]]);"SÍ";"NO"))</f>
        <v/>
      </c>
      <c r="P104" s="14">
        <f>SI(O([@[Cumpli_Ingreso]]="";[@[Cumpli_Salida]]="");"";SI(Y([@[Cumpli_Ingreso]]="SÍ";[@[Cumpli_Salida]]="SÍ");"SÍ";"NO"))</f>
        <v/>
      </c>
      <c r="Q104" s="15">
        <f>SI(O([@[Fecha_Programada_Fin]]="";[@[Fecha_Cierre_Operativo]]="");"";MAX(0;ENTERO([@[Fecha_Cierre_Operativo]])-ENTERO(SI([@[Fecha_Nueva_Programada]]&lt;&gt;"";[@[Fecha_Nueva_Programada]];[@[Fecha_Programada_Fin]])))</f>
        <v/>
      </c>
      <c r="R104" s="12" t="n"/>
      <c r="S104" s="12" t="n"/>
      <c r="T104" s="13" t="n"/>
      <c r="U104" s="12" t="n">
        <v>31</v>
      </c>
      <c r="V104" s="12" t="n"/>
      <c r="W10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04" s="14">
        <f>SI([@SBAN]="";"";BUSCARV([@SBAN];Cronograma_Maestro!$A:$M;6;FALSO))</f>
        <v/>
      </c>
    </row>
    <row r="105">
      <c r="A105" s="11" t="inlineStr">
        <is>
          <t>1390</t>
        </is>
      </c>
      <c r="B105" s="12">
        <f>SI([@SBAN]="";"";BUSCARV([@SBAN];Cronograma_Maestro!$A:$M;2;FALSO))</f>
        <v/>
      </c>
      <c r="C105" s="12">
        <f>SI([@SBAN]="";"";BUSCARV([@SBAN];Cronograma_Maestro!$A:$M;3;FALSO))</f>
        <v/>
      </c>
      <c r="D105" s="12">
        <f>SI([@SBAN]="";"";BUSCARV([@SBAN];Cronograma_Maestro!$A:$M;4;FALSO))</f>
        <v/>
      </c>
      <c r="E105" s="12">
        <f>SI([@SBAN]="";"";BUSCARV([@SBAN];Cronograma_Maestro!$A:$M;5;FALSO))</f>
        <v/>
      </c>
      <c r="F105" s="12" t="inlineStr">
        <is>
          <t>Juan Pablo Osorio Ramirez</t>
        </is>
      </c>
      <c r="G105" s="12" t="inlineStr">
        <is>
          <t>PMU COLSOF</t>
        </is>
      </c>
      <c r="H105" s="13" t="n">
        <v>46303</v>
      </c>
      <c r="I105" s="13" t="n">
        <v>46303</v>
      </c>
      <c r="J105" s="13" t="n"/>
      <c r="K105" s="13" t="n"/>
      <c r="L105" s="12" t="inlineStr">
        <is>
          <t>Programada</t>
        </is>
      </c>
      <c r="M105" s="13" t="n"/>
      <c r="N105" s="14">
        <f>SI(O([@[Fecha_Programada_Inicio]]="";[@[Fecha_Inicio_Real]]="");"";SI([@[Fecha_Inicio_Real]]&lt;=[@[Fecha_Programada_Inicio]];"SÍ";"NO"))</f>
        <v/>
      </c>
      <c r="O105" s="14">
        <f>SI(O([@[Fecha_Programada_Fin]]="";[@[Fecha_Cierre_Operativo]]="");"";SI([@[Fecha_Cierre_Operativo]]&lt;=SI([@[Fecha_Nueva_Programada]]&lt;&gt;"";[@[Fecha_Nueva_Programada]];[@[Fecha_Programada_Fin]]);"SÍ";"NO"))</f>
        <v/>
      </c>
      <c r="P105" s="14">
        <f>SI(O([@[Cumpli_Ingreso]]="";[@[Cumpli_Salida]]="");"";SI(Y([@[Cumpli_Ingreso]]="SÍ";[@[Cumpli_Salida]]="SÍ");"SÍ";"NO"))</f>
        <v/>
      </c>
      <c r="Q105" s="15">
        <f>SI(O([@[Fecha_Programada_Fin]]="";[@[Fecha_Cierre_Operativo]]="");"";MAX(0;ENTERO([@[Fecha_Cierre_Operativo]])-ENTERO(SI([@[Fecha_Nueva_Programada]]&lt;&gt;"";[@[Fecha_Nueva_Programada]];[@[Fecha_Programada_Fin]])))</f>
        <v/>
      </c>
      <c r="R105" s="12" t="n"/>
      <c r="S105" s="12" t="n"/>
      <c r="T105" s="13" t="n"/>
      <c r="U105" s="12" t="n">
        <v>20</v>
      </c>
      <c r="V105" s="12" t="n"/>
      <c r="W10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05" s="14">
        <f>SI([@SBAN]="";"";BUSCARV([@SBAN];Cronograma_Maestro!$A:$M;6;FALSO))</f>
        <v/>
      </c>
    </row>
    <row r="106">
      <c r="A106" s="11" t="inlineStr">
        <is>
          <t>1391</t>
        </is>
      </c>
      <c r="B106" s="12">
        <f>SI([@SBAN]="";"";BUSCARV([@SBAN];Cronograma_Maestro!$A:$M;2;FALSO))</f>
        <v/>
      </c>
      <c r="C106" s="12">
        <f>SI([@SBAN]="";"";BUSCARV([@SBAN];Cronograma_Maestro!$A:$M;3;FALSO))</f>
        <v/>
      </c>
      <c r="D106" s="12">
        <f>SI([@SBAN]="";"";BUSCARV([@SBAN];Cronograma_Maestro!$A:$M;4;FALSO))</f>
        <v/>
      </c>
      <c r="E106" s="12">
        <f>SI([@SBAN]="";"";BUSCARV([@SBAN];Cronograma_Maestro!$A:$M;5;FALSO))</f>
        <v/>
      </c>
      <c r="F106" s="12" t="inlineStr">
        <is>
          <t>Ever Enrique Esquivel Movilla</t>
        </is>
      </c>
      <c r="G106" s="12" t="inlineStr">
        <is>
          <t>PMU COLSOF</t>
        </is>
      </c>
      <c r="H106" s="13" t="n">
        <v>46300</v>
      </c>
      <c r="I106" s="13" t="n">
        <v>46300</v>
      </c>
      <c r="J106" s="13" t="n"/>
      <c r="K106" s="13" t="n"/>
      <c r="L106" s="12" t="inlineStr">
        <is>
          <t>Programada</t>
        </is>
      </c>
      <c r="M106" s="13" t="n"/>
      <c r="N106" s="14">
        <f>SI(O([@[Fecha_Programada_Inicio]]="";[@[Fecha_Inicio_Real]]="");"";SI([@[Fecha_Inicio_Real]]&lt;=[@[Fecha_Programada_Inicio]];"SÍ";"NO"))</f>
        <v/>
      </c>
      <c r="O106" s="14">
        <f>SI(O([@[Fecha_Programada_Fin]]="";[@[Fecha_Cierre_Operativo]]="");"";SI([@[Fecha_Cierre_Operativo]]&lt;=SI([@[Fecha_Nueva_Programada]]&lt;&gt;"";[@[Fecha_Nueva_Programada]];[@[Fecha_Programada_Fin]]);"SÍ";"NO"))</f>
        <v/>
      </c>
      <c r="P106" s="14">
        <f>SI(O([@[Cumpli_Ingreso]]="";[@[Cumpli_Salida]]="");"";SI(Y([@[Cumpli_Ingreso]]="SÍ";[@[Cumpli_Salida]]="SÍ");"SÍ";"NO"))</f>
        <v/>
      </c>
      <c r="Q106" s="15">
        <f>SI(O([@[Fecha_Programada_Fin]]="";[@[Fecha_Cierre_Operativo]]="");"";MAX(0;ENTERO([@[Fecha_Cierre_Operativo]])-ENTERO(SI([@[Fecha_Nueva_Programada]]&lt;&gt;"";[@[Fecha_Nueva_Programada]];[@[Fecha_Programada_Fin]])))</f>
        <v/>
      </c>
      <c r="R106" s="12" t="n"/>
      <c r="S106" s="12" t="n"/>
      <c r="T106" s="13" t="n"/>
      <c r="U106" s="12" t="n">
        <v>18</v>
      </c>
      <c r="V106" s="12" t="n"/>
      <c r="W10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06" s="14">
        <f>SI([@SBAN]="";"";BUSCARV([@SBAN];Cronograma_Maestro!$A:$M;6;FALSO))</f>
        <v/>
      </c>
    </row>
    <row r="107">
      <c r="A107" s="11" t="inlineStr">
        <is>
          <t>1392</t>
        </is>
      </c>
      <c r="B107" s="12">
        <f>SI([@SBAN]="";"";BUSCARV([@SBAN];Cronograma_Maestro!$A:$M;2;FALSO))</f>
        <v/>
      </c>
      <c r="C107" s="12">
        <f>SI([@SBAN]="";"";BUSCARV([@SBAN];Cronograma_Maestro!$A:$M;3;FALSO))</f>
        <v/>
      </c>
      <c r="D107" s="12">
        <f>SI([@SBAN]="";"";BUSCARV([@SBAN];Cronograma_Maestro!$A:$M;4;FALSO))</f>
        <v/>
      </c>
      <c r="E107" s="12">
        <f>SI([@SBAN]="";"";BUSCARV([@SBAN];Cronograma_Maestro!$A:$M;5;FALSO))</f>
        <v/>
      </c>
      <c r="F107" s="12" t="inlineStr">
        <is>
          <t>Juan Pablo Osorio Ramirez</t>
        </is>
      </c>
      <c r="G107" s="12" t="inlineStr">
        <is>
          <t>PMU COLSOF</t>
        </is>
      </c>
      <c r="H107" s="13" t="n">
        <v>46316</v>
      </c>
      <c r="I107" s="13" t="n">
        <v>46316</v>
      </c>
      <c r="J107" s="13" t="n"/>
      <c r="K107" s="13" t="n"/>
      <c r="L107" s="12" t="inlineStr">
        <is>
          <t>Programada</t>
        </is>
      </c>
      <c r="M107" s="13" t="n"/>
      <c r="N107" s="14">
        <f>SI(O([@[Fecha_Programada_Inicio]]="";[@[Fecha_Inicio_Real]]="");"";SI([@[Fecha_Inicio_Real]]&lt;=[@[Fecha_Programada_Inicio]];"SÍ";"NO"))</f>
        <v/>
      </c>
      <c r="O107" s="14">
        <f>SI(O([@[Fecha_Programada_Fin]]="";[@[Fecha_Cierre_Operativo]]="");"";SI([@[Fecha_Cierre_Operativo]]&lt;=SI([@[Fecha_Nueva_Programada]]&lt;&gt;"";[@[Fecha_Nueva_Programada]];[@[Fecha_Programada_Fin]]);"SÍ";"NO"))</f>
        <v/>
      </c>
      <c r="P107" s="14">
        <f>SI(O([@[Cumpli_Ingreso]]="";[@[Cumpli_Salida]]="");"";SI(Y([@[Cumpli_Ingreso]]="SÍ";[@[Cumpli_Salida]]="SÍ");"SÍ";"NO"))</f>
        <v/>
      </c>
      <c r="Q107" s="15">
        <f>SI(O([@[Fecha_Programada_Fin]]="";[@[Fecha_Cierre_Operativo]]="");"";MAX(0;ENTERO([@[Fecha_Cierre_Operativo]])-ENTERO(SI([@[Fecha_Nueva_Programada]]&lt;&gt;"";[@[Fecha_Nueva_Programada]];[@[Fecha_Programada_Fin]])))</f>
        <v/>
      </c>
      <c r="R107" s="12" t="n"/>
      <c r="S107" s="12" t="n"/>
      <c r="T107" s="13" t="n"/>
      <c r="U107" s="12" t="n">
        <v>13</v>
      </c>
      <c r="V107" s="12" t="n"/>
      <c r="W10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07" s="14">
        <f>SI([@SBAN]="";"";BUSCARV([@SBAN];Cronograma_Maestro!$A:$M;6;FALSO))</f>
        <v/>
      </c>
    </row>
    <row r="108">
      <c r="A108" s="11" t="inlineStr">
        <is>
          <t>1393</t>
        </is>
      </c>
      <c r="B108" s="12">
        <f>SI([@SBAN]="";"";BUSCARV([@SBAN];Cronograma_Maestro!$A:$M;2;FALSO))</f>
        <v/>
      </c>
      <c r="C108" s="12">
        <f>SI([@SBAN]="";"";BUSCARV([@SBAN];Cronograma_Maestro!$A:$M;3;FALSO))</f>
        <v/>
      </c>
      <c r="D108" s="12">
        <f>SI([@SBAN]="";"";BUSCARV([@SBAN];Cronograma_Maestro!$A:$M;4;FALSO))</f>
        <v/>
      </c>
      <c r="E108" s="12">
        <f>SI([@SBAN]="";"";BUSCARV([@SBAN];Cronograma_Maestro!$A:$M;5;FALSO))</f>
        <v/>
      </c>
      <c r="F108" s="12" t="inlineStr">
        <is>
          <t>Juan Pablo Osorio Ramirez</t>
        </is>
      </c>
      <c r="G108" s="12" t="inlineStr">
        <is>
          <t>PMU COLSOF</t>
        </is>
      </c>
      <c r="H108" s="13" t="n">
        <v>46280</v>
      </c>
      <c r="I108" s="13" t="n">
        <v>46280</v>
      </c>
      <c r="J108" s="13" t="n"/>
      <c r="K108" s="13" t="n"/>
      <c r="L108" s="12" t="inlineStr">
        <is>
          <t>Programada</t>
        </is>
      </c>
      <c r="M108" s="13" t="n"/>
      <c r="N108" s="14">
        <f>SI(O([@[Fecha_Programada_Inicio]]="";[@[Fecha_Inicio_Real]]="");"";SI([@[Fecha_Inicio_Real]]&lt;=[@[Fecha_Programada_Inicio]];"SÍ";"NO"))</f>
        <v/>
      </c>
      <c r="O108" s="14">
        <f>SI(O([@[Fecha_Programada_Fin]]="";[@[Fecha_Cierre_Operativo]]="");"";SI([@[Fecha_Cierre_Operativo]]&lt;=SI([@[Fecha_Nueva_Programada]]&lt;&gt;"";[@[Fecha_Nueva_Programada]];[@[Fecha_Programada_Fin]]);"SÍ";"NO"))</f>
        <v/>
      </c>
      <c r="P108" s="14">
        <f>SI(O([@[Cumpli_Ingreso]]="";[@[Cumpli_Salida]]="");"";SI(Y([@[Cumpli_Ingreso]]="SÍ";[@[Cumpli_Salida]]="SÍ");"SÍ";"NO"))</f>
        <v/>
      </c>
      <c r="Q108" s="15">
        <f>SI(O([@[Fecha_Programada_Fin]]="";[@[Fecha_Cierre_Operativo]]="");"";MAX(0;ENTERO([@[Fecha_Cierre_Operativo]])-ENTERO(SI([@[Fecha_Nueva_Programada]]&lt;&gt;"";[@[Fecha_Nueva_Programada]];[@[Fecha_Programada_Fin]])))</f>
        <v/>
      </c>
      <c r="R108" s="12" t="n"/>
      <c r="S108" s="12" t="n"/>
      <c r="T108" s="13" t="n"/>
      <c r="U108" s="12" t="n">
        <v>13</v>
      </c>
      <c r="V108" s="12" t="n"/>
      <c r="W10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08" s="14">
        <f>SI([@SBAN]="";"";BUSCARV([@SBAN];Cronograma_Maestro!$A:$M;6;FALSO))</f>
        <v/>
      </c>
    </row>
    <row r="109">
      <c r="A109" s="11" t="inlineStr">
        <is>
          <t>1394</t>
        </is>
      </c>
      <c r="B109" s="12">
        <f>SI([@SBAN]="";"";BUSCARV([@SBAN];Cronograma_Maestro!$A:$M;2;FALSO))</f>
        <v/>
      </c>
      <c r="C109" s="12">
        <f>SI([@SBAN]="";"";BUSCARV([@SBAN];Cronograma_Maestro!$A:$M;3;FALSO))</f>
        <v/>
      </c>
      <c r="D109" s="12">
        <f>SI([@SBAN]="";"";BUSCARV([@SBAN];Cronograma_Maestro!$A:$M;4;FALSO))</f>
        <v/>
      </c>
      <c r="E109" s="12">
        <f>SI([@SBAN]="";"";BUSCARV([@SBAN];Cronograma_Maestro!$A:$M;5;FALSO))</f>
        <v/>
      </c>
      <c r="F109" s="12" t="inlineStr">
        <is>
          <t>Andrés Mariano Bustamante Castro</t>
        </is>
      </c>
      <c r="G109" s="12" t="inlineStr">
        <is>
          <t>PMU COLSOF</t>
        </is>
      </c>
      <c r="H109" s="13" t="n">
        <v>46315</v>
      </c>
      <c r="I109" s="13" t="n">
        <v>46316</v>
      </c>
      <c r="J109" s="13" t="n"/>
      <c r="K109" s="13" t="n"/>
      <c r="L109" s="12" t="inlineStr">
        <is>
          <t>Programada</t>
        </is>
      </c>
      <c r="M109" s="13" t="n"/>
      <c r="N109" s="14">
        <f>SI(O([@[Fecha_Programada_Inicio]]="";[@[Fecha_Inicio_Real]]="");"";SI([@[Fecha_Inicio_Real]]&lt;=[@[Fecha_Programada_Inicio]];"SÍ";"NO"))</f>
        <v/>
      </c>
      <c r="O109" s="14">
        <f>SI(O([@[Fecha_Programada_Fin]]="";[@[Fecha_Cierre_Operativo]]="");"";SI([@[Fecha_Cierre_Operativo]]&lt;=SI([@[Fecha_Nueva_Programada]]&lt;&gt;"";[@[Fecha_Nueva_Programada]];[@[Fecha_Programada_Fin]]);"SÍ";"NO"))</f>
        <v/>
      </c>
      <c r="P109" s="14">
        <f>SI(O([@[Cumpli_Ingreso]]="";[@[Cumpli_Salida]]="");"";SI(Y([@[Cumpli_Ingreso]]="SÍ";[@[Cumpli_Salida]]="SÍ");"SÍ";"NO"))</f>
        <v/>
      </c>
      <c r="Q109" s="15">
        <f>SI(O([@[Fecha_Programada_Fin]]="";[@[Fecha_Cierre_Operativo]]="");"";MAX(0;ENTERO([@[Fecha_Cierre_Operativo]])-ENTERO(SI([@[Fecha_Nueva_Programada]]&lt;&gt;"";[@[Fecha_Nueva_Programada]];[@[Fecha_Programada_Fin]])))</f>
        <v/>
      </c>
      <c r="R109" s="12" t="n"/>
      <c r="S109" s="12" t="n"/>
      <c r="T109" s="13" t="n"/>
      <c r="U109" s="12" t="n">
        <v>14</v>
      </c>
      <c r="V109" s="12" t="n"/>
      <c r="W10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09" s="14">
        <f>SI([@SBAN]="";"";BUSCARV([@SBAN];Cronograma_Maestro!$A:$M;6;FALSO))</f>
        <v/>
      </c>
    </row>
    <row r="110">
      <c r="A110" s="11" t="inlineStr">
        <is>
          <t>1395</t>
        </is>
      </c>
      <c r="B110" s="12">
        <f>SI([@SBAN]="";"";BUSCARV([@SBAN];Cronograma_Maestro!$A:$M;2;FALSO))</f>
        <v/>
      </c>
      <c r="C110" s="12">
        <f>SI([@SBAN]="";"";BUSCARV([@SBAN];Cronograma_Maestro!$A:$M;3;FALSO))</f>
        <v/>
      </c>
      <c r="D110" s="12">
        <f>SI([@SBAN]="";"";BUSCARV([@SBAN];Cronograma_Maestro!$A:$M;4;FALSO))</f>
        <v/>
      </c>
      <c r="E110" s="12">
        <f>SI([@SBAN]="";"";BUSCARV([@SBAN];Cronograma_Maestro!$A:$M;5;FALSO))</f>
        <v/>
      </c>
      <c r="F110" s="12" t="inlineStr">
        <is>
          <t>Juan Pablo Osorio Ramirez</t>
        </is>
      </c>
      <c r="G110" s="12" t="inlineStr">
        <is>
          <t>PMU COLSOF</t>
        </is>
      </c>
      <c r="H110" s="13" t="n">
        <v>46274</v>
      </c>
      <c r="I110" s="13" t="n">
        <v>46274</v>
      </c>
      <c r="J110" s="13" t="n"/>
      <c r="K110" s="13" t="n"/>
      <c r="L110" s="12" t="inlineStr">
        <is>
          <t>Programada</t>
        </is>
      </c>
      <c r="M110" s="13" t="n"/>
      <c r="N110" s="14">
        <f>SI(O([@[Fecha_Programada_Inicio]]="";[@[Fecha_Inicio_Real]]="");"";SI([@[Fecha_Inicio_Real]]&lt;=[@[Fecha_Programada_Inicio]];"SÍ";"NO"))</f>
        <v/>
      </c>
      <c r="O110" s="14">
        <f>SI(O([@[Fecha_Programada_Fin]]="";[@[Fecha_Cierre_Operativo]]="");"";SI([@[Fecha_Cierre_Operativo]]&lt;=SI([@[Fecha_Nueva_Programada]]&lt;&gt;"";[@[Fecha_Nueva_Programada]];[@[Fecha_Programada_Fin]]);"SÍ";"NO"))</f>
        <v/>
      </c>
      <c r="P110" s="14">
        <f>SI(O([@[Cumpli_Ingreso]]="";[@[Cumpli_Salida]]="");"";SI(Y([@[Cumpli_Ingreso]]="SÍ";[@[Cumpli_Salida]]="SÍ");"SÍ";"NO"))</f>
        <v/>
      </c>
      <c r="Q110" s="15">
        <f>SI(O([@[Fecha_Programada_Fin]]="";[@[Fecha_Cierre_Operativo]]="");"";MAX(0;ENTERO([@[Fecha_Cierre_Operativo]])-ENTERO(SI([@[Fecha_Nueva_Programada]]&lt;&gt;"";[@[Fecha_Nueva_Programada]];[@[Fecha_Programada_Fin]])))</f>
        <v/>
      </c>
      <c r="R110" s="12" t="n"/>
      <c r="S110" s="12" t="n"/>
      <c r="T110" s="13" t="n"/>
      <c r="U110" s="12" t="n">
        <v>17</v>
      </c>
      <c r="V110" s="12" t="n"/>
      <c r="W11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10" s="14">
        <f>SI([@SBAN]="";"";BUSCARV([@SBAN];Cronograma_Maestro!$A:$M;6;FALSO))</f>
        <v/>
      </c>
    </row>
    <row r="111">
      <c r="A111" s="11" t="inlineStr">
        <is>
          <t>1396</t>
        </is>
      </c>
      <c r="B111" s="12">
        <f>SI([@SBAN]="";"";BUSCARV([@SBAN];Cronograma_Maestro!$A:$M;2;FALSO))</f>
        <v/>
      </c>
      <c r="C111" s="12">
        <f>SI([@SBAN]="";"";BUSCARV([@SBAN];Cronograma_Maestro!$A:$M;3;FALSO))</f>
        <v/>
      </c>
      <c r="D111" s="12">
        <f>SI([@SBAN]="";"";BUSCARV([@SBAN];Cronograma_Maestro!$A:$M;4;FALSO))</f>
        <v/>
      </c>
      <c r="E111" s="12">
        <f>SI([@SBAN]="";"";BUSCARV([@SBAN];Cronograma_Maestro!$A:$M;5;FALSO))</f>
        <v/>
      </c>
      <c r="F111" s="12" t="inlineStr">
        <is>
          <t>Juan Pablo Osorio Ramirez</t>
        </is>
      </c>
      <c r="G111" s="12" t="inlineStr">
        <is>
          <t>PMU COLSOF</t>
        </is>
      </c>
      <c r="H111" s="13" t="n">
        <v>46324</v>
      </c>
      <c r="I111" s="13" t="n">
        <v>46324</v>
      </c>
      <c r="J111" s="13" t="n"/>
      <c r="K111" s="13" t="n"/>
      <c r="L111" s="12" t="inlineStr">
        <is>
          <t>Programada</t>
        </is>
      </c>
      <c r="M111" s="13" t="n"/>
      <c r="N111" s="14">
        <f>SI(O([@[Fecha_Programada_Inicio]]="";[@[Fecha_Inicio_Real]]="");"";SI([@[Fecha_Inicio_Real]]&lt;=[@[Fecha_Programada_Inicio]];"SÍ";"NO"))</f>
        <v/>
      </c>
      <c r="O111" s="14">
        <f>SI(O([@[Fecha_Programada_Fin]]="";[@[Fecha_Cierre_Operativo]]="");"";SI([@[Fecha_Cierre_Operativo]]&lt;=SI([@[Fecha_Nueva_Programada]]&lt;&gt;"";[@[Fecha_Nueva_Programada]];[@[Fecha_Programada_Fin]]);"SÍ";"NO"))</f>
        <v/>
      </c>
      <c r="P111" s="14">
        <f>SI(O([@[Cumpli_Ingreso]]="";[@[Cumpli_Salida]]="");"";SI(Y([@[Cumpli_Ingreso]]="SÍ";[@[Cumpli_Salida]]="SÍ");"SÍ";"NO"))</f>
        <v/>
      </c>
      <c r="Q111" s="15">
        <f>SI(O([@[Fecha_Programada_Fin]]="";[@[Fecha_Cierre_Operativo]]="");"";MAX(0;ENTERO([@[Fecha_Cierre_Operativo]])-ENTERO(SI([@[Fecha_Nueva_Programada]]&lt;&gt;"";[@[Fecha_Nueva_Programada]];[@[Fecha_Programada_Fin]])))</f>
        <v/>
      </c>
      <c r="R111" s="12" t="n"/>
      <c r="S111" s="12" t="n"/>
      <c r="T111" s="13" t="n"/>
      <c r="U111" s="12" t="n">
        <v>16</v>
      </c>
      <c r="V111" s="12" t="n"/>
      <c r="W11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11" s="14">
        <f>SI([@SBAN]="";"";BUSCARV([@SBAN];Cronograma_Maestro!$A:$M;6;FALSO))</f>
        <v/>
      </c>
    </row>
    <row r="112">
      <c r="A112" s="11" t="inlineStr">
        <is>
          <t>1397</t>
        </is>
      </c>
      <c r="B112" s="12">
        <f>SI([@SBAN]="";"";BUSCARV([@SBAN];Cronograma_Maestro!$A:$M;2;FALSO))</f>
        <v/>
      </c>
      <c r="C112" s="12">
        <f>SI([@SBAN]="";"";BUSCARV([@SBAN];Cronograma_Maestro!$A:$M;3;FALSO))</f>
        <v/>
      </c>
      <c r="D112" s="12">
        <f>SI([@SBAN]="";"";BUSCARV([@SBAN];Cronograma_Maestro!$A:$M;4;FALSO))</f>
        <v/>
      </c>
      <c r="E112" s="12">
        <f>SI([@SBAN]="";"";BUSCARV([@SBAN];Cronograma_Maestro!$A:$M;5;FALSO))</f>
        <v/>
      </c>
      <c r="F112" s="12" t="inlineStr">
        <is>
          <t>Ever Enrique Esquivel Movilla</t>
        </is>
      </c>
      <c r="G112" s="12" t="inlineStr">
        <is>
          <t>PMU COLSOF</t>
        </is>
      </c>
      <c r="H112" s="13" t="n">
        <v>46288</v>
      </c>
      <c r="I112" s="13" t="n">
        <v>46288</v>
      </c>
      <c r="J112" s="13" t="n"/>
      <c r="K112" s="13" t="n"/>
      <c r="L112" s="12" t="inlineStr">
        <is>
          <t>Programada</t>
        </is>
      </c>
      <c r="M112" s="13" t="n"/>
      <c r="N112" s="14">
        <f>SI(O([@[Fecha_Programada_Inicio]]="";[@[Fecha_Inicio_Real]]="");"";SI([@[Fecha_Inicio_Real]]&lt;=[@[Fecha_Programada_Inicio]];"SÍ";"NO"))</f>
        <v/>
      </c>
      <c r="O112" s="14">
        <f>SI(O([@[Fecha_Programada_Fin]]="";[@[Fecha_Cierre_Operativo]]="");"";SI([@[Fecha_Cierre_Operativo]]&lt;=SI([@[Fecha_Nueva_Programada]]&lt;&gt;"";[@[Fecha_Nueva_Programada]];[@[Fecha_Programada_Fin]]);"SÍ";"NO"))</f>
        <v/>
      </c>
      <c r="P112" s="14">
        <f>SI(O([@[Cumpli_Ingreso]]="";[@[Cumpli_Salida]]="");"";SI(Y([@[Cumpli_Ingreso]]="SÍ";[@[Cumpli_Salida]]="SÍ");"SÍ";"NO"))</f>
        <v/>
      </c>
      <c r="Q112" s="15">
        <f>SI(O([@[Fecha_Programada_Fin]]="";[@[Fecha_Cierre_Operativo]]="");"";MAX(0;ENTERO([@[Fecha_Cierre_Operativo]])-ENTERO(SI([@[Fecha_Nueva_Programada]]&lt;&gt;"";[@[Fecha_Nueva_Programada]];[@[Fecha_Programada_Fin]])))</f>
        <v/>
      </c>
      <c r="R112" s="12" t="n"/>
      <c r="S112" s="12" t="n"/>
      <c r="T112" s="13" t="n"/>
      <c r="U112" s="12" t="n">
        <v>17</v>
      </c>
      <c r="V112" s="12" t="n"/>
      <c r="W11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12" s="14">
        <f>SI([@SBAN]="";"";BUSCARV([@SBAN];Cronograma_Maestro!$A:$M;6;FALSO))</f>
        <v/>
      </c>
    </row>
    <row r="113">
      <c r="A113" s="11" t="inlineStr">
        <is>
          <t>1398</t>
        </is>
      </c>
      <c r="B113" s="12">
        <f>SI([@SBAN]="";"";BUSCARV([@SBAN];Cronograma_Maestro!$A:$M;2;FALSO))</f>
        <v/>
      </c>
      <c r="C113" s="12">
        <f>SI([@SBAN]="";"";BUSCARV([@SBAN];Cronograma_Maestro!$A:$M;3;FALSO))</f>
        <v/>
      </c>
      <c r="D113" s="12">
        <f>SI([@SBAN]="";"";BUSCARV([@SBAN];Cronograma_Maestro!$A:$M;4;FALSO))</f>
        <v/>
      </c>
      <c r="E113" s="12">
        <f>SI([@SBAN]="";"";BUSCARV([@SBAN];Cronograma_Maestro!$A:$M;5;FALSO))</f>
        <v/>
      </c>
      <c r="F113" s="12" t="inlineStr">
        <is>
          <t>Juan Pablo Osorio Ramirez</t>
        </is>
      </c>
      <c r="G113" s="12" t="inlineStr">
        <is>
          <t>PMU COLSOF</t>
        </is>
      </c>
      <c r="H113" s="13" t="n">
        <v>46294</v>
      </c>
      <c r="I113" s="13" t="n">
        <v>46294</v>
      </c>
      <c r="J113" s="13" t="n"/>
      <c r="K113" s="13" t="n"/>
      <c r="L113" s="12" t="inlineStr">
        <is>
          <t>Programada</t>
        </is>
      </c>
      <c r="M113" s="13" t="n"/>
      <c r="N113" s="14">
        <f>SI(O([@[Fecha_Programada_Inicio]]="";[@[Fecha_Inicio_Real]]="");"";SI([@[Fecha_Inicio_Real]]&lt;=[@[Fecha_Programada_Inicio]];"SÍ";"NO"))</f>
        <v/>
      </c>
      <c r="O113" s="14">
        <f>SI(O([@[Fecha_Programada_Fin]]="";[@[Fecha_Cierre_Operativo]]="");"";SI([@[Fecha_Cierre_Operativo]]&lt;=SI([@[Fecha_Nueva_Programada]]&lt;&gt;"";[@[Fecha_Nueva_Programada]];[@[Fecha_Programada_Fin]]);"SÍ";"NO"))</f>
        <v/>
      </c>
      <c r="P113" s="14">
        <f>SI(O([@[Cumpli_Ingreso]]="";[@[Cumpli_Salida]]="");"";SI(Y([@[Cumpli_Ingreso]]="SÍ";[@[Cumpli_Salida]]="SÍ");"SÍ";"NO"))</f>
        <v/>
      </c>
      <c r="Q113" s="15">
        <f>SI(O([@[Fecha_Programada_Fin]]="";[@[Fecha_Cierre_Operativo]]="");"";MAX(0;ENTERO([@[Fecha_Cierre_Operativo]])-ENTERO(SI([@[Fecha_Nueva_Programada]]&lt;&gt;"";[@[Fecha_Nueva_Programada]];[@[Fecha_Programada_Fin]])))</f>
        <v/>
      </c>
      <c r="R113" s="12" t="n"/>
      <c r="S113" s="12" t="n"/>
      <c r="T113" s="13" t="n"/>
      <c r="U113" s="12" t="n">
        <v>27</v>
      </c>
      <c r="V113" s="12" t="n"/>
      <c r="W11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13" s="14">
        <f>SI([@SBAN]="";"";BUSCARV([@SBAN];Cronograma_Maestro!$A:$M;6;FALSO))</f>
        <v/>
      </c>
    </row>
    <row r="114">
      <c r="A114" s="11" t="inlineStr">
        <is>
          <t>1399</t>
        </is>
      </c>
      <c r="B114" s="12">
        <f>SI([@SBAN]="";"";BUSCARV([@SBAN];Cronograma_Maestro!$A:$M;2;FALSO))</f>
        <v/>
      </c>
      <c r="C114" s="12">
        <f>SI([@SBAN]="";"";BUSCARV([@SBAN];Cronograma_Maestro!$A:$M;3;FALSO))</f>
        <v/>
      </c>
      <c r="D114" s="12">
        <f>SI([@SBAN]="";"";BUSCARV([@SBAN];Cronograma_Maestro!$A:$M;4;FALSO))</f>
        <v/>
      </c>
      <c r="E114" s="12">
        <f>SI([@SBAN]="";"";BUSCARV([@SBAN];Cronograma_Maestro!$A:$M;5;FALSO))</f>
        <v/>
      </c>
      <c r="F114" s="12" t="inlineStr">
        <is>
          <t>Ever Enrique Esquivel Movilla</t>
        </is>
      </c>
      <c r="G114" s="12" t="inlineStr">
        <is>
          <t>PMU COLSOF</t>
        </is>
      </c>
      <c r="H114" s="13" t="n">
        <v>46273</v>
      </c>
      <c r="I114" s="13" t="n">
        <v>46273</v>
      </c>
      <c r="J114" s="13" t="n"/>
      <c r="K114" s="13" t="n"/>
      <c r="L114" s="12" t="inlineStr">
        <is>
          <t>Programada</t>
        </is>
      </c>
      <c r="M114" s="13" t="n"/>
      <c r="N114" s="14">
        <f>SI(O([@[Fecha_Programada_Inicio]]="";[@[Fecha_Inicio_Real]]="");"";SI([@[Fecha_Inicio_Real]]&lt;=[@[Fecha_Programada_Inicio]];"SÍ";"NO"))</f>
        <v/>
      </c>
      <c r="O114" s="14">
        <f>SI(O([@[Fecha_Programada_Fin]]="";[@[Fecha_Cierre_Operativo]]="");"";SI([@[Fecha_Cierre_Operativo]]&lt;=SI([@[Fecha_Nueva_Programada]]&lt;&gt;"";[@[Fecha_Nueva_Programada]];[@[Fecha_Programada_Fin]]);"SÍ";"NO"))</f>
        <v/>
      </c>
      <c r="P114" s="14">
        <f>SI(O([@[Cumpli_Ingreso]]="";[@[Cumpli_Salida]]="");"";SI(Y([@[Cumpli_Ingreso]]="SÍ";[@[Cumpli_Salida]]="SÍ");"SÍ";"NO"))</f>
        <v/>
      </c>
      <c r="Q114" s="15">
        <f>SI(O([@[Fecha_Programada_Fin]]="";[@[Fecha_Cierre_Operativo]]="");"";MAX(0;ENTERO([@[Fecha_Cierre_Operativo]])-ENTERO(SI([@[Fecha_Nueva_Programada]]&lt;&gt;"";[@[Fecha_Nueva_Programada]];[@[Fecha_Programada_Fin]])))</f>
        <v/>
      </c>
      <c r="R114" s="12" t="n"/>
      <c r="S114" s="12" t="n"/>
      <c r="T114" s="13" t="n"/>
      <c r="U114" s="12" t="n">
        <v>18</v>
      </c>
      <c r="V114" s="12" t="n"/>
      <c r="W11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14" s="14">
        <f>SI([@SBAN]="";"";BUSCARV([@SBAN];Cronograma_Maestro!$A:$M;6;FALSO))</f>
        <v/>
      </c>
    </row>
    <row r="115">
      <c r="A115" s="11" t="inlineStr">
        <is>
          <t>1401</t>
        </is>
      </c>
      <c r="B115" s="12">
        <f>SI([@SBAN]="";"";BUSCARV([@SBAN];Cronograma_Maestro!$A:$M;2;FALSO))</f>
        <v/>
      </c>
      <c r="C115" s="12">
        <f>SI([@SBAN]="";"";BUSCARV([@SBAN];Cronograma_Maestro!$A:$M;3;FALSO))</f>
        <v/>
      </c>
      <c r="D115" s="12">
        <f>SI([@SBAN]="";"";BUSCARV([@SBAN];Cronograma_Maestro!$A:$M;4;FALSO))</f>
        <v/>
      </c>
      <c r="E115" s="12">
        <f>SI([@SBAN]="";"";BUSCARV([@SBAN];Cronograma_Maestro!$A:$M;5;FALSO))</f>
        <v/>
      </c>
      <c r="F115" s="12" t="inlineStr">
        <is>
          <t>Juan Pablo Osorio Ramirez</t>
        </is>
      </c>
      <c r="G115" s="12" t="inlineStr">
        <is>
          <t>PMU COLSOF</t>
        </is>
      </c>
      <c r="H115" s="13" t="n">
        <v>46302</v>
      </c>
      <c r="I115" s="13" t="n">
        <v>46302</v>
      </c>
      <c r="J115" s="13" t="n"/>
      <c r="K115" s="13" t="n"/>
      <c r="L115" s="12" t="inlineStr">
        <is>
          <t>Programada</t>
        </is>
      </c>
      <c r="M115" s="13" t="n"/>
      <c r="N115" s="14">
        <f>SI(O([@[Fecha_Programada_Inicio]]="";[@[Fecha_Inicio_Real]]="");"";SI([@[Fecha_Inicio_Real]]&lt;=[@[Fecha_Programada_Inicio]];"SÍ";"NO"))</f>
        <v/>
      </c>
      <c r="O115" s="14">
        <f>SI(O([@[Fecha_Programada_Fin]]="";[@[Fecha_Cierre_Operativo]]="");"";SI([@[Fecha_Cierre_Operativo]]&lt;=SI([@[Fecha_Nueva_Programada]]&lt;&gt;"";[@[Fecha_Nueva_Programada]];[@[Fecha_Programada_Fin]]);"SÍ";"NO"))</f>
        <v/>
      </c>
      <c r="P115" s="14">
        <f>SI(O([@[Cumpli_Ingreso]]="";[@[Cumpli_Salida]]="");"";SI(Y([@[Cumpli_Ingreso]]="SÍ";[@[Cumpli_Salida]]="SÍ");"SÍ";"NO"))</f>
        <v/>
      </c>
      <c r="Q115" s="15">
        <f>SI(O([@[Fecha_Programada_Fin]]="";[@[Fecha_Cierre_Operativo]]="");"";MAX(0;ENTERO([@[Fecha_Cierre_Operativo]])-ENTERO(SI([@[Fecha_Nueva_Programada]]&lt;&gt;"";[@[Fecha_Nueva_Programada]];[@[Fecha_Programada_Fin]])))</f>
        <v/>
      </c>
      <c r="R115" s="12" t="n"/>
      <c r="S115" s="12" t="n"/>
      <c r="T115" s="13" t="n"/>
      <c r="U115" s="12" t="n">
        <v>12</v>
      </c>
      <c r="V115" s="12" t="n"/>
      <c r="W11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15" s="14">
        <f>SI([@SBAN]="";"";BUSCARV([@SBAN];Cronograma_Maestro!$A:$M;6;FALSO))</f>
        <v/>
      </c>
    </row>
    <row r="116">
      <c r="A116" s="11" t="inlineStr">
        <is>
          <t>1410</t>
        </is>
      </c>
      <c r="B116" s="12">
        <f>SI([@SBAN]="";"";BUSCARV([@SBAN];Cronograma_Maestro!$A:$M;2;FALSO))</f>
        <v/>
      </c>
      <c r="C116" s="12">
        <f>SI([@SBAN]="";"";BUSCARV([@SBAN];Cronograma_Maestro!$A:$M;3;FALSO))</f>
        <v/>
      </c>
      <c r="D116" s="12">
        <f>SI([@SBAN]="";"";BUSCARV([@SBAN];Cronograma_Maestro!$A:$M;4;FALSO))</f>
        <v/>
      </c>
      <c r="E116" s="12">
        <f>SI([@SBAN]="";"";BUSCARV([@SBAN];Cronograma_Maestro!$A:$M;5;FALSO))</f>
        <v/>
      </c>
      <c r="F116" s="12" t="inlineStr">
        <is>
          <t>Juan Pablo Osorio Ramirez</t>
        </is>
      </c>
      <c r="G116" s="12" t="inlineStr">
        <is>
          <t>PMU COLSOF</t>
        </is>
      </c>
      <c r="H116" s="13" t="n">
        <v>46269</v>
      </c>
      <c r="I116" s="13" t="n">
        <v>46269</v>
      </c>
      <c r="J116" s="13" t="n"/>
      <c r="K116" s="13" t="n"/>
      <c r="L116" s="12" t="inlineStr">
        <is>
          <t>Programada</t>
        </is>
      </c>
      <c r="M116" s="13" t="n"/>
      <c r="N116" s="14">
        <f>SI(O([@[Fecha_Programada_Inicio]]="";[@[Fecha_Inicio_Real]]="");"";SI([@[Fecha_Inicio_Real]]&lt;=[@[Fecha_Programada_Inicio]];"SÍ";"NO"))</f>
        <v/>
      </c>
      <c r="O116" s="14">
        <f>SI(O([@[Fecha_Programada_Fin]]="";[@[Fecha_Cierre_Operativo]]="");"";SI([@[Fecha_Cierre_Operativo]]&lt;=SI([@[Fecha_Nueva_Programada]]&lt;&gt;"";[@[Fecha_Nueva_Programada]];[@[Fecha_Programada_Fin]]);"SÍ";"NO"))</f>
        <v/>
      </c>
      <c r="P116" s="14">
        <f>SI(O([@[Cumpli_Ingreso]]="";[@[Cumpli_Salida]]="");"";SI(Y([@[Cumpli_Ingreso]]="SÍ";[@[Cumpli_Salida]]="SÍ");"SÍ";"NO"))</f>
        <v/>
      </c>
      <c r="Q116" s="15">
        <f>SI(O([@[Fecha_Programada_Fin]]="";[@[Fecha_Cierre_Operativo]]="");"";MAX(0;ENTERO([@[Fecha_Cierre_Operativo]])-ENTERO(SI([@[Fecha_Nueva_Programada]]&lt;&gt;"";[@[Fecha_Nueva_Programada]];[@[Fecha_Programada_Fin]])))</f>
        <v/>
      </c>
      <c r="R116" s="12" t="n"/>
      <c r="S116" s="12" t="n"/>
      <c r="T116" s="13" t="n"/>
      <c r="U116" s="12" t="n">
        <v>12</v>
      </c>
      <c r="V116" s="12" t="n"/>
      <c r="W11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16" s="14">
        <f>SI([@SBAN]="";"";BUSCARV([@SBAN];Cronograma_Maestro!$A:$M;6;FALSO))</f>
        <v/>
      </c>
    </row>
    <row r="117">
      <c r="A117" s="11" t="inlineStr">
        <is>
          <t>1412</t>
        </is>
      </c>
      <c r="B117" s="12">
        <f>SI([@SBAN]="";"";BUSCARV([@SBAN];Cronograma_Maestro!$A:$M;2;FALSO))</f>
        <v/>
      </c>
      <c r="C117" s="12">
        <f>SI([@SBAN]="";"";BUSCARV([@SBAN];Cronograma_Maestro!$A:$M;3;FALSO))</f>
        <v/>
      </c>
      <c r="D117" s="12">
        <f>SI([@SBAN]="";"";BUSCARV([@SBAN];Cronograma_Maestro!$A:$M;4;FALSO))</f>
        <v/>
      </c>
      <c r="E117" s="12">
        <f>SI([@SBAN]="";"";BUSCARV([@SBAN];Cronograma_Maestro!$A:$M;5;FALSO))</f>
        <v/>
      </c>
      <c r="F117" s="12" t="inlineStr">
        <is>
          <t>Juan Pablo Osorio Ramirez</t>
        </is>
      </c>
      <c r="G117" s="12" t="inlineStr">
        <is>
          <t>PMU COLSOF</t>
        </is>
      </c>
      <c r="H117" s="13" t="n">
        <v>46281</v>
      </c>
      <c r="I117" s="13" t="n">
        <v>46281</v>
      </c>
      <c r="J117" s="13" t="n"/>
      <c r="K117" s="13" t="n"/>
      <c r="L117" s="12" t="inlineStr">
        <is>
          <t>Programada</t>
        </is>
      </c>
      <c r="M117" s="13" t="n"/>
      <c r="N117" s="14">
        <f>SI(O([@[Fecha_Programada_Inicio]]="";[@[Fecha_Inicio_Real]]="");"";SI([@[Fecha_Inicio_Real]]&lt;=[@[Fecha_Programada_Inicio]];"SÍ";"NO"))</f>
        <v/>
      </c>
      <c r="O117" s="14">
        <f>SI(O([@[Fecha_Programada_Fin]]="";[@[Fecha_Cierre_Operativo]]="");"";SI([@[Fecha_Cierre_Operativo]]&lt;=SI([@[Fecha_Nueva_Programada]]&lt;&gt;"";[@[Fecha_Nueva_Programada]];[@[Fecha_Programada_Fin]]);"SÍ";"NO"))</f>
        <v/>
      </c>
      <c r="P117" s="14">
        <f>SI(O([@[Cumpli_Ingreso]]="";[@[Cumpli_Salida]]="");"";SI(Y([@[Cumpli_Ingreso]]="SÍ";[@[Cumpli_Salida]]="SÍ");"SÍ";"NO"))</f>
        <v/>
      </c>
      <c r="Q117" s="15">
        <f>SI(O([@[Fecha_Programada_Fin]]="";[@[Fecha_Cierre_Operativo]]="");"";MAX(0;ENTERO([@[Fecha_Cierre_Operativo]])-ENTERO(SI([@[Fecha_Nueva_Programada]]&lt;&gt;"";[@[Fecha_Nueva_Programada]];[@[Fecha_Programada_Fin]])))</f>
        <v/>
      </c>
      <c r="R117" s="12" t="n"/>
      <c r="S117" s="12" t="n"/>
      <c r="T117" s="13" t="n"/>
      <c r="U117" s="12" t="n">
        <v>12</v>
      </c>
      <c r="V117" s="12" t="n"/>
      <c r="W11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17" s="14">
        <f>SI([@SBAN]="";"";BUSCARV([@SBAN];Cronograma_Maestro!$A:$M;6;FALSO))</f>
        <v/>
      </c>
    </row>
    <row r="118">
      <c r="A118" s="11" t="inlineStr">
        <is>
          <t>1414</t>
        </is>
      </c>
      <c r="B118" s="12">
        <f>SI([@SBAN]="";"";BUSCARV([@SBAN];Cronograma_Maestro!$A:$M;2;FALSO))</f>
        <v/>
      </c>
      <c r="C118" s="12">
        <f>SI([@SBAN]="";"";BUSCARV([@SBAN];Cronograma_Maestro!$A:$M;3;FALSO))</f>
        <v/>
      </c>
      <c r="D118" s="12">
        <f>SI([@SBAN]="";"";BUSCARV([@SBAN];Cronograma_Maestro!$A:$M;4;FALSO))</f>
        <v/>
      </c>
      <c r="E118" s="12">
        <f>SI([@SBAN]="";"";BUSCARV([@SBAN];Cronograma_Maestro!$A:$M;5;FALSO))</f>
        <v/>
      </c>
      <c r="F118" s="12" t="inlineStr">
        <is>
          <t>Juan Pablo Osorio Ramirez</t>
        </is>
      </c>
      <c r="G118" s="12" t="inlineStr">
        <is>
          <t>PMU COLSOF</t>
        </is>
      </c>
      <c r="H118" s="13" t="n">
        <v>46290</v>
      </c>
      <c r="I118" s="13" t="n">
        <v>46290</v>
      </c>
      <c r="J118" s="13" t="n"/>
      <c r="K118" s="13" t="n"/>
      <c r="L118" s="12" t="inlineStr">
        <is>
          <t>Programada</t>
        </is>
      </c>
      <c r="M118" s="13" t="n"/>
      <c r="N118" s="14">
        <f>SI(O([@[Fecha_Programada_Inicio]]="";[@[Fecha_Inicio_Real]]="");"";SI([@[Fecha_Inicio_Real]]&lt;=[@[Fecha_Programada_Inicio]];"SÍ";"NO"))</f>
        <v/>
      </c>
      <c r="O118" s="14">
        <f>SI(O([@[Fecha_Programada_Fin]]="";[@[Fecha_Cierre_Operativo]]="");"";SI([@[Fecha_Cierre_Operativo]]&lt;=SI([@[Fecha_Nueva_Programada]]&lt;&gt;"";[@[Fecha_Nueva_Programada]];[@[Fecha_Programada_Fin]]);"SÍ";"NO"))</f>
        <v/>
      </c>
      <c r="P118" s="14">
        <f>SI(O([@[Cumpli_Ingreso]]="";[@[Cumpli_Salida]]="");"";SI(Y([@[Cumpli_Ingreso]]="SÍ";[@[Cumpli_Salida]]="SÍ");"SÍ";"NO"))</f>
        <v/>
      </c>
      <c r="Q118" s="15">
        <f>SI(O([@[Fecha_Programada_Fin]]="";[@[Fecha_Cierre_Operativo]]="");"";MAX(0;ENTERO([@[Fecha_Cierre_Operativo]])-ENTERO(SI([@[Fecha_Nueva_Programada]]&lt;&gt;"";[@[Fecha_Nueva_Programada]];[@[Fecha_Programada_Fin]])))</f>
        <v/>
      </c>
      <c r="R118" s="12" t="n"/>
      <c r="S118" s="12" t="n"/>
      <c r="T118" s="13" t="n"/>
      <c r="U118" s="12" t="n">
        <v>12</v>
      </c>
      <c r="V118" s="12" t="n"/>
      <c r="W11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18" s="14">
        <f>SI([@SBAN]="";"";BUSCARV([@SBAN];Cronograma_Maestro!$A:$M;6;FALSO))</f>
        <v/>
      </c>
    </row>
    <row r="119">
      <c r="A119" s="11" t="inlineStr">
        <is>
          <t>1415</t>
        </is>
      </c>
      <c r="B119" s="12">
        <f>SI([@SBAN]="";"";BUSCARV([@SBAN];Cronograma_Maestro!$A:$M;2;FALSO))</f>
        <v/>
      </c>
      <c r="C119" s="12">
        <f>SI([@SBAN]="";"";BUSCARV([@SBAN];Cronograma_Maestro!$A:$M;3;FALSO))</f>
        <v/>
      </c>
      <c r="D119" s="12">
        <f>SI([@SBAN]="";"";BUSCARV([@SBAN];Cronograma_Maestro!$A:$M;4;FALSO))</f>
        <v/>
      </c>
      <c r="E119" s="12">
        <f>SI([@SBAN]="";"";BUSCARV([@SBAN];Cronograma_Maestro!$A:$M;5;FALSO))</f>
        <v/>
      </c>
      <c r="F119" s="12" t="inlineStr">
        <is>
          <t>Juan Pablo Osorio Ramirez</t>
        </is>
      </c>
      <c r="G119" s="12" t="inlineStr">
        <is>
          <t>PMU COLSOF</t>
        </is>
      </c>
      <c r="H119" s="13" t="n">
        <v>46289</v>
      </c>
      <c r="I119" s="13" t="n">
        <v>46289</v>
      </c>
      <c r="J119" s="13" t="n"/>
      <c r="K119" s="13" t="n"/>
      <c r="L119" s="12" t="inlineStr">
        <is>
          <t>Programada</t>
        </is>
      </c>
      <c r="M119" s="13" t="n"/>
      <c r="N119" s="14">
        <f>SI(O([@[Fecha_Programada_Inicio]]="";[@[Fecha_Inicio_Real]]="");"";SI([@[Fecha_Inicio_Real]]&lt;=[@[Fecha_Programada_Inicio]];"SÍ";"NO"))</f>
        <v/>
      </c>
      <c r="O119" s="14">
        <f>SI(O([@[Fecha_Programada_Fin]]="";[@[Fecha_Cierre_Operativo]]="");"";SI([@[Fecha_Cierre_Operativo]]&lt;=SI([@[Fecha_Nueva_Programada]]&lt;&gt;"";[@[Fecha_Nueva_Programada]];[@[Fecha_Programada_Fin]]);"SÍ";"NO"))</f>
        <v/>
      </c>
      <c r="P119" s="14">
        <f>SI(O([@[Cumpli_Ingreso]]="";[@[Cumpli_Salida]]="");"";SI(Y([@[Cumpli_Ingreso]]="SÍ";[@[Cumpli_Salida]]="SÍ");"SÍ";"NO"))</f>
        <v/>
      </c>
      <c r="Q119" s="15">
        <f>SI(O([@[Fecha_Programada_Fin]]="";[@[Fecha_Cierre_Operativo]]="");"";MAX(0;ENTERO([@[Fecha_Cierre_Operativo]])-ENTERO(SI([@[Fecha_Nueva_Programada]]&lt;&gt;"";[@[Fecha_Nueva_Programada]];[@[Fecha_Programada_Fin]])))</f>
        <v/>
      </c>
      <c r="R119" s="12" t="n"/>
      <c r="S119" s="12" t="n"/>
      <c r="T119" s="13" t="n"/>
      <c r="U119" s="12" t="n">
        <v>15</v>
      </c>
      <c r="V119" s="12" t="n"/>
      <c r="W11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19" s="14">
        <f>SI([@SBAN]="";"";BUSCARV([@SBAN];Cronograma_Maestro!$A:$M;6;FALSO))</f>
        <v/>
      </c>
    </row>
    <row r="120">
      <c r="A120" s="11" t="inlineStr">
        <is>
          <t>1420</t>
        </is>
      </c>
      <c r="B120" s="12">
        <f>SI([@SBAN]="";"";BUSCARV([@SBAN];Cronograma_Maestro!$A:$M;2;FALSO))</f>
        <v/>
      </c>
      <c r="C120" s="12">
        <f>SI([@SBAN]="";"";BUSCARV([@SBAN];Cronograma_Maestro!$A:$M;3;FALSO))</f>
        <v/>
      </c>
      <c r="D120" s="12">
        <f>SI([@SBAN]="";"";BUSCARV([@SBAN];Cronograma_Maestro!$A:$M;4;FALSO))</f>
        <v/>
      </c>
      <c r="E120" s="12">
        <f>SI([@SBAN]="";"";BUSCARV([@SBAN];Cronograma_Maestro!$A:$M;5;FALSO))</f>
        <v/>
      </c>
      <c r="F120" s="12" t="inlineStr">
        <is>
          <t>Ever Enrique Esquivel Movilla</t>
        </is>
      </c>
      <c r="G120" s="12" t="inlineStr">
        <is>
          <t>PMU COLSOF</t>
        </is>
      </c>
      <c r="H120" s="13" t="n">
        <v>46294</v>
      </c>
      <c r="I120" s="13" t="n">
        <v>46294</v>
      </c>
      <c r="J120" s="13" t="n"/>
      <c r="K120" s="13" t="n"/>
      <c r="L120" s="12" t="inlineStr">
        <is>
          <t>Programada</t>
        </is>
      </c>
      <c r="M120" s="13" t="n"/>
      <c r="N120" s="14">
        <f>SI(O([@[Fecha_Programada_Inicio]]="";[@[Fecha_Inicio_Real]]="");"";SI([@[Fecha_Inicio_Real]]&lt;=[@[Fecha_Programada_Inicio]];"SÍ";"NO"))</f>
        <v/>
      </c>
      <c r="O120" s="14">
        <f>SI(O([@[Fecha_Programada_Fin]]="";[@[Fecha_Cierre_Operativo]]="");"";SI([@[Fecha_Cierre_Operativo]]&lt;=SI([@[Fecha_Nueva_Programada]]&lt;&gt;"";[@[Fecha_Nueva_Programada]];[@[Fecha_Programada_Fin]]);"SÍ";"NO"))</f>
        <v/>
      </c>
      <c r="P120" s="14">
        <f>SI(O([@[Cumpli_Ingreso]]="";[@[Cumpli_Salida]]="");"";SI(Y([@[Cumpli_Ingreso]]="SÍ";[@[Cumpli_Salida]]="SÍ");"SÍ";"NO"))</f>
        <v/>
      </c>
      <c r="Q120" s="15">
        <f>SI(O([@[Fecha_Programada_Fin]]="";[@[Fecha_Cierre_Operativo]]="");"";MAX(0;ENTERO([@[Fecha_Cierre_Operativo]])-ENTERO(SI([@[Fecha_Nueva_Programada]]&lt;&gt;"";[@[Fecha_Nueva_Programada]];[@[Fecha_Programada_Fin]])))</f>
        <v/>
      </c>
      <c r="R120" s="12" t="n"/>
      <c r="S120" s="12" t="n"/>
      <c r="T120" s="13" t="n"/>
      <c r="U120" s="12" t="n">
        <v>20</v>
      </c>
      <c r="V120" s="12" t="n"/>
      <c r="W12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20" s="14">
        <f>SI([@SBAN]="";"";BUSCARV([@SBAN];Cronograma_Maestro!$A:$M;6;FALSO))</f>
        <v/>
      </c>
    </row>
    <row r="121">
      <c r="A121" s="11" t="inlineStr">
        <is>
          <t>1422</t>
        </is>
      </c>
      <c r="B121" s="12">
        <f>SI([@SBAN]="";"";BUSCARV([@SBAN];Cronograma_Maestro!$A:$M;2;FALSO))</f>
        <v/>
      </c>
      <c r="C121" s="12">
        <f>SI([@SBAN]="";"";BUSCARV([@SBAN];Cronograma_Maestro!$A:$M;3;FALSO))</f>
        <v/>
      </c>
      <c r="D121" s="12">
        <f>SI([@SBAN]="";"";BUSCARV([@SBAN];Cronograma_Maestro!$A:$M;4;FALSO))</f>
        <v/>
      </c>
      <c r="E121" s="12">
        <f>SI([@SBAN]="";"";BUSCARV([@SBAN];Cronograma_Maestro!$A:$M;5;FALSO))</f>
        <v/>
      </c>
      <c r="F121" s="12" t="inlineStr">
        <is>
          <t>Juan Pablo Osorio Ramirez</t>
        </is>
      </c>
      <c r="G121" s="12" t="inlineStr">
        <is>
          <t>PMU COLSOF</t>
        </is>
      </c>
      <c r="H121" s="13" t="n">
        <v>46290</v>
      </c>
      <c r="I121" s="13" t="n">
        <v>46290</v>
      </c>
      <c r="J121" s="13" t="n"/>
      <c r="K121" s="13" t="n"/>
      <c r="L121" s="12" t="inlineStr">
        <is>
          <t>Programada</t>
        </is>
      </c>
      <c r="M121" s="13" t="n"/>
      <c r="N121" s="14">
        <f>SI(O([@[Fecha_Programada_Inicio]]="";[@[Fecha_Inicio_Real]]="");"";SI([@[Fecha_Inicio_Real]]&lt;=[@[Fecha_Programada_Inicio]];"SÍ";"NO"))</f>
        <v/>
      </c>
      <c r="O121" s="14">
        <f>SI(O([@[Fecha_Programada_Fin]]="";[@[Fecha_Cierre_Operativo]]="");"";SI([@[Fecha_Cierre_Operativo]]&lt;=SI([@[Fecha_Nueva_Programada]]&lt;&gt;"";[@[Fecha_Nueva_Programada]];[@[Fecha_Programada_Fin]]);"SÍ";"NO"))</f>
        <v/>
      </c>
      <c r="P121" s="14">
        <f>SI(O([@[Cumpli_Ingreso]]="";[@[Cumpli_Salida]]="");"";SI(Y([@[Cumpli_Ingreso]]="SÍ";[@[Cumpli_Salida]]="SÍ");"SÍ";"NO"))</f>
        <v/>
      </c>
      <c r="Q121" s="15">
        <f>SI(O([@[Fecha_Programada_Fin]]="";[@[Fecha_Cierre_Operativo]]="");"";MAX(0;ENTERO([@[Fecha_Cierre_Operativo]])-ENTERO(SI([@[Fecha_Nueva_Programada]]&lt;&gt;"";[@[Fecha_Nueva_Programada]];[@[Fecha_Programada_Fin]])))</f>
        <v/>
      </c>
      <c r="R121" s="12" t="n"/>
      <c r="S121" s="12" t="n"/>
      <c r="T121" s="13" t="n"/>
      <c r="U121" s="12" t="n">
        <v>12</v>
      </c>
      <c r="V121" s="12" t="n"/>
      <c r="W12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21" s="14">
        <f>SI([@SBAN]="";"";BUSCARV([@SBAN];Cronograma_Maestro!$A:$M;6;FALSO))</f>
        <v/>
      </c>
    </row>
    <row r="122">
      <c r="A122" s="11" t="inlineStr">
        <is>
          <t>1424</t>
        </is>
      </c>
      <c r="B122" s="12">
        <f>SI([@SBAN]="";"";BUSCARV([@SBAN];Cronograma_Maestro!$A:$M;2;FALSO))</f>
        <v/>
      </c>
      <c r="C122" s="12">
        <f>SI([@SBAN]="";"";BUSCARV([@SBAN];Cronograma_Maestro!$A:$M;3;FALSO))</f>
        <v/>
      </c>
      <c r="D122" s="12">
        <f>SI([@SBAN]="";"";BUSCARV([@SBAN];Cronograma_Maestro!$A:$M;4;FALSO))</f>
        <v/>
      </c>
      <c r="E122" s="12">
        <f>SI([@SBAN]="";"";BUSCARV([@SBAN];Cronograma_Maestro!$A:$M;5;FALSO))</f>
        <v/>
      </c>
      <c r="F122" s="12" t="inlineStr">
        <is>
          <t>Juan Pablo Osorio Ramirez</t>
        </is>
      </c>
      <c r="G122" s="12" t="inlineStr">
        <is>
          <t>PMU COLSOF</t>
        </is>
      </c>
      <c r="H122" s="13" t="n">
        <v>46295</v>
      </c>
      <c r="I122" s="13" t="n">
        <v>46295</v>
      </c>
      <c r="J122" s="13" t="n"/>
      <c r="K122" s="13" t="n"/>
      <c r="L122" s="12" t="inlineStr">
        <is>
          <t>Programada</t>
        </is>
      </c>
      <c r="M122" s="13" t="n"/>
      <c r="N122" s="14">
        <f>SI(O([@[Fecha_Programada_Inicio]]="";[@[Fecha_Inicio_Real]]="");"";SI([@[Fecha_Inicio_Real]]&lt;=[@[Fecha_Programada_Inicio]];"SÍ";"NO"))</f>
        <v/>
      </c>
      <c r="O122" s="14">
        <f>SI(O([@[Fecha_Programada_Fin]]="";[@[Fecha_Cierre_Operativo]]="");"";SI([@[Fecha_Cierre_Operativo]]&lt;=SI([@[Fecha_Nueva_Programada]]&lt;&gt;"";[@[Fecha_Nueva_Programada]];[@[Fecha_Programada_Fin]]);"SÍ";"NO"))</f>
        <v/>
      </c>
      <c r="P122" s="14">
        <f>SI(O([@[Cumpli_Ingreso]]="";[@[Cumpli_Salida]]="");"";SI(Y([@[Cumpli_Ingreso]]="SÍ";[@[Cumpli_Salida]]="SÍ");"SÍ";"NO"))</f>
        <v/>
      </c>
      <c r="Q122" s="15">
        <f>SI(O([@[Fecha_Programada_Fin]]="";[@[Fecha_Cierre_Operativo]]="");"";MAX(0;ENTERO([@[Fecha_Cierre_Operativo]])-ENTERO(SI([@[Fecha_Nueva_Programada]]&lt;&gt;"";[@[Fecha_Nueva_Programada]];[@[Fecha_Programada_Fin]])))</f>
        <v/>
      </c>
      <c r="R122" s="12" t="n"/>
      <c r="S122" s="12" t="n"/>
      <c r="T122" s="13" t="n"/>
      <c r="U122" s="12" t="n">
        <v>17</v>
      </c>
      <c r="V122" s="12" t="n"/>
      <c r="W12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22" s="14">
        <f>SI([@SBAN]="";"";BUSCARV([@SBAN];Cronograma_Maestro!$A:$M;6;FALSO))</f>
        <v/>
      </c>
    </row>
    <row r="123">
      <c r="A123" s="11" t="inlineStr">
        <is>
          <t>1426</t>
        </is>
      </c>
      <c r="B123" s="12">
        <f>SI([@SBAN]="";"";BUSCARV([@SBAN];Cronograma_Maestro!$A:$M;2;FALSO))</f>
        <v/>
      </c>
      <c r="C123" s="12">
        <f>SI([@SBAN]="";"";BUSCARV([@SBAN];Cronograma_Maestro!$A:$M;3;FALSO))</f>
        <v/>
      </c>
      <c r="D123" s="12">
        <f>SI([@SBAN]="";"";BUSCARV([@SBAN];Cronograma_Maestro!$A:$M;4;FALSO))</f>
        <v/>
      </c>
      <c r="E123" s="12">
        <f>SI([@SBAN]="";"";BUSCARV([@SBAN];Cronograma_Maestro!$A:$M;5;FALSO))</f>
        <v/>
      </c>
      <c r="F123" s="12" t="inlineStr">
        <is>
          <t>Ever Enrique Esquivel Movilla</t>
        </is>
      </c>
      <c r="G123" s="12" t="inlineStr">
        <is>
          <t>PMU COLSOF</t>
        </is>
      </c>
      <c r="H123" s="13" t="n">
        <v>46288</v>
      </c>
      <c r="I123" s="13" t="n">
        <v>46289</v>
      </c>
      <c r="J123" s="13" t="n"/>
      <c r="K123" s="13" t="n"/>
      <c r="L123" s="12" t="inlineStr">
        <is>
          <t>Programada</t>
        </is>
      </c>
      <c r="M123" s="13" t="n"/>
      <c r="N123" s="14">
        <f>SI(O([@[Fecha_Programada_Inicio]]="";[@[Fecha_Inicio_Real]]="");"";SI([@[Fecha_Inicio_Real]]&lt;=[@[Fecha_Programada_Inicio]];"SÍ";"NO"))</f>
        <v/>
      </c>
      <c r="O123" s="14">
        <f>SI(O([@[Fecha_Programada_Fin]]="";[@[Fecha_Cierre_Operativo]]="");"";SI([@[Fecha_Cierre_Operativo]]&lt;=SI([@[Fecha_Nueva_Programada]]&lt;&gt;"";[@[Fecha_Nueva_Programada]];[@[Fecha_Programada_Fin]]);"SÍ";"NO"))</f>
        <v/>
      </c>
      <c r="P123" s="14">
        <f>SI(O([@[Cumpli_Ingreso]]="";[@[Cumpli_Salida]]="");"";SI(Y([@[Cumpli_Ingreso]]="SÍ";[@[Cumpli_Salida]]="SÍ");"SÍ";"NO"))</f>
        <v/>
      </c>
      <c r="Q123" s="15">
        <f>SI(O([@[Fecha_Programada_Fin]]="";[@[Fecha_Cierre_Operativo]]="");"";MAX(0;ENTERO([@[Fecha_Cierre_Operativo]])-ENTERO(SI([@[Fecha_Nueva_Programada]]&lt;&gt;"";[@[Fecha_Nueva_Programada]];[@[Fecha_Programada_Fin]])))</f>
        <v/>
      </c>
      <c r="R123" s="12" t="n"/>
      <c r="S123" s="12" t="n"/>
      <c r="T123" s="13" t="n"/>
      <c r="U123" s="12" t="n">
        <v>14</v>
      </c>
      <c r="V123" s="12" t="n"/>
      <c r="W12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23" s="14">
        <f>SI([@SBAN]="";"";BUSCARV([@SBAN];Cronograma_Maestro!$A:$M;6;FALSO))</f>
        <v/>
      </c>
    </row>
    <row r="124">
      <c r="A124" s="11" t="inlineStr">
        <is>
          <t>1428</t>
        </is>
      </c>
      <c r="B124" s="12">
        <f>SI([@SBAN]="";"";BUSCARV([@SBAN];Cronograma_Maestro!$A:$M;2;FALSO))</f>
        <v/>
      </c>
      <c r="C124" s="12">
        <f>SI([@SBAN]="";"";BUSCARV([@SBAN];Cronograma_Maestro!$A:$M;3;FALSO))</f>
        <v/>
      </c>
      <c r="D124" s="12">
        <f>SI([@SBAN]="";"";BUSCARV([@SBAN];Cronograma_Maestro!$A:$M;4;FALSO))</f>
        <v/>
      </c>
      <c r="E124" s="12">
        <f>SI([@SBAN]="";"";BUSCARV([@SBAN];Cronograma_Maestro!$A:$M;5;FALSO))</f>
        <v/>
      </c>
      <c r="F124" s="12" t="inlineStr">
        <is>
          <t>Ever Enrique Esquivel Movilla</t>
        </is>
      </c>
      <c r="G124" s="12" t="inlineStr">
        <is>
          <t>PMU COLSOF</t>
        </is>
      </c>
      <c r="H124" s="13" t="n">
        <v>46290</v>
      </c>
      <c r="I124" s="13" t="n">
        <v>46290</v>
      </c>
      <c r="J124" s="13" t="n"/>
      <c r="K124" s="13" t="n"/>
      <c r="L124" s="12" t="inlineStr">
        <is>
          <t>Programada</t>
        </is>
      </c>
      <c r="M124" s="13" t="n"/>
      <c r="N124" s="14">
        <f>SI(O([@[Fecha_Programada_Inicio]]="";[@[Fecha_Inicio_Real]]="");"";SI([@[Fecha_Inicio_Real]]&lt;=[@[Fecha_Programada_Inicio]];"SÍ";"NO"))</f>
        <v/>
      </c>
      <c r="O124" s="14">
        <f>SI(O([@[Fecha_Programada_Fin]]="";[@[Fecha_Cierre_Operativo]]="");"";SI([@[Fecha_Cierre_Operativo]]&lt;=SI([@[Fecha_Nueva_Programada]]&lt;&gt;"";[@[Fecha_Nueva_Programada]];[@[Fecha_Programada_Fin]]);"SÍ";"NO"))</f>
        <v/>
      </c>
      <c r="P124" s="14">
        <f>SI(O([@[Cumpli_Ingreso]]="";[@[Cumpli_Salida]]="");"";SI(Y([@[Cumpli_Ingreso]]="SÍ";[@[Cumpli_Salida]]="SÍ");"SÍ";"NO"))</f>
        <v/>
      </c>
      <c r="Q124" s="15">
        <f>SI(O([@[Fecha_Programada_Fin]]="";[@[Fecha_Cierre_Operativo]]="");"";MAX(0;ENTERO([@[Fecha_Cierre_Operativo]])-ENTERO(SI([@[Fecha_Nueva_Programada]]&lt;&gt;"";[@[Fecha_Nueva_Programada]];[@[Fecha_Programada_Fin]])))</f>
        <v/>
      </c>
      <c r="R124" s="12" t="n"/>
      <c r="S124" s="12" t="n"/>
      <c r="T124" s="13" t="n"/>
      <c r="U124" s="12" t="n">
        <v>25</v>
      </c>
      <c r="V124" s="12" t="n"/>
      <c r="W12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24" s="14">
        <f>SI([@SBAN]="";"";BUSCARV([@SBAN];Cronograma_Maestro!$A:$M;6;FALSO))</f>
        <v/>
      </c>
    </row>
    <row r="125">
      <c r="A125" s="11" t="inlineStr">
        <is>
          <t>1430</t>
        </is>
      </c>
      <c r="B125" s="12">
        <f>SI([@SBAN]="";"";BUSCARV([@SBAN];Cronograma_Maestro!$A:$M;2;FALSO))</f>
        <v/>
      </c>
      <c r="C125" s="12">
        <f>SI([@SBAN]="";"";BUSCARV([@SBAN];Cronograma_Maestro!$A:$M;3;FALSO))</f>
        <v/>
      </c>
      <c r="D125" s="12">
        <f>SI([@SBAN]="";"";BUSCARV([@SBAN];Cronograma_Maestro!$A:$M;4;FALSO))</f>
        <v/>
      </c>
      <c r="E125" s="12">
        <f>SI([@SBAN]="";"";BUSCARV([@SBAN];Cronograma_Maestro!$A:$M;5;FALSO))</f>
        <v/>
      </c>
      <c r="F125" s="12" t="inlineStr">
        <is>
          <t>Andrés Mariano Bustamante Castro</t>
        </is>
      </c>
      <c r="G125" s="12" t="inlineStr">
        <is>
          <t>PMU COLSOF</t>
        </is>
      </c>
      <c r="H125" s="13" t="n">
        <v>46317</v>
      </c>
      <c r="I125" s="13" t="n">
        <v>46317</v>
      </c>
      <c r="J125" s="13" t="n"/>
      <c r="K125" s="13" t="n"/>
      <c r="L125" s="12" t="inlineStr">
        <is>
          <t>Programada</t>
        </is>
      </c>
      <c r="M125" s="13" t="n"/>
      <c r="N125" s="14">
        <f>SI(O([@[Fecha_Programada_Inicio]]="";[@[Fecha_Inicio_Real]]="");"";SI([@[Fecha_Inicio_Real]]&lt;=[@[Fecha_Programada_Inicio]];"SÍ";"NO"))</f>
        <v/>
      </c>
      <c r="O125" s="14">
        <f>SI(O([@[Fecha_Programada_Fin]]="";[@[Fecha_Cierre_Operativo]]="");"";SI([@[Fecha_Cierre_Operativo]]&lt;=SI([@[Fecha_Nueva_Programada]]&lt;&gt;"";[@[Fecha_Nueva_Programada]];[@[Fecha_Programada_Fin]]);"SÍ";"NO"))</f>
        <v/>
      </c>
      <c r="P125" s="14">
        <f>SI(O([@[Cumpli_Ingreso]]="";[@[Cumpli_Salida]]="");"";SI(Y([@[Cumpli_Ingreso]]="SÍ";[@[Cumpli_Salida]]="SÍ");"SÍ";"NO"))</f>
        <v/>
      </c>
      <c r="Q125" s="15">
        <f>SI(O([@[Fecha_Programada_Fin]]="";[@[Fecha_Cierre_Operativo]]="");"";MAX(0;ENTERO([@[Fecha_Cierre_Operativo]])-ENTERO(SI([@[Fecha_Nueva_Programada]]&lt;&gt;"";[@[Fecha_Nueva_Programada]];[@[Fecha_Programada_Fin]])))</f>
        <v/>
      </c>
      <c r="R125" s="12" t="n"/>
      <c r="S125" s="12" t="n"/>
      <c r="T125" s="13" t="n"/>
      <c r="U125" s="12" t="n">
        <v>12</v>
      </c>
      <c r="V125" s="12" t="n"/>
      <c r="W12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25" s="14">
        <f>SI([@SBAN]="";"";BUSCARV([@SBAN];Cronograma_Maestro!$A:$M;6;FALSO))</f>
        <v/>
      </c>
    </row>
    <row r="126">
      <c r="A126" s="11" t="inlineStr">
        <is>
          <t>1435</t>
        </is>
      </c>
      <c r="B126" s="12">
        <f>SI([@SBAN]="";"";BUSCARV([@SBAN];Cronograma_Maestro!$A:$M;2;FALSO))</f>
        <v/>
      </c>
      <c r="C126" s="12">
        <f>SI([@SBAN]="";"";BUSCARV([@SBAN];Cronograma_Maestro!$A:$M;3;FALSO))</f>
        <v/>
      </c>
      <c r="D126" s="12">
        <f>SI([@SBAN]="";"";BUSCARV([@SBAN];Cronograma_Maestro!$A:$M;4;FALSO))</f>
        <v/>
      </c>
      <c r="E126" s="12">
        <f>SI([@SBAN]="";"";BUSCARV([@SBAN];Cronograma_Maestro!$A:$M;5;FALSO))</f>
        <v/>
      </c>
      <c r="F126" s="12" t="inlineStr">
        <is>
          <t>Juan Pablo Osorio Ramirez</t>
        </is>
      </c>
      <c r="G126" s="12" t="inlineStr">
        <is>
          <t>PMU COLSOF</t>
        </is>
      </c>
      <c r="H126" s="13" t="n">
        <v>46287</v>
      </c>
      <c r="I126" s="13" t="n">
        <v>46287</v>
      </c>
      <c r="J126" s="13" t="n"/>
      <c r="K126" s="13" t="n"/>
      <c r="L126" s="12" t="inlineStr">
        <is>
          <t>Programada</t>
        </is>
      </c>
      <c r="M126" s="13" t="n"/>
      <c r="N126" s="14">
        <f>SI(O([@[Fecha_Programada_Inicio]]="";[@[Fecha_Inicio_Real]]="");"";SI([@[Fecha_Inicio_Real]]&lt;=[@[Fecha_Programada_Inicio]];"SÍ";"NO"))</f>
        <v/>
      </c>
      <c r="O126" s="14">
        <f>SI(O([@[Fecha_Programada_Fin]]="";[@[Fecha_Cierre_Operativo]]="");"";SI([@[Fecha_Cierre_Operativo]]&lt;=SI([@[Fecha_Nueva_Programada]]&lt;&gt;"";[@[Fecha_Nueva_Programada]];[@[Fecha_Programada_Fin]]);"SÍ";"NO"))</f>
        <v/>
      </c>
      <c r="P126" s="14">
        <f>SI(O([@[Cumpli_Ingreso]]="";[@[Cumpli_Salida]]="");"";SI(Y([@[Cumpli_Ingreso]]="SÍ";[@[Cumpli_Salida]]="SÍ");"SÍ";"NO"))</f>
        <v/>
      </c>
      <c r="Q126" s="15">
        <f>SI(O([@[Fecha_Programada_Fin]]="";[@[Fecha_Cierre_Operativo]]="");"";MAX(0;ENTERO([@[Fecha_Cierre_Operativo]])-ENTERO(SI([@[Fecha_Nueva_Programada]]&lt;&gt;"";[@[Fecha_Nueva_Programada]];[@[Fecha_Programada_Fin]])))</f>
        <v/>
      </c>
      <c r="R126" s="12" t="n"/>
      <c r="S126" s="12" t="n"/>
      <c r="T126" s="13" t="n"/>
      <c r="U126" s="12" t="n">
        <v>12</v>
      </c>
      <c r="V126" s="12" t="n"/>
      <c r="W12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26" s="14">
        <f>SI([@SBAN]="";"";BUSCARV([@SBAN];Cronograma_Maestro!$A:$M;6;FALSO))</f>
        <v/>
      </c>
    </row>
    <row r="127">
      <c r="A127" s="11" t="inlineStr">
        <is>
          <t>1438</t>
        </is>
      </c>
      <c r="B127" s="12">
        <f>SI([@SBAN]="";"";BUSCARV([@SBAN];Cronograma_Maestro!$A:$M;2;FALSO))</f>
        <v/>
      </c>
      <c r="C127" s="12">
        <f>SI([@SBAN]="";"";BUSCARV([@SBAN];Cronograma_Maestro!$A:$M;3;FALSO))</f>
        <v/>
      </c>
      <c r="D127" s="12">
        <f>SI([@SBAN]="";"";BUSCARV([@SBAN];Cronograma_Maestro!$A:$M;4;FALSO))</f>
        <v/>
      </c>
      <c r="E127" s="12">
        <f>SI([@SBAN]="";"";BUSCARV([@SBAN];Cronograma_Maestro!$A:$M;5;FALSO))</f>
        <v/>
      </c>
      <c r="F127" s="12" t="inlineStr">
        <is>
          <t>Juan Pablo Osorio Ramirez</t>
        </is>
      </c>
      <c r="G127" s="12" t="inlineStr">
        <is>
          <t>PMU COLSOF</t>
        </is>
      </c>
      <c r="H127" s="13" t="n">
        <v>46282</v>
      </c>
      <c r="I127" s="13" t="n">
        <v>46282</v>
      </c>
      <c r="J127" s="13" t="n"/>
      <c r="K127" s="13" t="n"/>
      <c r="L127" s="12" t="inlineStr">
        <is>
          <t>Programada</t>
        </is>
      </c>
      <c r="M127" s="13" t="n"/>
      <c r="N127" s="14">
        <f>SI(O([@[Fecha_Programada_Inicio]]="";[@[Fecha_Inicio_Real]]="");"";SI([@[Fecha_Inicio_Real]]&lt;=[@[Fecha_Programada_Inicio]];"SÍ";"NO"))</f>
        <v/>
      </c>
      <c r="O127" s="14">
        <f>SI(O([@[Fecha_Programada_Fin]]="";[@[Fecha_Cierre_Operativo]]="");"";SI([@[Fecha_Cierre_Operativo]]&lt;=SI([@[Fecha_Nueva_Programada]]&lt;&gt;"";[@[Fecha_Nueva_Programada]];[@[Fecha_Programada_Fin]]);"SÍ";"NO"))</f>
        <v/>
      </c>
      <c r="P127" s="14">
        <f>SI(O([@[Cumpli_Ingreso]]="";[@[Cumpli_Salida]]="");"";SI(Y([@[Cumpli_Ingreso]]="SÍ";[@[Cumpli_Salida]]="SÍ");"SÍ";"NO"))</f>
        <v/>
      </c>
      <c r="Q127" s="15">
        <f>SI(O([@[Fecha_Programada_Fin]]="";[@[Fecha_Cierre_Operativo]]="");"";MAX(0;ENTERO([@[Fecha_Cierre_Operativo]])-ENTERO(SI([@[Fecha_Nueva_Programada]]&lt;&gt;"";[@[Fecha_Nueva_Programada]];[@[Fecha_Programada_Fin]])))</f>
        <v/>
      </c>
      <c r="R127" s="12" t="n"/>
      <c r="S127" s="12" t="n"/>
      <c r="T127" s="13" t="n"/>
      <c r="U127" s="12" t="n">
        <v>13</v>
      </c>
      <c r="V127" s="12" t="n"/>
      <c r="W12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27" s="14">
        <f>SI([@SBAN]="";"";BUSCARV([@SBAN];Cronograma_Maestro!$A:$M;6;FALSO))</f>
        <v/>
      </c>
    </row>
    <row r="128">
      <c r="A128" s="11" t="inlineStr">
        <is>
          <t>1442</t>
        </is>
      </c>
      <c r="B128" s="12">
        <f>SI([@SBAN]="";"";BUSCARV([@SBAN];Cronograma_Maestro!$A:$M;2;FALSO))</f>
        <v/>
      </c>
      <c r="C128" s="12">
        <f>SI([@SBAN]="";"";BUSCARV([@SBAN];Cronograma_Maestro!$A:$M;3;FALSO))</f>
        <v/>
      </c>
      <c r="D128" s="12">
        <f>SI([@SBAN]="";"";BUSCARV([@SBAN];Cronograma_Maestro!$A:$M;4;FALSO))</f>
        <v/>
      </c>
      <c r="E128" s="12">
        <f>SI([@SBAN]="";"";BUSCARV([@SBAN];Cronograma_Maestro!$A:$M;5;FALSO))</f>
        <v/>
      </c>
      <c r="F128" s="12" t="inlineStr">
        <is>
          <t>Juan Pablo Osorio Ramirez</t>
        </is>
      </c>
      <c r="G128" s="12" t="inlineStr">
        <is>
          <t>PMU COLSOF</t>
        </is>
      </c>
      <c r="H128" s="13" t="n">
        <v>46309</v>
      </c>
      <c r="I128" s="13" t="n">
        <v>46309</v>
      </c>
      <c r="J128" s="13" t="n"/>
      <c r="K128" s="13" t="n"/>
      <c r="L128" s="12" t="inlineStr">
        <is>
          <t>Programada</t>
        </is>
      </c>
      <c r="M128" s="13" t="n"/>
      <c r="N128" s="14">
        <f>SI(O([@[Fecha_Programada_Inicio]]="";[@[Fecha_Inicio_Real]]="");"";SI([@[Fecha_Inicio_Real]]&lt;=[@[Fecha_Programada_Inicio]];"SÍ";"NO"))</f>
        <v/>
      </c>
      <c r="O128" s="14">
        <f>SI(O([@[Fecha_Programada_Fin]]="";[@[Fecha_Cierre_Operativo]]="");"";SI([@[Fecha_Cierre_Operativo]]&lt;=SI([@[Fecha_Nueva_Programada]]&lt;&gt;"";[@[Fecha_Nueva_Programada]];[@[Fecha_Programada_Fin]]);"SÍ";"NO"))</f>
        <v/>
      </c>
      <c r="P128" s="14">
        <f>SI(O([@[Cumpli_Ingreso]]="";[@[Cumpli_Salida]]="");"";SI(Y([@[Cumpli_Ingreso]]="SÍ";[@[Cumpli_Salida]]="SÍ");"SÍ";"NO"))</f>
        <v/>
      </c>
      <c r="Q128" s="15">
        <f>SI(O([@[Fecha_Programada_Fin]]="";[@[Fecha_Cierre_Operativo]]="");"";MAX(0;ENTERO([@[Fecha_Cierre_Operativo]])-ENTERO(SI([@[Fecha_Nueva_Programada]]&lt;&gt;"";[@[Fecha_Nueva_Programada]];[@[Fecha_Programada_Fin]])))</f>
        <v/>
      </c>
      <c r="R128" s="12" t="n"/>
      <c r="S128" s="12" t="n"/>
      <c r="T128" s="13" t="n"/>
      <c r="U128" s="12" t="n">
        <v>12</v>
      </c>
      <c r="V128" s="12" t="n"/>
      <c r="W12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28" s="14">
        <f>SI([@SBAN]="";"";BUSCARV([@SBAN];Cronograma_Maestro!$A:$M;6;FALSO))</f>
        <v/>
      </c>
    </row>
    <row r="129">
      <c r="A129" s="11" t="inlineStr">
        <is>
          <t>1444</t>
        </is>
      </c>
      <c r="B129" s="12">
        <f>SI([@SBAN]="";"";BUSCARV([@SBAN];Cronograma_Maestro!$A:$M;2;FALSO))</f>
        <v/>
      </c>
      <c r="C129" s="12">
        <f>SI([@SBAN]="";"";BUSCARV([@SBAN];Cronograma_Maestro!$A:$M;3;FALSO))</f>
        <v/>
      </c>
      <c r="D129" s="12">
        <f>SI([@SBAN]="";"";BUSCARV([@SBAN];Cronograma_Maestro!$A:$M;4;FALSO))</f>
        <v/>
      </c>
      <c r="E129" s="12">
        <f>SI([@SBAN]="";"";BUSCARV([@SBAN];Cronograma_Maestro!$A:$M;5;FALSO))</f>
        <v/>
      </c>
      <c r="F129" s="12" t="inlineStr">
        <is>
          <t>Ever Enrique Esquivel Movilla</t>
        </is>
      </c>
      <c r="G129" s="12" t="inlineStr">
        <is>
          <t>PMU COLSOF</t>
        </is>
      </c>
      <c r="H129" s="13" t="n">
        <v>46266</v>
      </c>
      <c r="I129" s="13" t="n">
        <v>46266</v>
      </c>
      <c r="J129" s="13" t="n">
        <v>46266</v>
      </c>
      <c r="K129" s="13" t="n">
        <v>46266</v>
      </c>
      <c r="L129" s="12" t="inlineStr">
        <is>
          <t>Finalizada</t>
        </is>
      </c>
      <c r="M129" s="13" t="n"/>
      <c r="N129" s="14">
        <f>SI(O([@[Fecha_Programada_Inicio]]="";[@[Fecha_Inicio_Real]]="");"";SI([@[Fecha_Inicio_Real]]&lt;=[@[Fecha_Programada_Inicio]];"SÍ";"NO"))</f>
        <v/>
      </c>
      <c r="O129" s="14">
        <f>SI(O([@[Fecha_Programada_Fin]]="";[@[Fecha_Cierre_Operativo]]="");"";SI([@[Fecha_Cierre_Operativo]]&lt;=SI([@[Fecha_Nueva_Programada]]&lt;&gt;"";[@[Fecha_Nueva_Programada]];[@[Fecha_Programada_Fin]]);"SÍ";"NO"))</f>
        <v/>
      </c>
      <c r="P129" s="14">
        <f>SI(O([@[Cumpli_Ingreso]]="";[@[Cumpli_Salida]]="");"";SI(Y([@[Cumpli_Ingreso]]="SÍ";[@[Cumpli_Salida]]="SÍ");"SÍ";"NO"))</f>
        <v/>
      </c>
      <c r="Q129" s="15">
        <f>SI(O([@[Fecha_Programada_Fin]]="";[@[Fecha_Cierre_Operativo]]="");"";MAX(0;ENTERO([@[Fecha_Cierre_Operativo]])-ENTERO(SI([@[Fecha_Nueva_Programada]]&lt;&gt;"";[@[Fecha_Nueva_Programada]];[@[Fecha_Programada_Fin]])))</f>
        <v/>
      </c>
      <c r="R129" s="12" t="inlineStr">
        <is>
          <t>N/A - A Tiempo</t>
        </is>
      </c>
      <c r="S129" s="12" t="inlineStr">
        <is>
          <t>Pendiente Firma</t>
        </is>
      </c>
      <c r="T129" s="13" t="n"/>
      <c r="U129" s="12" t="n">
        <v>17</v>
      </c>
      <c r="V129" s="12" t="n"/>
      <c r="W12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29" s="14">
        <f>SI([@SBAN]="";"";BUSCARV([@SBAN];Cronograma_Maestro!$A:$M;6;FALSO))</f>
        <v/>
      </c>
    </row>
    <row r="130">
      <c r="A130" s="11" t="inlineStr">
        <is>
          <t>1446</t>
        </is>
      </c>
      <c r="B130" s="12">
        <f>SI([@SBAN]="";"";BUSCARV([@SBAN];Cronograma_Maestro!$A:$M;2;FALSO))</f>
        <v/>
      </c>
      <c r="C130" s="12">
        <f>SI([@SBAN]="";"";BUSCARV([@SBAN];Cronograma_Maestro!$A:$M;3;FALSO))</f>
        <v/>
      </c>
      <c r="D130" s="12">
        <f>SI([@SBAN]="";"";BUSCARV([@SBAN];Cronograma_Maestro!$A:$M;4;FALSO))</f>
        <v/>
      </c>
      <c r="E130" s="12">
        <f>SI([@SBAN]="";"";BUSCARV([@SBAN];Cronograma_Maestro!$A:$M;5;FALSO))</f>
        <v/>
      </c>
      <c r="F130" s="12" t="inlineStr">
        <is>
          <t>Ever Enrique Esquivel Movilla</t>
        </is>
      </c>
      <c r="G130" s="12" t="inlineStr">
        <is>
          <t>PMU COLSOF</t>
        </is>
      </c>
      <c r="H130" s="13" t="n">
        <v>46275</v>
      </c>
      <c r="I130" s="13" t="n">
        <v>46275</v>
      </c>
      <c r="J130" s="13" t="n"/>
      <c r="K130" s="13" t="n"/>
      <c r="L130" s="12" t="inlineStr">
        <is>
          <t>Programada</t>
        </is>
      </c>
      <c r="M130" s="13" t="n"/>
      <c r="N130" s="14">
        <f>SI(O([@[Fecha_Programada_Inicio]]="";[@[Fecha_Inicio_Real]]="");"";SI([@[Fecha_Inicio_Real]]&lt;=[@[Fecha_Programada_Inicio]];"SÍ";"NO"))</f>
        <v/>
      </c>
      <c r="O130" s="14">
        <f>SI(O([@[Fecha_Programada_Fin]]="";[@[Fecha_Cierre_Operativo]]="");"";SI([@[Fecha_Cierre_Operativo]]&lt;=SI([@[Fecha_Nueva_Programada]]&lt;&gt;"";[@[Fecha_Nueva_Programada]];[@[Fecha_Programada_Fin]]);"SÍ";"NO"))</f>
        <v/>
      </c>
      <c r="P130" s="14">
        <f>SI(O([@[Cumpli_Ingreso]]="";[@[Cumpli_Salida]]="");"";SI(Y([@[Cumpli_Ingreso]]="SÍ";[@[Cumpli_Salida]]="SÍ");"SÍ";"NO"))</f>
        <v/>
      </c>
      <c r="Q130" s="15">
        <f>SI(O([@[Fecha_Programada_Fin]]="";[@[Fecha_Cierre_Operativo]]="");"";MAX(0;ENTERO([@[Fecha_Cierre_Operativo]])-ENTERO(SI([@[Fecha_Nueva_Programada]]&lt;&gt;"";[@[Fecha_Nueva_Programada]];[@[Fecha_Programada_Fin]])))</f>
        <v/>
      </c>
      <c r="R130" s="12" t="n"/>
      <c r="S130" s="12" t="n"/>
      <c r="T130" s="13" t="n"/>
      <c r="U130" s="12" t="n">
        <v>23</v>
      </c>
      <c r="V130" s="12" t="n"/>
      <c r="W13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30" s="14">
        <f>SI([@SBAN]="";"";BUSCARV([@SBAN];Cronograma_Maestro!$A:$M;6;FALSO))</f>
        <v/>
      </c>
    </row>
    <row r="131">
      <c r="A131" s="11" t="inlineStr">
        <is>
          <t>1448</t>
        </is>
      </c>
      <c r="B131" s="12">
        <f>SI([@SBAN]="";"";BUSCARV([@SBAN];Cronograma_Maestro!$A:$M;2;FALSO))</f>
        <v/>
      </c>
      <c r="C131" s="12">
        <f>SI([@SBAN]="";"";BUSCARV([@SBAN];Cronograma_Maestro!$A:$M;3;FALSO))</f>
        <v/>
      </c>
      <c r="D131" s="12">
        <f>SI([@SBAN]="";"";BUSCARV([@SBAN];Cronograma_Maestro!$A:$M;4;FALSO))</f>
        <v/>
      </c>
      <c r="E131" s="12">
        <f>SI([@SBAN]="";"";BUSCARV([@SBAN];Cronograma_Maestro!$A:$M;5;FALSO))</f>
        <v/>
      </c>
      <c r="F131" s="12" t="inlineStr">
        <is>
          <t>Juan Pablo Osorio Ramirez</t>
        </is>
      </c>
      <c r="G131" s="12" t="inlineStr">
        <is>
          <t>PMU COLSOF</t>
        </is>
      </c>
      <c r="H131" s="13" t="n">
        <v>46322</v>
      </c>
      <c r="I131" s="13" t="n">
        <v>46322</v>
      </c>
      <c r="J131" s="13" t="n"/>
      <c r="K131" s="13" t="n"/>
      <c r="L131" s="12" t="inlineStr">
        <is>
          <t>Programada</t>
        </is>
      </c>
      <c r="M131" s="13" t="n"/>
      <c r="N131" s="14">
        <f>SI(O([@[Fecha_Programada_Inicio]]="";[@[Fecha_Inicio_Real]]="");"";SI([@[Fecha_Inicio_Real]]&lt;=[@[Fecha_Programada_Inicio]];"SÍ";"NO"))</f>
        <v/>
      </c>
      <c r="O131" s="14">
        <f>SI(O([@[Fecha_Programada_Fin]]="";[@[Fecha_Cierre_Operativo]]="");"";SI([@[Fecha_Cierre_Operativo]]&lt;=SI([@[Fecha_Nueva_Programada]]&lt;&gt;"";[@[Fecha_Nueva_Programada]];[@[Fecha_Programada_Fin]]);"SÍ";"NO"))</f>
        <v/>
      </c>
      <c r="P131" s="14">
        <f>SI(O([@[Cumpli_Ingreso]]="";[@[Cumpli_Salida]]="");"";SI(Y([@[Cumpli_Ingreso]]="SÍ";[@[Cumpli_Salida]]="SÍ");"SÍ";"NO"))</f>
        <v/>
      </c>
      <c r="Q131" s="15">
        <f>SI(O([@[Fecha_Programada_Fin]]="";[@[Fecha_Cierre_Operativo]]="");"";MAX(0;ENTERO([@[Fecha_Cierre_Operativo]])-ENTERO(SI([@[Fecha_Nueva_Programada]]&lt;&gt;"";[@[Fecha_Nueva_Programada]];[@[Fecha_Programada_Fin]])))</f>
        <v/>
      </c>
      <c r="R131" s="12" t="n"/>
      <c r="S131" s="12" t="n"/>
      <c r="T131" s="13" t="n"/>
      <c r="U131" s="12" t="n">
        <v>13</v>
      </c>
      <c r="V131" s="12" t="n"/>
      <c r="W13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31" s="14">
        <f>SI([@SBAN]="";"";BUSCARV([@SBAN];Cronograma_Maestro!$A:$M;6;FALSO))</f>
        <v/>
      </c>
    </row>
    <row r="132">
      <c r="A132" s="11" t="inlineStr">
        <is>
          <t>1450</t>
        </is>
      </c>
      <c r="B132" s="12">
        <f>SI([@SBAN]="";"";BUSCARV([@SBAN];Cronograma_Maestro!$A:$M;2;FALSO))</f>
        <v/>
      </c>
      <c r="C132" s="12">
        <f>SI([@SBAN]="";"";BUSCARV([@SBAN];Cronograma_Maestro!$A:$M;3;FALSO))</f>
        <v/>
      </c>
      <c r="D132" s="12">
        <f>SI([@SBAN]="";"";BUSCARV([@SBAN];Cronograma_Maestro!$A:$M;4;FALSO))</f>
        <v/>
      </c>
      <c r="E132" s="12">
        <f>SI([@SBAN]="";"";BUSCARV([@SBAN];Cronograma_Maestro!$A:$M;5;FALSO))</f>
        <v/>
      </c>
      <c r="F132" s="12" t="inlineStr">
        <is>
          <t>Ever Enrique Esquivel Movilla</t>
        </is>
      </c>
      <c r="G132" s="12" t="inlineStr">
        <is>
          <t>PMU COLSOF</t>
        </is>
      </c>
      <c r="H132" s="13" t="n">
        <v>46280</v>
      </c>
      <c r="I132" s="13" t="n">
        <v>46280</v>
      </c>
      <c r="J132" s="13" t="n"/>
      <c r="K132" s="13" t="n"/>
      <c r="L132" s="12" t="inlineStr">
        <is>
          <t>Programada</t>
        </is>
      </c>
      <c r="M132" s="13" t="n"/>
      <c r="N132" s="14">
        <f>SI(O([@[Fecha_Programada_Inicio]]="";[@[Fecha_Inicio_Real]]="");"";SI([@[Fecha_Inicio_Real]]&lt;=[@[Fecha_Programada_Inicio]];"SÍ";"NO"))</f>
        <v/>
      </c>
      <c r="O132" s="14">
        <f>SI(O([@[Fecha_Programada_Fin]]="";[@[Fecha_Cierre_Operativo]]="");"";SI([@[Fecha_Cierre_Operativo]]&lt;=SI([@[Fecha_Nueva_Programada]]&lt;&gt;"";[@[Fecha_Nueva_Programada]];[@[Fecha_Programada_Fin]]);"SÍ";"NO"))</f>
        <v/>
      </c>
      <c r="P132" s="14">
        <f>SI(O([@[Cumpli_Ingreso]]="";[@[Cumpli_Salida]]="");"";SI(Y([@[Cumpli_Ingreso]]="SÍ";[@[Cumpli_Salida]]="SÍ");"SÍ";"NO"))</f>
        <v/>
      </c>
      <c r="Q132" s="15">
        <f>SI(O([@[Fecha_Programada_Fin]]="";[@[Fecha_Cierre_Operativo]]="");"";MAX(0;ENTERO([@[Fecha_Cierre_Operativo]])-ENTERO(SI([@[Fecha_Nueva_Programada]]&lt;&gt;"";[@[Fecha_Nueva_Programada]];[@[Fecha_Programada_Fin]])))</f>
        <v/>
      </c>
      <c r="R132" s="12" t="n"/>
      <c r="S132" s="12" t="n"/>
      <c r="T132" s="13" t="n"/>
      <c r="U132" s="12" t="n">
        <v>12</v>
      </c>
      <c r="V132" s="12" t="n"/>
      <c r="W13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32" s="14">
        <f>SI([@SBAN]="";"";BUSCARV([@SBAN];Cronograma_Maestro!$A:$M;6;FALSO))</f>
        <v/>
      </c>
    </row>
    <row r="133">
      <c r="A133" s="11" t="inlineStr">
        <is>
          <t>1452</t>
        </is>
      </c>
      <c r="B133" s="12">
        <f>SI([@SBAN]="";"";BUSCARV([@SBAN];Cronograma_Maestro!$A:$M;2;FALSO))</f>
        <v/>
      </c>
      <c r="C133" s="12">
        <f>SI([@SBAN]="";"";BUSCARV([@SBAN];Cronograma_Maestro!$A:$M;3;FALSO))</f>
        <v/>
      </c>
      <c r="D133" s="12">
        <f>SI([@SBAN]="";"";BUSCARV([@SBAN];Cronograma_Maestro!$A:$M;4;FALSO))</f>
        <v/>
      </c>
      <c r="E133" s="12">
        <f>SI([@SBAN]="";"";BUSCARV([@SBAN];Cronograma_Maestro!$A:$M;5;FALSO))</f>
        <v/>
      </c>
      <c r="F133" s="12" t="inlineStr">
        <is>
          <t>Juan Pablo Osorio Ramirez</t>
        </is>
      </c>
      <c r="G133" s="12" t="inlineStr">
        <is>
          <t>PMU COLSOF</t>
        </is>
      </c>
      <c r="H133" s="13" t="n">
        <v>46315</v>
      </c>
      <c r="I133" s="13" t="n">
        <v>46315</v>
      </c>
      <c r="J133" s="13" t="n"/>
      <c r="K133" s="13" t="n"/>
      <c r="L133" s="12" t="inlineStr">
        <is>
          <t>Programada</t>
        </is>
      </c>
      <c r="M133" s="13" t="n"/>
      <c r="N133" s="14">
        <f>SI(O([@[Fecha_Programada_Inicio]]="";[@[Fecha_Inicio_Real]]="");"";SI([@[Fecha_Inicio_Real]]&lt;=[@[Fecha_Programada_Inicio]];"SÍ";"NO"))</f>
        <v/>
      </c>
      <c r="O133" s="14">
        <f>SI(O([@[Fecha_Programada_Fin]]="";[@[Fecha_Cierre_Operativo]]="");"";SI([@[Fecha_Cierre_Operativo]]&lt;=SI([@[Fecha_Nueva_Programada]]&lt;&gt;"";[@[Fecha_Nueva_Programada]];[@[Fecha_Programada_Fin]]);"SÍ";"NO"))</f>
        <v/>
      </c>
      <c r="P133" s="14">
        <f>SI(O([@[Cumpli_Ingreso]]="";[@[Cumpli_Salida]]="");"";SI(Y([@[Cumpli_Ingreso]]="SÍ";[@[Cumpli_Salida]]="SÍ");"SÍ";"NO"))</f>
        <v/>
      </c>
      <c r="Q133" s="15">
        <f>SI(O([@[Fecha_Programada_Fin]]="";[@[Fecha_Cierre_Operativo]]="");"";MAX(0;ENTERO([@[Fecha_Cierre_Operativo]])-ENTERO(SI([@[Fecha_Nueva_Programada]]&lt;&gt;"";[@[Fecha_Nueva_Programada]];[@[Fecha_Programada_Fin]])))</f>
        <v/>
      </c>
      <c r="R133" s="12" t="n"/>
      <c r="S133" s="12" t="n"/>
      <c r="T133" s="13" t="n"/>
      <c r="U133" s="12" t="n">
        <v>12</v>
      </c>
      <c r="V133" s="12" t="n"/>
      <c r="W13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33" s="14">
        <f>SI([@SBAN]="";"";BUSCARV([@SBAN];Cronograma_Maestro!$A:$M;6;FALSO))</f>
        <v/>
      </c>
    </row>
    <row r="134">
      <c r="A134" s="11" t="inlineStr">
        <is>
          <t>1454</t>
        </is>
      </c>
      <c r="B134" s="12">
        <f>SI([@SBAN]="";"";BUSCARV([@SBAN];Cronograma_Maestro!$A:$M;2;FALSO))</f>
        <v/>
      </c>
      <c r="C134" s="12">
        <f>SI([@SBAN]="";"";BUSCARV([@SBAN];Cronograma_Maestro!$A:$M;3;FALSO))</f>
        <v/>
      </c>
      <c r="D134" s="12">
        <f>SI([@SBAN]="";"";BUSCARV([@SBAN];Cronograma_Maestro!$A:$M;4;FALSO))</f>
        <v/>
      </c>
      <c r="E134" s="12">
        <f>SI([@SBAN]="";"";BUSCARV([@SBAN];Cronograma_Maestro!$A:$M;5;FALSO))</f>
        <v/>
      </c>
      <c r="F134" s="12" t="inlineStr">
        <is>
          <t>Juan Pablo Osorio Ramirez</t>
        </is>
      </c>
      <c r="G134" s="12" t="inlineStr">
        <is>
          <t>PMU COLSOF</t>
        </is>
      </c>
      <c r="H134" s="13" t="n">
        <v>46288</v>
      </c>
      <c r="I134" s="13" t="n">
        <v>46288</v>
      </c>
      <c r="J134" s="13" t="n"/>
      <c r="K134" s="13" t="n"/>
      <c r="L134" s="12" t="inlineStr">
        <is>
          <t>Programada</t>
        </is>
      </c>
      <c r="M134" s="13" t="n"/>
      <c r="N134" s="14">
        <f>SI(O([@[Fecha_Programada_Inicio]]="";[@[Fecha_Inicio_Real]]="");"";SI([@[Fecha_Inicio_Real]]&lt;=[@[Fecha_Programada_Inicio]];"SÍ";"NO"))</f>
        <v/>
      </c>
      <c r="O134" s="14">
        <f>SI(O([@[Fecha_Programada_Fin]]="";[@[Fecha_Cierre_Operativo]]="");"";SI([@[Fecha_Cierre_Operativo]]&lt;=SI([@[Fecha_Nueva_Programada]]&lt;&gt;"";[@[Fecha_Nueva_Programada]];[@[Fecha_Programada_Fin]]);"SÍ";"NO"))</f>
        <v/>
      </c>
      <c r="P134" s="14">
        <f>SI(O([@[Cumpli_Ingreso]]="";[@[Cumpli_Salida]]="");"";SI(Y([@[Cumpli_Ingreso]]="SÍ";[@[Cumpli_Salida]]="SÍ");"SÍ";"NO"))</f>
        <v/>
      </c>
      <c r="Q134" s="15">
        <f>SI(O([@[Fecha_Programada_Fin]]="";[@[Fecha_Cierre_Operativo]]="");"";MAX(0;ENTERO([@[Fecha_Cierre_Operativo]])-ENTERO(SI([@[Fecha_Nueva_Programada]]&lt;&gt;"";[@[Fecha_Nueva_Programada]];[@[Fecha_Programada_Fin]])))</f>
        <v/>
      </c>
      <c r="R134" s="12" t="n"/>
      <c r="S134" s="12" t="n"/>
      <c r="T134" s="13" t="n"/>
      <c r="U134" s="12" t="n">
        <v>20</v>
      </c>
      <c r="V134" s="12" t="n"/>
      <c r="W13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34" s="14">
        <f>SI([@SBAN]="";"";BUSCARV([@SBAN];Cronograma_Maestro!$A:$M;6;FALSO))</f>
        <v/>
      </c>
    </row>
    <row r="135">
      <c r="A135" s="11" t="inlineStr">
        <is>
          <t>1456</t>
        </is>
      </c>
      <c r="B135" s="12">
        <f>SI([@SBAN]="";"";BUSCARV([@SBAN];Cronograma_Maestro!$A:$M;2;FALSO))</f>
        <v/>
      </c>
      <c r="C135" s="12">
        <f>SI([@SBAN]="";"";BUSCARV([@SBAN];Cronograma_Maestro!$A:$M;3;FALSO))</f>
        <v/>
      </c>
      <c r="D135" s="12">
        <f>SI([@SBAN]="";"";BUSCARV([@SBAN];Cronograma_Maestro!$A:$M;4;FALSO))</f>
        <v/>
      </c>
      <c r="E135" s="12">
        <f>SI([@SBAN]="";"";BUSCARV([@SBAN];Cronograma_Maestro!$A:$M;5;FALSO))</f>
        <v/>
      </c>
      <c r="F135" s="12" t="inlineStr">
        <is>
          <t>Juan Pablo Osorio Ramirez</t>
        </is>
      </c>
      <c r="G135" s="12" t="inlineStr">
        <is>
          <t>PMU COLSOF</t>
        </is>
      </c>
      <c r="H135" s="13" t="n">
        <v>46287</v>
      </c>
      <c r="I135" s="13" t="n">
        <v>46287</v>
      </c>
      <c r="J135" s="13" t="n"/>
      <c r="K135" s="13" t="n"/>
      <c r="L135" s="12" t="inlineStr">
        <is>
          <t>Programada</t>
        </is>
      </c>
      <c r="M135" s="13" t="n"/>
      <c r="N135" s="14">
        <f>SI(O([@[Fecha_Programada_Inicio]]="";[@[Fecha_Inicio_Real]]="");"";SI([@[Fecha_Inicio_Real]]&lt;=[@[Fecha_Programada_Inicio]];"SÍ";"NO"))</f>
        <v/>
      </c>
      <c r="O135" s="14">
        <f>SI(O([@[Fecha_Programada_Fin]]="";[@[Fecha_Cierre_Operativo]]="");"";SI([@[Fecha_Cierre_Operativo]]&lt;=SI([@[Fecha_Nueva_Programada]]&lt;&gt;"";[@[Fecha_Nueva_Programada]];[@[Fecha_Programada_Fin]]);"SÍ";"NO"))</f>
        <v/>
      </c>
      <c r="P135" s="14">
        <f>SI(O([@[Cumpli_Ingreso]]="";[@[Cumpli_Salida]]="");"";SI(Y([@[Cumpli_Ingreso]]="SÍ";[@[Cumpli_Salida]]="SÍ");"SÍ";"NO"))</f>
        <v/>
      </c>
      <c r="Q135" s="15">
        <f>SI(O([@[Fecha_Programada_Fin]]="";[@[Fecha_Cierre_Operativo]]="");"";MAX(0;ENTERO([@[Fecha_Cierre_Operativo]])-ENTERO(SI([@[Fecha_Nueva_Programada]]&lt;&gt;"";[@[Fecha_Nueva_Programada]];[@[Fecha_Programada_Fin]])))</f>
        <v/>
      </c>
      <c r="R135" s="12" t="n"/>
      <c r="S135" s="12" t="n"/>
      <c r="T135" s="13" t="n"/>
      <c r="U135" s="12" t="n">
        <v>13</v>
      </c>
      <c r="V135" s="12" t="n"/>
      <c r="W13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35" s="14">
        <f>SI([@SBAN]="";"";BUSCARV([@SBAN];Cronograma_Maestro!$A:$M;6;FALSO))</f>
        <v/>
      </c>
    </row>
    <row r="136">
      <c r="A136" s="11" t="inlineStr">
        <is>
          <t>1460</t>
        </is>
      </c>
      <c r="B136" s="12">
        <f>SI([@SBAN]="";"";BUSCARV([@SBAN];Cronograma_Maestro!$A:$M;2;FALSO))</f>
        <v/>
      </c>
      <c r="C136" s="12">
        <f>SI([@SBAN]="";"";BUSCARV([@SBAN];Cronograma_Maestro!$A:$M;3;FALSO))</f>
        <v/>
      </c>
      <c r="D136" s="12">
        <f>SI([@SBAN]="";"";BUSCARV([@SBAN];Cronograma_Maestro!$A:$M;4;FALSO))</f>
        <v/>
      </c>
      <c r="E136" s="12">
        <f>SI([@SBAN]="";"";BUSCARV([@SBAN];Cronograma_Maestro!$A:$M;5;FALSO))</f>
        <v/>
      </c>
      <c r="F136" s="12" t="inlineStr">
        <is>
          <t>Ever Enrique Esquivel Movilla</t>
        </is>
      </c>
      <c r="G136" s="12" t="inlineStr">
        <is>
          <t>PMU COLSOF</t>
        </is>
      </c>
      <c r="H136" s="13" t="n">
        <v>46289</v>
      </c>
      <c r="I136" s="13" t="n">
        <v>46289</v>
      </c>
      <c r="J136" s="13" t="n"/>
      <c r="K136" s="13" t="n"/>
      <c r="L136" s="12" t="inlineStr">
        <is>
          <t>Programada</t>
        </is>
      </c>
      <c r="M136" s="13" t="n"/>
      <c r="N136" s="14">
        <f>SI(O([@[Fecha_Programada_Inicio]]="";[@[Fecha_Inicio_Real]]="");"";SI([@[Fecha_Inicio_Real]]&lt;=[@[Fecha_Programada_Inicio]];"SÍ";"NO"))</f>
        <v/>
      </c>
      <c r="O136" s="14">
        <f>SI(O([@[Fecha_Programada_Fin]]="";[@[Fecha_Cierre_Operativo]]="");"";SI([@[Fecha_Cierre_Operativo]]&lt;=SI([@[Fecha_Nueva_Programada]]&lt;&gt;"";[@[Fecha_Nueva_Programada]];[@[Fecha_Programada_Fin]]);"SÍ";"NO"))</f>
        <v/>
      </c>
      <c r="P136" s="14">
        <f>SI(O([@[Cumpli_Ingreso]]="";[@[Cumpli_Salida]]="");"";SI(Y([@[Cumpli_Ingreso]]="SÍ";[@[Cumpli_Salida]]="SÍ");"SÍ";"NO"))</f>
        <v/>
      </c>
      <c r="Q136" s="15">
        <f>SI(O([@[Fecha_Programada_Fin]]="";[@[Fecha_Cierre_Operativo]]="");"";MAX(0;ENTERO([@[Fecha_Cierre_Operativo]])-ENTERO(SI([@[Fecha_Nueva_Programada]]&lt;&gt;"";[@[Fecha_Nueva_Programada]];[@[Fecha_Programada_Fin]])))</f>
        <v/>
      </c>
      <c r="R136" s="12" t="n"/>
      <c r="S136" s="12" t="n"/>
      <c r="T136" s="13" t="n"/>
      <c r="U136" s="12" t="n">
        <v>13</v>
      </c>
      <c r="V136" s="12" t="n"/>
      <c r="W13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36" s="14">
        <f>SI([@SBAN]="";"";BUSCARV([@SBAN];Cronograma_Maestro!$A:$M;6;FALSO))</f>
        <v/>
      </c>
    </row>
    <row r="137">
      <c r="A137" s="11" t="inlineStr">
        <is>
          <t>1462</t>
        </is>
      </c>
      <c r="B137" s="12">
        <f>SI([@SBAN]="";"";BUSCARV([@SBAN];Cronograma_Maestro!$A:$M;2;FALSO))</f>
        <v/>
      </c>
      <c r="C137" s="12">
        <f>SI([@SBAN]="";"";BUSCARV([@SBAN];Cronograma_Maestro!$A:$M;3;FALSO))</f>
        <v/>
      </c>
      <c r="D137" s="12">
        <f>SI([@SBAN]="";"";BUSCARV([@SBAN];Cronograma_Maestro!$A:$M;4;FALSO))</f>
        <v/>
      </c>
      <c r="E137" s="12">
        <f>SI([@SBAN]="";"";BUSCARV([@SBAN];Cronograma_Maestro!$A:$M;5;FALSO))</f>
        <v/>
      </c>
      <c r="F137" s="12" t="inlineStr">
        <is>
          <t>Juan Pablo Osorio Ramirez</t>
        </is>
      </c>
      <c r="G137" s="12" t="inlineStr">
        <is>
          <t>PMU COLSOF</t>
        </is>
      </c>
      <c r="H137" s="13" t="n">
        <v>46296</v>
      </c>
      <c r="I137" s="13" t="n">
        <v>46296</v>
      </c>
      <c r="J137" s="13" t="n"/>
      <c r="K137" s="13" t="n"/>
      <c r="L137" s="12" t="inlineStr">
        <is>
          <t>Programada</t>
        </is>
      </c>
      <c r="M137" s="13" t="n"/>
      <c r="N137" s="14">
        <f>SI(O([@[Fecha_Programada_Inicio]]="";[@[Fecha_Inicio_Real]]="");"";SI([@[Fecha_Inicio_Real]]&lt;=[@[Fecha_Programada_Inicio]];"SÍ";"NO"))</f>
        <v/>
      </c>
      <c r="O137" s="14">
        <f>SI(O([@[Fecha_Programada_Fin]]="";[@[Fecha_Cierre_Operativo]]="");"";SI([@[Fecha_Cierre_Operativo]]&lt;=SI([@[Fecha_Nueva_Programada]]&lt;&gt;"";[@[Fecha_Nueva_Programada]];[@[Fecha_Programada_Fin]]);"SÍ";"NO"))</f>
        <v/>
      </c>
      <c r="P137" s="14">
        <f>SI(O([@[Cumpli_Ingreso]]="";[@[Cumpli_Salida]]="");"";SI(Y([@[Cumpli_Ingreso]]="SÍ";[@[Cumpli_Salida]]="SÍ");"SÍ";"NO"))</f>
        <v/>
      </c>
      <c r="Q137" s="15">
        <f>SI(O([@[Fecha_Programada_Fin]]="";[@[Fecha_Cierre_Operativo]]="");"";MAX(0;ENTERO([@[Fecha_Cierre_Operativo]])-ENTERO(SI([@[Fecha_Nueva_Programada]]&lt;&gt;"";[@[Fecha_Nueva_Programada]];[@[Fecha_Programada_Fin]])))</f>
        <v/>
      </c>
      <c r="R137" s="12" t="n"/>
      <c r="S137" s="12" t="n"/>
      <c r="T137" s="13" t="n"/>
      <c r="U137" s="12" t="n">
        <v>12</v>
      </c>
      <c r="V137" s="12" t="n"/>
      <c r="W13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37" s="14">
        <f>SI([@SBAN]="";"";BUSCARV([@SBAN];Cronograma_Maestro!$A:$M;6;FALSO))</f>
        <v/>
      </c>
    </row>
    <row r="138">
      <c r="A138" s="11" t="inlineStr">
        <is>
          <t>1466</t>
        </is>
      </c>
      <c r="B138" s="12">
        <f>SI([@SBAN]="";"";BUSCARV([@SBAN];Cronograma_Maestro!$A:$M;2;FALSO))</f>
        <v/>
      </c>
      <c r="C138" s="12">
        <f>SI([@SBAN]="";"";BUSCARV([@SBAN];Cronograma_Maestro!$A:$M;3;FALSO))</f>
        <v/>
      </c>
      <c r="D138" s="12">
        <f>SI([@SBAN]="";"";BUSCARV([@SBAN];Cronograma_Maestro!$A:$M;4;FALSO))</f>
        <v/>
      </c>
      <c r="E138" s="12">
        <f>SI([@SBAN]="";"";BUSCARV([@SBAN];Cronograma_Maestro!$A:$M;5;FALSO))</f>
        <v/>
      </c>
      <c r="F138" s="12" t="inlineStr">
        <is>
          <t>Juan Pablo Osorio Ramirez</t>
        </is>
      </c>
      <c r="G138" s="12" t="inlineStr">
        <is>
          <t>PMU COLSOF</t>
        </is>
      </c>
      <c r="H138" s="13" t="n">
        <v>46294</v>
      </c>
      <c r="I138" s="13" t="n">
        <v>46294</v>
      </c>
      <c r="J138" s="13" t="n"/>
      <c r="K138" s="13" t="n"/>
      <c r="L138" s="12" t="inlineStr">
        <is>
          <t>Programada</t>
        </is>
      </c>
      <c r="M138" s="13" t="n"/>
      <c r="N138" s="14">
        <f>SI(O([@[Fecha_Programada_Inicio]]="";[@[Fecha_Inicio_Real]]="");"";SI([@[Fecha_Inicio_Real]]&lt;=[@[Fecha_Programada_Inicio]];"SÍ";"NO"))</f>
        <v/>
      </c>
      <c r="O138" s="14">
        <f>SI(O([@[Fecha_Programada_Fin]]="";[@[Fecha_Cierre_Operativo]]="");"";SI([@[Fecha_Cierre_Operativo]]&lt;=SI([@[Fecha_Nueva_Programada]]&lt;&gt;"";[@[Fecha_Nueva_Programada]];[@[Fecha_Programada_Fin]]);"SÍ";"NO"))</f>
        <v/>
      </c>
      <c r="P138" s="14">
        <f>SI(O([@[Cumpli_Ingreso]]="";[@[Cumpli_Salida]]="");"";SI(Y([@[Cumpli_Ingreso]]="SÍ";[@[Cumpli_Salida]]="SÍ");"SÍ";"NO"))</f>
        <v/>
      </c>
      <c r="Q138" s="15">
        <f>SI(O([@[Fecha_Programada_Fin]]="";[@[Fecha_Cierre_Operativo]]="");"";MAX(0;ENTERO([@[Fecha_Cierre_Operativo]])-ENTERO(SI([@[Fecha_Nueva_Programada]]&lt;&gt;"";[@[Fecha_Nueva_Programada]];[@[Fecha_Programada_Fin]])))</f>
        <v/>
      </c>
      <c r="R138" s="12" t="n"/>
      <c r="S138" s="12" t="n"/>
      <c r="T138" s="13" t="n"/>
      <c r="U138" s="12" t="n">
        <v>12</v>
      </c>
      <c r="V138" s="12" t="n"/>
      <c r="W13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38" s="14">
        <f>SI([@SBAN]="";"";BUSCARV([@SBAN];Cronograma_Maestro!$A:$M;6;FALSO))</f>
        <v/>
      </c>
    </row>
    <row r="139">
      <c r="A139" s="11" t="inlineStr">
        <is>
          <t>1470</t>
        </is>
      </c>
      <c r="B139" s="12">
        <f>SI([@SBAN]="";"";BUSCARV([@SBAN];Cronograma_Maestro!$A:$M;2;FALSO))</f>
        <v/>
      </c>
      <c r="C139" s="12">
        <f>SI([@SBAN]="";"";BUSCARV([@SBAN];Cronograma_Maestro!$A:$M;3;FALSO))</f>
        <v/>
      </c>
      <c r="D139" s="12">
        <f>SI([@SBAN]="";"";BUSCARV([@SBAN];Cronograma_Maestro!$A:$M;4;FALSO))</f>
        <v/>
      </c>
      <c r="E139" s="12">
        <f>SI([@SBAN]="";"";BUSCARV([@SBAN];Cronograma_Maestro!$A:$M;5;FALSO))</f>
        <v/>
      </c>
      <c r="F139" s="12" t="inlineStr">
        <is>
          <t>Juan Pablo Osorio Ramirez</t>
        </is>
      </c>
      <c r="G139" s="12" t="inlineStr">
        <is>
          <t>PMU COLSOF</t>
        </is>
      </c>
      <c r="H139" s="13" t="n">
        <v>46323</v>
      </c>
      <c r="I139" s="13" t="n">
        <v>46323</v>
      </c>
      <c r="J139" s="13" t="n"/>
      <c r="K139" s="13" t="n"/>
      <c r="L139" s="12" t="inlineStr">
        <is>
          <t>Programada</t>
        </is>
      </c>
      <c r="M139" s="13" t="n"/>
      <c r="N139" s="14">
        <f>SI(O([@[Fecha_Programada_Inicio]]="";[@[Fecha_Inicio_Real]]="");"";SI([@[Fecha_Inicio_Real]]&lt;=[@[Fecha_Programada_Inicio]];"SÍ";"NO"))</f>
        <v/>
      </c>
      <c r="O139" s="14">
        <f>SI(O([@[Fecha_Programada_Fin]]="";[@[Fecha_Cierre_Operativo]]="");"";SI([@[Fecha_Cierre_Operativo]]&lt;=SI([@[Fecha_Nueva_Programada]]&lt;&gt;"";[@[Fecha_Nueva_Programada]];[@[Fecha_Programada_Fin]]);"SÍ";"NO"))</f>
        <v/>
      </c>
      <c r="P139" s="14">
        <f>SI(O([@[Cumpli_Ingreso]]="";[@[Cumpli_Salida]]="");"";SI(Y([@[Cumpli_Ingreso]]="SÍ";[@[Cumpli_Salida]]="SÍ");"SÍ";"NO"))</f>
        <v/>
      </c>
      <c r="Q139" s="15">
        <f>SI(O([@[Fecha_Programada_Fin]]="";[@[Fecha_Cierre_Operativo]]="");"";MAX(0;ENTERO([@[Fecha_Cierre_Operativo]])-ENTERO(SI([@[Fecha_Nueva_Programada]]&lt;&gt;"";[@[Fecha_Nueva_Programada]];[@[Fecha_Programada_Fin]])))</f>
        <v/>
      </c>
      <c r="R139" s="12" t="n"/>
      <c r="S139" s="12" t="n"/>
      <c r="T139" s="13" t="n"/>
      <c r="U139" s="12" t="n">
        <v>16</v>
      </c>
      <c r="V139" s="12" t="n"/>
      <c r="W13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39" s="14">
        <f>SI([@SBAN]="";"";BUSCARV([@SBAN];Cronograma_Maestro!$A:$M;6;FALSO))</f>
        <v/>
      </c>
    </row>
    <row r="140">
      <c r="A140" s="11" t="inlineStr">
        <is>
          <t>1471</t>
        </is>
      </c>
      <c r="B140" s="12">
        <f>SI([@SBAN]="";"";BUSCARV([@SBAN];Cronograma_Maestro!$A:$M;2;FALSO))</f>
        <v/>
      </c>
      <c r="C140" s="12">
        <f>SI([@SBAN]="";"";BUSCARV([@SBAN];Cronograma_Maestro!$A:$M;3;FALSO))</f>
        <v/>
      </c>
      <c r="D140" s="12">
        <f>SI([@SBAN]="";"";BUSCARV([@SBAN];Cronograma_Maestro!$A:$M;4;FALSO))</f>
        <v/>
      </c>
      <c r="E140" s="12">
        <f>SI([@SBAN]="";"";BUSCARV([@SBAN];Cronograma_Maestro!$A:$M;5;FALSO))</f>
        <v/>
      </c>
      <c r="F140" s="12" t="inlineStr">
        <is>
          <t>Juan Pablo Osorio Ramirez</t>
        </is>
      </c>
      <c r="G140" s="12" t="inlineStr">
        <is>
          <t>PMU COLSOF</t>
        </is>
      </c>
      <c r="H140" s="13" t="n">
        <v>46301</v>
      </c>
      <c r="I140" s="13" t="n">
        <v>46301</v>
      </c>
      <c r="J140" s="13" t="n"/>
      <c r="K140" s="13" t="n"/>
      <c r="L140" s="12" t="inlineStr">
        <is>
          <t>Programada</t>
        </is>
      </c>
      <c r="M140" s="13" t="n"/>
      <c r="N140" s="14">
        <f>SI(O([@[Fecha_Programada_Inicio]]="";[@[Fecha_Inicio_Real]]="");"";SI([@[Fecha_Inicio_Real]]&lt;=[@[Fecha_Programada_Inicio]];"SÍ";"NO"))</f>
        <v/>
      </c>
      <c r="O140" s="14">
        <f>SI(O([@[Fecha_Programada_Fin]]="";[@[Fecha_Cierre_Operativo]]="");"";SI([@[Fecha_Cierre_Operativo]]&lt;=SI([@[Fecha_Nueva_Programada]]&lt;&gt;"";[@[Fecha_Nueva_Programada]];[@[Fecha_Programada_Fin]]);"SÍ";"NO"))</f>
        <v/>
      </c>
      <c r="P140" s="14">
        <f>SI(O([@[Cumpli_Ingreso]]="";[@[Cumpli_Salida]]="");"";SI(Y([@[Cumpli_Ingreso]]="SÍ";[@[Cumpli_Salida]]="SÍ");"SÍ";"NO"))</f>
        <v/>
      </c>
      <c r="Q140" s="15">
        <f>SI(O([@[Fecha_Programada_Fin]]="";[@[Fecha_Cierre_Operativo]]="");"";MAX(0;ENTERO([@[Fecha_Cierre_Operativo]])-ENTERO(SI([@[Fecha_Nueva_Programada]]&lt;&gt;"";[@[Fecha_Nueva_Programada]];[@[Fecha_Programada_Fin]])))</f>
        <v/>
      </c>
      <c r="R140" s="12" t="n"/>
      <c r="S140" s="12" t="n"/>
      <c r="T140" s="13" t="n"/>
      <c r="U140" s="12" t="n">
        <v>12</v>
      </c>
      <c r="V140" s="12" t="n"/>
      <c r="W14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40" s="14">
        <f>SI([@SBAN]="";"";BUSCARV([@SBAN];Cronograma_Maestro!$A:$M;6;FALSO))</f>
        <v/>
      </c>
    </row>
    <row r="141">
      <c r="A141" s="11" t="inlineStr">
        <is>
          <t>1472</t>
        </is>
      </c>
      <c r="B141" s="12">
        <f>SI([@SBAN]="";"";BUSCARV([@SBAN];Cronograma_Maestro!$A:$M;2;FALSO))</f>
        <v/>
      </c>
      <c r="C141" s="12">
        <f>SI([@SBAN]="";"";BUSCARV([@SBAN];Cronograma_Maestro!$A:$M;3;FALSO))</f>
        <v/>
      </c>
      <c r="D141" s="12">
        <f>SI([@SBAN]="";"";BUSCARV([@SBAN];Cronograma_Maestro!$A:$M;4;FALSO))</f>
        <v/>
      </c>
      <c r="E141" s="12">
        <f>SI([@SBAN]="";"";BUSCARV([@SBAN];Cronograma_Maestro!$A:$M;5;FALSO))</f>
        <v/>
      </c>
      <c r="F141" s="12" t="inlineStr">
        <is>
          <t>Juan Pablo Osorio Ramirez</t>
        </is>
      </c>
      <c r="G141" s="12" t="inlineStr">
        <is>
          <t>PMU COLSOF</t>
        </is>
      </c>
      <c r="H141" s="13" t="n">
        <v>46268</v>
      </c>
      <c r="I141" s="13" t="n">
        <v>46268</v>
      </c>
      <c r="J141" s="13" t="n"/>
      <c r="K141" s="13" t="n"/>
      <c r="L141" s="12" t="inlineStr">
        <is>
          <t>Programada</t>
        </is>
      </c>
      <c r="M141" s="13" t="n"/>
      <c r="N141" s="14">
        <f>SI(O([@[Fecha_Programada_Inicio]]="";[@[Fecha_Inicio_Real]]="");"";SI([@[Fecha_Inicio_Real]]&lt;=[@[Fecha_Programada_Inicio]];"SÍ";"NO"))</f>
        <v/>
      </c>
      <c r="O141" s="14">
        <f>SI(O([@[Fecha_Programada_Fin]]="";[@[Fecha_Cierre_Operativo]]="");"";SI([@[Fecha_Cierre_Operativo]]&lt;=SI([@[Fecha_Nueva_Programada]]&lt;&gt;"";[@[Fecha_Nueva_Programada]];[@[Fecha_Programada_Fin]]);"SÍ";"NO"))</f>
        <v/>
      </c>
      <c r="P141" s="14">
        <f>SI(O([@[Cumpli_Ingreso]]="";[@[Cumpli_Salida]]="");"";SI(Y([@[Cumpli_Ingreso]]="SÍ";[@[Cumpli_Salida]]="SÍ");"SÍ";"NO"))</f>
        <v/>
      </c>
      <c r="Q141" s="15">
        <f>SI(O([@[Fecha_Programada_Fin]]="";[@[Fecha_Cierre_Operativo]]="");"";MAX(0;ENTERO([@[Fecha_Cierre_Operativo]])-ENTERO(SI([@[Fecha_Nueva_Programada]]&lt;&gt;"";[@[Fecha_Nueva_Programada]];[@[Fecha_Programada_Fin]])))</f>
        <v/>
      </c>
      <c r="R141" s="12" t="n"/>
      <c r="S141" s="12" t="n"/>
      <c r="T141" s="13" t="n"/>
      <c r="U141" s="12" t="n">
        <v>17</v>
      </c>
      <c r="V141" s="12" t="n"/>
      <c r="W14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41" s="14">
        <f>SI([@SBAN]="";"";BUSCARV([@SBAN];Cronograma_Maestro!$A:$M;6;FALSO))</f>
        <v/>
      </c>
    </row>
    <row r="142">
      <c r="A142" s="11" t="inlineStr">
        <is>
          <t>1474</t>
        </is>
      </c>
      <c r="B142" s="12">
        <f>SI([@SBAN]="";"";BUSCARV([@SBAN];Cronograma_Maestro!$A:$M;2;FALSO))</f>
        <v/>
      </c>
      <c r="C142" s="12">
        <f>SI([@SBAN]="";"";BUSCARV([@SBAN];Cronograma_Maestro!$A:$M;3;FALSO))</f>
        <v/>
      </c>
      <c r="D142" s="12">
        <f>SI([@SBAN]="";"";BUSCARV([@SBAN];Cronograma_Maestro!$A:$M;4;FALSO))</f>
        <v/>
      </c>
      <c r="E142" s="12">
        <f>SI([@SBAN]="";"";BUSCARV([@SBAN];Cronograma_Maestro!$A:$M;5;FALSO))</f>
        <v/>
      </c>
      <c r="F142" s="12" t="inlineStr">
        <is>
          <t>Juan Pablo Osorio Ramirez</t>
        </is>
      </c>
      <c r="G142" s="12" t="inlineStr">
        <is>
          <t>PMU COLSOF</t>
        </is>
      </c>
      <c r="H142" s="13" t="n">
        <v>46301</v>
      </c>
      <c r="I142" s="13" t="n">
        <v>46301</v>
      </c>
      <c r="J142" s="13" t="n"/>
      <c r="K142" s="13" t="n"/>
      <c r="L142" s="12" t="inlineStr">
        <is>
          <t>Programada</t>
        </is>
      </c>
      <c r="M142" s="13" t="n"/>
      <c r="N142" s="14">
        <f>SI(O([@[Fecha_Programada_Inicio]]="";[@[Fecha_Inicio_Real]]="");"";SI([@[Fecha_Inicio_Real]]&lt;=[@[Fecha_Programada_Inicio]];"SÍ";"NO"))</f>
        <v/>
      </c>
      <c r="O142" s="14">
        <f>SI(O([@[Fecha_Programada_Fin]]="";[@[Fecha_Cierre_Operativo]]="");"";SI([@[Fecha_Cierre_Operativo]]&lt;=SI([@[Fecha_Nueva_Programada]]&lt;&gt;"";[@[Fecha_Nueva_Programada]];[@[Fecha_Programada_Fin]]);"SÍ";"NO"))</f>
        <v/>
      </c>
      <c r="P142" s="14">
        <f>SI(O([@[Cumpli_Ingreso]]="";[@[Cumpli_Salida]]="");"";SI(Y([@[Cumpli_Ingreso]]="SÍ";[@[Cumpli_Salida]]="SÍ");"SÍ";"NO"))</f>
        <v/>
      </c>
      <c r="Q142" s="15">
        <f>SI(O([@[Fecha_Programada_Fin]]="";[@[Fecha_Cierre_Operativo]]="");"";MAX(0;ENTERO([@[Fecha_Cierre_Operativo]])-ENTERO(SI([@[Fecha_Nueva_Programada]]&lt;&gt;"";[@[Fecha_Nueva_Programada]];[@[Fecha_Programada_Fin]])))</f>
        <v/>
      </c>
      <c r="R142" s="12" t="n"/>
      <c r="S142" s="12" t="n"/>
      <c r="T142" s="13" t="n"/>
      <c r="U142" s="12" t="n">
        <v>12</v>
      </c>
      <c r="V142" s="12" t="n"/>
      <c r="W14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42" s="14">
        <f>SI([@SBAN]="";"";BUSCARV([@SBAN];Cronograma_Maestro!$A:$M;6;FALSO))</f>
        <v/>
      </c>
    </row>
    <row r="143">
      <c r="A143" s="11" t="inlineStr">
        <is>
          <t>1476</t>
        </is>
      </c>
      <c r="B143" s="12">
        <f>SI([@SBAN]="";"";BUSCARV([@SBAN];Cronograma_Maestro!$A:$M;2;FALSO))</f>
        <v/>
      </c>
      <c r="C143" s="12">
        <f>SI([@SBAN]="";"";BUSCARV([@SBAN];Cronograma_Maestro!$A:$M;3;FALSO))</f>
        <v/>
      </c>
      <c r="D143" s="12">
        <f>SI([@SBAN]="";"";BUSCARV([@SBAN];Cronograma_Maestro!$A:$M;4;FALSO))</f>
        <v/>
      </c>
      <c r="E143" s="12">
        <f>SI([@SBAN]="";"";BUSCARV([@SBAN];Cronograma_Maestro!$A:$M;5;FALSO))</f>
        <v/>
      </c>
      <c r="F143" s="12" t="inlineStr">
        <is>
          <t>Juan Pablo Osorio Ramirez</t>
        </is>
      </c>
      <c r="G143" s="12" t="inlineStr">
        <is>
          <t>PMU COLSOF</t>
        </is>
      </c>
      <c r="H143" s="13" t="n">
        <v>46288</v>
      </c>
      <c r="I143" s="13" t="n">
        <v>46288</v>
      </c>
      <c r="J143" s="13" t="n"/>
      <c r="K143" s="13" t="n"/>
      <c r="L143" s="12" t="inlineStr">
        <is>
          <t>Programada</t>
        </is>
      </c>
      <c r="M143" s="13" t="n"/>
      <c r="N143" s="14">
        <f>SI(O([@[Fecha_Programada_Inicio]]="";[@[Fecha_Inicio_Real]]="");"";SI([@[Fecha_Inicio_Real]]&lt;=[@[Fecha_Programada_Inicio]];"SÍ";"NO"))</f>
        <v/>
      </c>
      <c r="O143" s="14">
        <f>SI(O([@[Fecha_Programada_Fin]]="";[@[Fecha_Cierre_Operativo]]="");"";SI([@[Fecha_Cierre_Operativo]]&lt;=SI([@[Fecha_Nueva_Programada]]&lt;&gt;"";[@[Fecha_Nueva_Programada]];[@[Fecha_Programada_Fin]]);"SÍ";"NO"))</f>
        <v/>
      </c>
      <c r="P143" s="14">
        <f>SI(O([@[Cumpli_Ingreso]]="";[@[Cumpli_Salida]]="");"";SI(Y([@[Cumpli_Ingreso]]="SÍ";[@[Cumpli_Salida]]="SÍ");"SÍ";"NO"))</f>
        <v/>
      </c>
      <c r="Q143" s="15">
        <f>SI(O([@[Fecha_Programada_Fin]]="";[@[Fecha_Cierre_Operativo]]="");"";MAX(0;ENTERO([@[Fecha_Cierre_Operativo]])-ENTERO(SI([@[Fecha_Nueva_Programada]]&lt;&gt;"";[@[Fecha_Nueva_Programada]];[@[Fecha_Programada_Fin]])))</f>
        <v/>
      </c>
      <c r="R143" s="12" t="n"/>
      <c r="S143" s="12" t="n"/>
      <c r="T143" s="13" t="n"/>
      <c r="U143" s="12" t="n">
        <v>27</v>
      </c>
      <c r="V143" s="12" t="n"/>
      <c r="W14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43" s="14">
        <f>SI([@SBAN]="";"";BUSCARV([@SBAN];Cronograma_Maestro!$A:$M;6;FALSO))</f>
        <v/>
      </c>
    </row>
    <row r="144">
      <c r="A144" s="11" t="inlineStr">
        <is>
          <t>1478</t>
        </is>
      </c>
      <c r="B144" s="12">
        <f>SI([@SBAN]="";"";BUSCARV([@SBAN];Cronograma_Maestro!$A:$M;2;FALSO))</f>
        <v/>
      </c>
      <c r="C144" s="12">
        <f>SI([@SBAN]="";"";BUSCARV([@SBAN];Cronograma_Maestro!$A:$M;3;FALSO))</f>
        <v/>
      </c>
      <c r="D144" s="12">
        <f>SI([@SBAN]="";"";BUSCARV([@SBAN];Cronograma_Maestro!$A:$M;4;FALSO))</f>
        <v/>
      </c>
      <c r="E144" s="12">
        <f>SI([@SBAN]="";"";BUSCARV([@SBAN];Cronograma_Maestro!$A:$M;5;FALSO))</f>
        <v/>
      </c>
      <c r="F144" s="12" t="inlineStr">
        <is>
          <t>Ever Enrique Esquivel Movilla</t>
        </is>
      </c>
      <c r="G144" s="12" t="inlineStr">
        <is>
          <t>PMU COLSOF</t>
        </is>
      </c>
      <c r="H144" s="13" t="n">
        <v>46268</v>
      </c>
      <c r="I144" s="13" t="n">
        <v>46268</v>
      </c>
      <c r="J144" s="13" t="n"/>
      <c r="K144" s="13" t="n"/>
      <c r="L144" s="12" t="inlineStr">
        <is>
          <t>Programada</t>
        </is>
      </c>
      <c r="M144" s="13" t="n"/>
      <c r="N144" s="14">
        <f>SI(O([@[Fecha_Programada_Inicio]]="";[@[Fecha_Inicio_Real]]="");"";SI([@[Fecha_Inicio_Real]]&lt;=[@[Fecha_Programada_Inicio]];"SÍ";"NO"))</f>
        <v/>
      </c>
      <c r="O144" s="14">
        <f>SI(O([@[Fecha_Programada_Fin]]="";[@[Fecha_Cierre_Operativo]]="");"";SI([@[Fecha_Cierre_Operativo]]&lt;=SI([@[Fecha_Nueva_Programada]]&lt;&gt;"";[@[Fecha_Nueva_Programada]];[@[Fecha_Programada_Fin]]);"SÍ";"NO"))</f>
        <v/>
      </c>
      <c r="P144" s="14">
        <f>SI(O([@[Cumpli_Ingreso]]="";[@[Cumpli_Salida]]="");"";SI(Y([@[Cumpli_Ingreso]]="SÍ";[@[Cumpli_Salida]]="SÍ");"SÍ";"NO"))</f>
        <v/>
      </c>
      <c r="Q144" s="15">
        <f>SI(O([@[Fecha_Programada_Fin]]="";[@[Fecha_Cierre_Operativo]]="");"";MAX(0;ENTERO([@[Fecha_Cierre_Operativo]])-ENTERO(SI([@[Fecha_Nueva_Programada]]&lt;&gt;"";[@[Fecha_Nueva_Programada]];[@[Fecha_Programada_Fin]])))</f>
        <v/>
      </c>
      <c r="R144" s="12" t="n"/>
      <c r="S144" s="12" t="n"/>
      <c r="T144" s="13" t="n"/>
      <c r="U144" s="12" t="n">
        <v>23</v>
      </c>
      <c r="V144" s="12" t="n"/>
      <c r="W14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44" s="14">
        <f>SI([@SBAN]="";"";BUSCARV([@SBAN];Cronograma_Maestro!$A:$M;6;FALSO))</f>
        <v/>
      </c>
    </row>
    <row r="145">
      <c r="A145" s="11" t="inlineStr">
        <is>
          <t>1480</t>
        </is>
      </c>
      <c r="B145" s="12">
        <f>SI([@SBAN]="";"";BUSCARV([@SBAN];Cronograma_Maestro!$A:$M;2;FALSO))</f>
        <v/>
      </c>
      <c r="C145" s="12">
        <f>SI([@SBAN]="";"";BUSCARV([@SBAN];Cronograma_Maestro!$A:$M;3;FALSO))</f>
        <v/>
      </c>
      <c r="D145" s="12">
        <f>SI([@SBAN]="";"";BUSCARV([@SBAN];Cronograma_Maestro!$A:$M;4;FALSO))</f>
        <v/>
      </c>
      <c r="E145" s="12">
        <f>SI([@SBAN]="";"";BUSCARV([@SBAN];Cronograma_Maestro!$A:$M;5;FALSO))</f>
        <v/>
      </c>
      <c r="F145" s="12" t="inlineStr">
        <is>
          <t>Juan Pablo Osorio Ramirez</t>
        </is>
      </c>
      <c r="G145" s="12" t="inlineStr">
        <is>
          <t>PMU COLSOF</t>
        </is>
      </c>
      <c r="H145" s="13" t="n">
        <v>46315</v>
      </c>
      <c r="I145" s="13" t="n">
        <v>46315</v>
      </c>
      <c r="J145" s="13" t="n"/>
      <c r="K145" s="13" t="n"/>
      <c r="L145" s="12" t="inlineStr">
        <is>
          <t>Programada</t>
        </is>
      </c>
      <c r="M145" s="13" t="n"/>
      <c r="N145" s="14">
        <f>SI(O([@[Fecha_Programada_Inicio]]="";[@[Fecha_Inicio_Real]]="");"";SI([@[Fecha_Inicio_Real]]&lt;=[@[Fecha_Programada_Inicio]];"SÍ";"NO"))</f>
        <v/>
      </c>
      <c r="O145" s="14">
        <f>SI(O([@[Fecha_Programada_Fin]]="";[@[Fecha_Cierre_Operativo]]="");"";SI([@[Fecha_Cierre_Operativo]]&lt;=SI([@[Fecha_Nueva_Programada]]&lt;&gt;"";[@[Fecha_Nueva_Programada]];[@[Fecha_Programada_Fin]]);"SÍ";"NO"))</f>
        <v/>
      </c>
      <c r="P145" s="14">
        <f>SI(O([@[Cumpli_Ingreso]]="";[@[Cumpli_Salida]]="");"";SI(Y([@[Cumpli_Ingreso]]="SÍ";[@[Cumpli_Salida]]="SÍ");"SÍ";"NO"))</f>
        <v/>
      </c>
      <c r="Q145" s="15">
        <f>SI(O([@[Fecha_Programada_Fin]]="";[@[Fecha_Cierre_Operativo]]="");"";MAX(0;ENTERO([@[Fecha_Cierre_Operativo]])-ENTERO(SI([@[Fecha_Nueva_Programada]]&lt;&gt;"";[@[Fecha_Nueva_Programada]];[@[Fecha_Programada_Fin]])))</f>
        <v/>
      </c>
      <c r="R145" s="12" t="n"/>
      <c r="S145" s="12" t="n"/>
      <c r="T145" s="13" t="n"/>
      <c r="U145" s="12" t="n">
        <v>16</v>
      </c>
      <c r="V145" s="12" t="n"/>
      <c r="W14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45" s="14">
        <f>SI([@SBAN]="";"";BUSCARV([@SBAN];Cronograma_Maestro!$A:$M;6;FALSO))</f>
        <v/>
      </c>
    </row>
    <row r="146">
      <c r="A146" s="11" t="inlineStr">
        <is>
          <t>1482</t>
        </is>
      </c>
      <c r="B146" s="12">
        <f>SI([@SBAN]="";"";BUSCARV([@SBAN];Cronograma_Maestro!$A:$M;2;FALSO))</f>
        <v/>
      </c>
      <c r="C146" s="12">
        <f>SI([@SBAN]="";"";BUSCARV([@SBAN];Cronograma_Maestro!$A:$M;3;FALSO))</f>
        <v/>
      </c>
      <c r="D146" s="12">
        <f>SI([@SBAN]="";"";BUSCARV([@SBAN];Cronograma_Maestro!$A:$M;4;FALSO))</f>
        <v/>
      </c>
      <c r="E146" s="12">
        <f>SI([@SBAN]="";"";BUSCARV([@SBAN];Cronograma_Maestro!$A:$M;5;FALSO))</f>
        <v/>
      </c>
      <c r="F146" s="12" t="inlineStr">
        <is>
          <t>Juan Pablo Osorio Ramirez</t>
        </is>
      </c>
      <c r="G146" s="12" t="inlineStr">
        <is>
          <t>PMU COLSOF</t>
        </is>
      </c>
      <c r="H146" s="13" t="n">
        <v>46295</v>
      </c>
      <c r="I146" s="13" t="n">
        <v>46295</v>
      </c>
      <c r="J146" s="13" t="n"/>
      <c r="K146" s="13" t="n"/>
      <c r="L146" s="12" t="inlineStr">
        <is>
          <t>Programada</t>
        </is>
      </c>
      <c r="M146" s="13" t="n"/>
      <c r="N146" s="14">
        <f>SI(O([@[Fecha_Programada_Inicio]]="";[@[Fecha_Inicio_Real]]="");"";SI([@[Fecha_Inicio_Real]]&lt;=[@[Fecha_Programada_Inicio]];"SÍ";"NO"))</f>
        <v/>
      </c>
      <c r="O146" s="14">
        <f>SI(O([@[Fecha_Programada_Fin]]="";[@[Fecha_Cierre_Operativo]]="");"";SI([@[Fecha_Cierre_Operativo]]&lt;=SI([@[Fecha_Nueva_Programada]]&lt;&gt;"";[@[Fecha_Nueva_Programada]];[@[Fecha_Programada_Fin]]);"SÍ";"NO"))</f>
        <v/>
      </c>
      <c r="P146" s="14">
        <f>SI(O([@[Cumpli_Ingreso]]="";[@[Cumpli_Salida]]="");"";SI(Y([@[Cumpli_Ingreso]]="SÍ";[@[Cumpli_Salida]]="SÍ");"SÍ";"NO"))</f>
        <v/>
      </c>
      <c r="Q146" s="15">
        <f>SI(O([@[Fecha_Programada_Fin]]="";[@[Fecha_Cierre_Operativo]]="");"";MAX(0;ENTERO([@[Fecha_Cierre_Operativo]])-ENTERO(SI([@[Fecha_Nueva_Programada]]&lt;&gt;"";[@[Fecha_Nueva_Programada]];[@[Fecha_Programada_Fin]])))</f>
        <v/>
      </c>
      <c r="R146" s="12" t="n"/>
      <c r="S146" s="12" t="n"/>
      <c r="T146" s="13" t="n"/>
      <c r="U146" s="12" t="n">
        <v>12</v>
      </c>
      <c r="V146" s="12" t="n"/>
      <c r="W14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46" s="14">
        <f>SI([@SBAN]="";"";BUSCARV([@SBAN];Cronograma_Maestro!$A:$M;6;FALSO))</f>
        <v/>
      </c>
    </row>
    <row r="147">
      <c r="A147" s="11" t="inlineStr">
        <is>
          <t>1484</t>
        </is>
      </c>
      <c r="B147" s="12">
        <f>SI([@SBAN]="";"";BUSCARV([@SBAN];Cronograma_Maestro!$A:$M;2;FALSO))</f>
        <v/>
      </c>
      <c r="C147" s="12">
        <f>SI([@SBAN]="";"";BUSCARV([@SBAN];Cronograma_Maestro!$A:$M;3;FALSO))</f>
        <v/>
      </c>
      <c r="D147" s="12">
        <f>SI([@SBAN]="";"";BUSCARV([@SBAN];Cronograma_Maestro!$A:$M;4;FALSO))</f>
        <v/>
      </c>
      <c r="E147" s="12">
        <f>SI([@SBAN]="";"";BUSCARV([@SBAN];Cronograma_Maestro!$A:$M;5;FALSO))</f>
        <v/>
      </c>
      <c r="F147" s="12" t="inlineStr">
        <is>
          <t>Ever Enrique Esquivel Movilla</t>
        </is>
      </c>
      <c r="G147" s="12" t="inlineStr">
        <is>
          <t>PMU COLSOF</t>
        </is>
      </c>
      <c r="H147" s="13" t="n">
        <v>46269</v>
      </c>
      <c r="I147" s="13" t="n">
        <v>46269</v>
      </c>
      <c r="J147" s="13" t="n"/>
      <c r="K147" s="13" t="n"/>
      <c r="L147" s="12" t="inlineStr">
        <is>
          <t>Programada</t>
        </is>
      </c>
      <c r="M147" s="13" t="n"/>
      <c r="N147" s="14">
        <f>SI(O([@[Fecha_Programada_Inicio]]="";[@[Fecha_Inicio_Real]]="");"";SI([@[Fecha_Inicio_Real]]&lt;=[@[Fecha_Programada_Inicio]];"SÍ";"NO"))</f>
        <v/>
      </c>
      <c r="O147" s="14">
        <f>SI(O([@[Fecha_Programada_Fin]]="";[@[Fecha_Cierre_Operativo]]="");"";SI([@[Fecha_Cierre_Operativo]]&lt;=SI([@[Fecha_Nueva_Programada]]&lt;&gt;"";[@[Fecha_Nueva_Programada]];[@[Fecha_Programada_Fin]]);"SÍ";"NO"))</f>
        <v/>
      </c>
      <c r="P147" s="14">
        <f>SI(O([@[Cumpli_Ingreso]]="";[@[Cumpli_Salida]]="");"";SI(Y([@[Cumpli_Ingreso]]="SÍ";[@[Cumpli_Salida]]="SÍ");"SÍ";"NO"))</f>
        <v/>
      </c>
      <c r="Q147" s="15">
        <f>SI(O([@[Fecha_Programada_Fin]]="";[@[Fecha_Cierre_Operativo]]="");"";MAX(0;ENTERO([@[Fecha_Cierre_Operativo]])-ENTERO(SI([@[Fecha_Nueva_Programada]]&lt;&gt;"";[@[Fecha_Nueva_Programada]];[@[Fecha_Programada_Fin]])))</f>
        <v/>
      </c>
      <c r="R147" s="12" t="n"/>
      <c r="S147" s="12" t="n"/>
      <c r="T147" s="13" t="n"/>
      <c r="U147" s="12" t="n">
        <v>13</v>
      </c>
      <c r="V147" s="12" t="n"/>
      <c r="W14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47" s="14">
        <f>SI([@SBAN]="";"";BUSCARV([@SBAN];Cronograma_Maestro!$A:$M;6;FALSO))</f>
        <v/>
      </c>
    </row>
    <row r="148">
      <c r="A148" s="11" t="inlineStr">
        <is>
          <t>1486</t>
        </is>
      </c>
      <c r="B148" s="12">
        <f>SI([@SBAN]="";"";BUSCARV([@SBAN];Cronograma_Maestro!$A:$M;2;FALSO))</f>
        <v/>
      </c>
      <c r="C148" s="12">
        <f>SI([@SBAN]="";"";BUSCARV([@SBAN];Cronograma_Maestro!$A:$M;3;FALSO))</f>
        <v/>
      </c>
      <c r="D148" s="12">
        <f>SI([@SBAN]="";"";BUSCARV([@SBAN];Cronograma_Maestro!$A:$M;4;FALSO))</f>
        <v/>
      </c>
      <c r="E148" s="12">
        <f>SI([@SBAN]="";"";BUSCARV([@SBAN];Cronograma_Maestro!$A:$M;5;FALSO))</f>
        <v/>
      </c>
      <c r="F148" s="12" t="inlineStr">
        <is>
          <t>Juan Pablo Osorio Ramirez</t>
        </is>
      </c>
      <c r="G148" s="12" t="inlineStr">
        <is>
          <t>PMU COLSOF</t>
        </is>
      </c>
      <c r="H148" s="13" t="n">
        <v>46281</v>
      </c>
      <c r="I148" s="13" t="n">
        <v>46281</v>
      </c>
      <c r="J148" s="13" t="n"/>
      <c r="K148" s="13" t="n"/>
      <c r="L148" s="12" t="inlineStr">
        <is>
          <t>Programada</t>
        </is>
      </c>
      <c r="M148" s="13" t="n"/>
      <c r="N148" s="14">
        <f>SI(O([@[Fecha_Programada_Inicio]]="";[@[Fecha_Inicio_Real]]="");"";SI([@[Fecha_Inicio_Real]]&lt;=[@[Fecha_Programada_Inicio]];"SÍ";"NO"))</f>
        <v/>
      </c>
      <c r="O148" s="14">
        <f>SI(O([@[Fecha_Programada_Fin]]="";[@[Fecha_Cierre_Operativo]]="");"";SI([@[Fecha_Cierre_Operativo]]&lt;=SI([@[Fecha_Nueva_Programada]]&lt;&gt;"";[@[Fecha_Nueva_Programada]];[@[Fecha_Programada_Fin]]);"SÍ";"NO"))</f>
        <v/>
      </c>
      <c r="P148" s="14">
        <f>SI(O([@[Cumpli_Ingreso]]="";[@[Cumpli_Salida]]="");"";SI(Y([@[Cumpli_Ingreso]]="SÍ";[@[Cumpli_Salida]]="SÍ");"SÍ";"NO"))</f>
        <v/>
      </c>
      <c r="Q148" s="15">
        <f>SI(O([@[Fecha_Programada_Fin]]="";[@[Fecha_Cierre_Operativo]]="");"";MAX(0;ENTERO([@[Fecha_Cierre_Operativo]])-ENTERO(SI([@[Fecha_Nueva_Programada]]&lt;&gt;"";[@[Fecha_Nueva_Programada]];[@[Fecha_Programada_Fin]])))</f>
        <v/>
      </c>
      <c r="R148" s="12" t="n"/>
      <c r="S148" s="12" t="n"/>
      <c r="T148" s="13" t="n"/>
      <c r="U148" s="12" t="n">
        <v>14</v>
      </c>
      <c r="V148" s="12" t="n"/>
      <c r="W14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48" s="14">
        <f>SI([@SBAN]="";"";BUSCARV([@SBAN];Cronograma_Maestro!$A:$M;6;FALSO))</f>
        <v/>
      </c>
    </row>
    <row r="149">
      <c r="A149" s="11" t="inlineStr">
        <is>
          <t>1487</t>
        </is>
      </c>
      <c r="B149" s="12">
        <f>SI([@SBAN]="";"";BUSCARV([@SBAN];Cronograma_Maestro!$A:$M;2;FALSO))</f>
        <v/>
      </c>
      <c r="C149" s="12">
        <f>SI([@SBAN]="";"";BUSCARV([@SBAN];Cronograma_Maestro!$A:$M;3;FALSO))</f>
        <v/>
      </c>
      <c r="D149" s="12">
        <f>SI([@SBAN]="";"";BUSCARV([@SBAN];Cronograma_Maestro!$A:$M;4;FALSO))</f>
        <v/>
      </c>
      <c r="E149" s="12">
        <f>SI([@SBAN]="";"";BUSCARV([@SBAN];Cronograma_Maestro!$A:$M;5;FALSO))</f>
        <v/>
      </c>
      <c r="F149" s="12" t="inlineStr">
        <is>
          <t>Juan Pablo Osorio Ramirez</t>
        </is>
      </c>
      <c r="G149" s="12" t="inlineStr">
        <is>
          <t>PMU COLSOF</t>
        </is>
      </c>
      <c r="H149" s="13" t="n">
        <v>46296</v>
      </c>
      <c r="I149" s="13" t="n">
        <v>46296</v>
      </c>
      <c r="J149" s="13" t="n"/>
      <c r="K149" s="13" t="n"/>
      <c r="L149" s="12" t="inlineStr">
        <is>
          <t>Programada</t>
        </is>
      </c>
      <c r="M149" s="13" t="n"/>
      <c r="N149" s="14">
        <f>SI(O([@[Fecha_Programada_Inicio]]="";[@[Fecha_Inicio_Real]]="");"";SI([@[Fecha_Inicio_Real]]&lt;=[@[Fecha_Programada_Inicio]];"SÍ";"NO"))</f>
        <v/>
      </c>
      <c r="O149" s="14">
        <f>SI(O([@[Fecha_Programada_Fin]]="";[@[Fecha_Cierre_Operativo]]="");"";SI([@[Fecha_Cierre_Operativo]]&lt;=SI([@[Fecha_Nueva_Programada]]&lt;&gt;"";[@[Fecha_Nueva_Programada]];[@[Fecha_Programada_Fin]]);"SÍ";"NO"))</f>
        <v/>
      </c>
      <c r="P149" s="14">
        <f>SI(O([@[Cumpli_Ingreso]]="";[@[Cumpli_Salida]]="");"";SI(Y([@[Cumpli_Ingreso]]="SÍ";[@[Cumpli_Salida]]="SÍ");"SÍ";"NO"))</f>
        <v/>
      </c>
      <c r="Q149" s="15">
        <f>SI(O([@[Fecha_Programada_Fin]]="";[@[Fecha_Cierre_Operativo]]="");"";MAX(0;ENTERO([@[Fecha_Cierre_Operativo]])-ENTERO(SI([@[Fecha_Nueva_Programada]]&lt;&gt;"";[@[Fecha_Nueva_Programada]];[@[Fecha_Programada_Fin]])))</f>
        <v/>
      </c>
      <c r="R149" s="12" t="n"/>
      <c r="S149" s="12" t="n"/>
      <c r="T149" s="13" t="n"/>
      <c r="U149" s="12" t="n">
        <v>16</v>
      </c>
      <c r="V149" s="12" t="n"/>
      <c r="W14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49" s="14">
        <f>SI([@SBAN]="";"";BUSCARV([@SBAN];Cronograma_Maestro!$A:$M;6;FALSO))</f>
        <v/>
      </c>
    </row>
    <row r="150">
      <c r="A150" s="11" t="inlineStr">
        <is>
          <t>1501</t>
        </is>
      </c>
      <c r="B150" s="12">
        <f>SI([@SBAN]="";"";BUSCARV([@SBAN];Cronograma_Maestro!$A:$M;2;FALSO))</f>
        <v/>
      </c>
      <c r="C150" s="12">
        <f>SI([@SBAN]="";"";BUSCARV([@SBAN];Cronograma_Maestro!$A:$M;3;FALSO))</f>
        <v/>
      </c>
      <c r="D150" s="12">
        <f>SI([@SBAN]="";"";BUSCARV([@SBAN];Cronograma_Maestro!$A:$M;4;FALSO))</f>
        <v/>
      </c>
      <c r="E150" s="12">
        <f>SI([@SBAN]="";"";BUSCARV([@SBAN];Cronograma_Maestro!$A:$M;5;FALSO))</f>
        <v/>
      </c>
      <c r="F150" s="12" t="inlineStr">
        <is>
          <t>Luz Nélida Barragán Toro</t>
        </is>
      </c>
      <c r="G150" s="12" t="inlineStr">
        <is>
          <t>PMU COLSOF</t>
        </is>
      </c>
      <c r="H150" s="13" t="n">
        <v>46286</v>
      </c>
      <c r="I150" s="13" t="n">
        <v>46287</v>
      </c>
      <c r="J150" s="13" t="n"/>
      <c r="K150" s="13" t="n"/>
      <c r="L150" s="12" t="inlineStr">
        <is>
          <t>Programada</t>
        </is>
      </c>
      <c r="M150" s="13" t="n"/>
      <c r="N150" s="14">
        <f>SI(O([@[Fecha_Programada_Inicio]]="";[@[Fecha_Inicio_Real]]="");"";SI([@[Fecha_Inicio_Real]]&lt;=[@[Fecha_Programada_Inicio]];"SÍ";"NO"))</f>
        <v/>
      </c>
      <c r="O150" s="14">
        <f>SI(O([@[Fecha_Programada_Fin]]="";[@[Fecha_Cierre_Operativo]]="");"";SI([@[Fecha_Cierre_Operativo]]&lt;=SI([@[Fecha_Nueva_Programada]]&lt;&gt;"";[@[Fecha_Nueva_Programada]];[@[Fecha_Programada_Fin]]);"SÍ";"NO"))</f>
        <v/>
      </c>
      <c r="P150" s="14">
        <f>SI(O([@[Cumpli_Ingreso]]="";[@[Cumpli_Salida]]="");"";SI(Y([@[Cumpli_Ingreso]]="SÍ";[@[Cumpli_Salida]]="SÍ");"SÍ";"NO"))</f>
        <v/>
      </c>
      <c r="Q150" s="15">
        <f>SI(O([@[Fecha_Programada_Fin]]="";[@[Fecha_Cierre_Operativo]]="");"";MAX(0;ENTERO([@[Fecha_Cierre_Operativo]])-ENTERO(SI([@[Fecha_Nueva_Programada]]&lt;&gt;"";[@[Fecha_Nueva_Programada]];[@[Fecha_Programada_Fin]])))</f>
        <v/>
      </c>
      <c r="R150" s="12" t="n"/>
      <c r="S150" s="12" t="n"/>
      <c r="T150" s="13" t="n"/>
      <c r="U150" s="12" t="n">
        <v>23</v>
      </c>
      <c r="V150" s="12" t="n"/>
      <c r="W15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50" s="14">
        <f>SI([@SBAN]="";"";BUSCARV([@SBAN];Cronograma_Maestro!$A:$M;6;FALSO))</f>
        <v/>
      </c>
    </row>
    <row r="151">
      <c r="A151" s="11" t="inlineStr">
        <is>
          <t>1502</t>
        </is>
      </c>
      <c r="B151" s="12">
        <f>SI([@SBAN]="";"";BUSCARV([@SBAN];Cronograma_Maestro!$A:$M;2;FALSO))</f>
        <v/>
      </c>
      <c r="C151" s="12">
        <f>SI([@SBAN]="";"";BUSCARV([@SBAN];Cronograma_Maestro!$A:$M;3;FALSO))</f>
        <v/>
      </c>
      <c r="D151" s="12">
        <f>SI([@SBAN]="";"";BUSCARV([@SBAN];Cronograma_Maestro!$A:$M;4;FALSO))</f>
        <v/>
      </c>
      <c r="E151" s="12">
        <f>SI([@SBAN]="";"";BUSCARV([@SBAN];Cronograma_Maestro!$A:$M;5;FALSO))</f>
        <v/>
      </c>
      <c r="F151" s="12" t="inlineStr">
        <is>
          <t>Andrés Felipe Díaz Noy</t>
        </is>
      </c>
      <c r="G151" s="12" t="inlineStr">
        <is>
          <t>PMU COLSOF</t>
        </is>
      </c>
      <c r="H151" s="13" t="n">
        <v>46286</v>
      </c>
      <c r="I151" s="13" t="n">
        <v>46287</v>
      </c>
      <c r="J151" s="13" t="n"/>
      <c r="K151" s="13" t="n"/>
      <c r="L151" s="12" t="inlineStr">
        <is>
          <t>Programada</t>
        </is>
      </c>
      <c r="M151" s="13" t="n"/>
      <c r="N151" s="14">
        <f>SI(O([@[Fecha_Programada_Inicio]]="";[@[Fecha_Inicio_Real]]="");"";SI([@[Fecha_Inicio_Real]]&lt;=[@[Fecha_Programada_Inicio]];"SÍ";"NO"))</f>
        <v/>
      </c>
      <c r="O151" s="14">
        <f>SI(O([@[Fecha_Programada_Fin]]="";[@[Fecha_Cierre_Operativo]]="");"";SI([@[Fecha_Cierre_Operativo]]&lt;=SI([@[Fecha_Nueva_Programada]]&lt;&gt;"";[@[Fecha_Nueva_Programada]];[@[Fecha_Programada_Fin]]);"SÍ";"NO"))</f>
        <v/>
      </c>
      <c r="P151" s="14">
        <f>SI(O([@[Cumpli_Ingreso]]="";[@[Cumpli_Salida]]="");"";SI(Y([@[Cumpli_Ingreso]]="SÍ";[@[Cumpli_Salida]]="SÍ");"SÍ";"NO"))</f>
        <v/>
      </c>
      <c r="Q151" s="15">
        <f>SI(O([@[Fecha_Programada_Fin]]="";[@[Fecha_Cierre_Operativo]]="");"";MAX(0;ENTERO([@[Fecha_Cierre_Operativo]])-ENTERO(SI([@[Fecha_Nueva_Programada]]&lt;&gt;"";[@[Fecha_Nueva_Programada]];[@[Fecha_Programada_Fin]])))</f>
        <v/>
      </c>
      <c r="R151" s="12" t="n"/>
      <c r="S151" s="12" t="n"/>
      <c r="T151" s="13" t="n"/>
      <c r="U151" s="12" t="n">
        <v>15</v>
      </c>
      <c r="V151" s="12" t="n"/>
      <c r="W15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51" s="14">
        <f>SI([@SBAN]="";"";BUSCARV([@SBAN];Cronograma_Maestro!$A:$M;6;FALSO))</f>
        <v/>
      </c>
    </row>
    <row r="152">
      <c r="A152" s="11" t="inlineStr">
        <is>
          <t>1503</t>
        </is>
      </c>
      <c r="B152" s="12">
        <f>SI([@SBAN]="";"";BUSCARV([@SBAN];Cronograma_Maestro!$A:$M;2;FALSO))</f>
        <v/>
      </c>
      <c r="C152" s="12">
        <f>SI([@SBAN]="";"";BUSCARV([@SBAN];Cronograma_Maestro!$A:$M;3;FALSO))</f>
        <v/>
      </c>
      <c r="D152" s="12">
        <f>SI([@SBAN]="";"";BUSCARV([@SBAN];Cronograma_Maestro!$A:$M;4;FALSO))</f>
        <v/>
      </c>
      <c r="E152" s="12">
        <f>SI([@SBAN]="";"";BUSCARV([@SBAN];Cronograma_Maestro!$A:$M;5;FALSO))</f>
        <v/>
      </c>
      <c r="F152" s="12" t="inlineStr">
        <is>
          <t>CARLOS ENRIQUE CUCHIVAGUEN FORERO</t>
        </is>
      </c>
      <c r="G152" s="12" t="inlineStr">
        <is>
          <t>PMU COLSOF</t>
        </is>
      </c>
      <c r="H152" s="13" t="n">
        <v>46301</v>
      </c>
      <c r="I152" s="13" t="n">
        <v>46311</v>
      </c>
      <c r="J152" s="13" t="n"/>
      <c r="K152" s="13" t="n"/>
      <c r="L152" s="12" t="inlineStr">
        <is>
          <t>Programada</t>
        </is>
      </c>
      <c r="M152" s="13" t="n"/>
      <c r="N152" s="14">
        <f>SI(O([@[Fecha_Programada_Inicio]]="";[@[Fecha_Inicio_Real]]="");"";SI([@[Fecha_Inicio_Real]]&lt;=[@[Fecha_Programada_Inicio]];"SÍ";"NO"))</f>
        <v/>
      </c>
      <c r="O152" s="14">
        <f>SI(O([@[Fecha_Programada_Fin]]="";[@[Fecha_Cierre_Operativo]]="");"";SI([@[Fecha_Cierre_Operativo]]&lt;=SI([@[Fecha_Nueva_Programada]]&lt;&gt;"";[@[Fecha_Nueva_Programada]];[@[Fecha_Programada_Fin]]);"SÍ";"NO"))</f>
        <v/>
      </c>
      <c r="P152" s="14">
        <f>SI(O([@[Cumpli_Ingreso]]="";[@[Cumpli_Salida]]="");"";SI(Y([@[Cumpli_Ingreso]]="SÍ";[@[Cumpli_Salida]]="SÍ");"SÍ";"NO"))</f>
        <v/>
      </c>
      <c r="Q152" s="15">
        <f>SI(O([@[Fecha_Programada_Fin]]="";[@[Fecha_Cierre_Operativo]]="");"";MAX(0;ENTERO([@[Fecha_Cierre_Operativo]])-ENTERO(SI([@[Fecha_Nueva_Programada]]&lt;&gt;"";[@[Fecha_Nueva_Programada]];[@[Fecha_Programada_Fin]])))</f>
        <v/>
      </c>
      <c r="R152" s="12" t="n"/>
      <c r="S152" s="12" t="n"/>
      <c r="T152" s="13" t="n"/>
      <c r="U152" s="12" t="n">
        <v>73</v>
      </c>
      <c r="V152" s="12" t="n"/>
      <c r="W15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52" s="14">
        <f>SI([@SBAN]="";"";BUSCARV([@SBAN];Cronograma_Maestro!$A:$M;6;FALSO))</f>
        <v/>
      </c>
    </row>
    <row r="153">
      <c r="A153" s="11" t="inlineStr">
        <is>
          <t>1504</t>
        </is>
      </c>
      <c r="B153" s="12">
        <f>SI([@SBAN]="";"";BUSCARV([@SBAN];Cronograma_Maestro!$A:$M;2;FALSO))</f>
        <v/>
      </c>
      <c r="C153" s="12">
        <f>SI([@SBAN]="";"";BUSCARV([@SBAN];Cronograma_Maestro!$A:$M;3;FALSO))</f>
        <v/>
      </c>
      <c r="D153" s="12">
        <f>SI([@SBAN]="";"";BUSCARV([@SBAN];Cronograma_Maestro!$A:$M;4;FALSO))</f>
        <v/>
      </c>
      <c r="E153" s="12">
        <f>SI([@SBAN]="";"";BUSCARV([@SBAN];Cronograma_Maestro!$A:$M;5;FALSO))</f>
        <v/>
      </c>
      <c r="F153" s="12" t="inlineStr">
        <is>
          <t>Andrés Felipe Carvajal Pire</t>
        </is>
      </c>
      <c r="G153" s="12" t="inlineStr">
        <is>
          <t>PMU COLSOF</t>
        </is>
      </c>
      <c r="H153" s="13" t="n">
        <v>46267</v>
      </c>
      <c r="I153" s="13" t="n">
        <v>46268</v>
      </c>
      <c r="J153" s="13" t="n"/>
      <c r="K153" s="13" t="n"/>
      <c r="L153" s="12" t="inlineStr">
        <is>
          <t>Programada</t>
        </is>
      </c>
      <c r="M153" s="13" t="n"/>
      <c r="N153" s="14">
        <f>SI(O([@[Fecha_Programada_Inicio]]="";[@[Fecha_Inicio_Real]]="");"";SI([@[Fecha_Inicio_Real]]&lt;=[@[Fecha_Programada_Inicio]];"SÍ";"NO"))</f>
        <v/>
      </c>
      <c r="O153" s="14">
        <f>SI(O([@[Fecha_Programada_Fin]]="";[@[Fecha_Cierre_Operativo]]="");"";SI([@[Fecha_Cierre_Operativo]]&lt;=SI([@[Fecha_Nueva_Programada]]&lt;&gt;"";[@[Fecha_Nueva_Programada]];[@[Fecha_Programada_Fin]]);"SÍ";"NO"))</f>
        <v/>
      </c>
      <c r="P153" s="14">
        <f>SI(O([@[Cumpli_Ingreso]]="";[@[Cumpli_Salida]]="");"";SI(Y([@[Cumpli_Ingreso]]="SÍ";[@[Cumpli_Salida]]="SÍ");"SÍ";"NO"))</f>
        <v/>
      </c>
      <c r="Q153" s="15">
        <f>SI(O([@[Fecha_Programada_Fin]]="";[@[Fecha_Cierre_Operativo]]="");"";MAX(0;ENTERO([@[Fecha_Cierre_Operativo]])-ENTERO(SI([@[Fecha_Nueva_Programada]]&lt;&gt;"";[@[Fecha_Nueva_Programada]];[@[Fecha_Programada_Fin]])))</f>
        <v/>
      </c>
      <c r="R153" s="12" t="n"/>
      <c r="S153" s="12" t="n"/>
      <c r="T153" s="13" t="n"/>
      <c r="U153" s="12" t="n">
        <v>21</v>
      </c>
      <c r="V153" s="12" t="n"/>
      <c r="W15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53" s="14">
        <f>SI([@SBAN]="";"";BUSCARV([@SBAN];Cronograma_Maestro!$A:$M;6;FALSO))</f>
        <v/>
      </c>
    </row>
    <row r="154">
      <c r="A154" s="11" t="inlineStr">
        <is>
          <t>1505</t>
        </is>
      </c>
      <c r="B154" s="12">
        <f>SI([@SBAN]="";"";BUSCARV([@SBAN];Cronograma_Maestro!$A:$M;2;FALSO))</f>
        <v/>
      </c>
      <c r="C154" s="12">
        <f>SI([@SBAN]="";"";BUSCARV([@SBAN];Cronograma_Maestro!$A:$M;3;FALSO))</f>
        <v/>
      </c>
      <c r="D154" s="12">
        <f>SI([@SBAN]="";"";BUSCARV([@SBAN];Cronograma_Maestro!$A:$M;4;FALSO))</f>
        <v/>
      </c>
      <c r="E154" s="12">
        <f>SI([@SBAN]="";"";BUSCARV([@SBAN];Cronograma_Maestro!$A:$M;5;FALSO))</f>
        <v/>
      </c>
      <c r="F154" s="12" t="inlineStr">
        <is>
          <t>CRISTIAN CAMILO DIAZ NOY</t>
        </is>
      </c>
      <c r="G154" s="12" t="inlineStr">
        <is>
          <t>PMU COLSOF</t>
        </is>
      </c>
      <c r="H154" s="13" t="n">
        <v>46275</v>
      </c>
      <c r="I154" s="13" t="n">
        <v>46276</v>
      </c>
      <c r="J154" s="13" t="n"/>
      <c r="K154" s="13" t="n"/>
      <c r="L154" s="12" t="inlineStr">
        <is>
          <t>Programada</t>
        </is>
      </c>
      <c r="M154" s="13" t="n"/>
      <c r="N154" s="14">
        <f>SI(O([@[Fecha_Programada_Inicio]]="";[@[Fecha_Inicio_Real]]="");"";SI([@[Fecha_Inicio_Real]]&lt;=[@[Fecha_Programada_Inicio]];"SÍ";"NO"))</f>
        <v/>
      </c>
      <c r="O154" s="14">
        <f>SI(O([@[Fecha_Programada_Fin]]="";[@[Fecha_Cierre_Operativo]]="");"";SI([@[Fecha_Cierre_Operativo]]&lt;=SI([@[Fecha_Nueva_Programada]]&lt;&gt;"";[@[Fecha_Nueva_Programada]];[@[Fecha_Programada_Fin]]);"SÍ";"NO"))</f>
        <v/>
      </c>
      <c r="P154" s="14">
        <f>SI(O([@[Cumpli_Ingreso]]="";[@[Cumpli_Salida]]="");"";SI(Y([@[Cumpli_Ingreso]]="SÍ";[@[Cumpli_Salida]]="SÍ");"SÍ";"NO"))</f>
        <v/>
      </c>
      <c r="Q154" s="15">
        <f>SI(O([@[Fecha_Programada_Fin]]="";[@[Fecha_Cierre_Operativo]]="");"";MAX(0;ENTERO([@[Fecha_Cierre_Operativo]])-ENTERO(SI([@[Fecha_Nueva_Programada]]&lt;&gt;"";[@[Fecha_Nueva_Programada]];[@[Fecha_Programada_Fin]])))</f>
        <v/>
      </c>
      <c r="R154" s="12" t="n"/>
      <c r="S154" s="12" t="n"/>
      <c r="T154" s="13" t="n"/>
      <c r="U154" s="12" t="n">
        <v>13</v>
      </c>
      <c r="V154" s="12" t="n"/>
      <c r="W15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54" s="14">
        <f>SI([@SBAN]="";"";BUSCARV([@SBAN];Cronograma_Maestro!$A:$M;6;FALSO))</f>
        <v/>
      </c>
    </row>
    <row r="155">
      <c r="A155" s="11" t="inlineStr">
        <is>
          <t>1506</t>
        </is>
      </c>
      <c r="B155" s="12">
        <f>SI([@SBAN]="";"";BUSCARV([@SBAN];Cronograma_Maestro!$A:$M;2;FALSO))</f>
        <v/>
      </c>
      <c r="C155" s="12">
        <f>SI([@SBAN]="";"";BUSCARV([@SBAN];Cronograma_Maestro!$A:$M;3;FALSO))</f>
        <v/>
      </c>
      <c r="D155" s="12">
        <f>SI([@SBAN]="";"";BUSCARV([@SBAN];Cronograma_Maestro!$A:$M;4;FALSO))</f>
        <v/>
      </c>
      <c r="E155" s="12">
        <f>SI([@SBAN]="";"";BUSCARV([@SBAN];Cronograma_Maestro!$A:$M;5;FALSO))</f>
        <v/>
      </c>
      <c r="F155" s="12" t="inlineStr">
        <is>
          <t>Luz Nélida Barragán Toro</t>
        </is>
      </c>
      <c r="G155" s="12" t="inlineStr">
        <is>
          <t>PMU COLSOF</t>
        </is>
      </c>
      <c r="H155" s="13" t="n">
        <v>46266</v>
      </c>
      <c r="I155" s="13" t="n">
        <v>46267</v>
      </c>
      <c r="J155" s="13" t="n">
        <v>46266</v>
      </c>
      <c r="K155" s="13" t="n"/>
      <c r="L155" s="12" t="inlineStr">
        <is>
          <t>En Proceso</t>
        </is>
      </c>
      <c r="M155" s="13" t="n"/>
      <c r="N155" s="14">
        <f>SI(O([@[Fecha_Programada_Inicio]]="";[@[Fecha_Inicio_Real]]="");"";SI([@[Fecha_Inicio_Real]]&lt;=[@[Fecha_Programada_Inicio]];"SÍ";"NO"))</f>
        <v/>
      </c>
      <c r="O155" s="14">
        <f>SI(O([@[Fecha_Programada_Fin]]="";[@[Fecha_Cierre_Operativo]]="");"";SI([@[Fecha_Cierre_Operativo]]&lt;=SI([@[Fecha_Nueva_Programada]]&lt;&gt;"";[@[Fecha_Nueva_Programada]];[@[Fecha_Programada_Fin]]);"SÍ";"NO"))</f>
        <v/>
      </c>
      <c r="P155" s="14">
        <f>SI(O([@[Cumpli_Ingreso]]="";[@[Cumpli_Salida]]="");"";SI(Y([@[Cumpli_Ingreso]]="SÍ";[@[Cumpli_Salida]]="SÍ");"SÍ";"NO"))</f>
        <v/>
      </c>
      <c r="Q155" s="15">
        <f>SI(O([@[Fecha_Programada_Fin]]="";[@[Fecha_Cierre_Operativo]]="");"";MAX(0;ENTERO([@[Fecha_Cierre_Operativo]])-ENTERO(SI([@[Fecha_Nueva_Programada]]&lt;&gt;"";[@[Fecha_Nueva_Programada]];[@[Fecha_Programada_Fin]])))</f>
        <v/>
      </c>
      <c r="R155" s="12" t="n"/>
      <c r="S155" s="12" t="n"/>
      <c r="T155" s="13" t="n"/>
      <c r="U155" s="12" t="n">
        <v>14</v>
      </c>
      <c r="V155" s="12" t="n"/>
      <c r="W15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55" s="14">
        <f>SI([@SBAN]="";"";BUSCARV([@SBAN];Cronograma_Maestro!$A:$M;6;FALSO))</f>
        <v/>
      </c>
    </row>
    <row r="156">
      <c r="A156" s="11" t="inlineStr">
        <is>
          <t>1507</t>
        </is>
      </c>
      <c r="B156" s="12">
        <f>SI([@SBAN]="";"";BUSCARV([@SBAN];Cronograma_Maestro!$A:$M;2;FALSO))</f>
        <v/>
      </c>
      <c r="C156" s="12">
        <f>SI([@SBAN]="";"";BUSCARV([@SBAN];Cronograma_Maestro!$A:$M;3;FALSO))</f>
        <v/>
      </c>
      <c r="D156" s="12">
        <f>SI([@SBAN]="";"";BUSCARV([@SBAN];Cronograma_Maestro!$A:$M;4;FALSO))</f>
        <v/>
      </c>
      <c r="E156" s="12">
        <f>SI([@SBAN]="";"";BUSCARV([@SBAN];Cronograma_Maestro!$A:$M;5;FALSO))</f>
        <v/>
      </c>
      <c r="F156" s="12" t="inlineStr">
        <is>
          <t>Andrés Felipe Díaz Noy</t>
        </is>
      </c>
      <c r="G156" s="12" t="inlineStr">
        <is>
          <t>PMU COLSOF</t>
        </is>
      </c>
      <c r="H156" s="13" t="n">
        <v>46289</v>
      </c>
      <c r="I156" s="13" t="n">
        <v>46290</v>
      </c>
      <c r="J156" s="13" t="n"/>
      <c r="K156" s="13" t="n"/>
      <c r="L156" s="12" t="inlineStr">
        <is>
          <t>Programada</t>
        </is>
      </c>
      <c r="M156" s="13" t="n"/>
      <c r="N156" s="14">
        <f>SI(O([@[Fecha_Programada_Inicio]]="";[@[Fecha_Inicio_Real]]="");"";SI([@[Fecha_Inicio_Real]]&lt;=[@[Fecha_Programada_Inicio]];"SÍ";"NO"))</f>
        <v/>
      </c>
      <c r="O156" s="14">
        <f>SI(O([@[Fecha_Programada_Fin]]="";[@[Fecha_Cierre_Operativo]]="");"";SI([@[Fecha_Cierre_Operativo]]&lt;=SI([@[Fecha_Nueva_Programada]]&lt;&gt;"";[@[Fecha_Nueva_Programada]];[@[Fecha_Programada_Fin]]);"SÍ";"NO"))</f>
        <v/>
      </c>
      <c r="P156" s="14">
        <f>SI(O([@[Cumpli_Ingreso]]="";[@[Cumpli_Salida]]="");"";SI(Y([@[Cumpli_Ingreso]]="SÍ";[@[Cumpli_Salida]]="SÍ");"SÍ";"NO"))</f>
        <v/>
      </c>
      <c r="Q156" s="15">
        <f>SI(O([@[Fecha_Programada_Fin]]="";[@[Fecha_Cierre_Operativo]]="");"";MAX(0;ENTERO([@[Fecha_Cierre_Operativo]])-ENTERO(SI([@[Fecha_Nueva_Programada]]&lt;&gt;"";[@[Fecha_Nueva_Programada]];[@[Fecha_Programada_Fin]])))</f>
        <v/>
      </c>
      <c r="R156" s="12" t="n"/>
      <c r="S156" s="12" t="n"/>
      <c r="T156" s="13" t="n"/>
      <c r="U156" s="12" t="n">
        <v>49</v>
      </c>
      <c r="V156" s="12" t="n"/>
      <c r="W15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56" s="14">
        <f>SI([@SBAN]="";"";BUSCARV([@SBAN];Cronograma_Maestro!$A:$M;6;FALSO))</f>
        <v/>
      </c>
    </row>
    <row r="157">
      <c r="A157" s="11" t="inlineStr">
        <is>
          <t>1509</t>
        </is>
      </c>
      <c r="B157" s="12">
        <f>SI([@SBAN]="";"";BUSCARV([@SBAN];Cronograma_Maestro!$A:$M;2;FALSO))</f>
        <v/>
      </c>
      <c r="C157" s="12">
        <f>SI([@SBAN]="";"";BUSCARV([@SBAN];Cronograma_Maestro!$A:$M;3;FALSO))</f>
        <v/>
      </c>
      <c r="D157" s="12">
        <f>SI([@SBAN]="";"";BUSCARV([@SBAN];Cronograma_Maestro!$A:$M;4;FALSO))</f>
        <v/>
      </c>
      <c r="E157" s="12">
        <f>SI([@SBAN]="";"";BUSCARV([@SBAN];Cronograma_Maestro!$A:$M;5;FALSO))</f>
        <v/>
      </c>
      <c r="F157" s="12" t="inlineStr">
        <is>
          <t>Andrés Felipe Carvajal Pire</t>
        </is>
      </c>
      <c r="G157" s="12" t="inlineStr">
        <is>
          <t>PMU COLSOF</t>
        </is>
      </c>
      <c r="H157" s="13" t="n">
        <v>46274</v>
      </c>
      <c r="I157" s="13" t="n">
        <v>46275</v>
      </c>
      <c r="J157" s="13" t="n"/>
      <c r="K157" s="13" t="n"/>
      <c r="L157" s="12" t="inlineStr">
        <is>
          <t>Programada</t>
        </is>
      </c>
      <c r="M157" s="13" t="n"/>
      <c r="N157" s="14">
        <f>SI(O([@[Fecha_Programada_Inicio]]="";[@[Fecha_Inicio_Real]]="");"";SI([@[Fecha_Inicio_Real]]&lt;=[@[Fecha_Programada_Inicio]];"SÍ";"NO"))</f>
        <v/>
      </c>
      <c r="O157" s="14">
        <f>SI(O([@[Fecha_Programada_Fin]]="";[@[Fecha_Cierre_Operativo]]="");"";SI([@[Fecha_Cierre_Operativo]]&lt;=SI([@[Fecha_Nueva_Programada]]&lt;&gt;"";[@[Fecha_Nueva_Programada]];[@[Fecha_Programada_Fin]]);"SÍ";"NO"))</f>
        <v/>
      </c>
      <c r="P157" s="14">
        <f>SI(O([@[Cumpli_Ingreso]]="";[@[Cumpli_Salida]]="");"";SI(Y([@[Cumpli_Ingreso]]="SÍ";[@[Cumpli_Salida]]="SÍ");"SÍ";"NO"))</f>
        <v/>
      </c>
      <c r="Q157" s="15">
        <f>SI(O([@[Fecha_Programada_Fin]]="";[@[Fecha_Cierre_Operativo]]="");"";MAX(0;ENTERO([@[Fecha_Cierre_Operativo]])-ENTERO(SI([@[Fecha_Nueva_Programada]]&lt;&gt;"";[@[Fecha_Nueva_Programada]];[@[Fecha_Programada_Fin]])))</f>
        <v/>
      </c>
      <c r="R157" s="12" t="n"/>
      <c r="S157" s="12" t="n"/>
      <c r="T157" s="13" t="n"/>
      <c r="U157" s="12" t="n">
        <v>12</v>
      </c>
      <c r="V157" s="12" t="n"/>
      <c r="W15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57" s="14">
        <f>SI([@SBAN]="";"";BUSCARV([@SBAN];Cronograma_Maestro!$A:$M;6;FALSO))</f>
        <v/>
      </c>
    </row>
    <row r="158">
      <c r="A158" s="11" t="inlineStr">
        <is>
          <t>1510</t>
        </is>
      </c>
      <c r="B158" s="12">
        <f>SI([@SBAN]="";"";BUSCARV([@SBAN];Cronograma_Maestro!$A:$M;2;FALSO))</f>
        <v/>
      </c>
      <c r="C158" s="12">
        <f>SI([@SBAN]="";"";BUSCARV([@SBAN];Cronograma_Maestro!$A:$M;3;FALSO))</f>
        <v/>
      </c>
      <c r="D158" s="12">
        <f>SI([@SBAN]="";"";BUSCARV([@SBAN];Cronograma_Maestro!$A:$M;4;FALSO))</f>
        <v/>
      </c>
      <c r="E158" s="12">
        <f>SI([@SBAN]="";"";BUSCARV([@SBAN];Cronograma_Maestro!$A:$M;5;FALSO))</f>
        <v/>
      </c>
      <c r="F158" s="12" t="inlineStr">
        <is>
          <t>Andrés Felipe Carvajal Pire</t>
        </is>
      </c>
      <c r="G158" s="12" t="inlineStr">
        <is>
          <t>PMU COLSOF</t>
        </is>
      </c>
      <c r="H158" s="13" t="n">
        <v>46293</v>
      </c>
      <c r="I158" s="13" t="n">
        <v>46294</v>
      </c>
      <c r="J158" s="13" t="n"/>
      <c r="K158" s="13" t="n"/>
      <c r="L158" s="12" t="inlineStr">
        <is>
          <t>Programada</t>
        </is>
      </c>
      <c r="M158" s="13" t="n"/>
      <c r="N158" s="14">
        <f>SI(O([@[Fecha_Programada_Inicio]]="";[@[Fecha_Inicio_Real]]="");"";SI([@[Fecha_Inicio_Real]]&lt;=[@[Fecha_Programada_Inicio]];"SÍ";"NO"))</f>
        <v/>
      </c>
      <c r="O158" s="14">
        <f>SI(O([@[Fecha_Programada_Fin]]="";[@[Fecha_Cierre_Operativo]]="");"";SI([@[Fecha_Cierre_Operativo]]&lt;=SI([@[Fecha_Nueva_Programada]]&lt;&gt;"";[@[Fecha_Nueva_Programada]];[@[Fecha_Programada_Fin]]);"SÍ";"NO"))</f>
        <v/>
      </c>
      <c r="P158" s="14">
        <f>SI(O([@[Cumpli_Ingreso]]="";[@[Cumpli_Salida]]="");"";SI(Y([@[Cumpli_Ingreso]]="SÍ";[@[Cumpli_Salida]]="SÍ");"SÍ";"NO"))</f>
        <v/>
      </c>
      <c r="Q158" s="15">
        <f>SI(O([@[Fecha_Programada_Fin]]="";[@[Fecha_Cierre_Operativo]]="");"";MAX(0;ENTERO([@[Fecha_Cierre_Operativo]])-ENTERO(SI([@[Fecha_Nueva_Programada]]&lt;&gt;"";[@[Fecha_Nueva_Programada]];[@[Fecha_Programada_Fin]])))</f>
        <v/>
      </c>
      <c r="R158" s="12" t="n"/>
      <c r="S158" s="12" t="n"/>
      <c r="T158" s="13" t="n"/>
      <c r="U158" s="12" t="n">
        <v>14</v>
      </c>
      <c r="V158" s="12" t="n"/>
      <c r="W15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58" s="14">
        <f>SI([@SBAN]="";"";BUSCARV([@SBAN];Cronograma_Maestro!$A:$M;6;FALSO))</f>
        <v/>
      </c>
    </row>
    <row r="159">
      <c r="A159" s="11" t="inlineStr">
        <is>
          <t>1511</t>
        </is>
      </c>
      <c r="B159" s="12">
        <f>SI([@SBAN]="";"";BUSCARV([@SBAN];Cronograma_Maestro!$A:$M;2;FALSO))</f>
        <v/>
      </c>
      <c r="C159" s="12">
        <f>SI([@SBAN]="";"";BUSCARV([@SBAN];Cronograma_Maestro!$A:$M;3;FALSO))</f>
        <v/>
      </c>
      <c r="D159" s="12">
        <f>SI([@SBAN]="";"";BUSCARV([@SBAN];Cronograma_Maestro!$A:$M;4;FALSO))</f>
        <v/>
      </c>
      <c r="E159" s="12">
        <f>SI([@SBAN]="";"";BUSCARV([@SBAN];Cronograma_Maestro!$A:$M;5;FALSO))</f>
        <v/>
      </c>
      <c r="F159" s="12" t="inlineStr">
        <is>
          <t>Andrés Felipe Carvajal Pire</t>
        </is>
      </c>
      <c r="G159" s="12" t="inlineStr">
        <is>
          <t>PMU COLSOF</t>
        </is>
      </c>
      <c r="H159" s="13" t="n">
        <v>46290</v>
      </c>
      <c r="I159" s="13" t="n">
        <v>46290</v>
      </c>
      <c r="J159" s="13" t="n"/>
      <c r="K159" s="13" t="n"/>
      <c r="L159" s="12" t="inlineStr">
        <is>
          <t>Programada</t>
        </is>
      </c>
      <c r="M159" s="13" t="n"/>
      <c r="N159" s="14">
        <f>SI(O([@[Fecha_Programada_Inicio]]="";[@[Fecha_Inicio_Real]]="");"";SI([@[Fecha_Inicio_Real]]&lt;=[@[Fecha_Programada_Inicio]];"SÍ";"NO"))</f>
        <v/>
      </c>
      <c r="O159" s="14">
        <f>SI(O([@[Fecha_Programada_Fin]]="";[@[Fecha_Cierre_Operativo]]="");"";SI([@[Fecha_Cierre_Operativo]]&lt;=SI([@[Fecha_Nueva_Programada]]&lt;&gt;"";[@[Fecha_Nueva_Programada]];[@[Fecha_Programada_Fin]]);"SÍ";"NO"))</f>
        <v/>
      </c>
      <c r="P159" s="14">
        <f>SI(O([@[Cumpli_Ingreso]]="";[@[Cumpli_Salida]]="");"";SI(Y([@[Cumpli_Ingreso]]="SÍ";[@[Cumpli_Salida]]="SÍ");"SÍ";"NO"))</f>
        <v/>
      </c>
      <c r="Q159" s="15">
        <f>SI(O([@[Fecha_Programada_Fin]]="";[@[Fecha_Cierre_Operativo]]="");"";MAX(0;ENTERO([@[Fecha_Cierre_Operativo]])-ENTERO(SI([@[Fecha_Nueva_Programada]]&lt;&gt;"";[@[Fecha_Nueva_Programada]];[@[Fecha_Programada_Fin]])))</f>
        <v/>
      </c>
      <c r="R159" s="12" t="n"/>
      <c r="S159" s="12" t="n"/>
      <c r="T159" s="13" t="n"/>
      <c r="U159" s="12" t="n">
        <v>30</v>
      </c>
      <c r="V159" s="12" t="n"/>
      <c r="W15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59" s="14">
        <f>SI([@SBAN]="";"";BUSCARV([@SBAN];Cronograma_Maestro!$A:$M;6;FALSO))</f>
        <v/>
      </c>
    </row>
    <row r="160">
      <c r="A160" s="11" t="inlineStr">
        <is>
          <t>1512</t>
        </is>
      </c>
      <c r="B160" s="12">
        <f>SI([@SBAN]="";"";BUSCARV([@SBAN];Cronograma_Maestro!$A:$M;2;FALSO))</f>
        <v/>
      </c>
      <c r="C160" s="12">
        <f>SI([@SBAN]="";"";BUSCARV([@SBAN];Cronograma_Maestro!$A:$M;3;FALSO))</f>
        <v/>
      </c>
      <c r="D160" s="12">
        <f>SI([@SBAN]="";"";BUSCARV([@SBAN];Cronograma_Maestro!$A:$M;4;FALSO))</f>
        <v/>
      </c>
      <c r="E160" s="12">
        <f>SI([@SBAN]="";"";BUSCARV([@SBAN];Cronograma_Maestro!$A:$M;5;FALSO))</f>
        <v/>
      </c>
      <c r="F160" s="12" t="inlineStr">
        <is>
          <t>Andrés Felipe Carvajal Pire</t>
        </is>
      </c>
      <c r="G160" s="12" t="inlineStr">
        <is>
          <t>PMU COLSOF</t>
        </is>
      </c>
      <c r="H160" s="13" t="n">
        <v>46273</v>
      </c>
      <c r="I160" s="13" t="n">
        <v>46274</v>
      </c>
      <c r="J160" s="13" t="n"/>
      <c r="K160" s="13" t="n"/>
      <c r="L160" s="12" t="inlineStr">
        <is>
          <t>Programada</t>
        </is>
      </c>
      <c r="M160" s="13" t="n"/>
      <c r="N160" s="14">
        <f>SI(O([@[Fecha_Programada_Inicio]]="";[@[Fecha_Inicio_Real]]="");"";SI([@[Fecha_Inicio_Real]]&lt;=[@[Fecha_Programada_Inicio]];"SÍ";"NO"))</f>
        <v/>
      </c>
      <c r="O160" s="14">
        <f>SI(O([@[Fecha_Programada_Fin]]="";[@[Fecha_Cierre_Operativo]]="");"";SI([@[Fecha_Cierre_Operativo]]&lt;=SI([@[Fecha_Nueva_Programada]]&lt;&gt;"";[@[Fecha_Nueva_Programada]];[@[Fecha_Programada_Fin]]);"SÍ";"NO"))</f>
        <v/>
      </c>
      <c r="P160" s="14">
        <f>SI(O([@[Cumpli_Ingreso]]="";[@[Cumpli_Salida]]="");"";SI(Y([@[Cumpli_Ingreso]]="SÍ";[@[Cumpli_Salida]]="SÍ");"SÍ";"NO"))</f>
        <v/>
      </c>
      <c r="Q160" s="15">
        <f>SI(O([@[Fecha_Programada_Fin]]="";[@[Fecha_Cierre_Operativo]]="");"";MAX(0;ENTERO([@[Fecha_Cierre_Operativo]])-ENTERO(SI([@[Fecha_Nueva_Programada]]&lt;&gt;"";[@[Fecha_Nueva_Programada]];[@[Fecha_Programada_Fin]])))</f>
        <v/>
      </c>
      <c r="R160" s="12" t="n"/>
      <c r="S160" s="12" t="n"/>
      <c r="T160" s="13" t="n"/>
      <c r="U160" s="12" t="n">
        <v>12</v>
      </c>
      <c r="V160" s="12" t="n"/>
      <c r="W16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60" s="14">
        <f>SI([@SBAN]="";"";BUSCARV([@SBAN];Cronograma_Maestro!$A:$M;6;FALSO))</f>
        <v/>
      </c>
    </row>
    <row r="161">
      <c r="A161" s="11" t="inlineStr">
        <is>
          <t>1514</t>
        </is>
      </c>
      <c r="B161" s="12">
        <f>SI([@SBAN]="";"";BUSCARV([@SBAN];Cronograma_Maestro!$A:$M;2;FALSO))</f>
        <v/>
      </c>
      <c r="C161" s="12">
        <f>SI([@SBAN]="";"";BUSCARV([@SBAN];Cronograma_Maestro!$A:$M;3;FALSO))</f>
        <v/>
      </c>
      <c r="D161" s="12">
        <f>SI([@SBAN]="";"";BUSCARV([@SBAN];Cronograma_Maestro!$A:$M;4;FALSO))</f>
        <v/>
      </c>
      <c r="E161" s="12">
        <f>SI([@SBAN]="";"";BUSCARV([@SBAN];Cronograma_Maestro!$A:$M;5;FALSO))</f>
        <v/>
      </c>
      <c r="F161" s="12" t="inlineStr">
        <is>
          <t>Andrés Felipe Díaz Noy</t>
        </is>
      </c>
      <c r="G161" s="12" t="inlineStr">
        <is>
          <t>PMU COLSOF</t>
        </is>
      </c>
      <c r="H161" s="13" t="n">
        <v>46268</v>
      </c>
      <c r="I161" s="13" t="n">
        <v>46269</v>
      </c>
      <c r="J161" s="13" t="n"/>
      <c r="K161" s="13" t="n"/>
      <c r="L161" s="12" t="inlineStr">
        <is>
          <t>Programada</t>
        </is>
      </c>
      <c r="M161" s="13" t="n"/>
      <c r="N161" s="14">
        <f>SI(O([@[Fecha_Programada_Inicio]]="";[@[Fecha_Inicio_Real]]="");"";SI([@[Fecha_Inicio_Real]]&lt;=[@[Fecha_Programada_Inicio]];"SÍ";"NO"))</f>
        <v/>
      </c>
      <c r="O161" s="14">
        <f>SI(O([@[Fecha_Programada_Fin]]="";[@[Fecha_Cierre_Operativo]]="");"";SI([@[Fecha_Cierre_Operativo]]&lt;=SI([@[Fecha_Nueva_Programada]]&lt;&gt;"";[@[Fecha_Nueva_Programada]];[@[Fecha_Programada_Fin]]);"SÍ";"NO"))</f>
        <v/>
      </c>
      <c r="P161" s="14">
        <f>SI(O([@[Cumpli_Ingreso]]="";[@[Cumpli_Salida]]="");"";SI(Y([@[Cumpli_Ingreso]]="SÍ";[@[Cumpli_Salida]]="SÍ");"SÍ";"NO"))</f>
        <v/>
      </c>
      <c r="Q161" s="15">
        <f>SI(O([@[Fecha_Programada_Fin]]="";[@[Fecha_Cierre_Operativo]]="");"";MAX(0;ENTERO([@[Fecha_Cierre_Operativo]])-ENTERO(SI([@[Fecha_Nueva_Programada]]&lt;&gt;"";[@[Fecha_Nueva_Programada]];[@[Fecha_Programada_Fin]])))</f>
        <v/>
      </c>
      <c r="R161" s="12" t="n"/>
      <c r="S161" s="12" t="n"/>
      <c r="T161" s="13" t="n"/>
      <c r="U161" s="12" t="n">
        <v>12</v>
      </c>
      <c r="V161" s="12" t="n"/>
      <c r="W16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61" s="14">
        <f>SI([@SBAN]="";"";BUSCARV([@SBAN];Cronograma_Maestro!$A:$M;6;FALSO))</f>
        <v/>
      </c>
    </row>
    <row r="162">
      <c r="A162" s="11" t="inlineStr">
        <is>
          <t>1515</t>
        </is>
      </c>
      <c r="B162" s="12">
        <f>SI([@SBAN]="";"";BUSCARV([@SBAN];Cronograma_Maestro!$A:$M;2;FALSO))</f>
        <v/>
      </c>
      <c r="C162" s="12">
        <f>SI([@SBAN]="";"";BUSCARV([@SBAN];Cronograma_Maestro!$A:$M;3;FALSO))</f>
        <v/>
      </c>
      <c r="D162" s="12">
        <f>SI([@SBAN]="";"";BUSCARV([@SBAN];Cronograma_Maestro!$A:$M;4;FALSO))</f>
        <v/>
      </c>
      <c r="E162" s="12">
        <f>SI([@SBAN]="";"";BUSCARV([@SBAN];Cronograma_Maestro!$A:$M;5;FALSO))</f>
        <v/>
      </c>
      <c r="F162" s="12" t="inlineStr">
        <is>
          <t>Luz Nélida Barragán Toro</t>
        </is>
      </c>
      <c r="G162" s="12" t="inlineStr">
        <is>
          <t>PMU COLSOF</t>
        </is>
      </c>
      <c r="H162" s="13" t="n">
        <v>46269</v>
      </c>
      <c r="I162" s="13" t="n">
        <v>46269</v>
      </c>
      <c r="J162" s="13" t="n"/>
      <c r="K162" s="13" t="n"/>
      <c r="L162" s="12" t="inlineStr">
        <is>
          <t>Programada</t>
        </is>
      </c>
      <c r="M162" s="13" t="n"/>
      <c r="N162" s="14">
        <f>SI(O([@[Fecha_Programada_Inicio]]="";[@[Fecha_Inicio_Real]]="");"";SI([@[Fecha_Inicio_Real]]&lt;=[@[Fecha_Programada_Inicio]];"SÍ";"NO"))</f>
        <v/>
      </c>
      <c r="O162" s="14">
        <f>SI(O([@[Fecha_Programada_Fin]]="";[@[Fecha_Cierre_Operativo]]="");"";SI([@[Fecha_Cierre_Operativo]]&lt;=SI([@[Fecha_Nueva_Programada]]&lt;&gt;"";[@[Fecha_Nueva_Programada]];[@[Fecha_Programada_Fin]]);"SÍ";"NO"))</f>
        <v/>
      </c>
      <c r="P162" s="14">
        <f>SI(O([@[Cumpli_Ingreso]]="";[@[Cumpli_Salida]]="");"";SI(Y([@[Cumpli_Ingreso]]="SÍ";[@[Cumpli_Salida]]="SÍ");"SÍ";"NO"))</f>
        <v/>
      </c>
      <c r="Q162" s="15">
        <f>SI(O([@[Fecha_Programada_Fin]]="";[@[Fecha_Cierre_Operativo]]="");"";MAX(0;ENTERO([@[Fecha_Cierre_Operativo]])-ENTERO(SI([@[Fecha_Nueva_Programada]]&lt;&gt;"";[@[Fecha_Nueva_Programada]];[@[Fecha_Programada_Fin]])))</f>
        <v/>
      </c>
      <c r="R162" s="12" t="n"/>
      <c r="S162" s="12" t="n"/>
      <c r="T162" s="13" t="n"/>
      <c r="U162" s="12" t="n">
        <v>12</v>
      </c>
      <c r="V162" s="12" t="n"/>
      <c r="W16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62" s="14">
        <f>SI([@SBAN]="";"";BUSCARV([@SBAN];Cronograma_Maestro!$A:$M;6;FALSO))</f>
        <v/>
      </c>
    </row>
    <row r="163">
      <c r="A163" s="11" t="inlineStr">
        <is>
          <t>1516</t>
        </is>
      </c>
      <c r="B163" s="12">
        <f>SI([@SBAN]="";"";BUSCARV([@SBAN];Cronograma_Maestro!$A:$M;2;FALSO))</f>
        <v/>
      </c>
      <c r="C163" s="12">
        <f>SI([@SBAN]="";"";BUSCARV([@SBAN];Cronograma_Maestro!$A:$M;3;FALSO))</f>
        <v/>
      </c>
      <c r="D163" s="12">
        <f>SI([@SBAN]="";"";BUSCARV([@SBAN];Cronograma_Maestro!$A:$M;4;FALSO))</f>
        <v/>
      </c>
      <c r="E163" s="12">
        <f>SI([@SBAN]="";"";BUSCARV([@SBAN];Cronograma_Maestro!$A:$M;5;FALSO))</f>
        <v/>
      </c>
      <c r="F163" s="12" t="inlineStr">
        <is>
          <t>Luz Nélida Barragán Toro</t>
        </is>
      </c>
      <c r="G163" s="12" t="inlineStr">
        <is>
          <t>PMU COLSOF</t>
        </is>
      </c>
      <c r="H163" s="13" t="n">
        <v>46289</v>
      </c>
      <c r="I163" s="13" t="n">
        <v>46290</v>
      </c>
      <c r="J163" s="13" t="n"/>
      <c r="K163" s="13" t="n"/>
      <c r="L163" s="12" t="inlineStr">
        <is>
          <t>Programada</t>
        </is>
      </c>
      <c r="M163" s="13" t="n"/>
      <c r="N163" s="14">
        <f>SI(O([@[Fecha_Programada_Inicio]]="";[@[Fecha_Inicio_Real]]="");"";SI([@[Fecha_Inicio_Real]]&lt;=[@[Fecha_Programada_Inicio]];"SÍ";"NO"))</f>
        <v/>
      </c>
      <c r="O163" s="14">
        <f>SI(O([@[Fecha_Programada_Fin]]="";[@[Fecha_Cierre_Operativo]]="");"";SI([@[Fecha_Cierre_Operativo]]&lt;=SI([@[Fecha_Nueva_Programada]]&lt;&gt;"";[@[Fecha_Nueva_Programada]];[@[Fecha_Programada_Fin]]);"SÍ";"NO"))</f>
        <v/>
      </c>
      <c r="P163" s="14">
        <f>SI(O([@[Cumpli_Ingreso]]="";[@[Cumpli_Salida]]="");"";SI(Y([@[Cumpli_Ingreso]]="SÍ";[@[Cumpli_Salida]]="SÍ");"SÍ";"NO"))</f>
        <v/>
      </c>
      <c r="Q163" s="15">
        <f>SI(O([@[Fecha_Programada_Fin]]="";[@[Fecha_Cierre_Operativo]]="");"";MAX(0;ENTERO([@[Fecha_Cierre_Operativo]])-ENTERO(SI([@[Fecha_Nueva_Programada]]&lt;&gt;"";[@[Fecha_Nueva_Programada]];[@[Fecha_Programada_Fin]])))</f>
        <v/>
      </c>
      <c r="R163" s="12" t="n"/>
      <c r="S163" s="12" t="n"/>
      <c r="T163" s="13" t="n"/>
      <c r="U163" s="12" t="n">
        <v>47</v>
      </c>
      <c r="V163" s="12" t="n"/>
      <c r="W16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63" s="14">
        <f>SI([@SBAN]="";"";BUSCARV([@SBAN];Cronograma_Maestro!$A:$M;6;FALSO))</f>
        <v/>
      </c>
    </row>
    <row r="164">
      <c r="A164" s="11" t="inlineStr">
        <is>
          <t>1518</t>
        </is>
      </c>
      <c r="B164" s="12">
        <f>SI([@SBAN]="";"";BUSCARV([@SBAN];Cronograma_Maestro!$A:$M;2;FALSO))</f>
        <v/>
      </c>
      <c r="C164" s="12">
        <f>SI([@SBAN]="";"";BUSCARV([@SBAN];Cronograma_Maestro!$A:$M;3;FALSO))</f>
        <v/>
      </c>
      <c r="D164" s="12">
        <f>SI([@SBAN]="";"";BUSCARV([@SBAN];Cronograma_Maestro!$A:$M;4;FALSO))</f>
        <v/>
      </c>
      <c r="E164" s="12">
        <f>SI([@SBAN]="";"";BUSCARV([@SBAN];Cronograma_Maestro!$A:$M;5;FALSO))</f>
        <v/>
      </c>
      <c r="F164" s="12" t="inlineStr">
        <is>
          <t>Mauricio Andrés Rivera Páez</t>
        </is>
      </c>
      <c r="G164" s="12" t="inlineStr">
        <is>
          <t>PMU COLSOF</t>
        </is>
      </c>
      <c r="H164" s="13" t="n">
        <v>46275</v>
      </c>
      <c r="I164" s="13" t="n">
        <v>46276</v>
      </c>
      <c r="J164" s="13" t="n"/>
      <c r="K164" s="13" t="n"/>
      <c r="L164" s="12" t="inlineStr">
        <is>
          <t>Programada</t>
        </is>
      </c>
      <c r="M164" s="13" t="n"/>
      <c r="N164" s="14">
        <f>SI(O([@[Fecha_Programada_Inicio]]="";[@[Fecha_Inicio_Real]]="");"";SI([@[Fecha_Inicio_Real]]&lt;=[@[Fecha_Programada_Inicio]];"SÍ";"NO"))</f>
        <v/>
      </c>
      <c r="O164" s="14">
        <f>SI(O([@[Fecha_Programada_Fin]]="";[@[Fecha_Cierre_Operativo]]="");"";SI([@[Fecha_Cierre_Operativo]]&lt;=SI([@[Fecha_Nueva_Programada]]&lt;&gt;"";[@[Fecha_Nueva_Programada]];[@[Fecha_Programada_Fin]]);"SÍ";"NO"))</f>
        <v/>
      </c>
      <c r="P164" s="14">
        <f>SI(O([@[Cumpli_Ingreso]]="";[@[Cumpli_Salida]]="");"";SI(Y([@[Cumpli_Ingreso]]="SÍ";[@[Cumpli_Salida]]="SÍ");"SÍ";"NO"))</f>
        <v/>
      </c>
      <c r="Q164" s="15">
        <f>SI(O([@[Fecha_Programada_Fin]]="";[@[Fecha_Cierre_Operativo]]="");"";MAX(0;ENTERO([@[Fecha_Cierre_Operativo]])-ENTERO(SI([@[Fecha_Nueva_Programada]]&lt;&gt;"";[@[Fecha_Nueva_Programada]];[@[Fecha_Programada_Fin]])))</f>
        <v/>
      </c>
      <c r="R164" s="12" t="n"/>
      <c r="S164" s="12" t="n"/>
      <c r="T164" s="13" t="n"/>
      <c r="U164" s="12" t="n">
        <v>15</v>
      </c>
      <c r="V164" s="12" t="n"/>
      <c r="W16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64" s="14">
        <f>SI([@SBAN]="";"";BUSCARV([@SBAN];Cronograma_Maestro!$A:$M;6;FALSO))</f>
        <v/>
      </c>
    </row>
    <row r="165">
      <c r="A165" s="11" t="inlineStr">
        <is>
          <t>1520</t>
        </is>
      </c>
      <c r="B165" s="12">
        <f>SI([@SBAN]="";"";BUSCARV([@SBAN];Cronograma_Maestro!$A:$M;2;FALSO))</f>
        <v/>
      </c>
      <c r="C165" s="12">
        <f>SI([@SBAN]="";"";BUSCARV([@SBAN];Cronograma_Maestro!$A:$M;3;FALSO))</f>
        <v/>
      </c>
      <c r="D165" s="12">
        <f>SI([@SBAN]="";"";BUSCARV([@SBAN];Cronograma_Maestro!$A:$M;4;FALSO))</f>
        <v/>
      </c>
      <c r="E165" s="12">
        <f>SI([@SBAN]="";"";BUSCARV([@SBAN];Cronograma_Maestro!$A:$M;5;FALSO))</f>
        <v/>
      </c>
      <c r="F165" s="12" t="inlineStr">
        <is>
          <t>Luz Nélida Barragán Toro</t>
        </is>
      </c>
      <c r="G165" s="12" t="inlineStr">
        <is>
          <t>PMU COLSOF</t>
        </is>
      </c>
      <c r="H165" s="13" t="n">
        <v>46282</v>
      </c>
      <c r="I165" s="13" t="n">
        <v>46283</v>
      </c>
      <c r="J165" s="13" t="n"/>
      <c r="K165" s="13" t="n"/>
      <c r="L165" s="12" t="inlineStr">
        <is>
          <t>Programada</t>
        </is>
      </c>
      <c r="M165" s="13" t="n"/>
      <c r="N165" s="14">
        <f>SI(O([@[Fecha_Programada_Inicio]]="";[@[Fecha_Inicio_Real]]="");"";SI([@[Fecha_Inicio_Real]]&lt;=[@[Fecha_Programada_Inicio]];"SÍ";"NO"))</f>
        <v/>
      </c>
      <c r="O165" s="14">
        <f>SI(O([@[Fecha_Programada_Fin]]="";[@[Fecha_Cierre_Operativo]]="");"";SI([@[Fecha_Cierre_Operativo]]&lt;=SI([@[Fecha_Nueva_Programada]]&lt;&gt;"";[@[Fecha_Nueva_Programada]];[@[Fecha_Programada_Fin]]);"SÍ";"NO"))</f>
        <v/>
      </c>
      <c r="P165" s="14">
        <f>SI(O([@[Cumpli_Ingreso]]="";[@[Cumpli_Salida]]="");"";SI(Y([@[Cumpli_Ingreso]]="SÍ";[@[Cumpli_Salida]]="SÍ");"SÍ";"NO"))</f>
        <v/>
      </c>
      <c r="Q165" s="15">
        <f>SI(O([@[Fecha_Programada_Fin]]="";[@[Fecha_Cierre_Operativo]]="");"";MAX(0;ENTERO([@[Fecha_Cierre_Operativo]])-ENTERO(SI([@[Fecha_Nueva_Programada]]&lt;&gt;"";[@[Fecha_Nueva_Programada]];[@[Fecha_Programada_Fin]])))</f>
        <v/>
      </c>
      <c r="R165" s="12" t="n"/>
      <c r="S165" s="12" t="n"/>
      <c r="T165" s="13" t="n"/>
      <c r="U165" s="12" t="n">
        <v>13</v>
      </c>
      <c r="V165" s="12" t="n"/>
      <c r="W16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65" s="14">
        <f>SI([@SBAN]="";"";BUSCARV([@SBAN];Cronograma_Maestro!$A:$M;6;FALSO))</f>
        <v/>
      </c>
    </row>
    <row r="166">
      <c r="A166" s="11" t="inlineStr">
        <is>
          <t>1522</t>
        </is>
      </c>
      <c r="B166" s="12">
        <f>SI([@SBAN]="";"";BUSCARV([@SBAN];Cronograma_Maestro!$A:$M;2;FALSO))</f>
        <v/>
      </c>
      <c r="C166" s="12">
        <f>SI([@SBAN]="";"";BUSCARV([@SBAN];Cronograma_Maestro!$A:$M;3;FALSO))</f>
        <v/>
      </c>
      <c r="D166" s="12">
        <f>SI([@SBAN]="";"";BUSCARV([@SBAN];Cronograma_Maestro!$A:$M;4;FALSO))</f>
        <v/>
      </c>
      <c r="E166" s="12">
        <f>SI([@SBAN]="";"";BUSCARV([@SBAN];Cronograma_Maestro!$A:$M;5;FALSO))</f>
        <v/>
      </c>
      <c r="F166" s="12" t="inlineStr">
        <is>
          <t>Mauricio Andrés Rivera Páez</t>
        </is>
      </c>
      <c r="G166" s="12" t="inlineStr">
        <is>
          <t>PMU COLSOF</t>
        </is>
      </c>
      <c r="H166" s="13" t="n">
        <v>46267</v>
      </c>
      <c r="I166" s="13" t="n">
        <v>46268</v>
      </c>
      <c r="J166" s="13" t="n"/>
      <c r="K166" s="13" t="n"/>
      <c r="L166" s="12" t="inlineStr">
        <is>
          <t>Programada</t>
        </is>
      </c>
      <c r="M166" s="13" t="n"/>
      <c r="N166" s="14">
        <f>SI(O([@[Fecha_Programada_Inicio]]="";[@[Fecha_Inicio_Real]]="");"";SI([@[Fecha_Inicio_Real]]&lt;=[@[Fecha_Programada_Inicio]];"SÍ";"NO"))</f>
        <v/>
      </c>
      <c r="O166" s="14">
        <f>SI(O([@[Fecha_Programada_Fin]]="";[@[Fecha_Cierre_Operativo]]="");"";SI([@[Fecha_Cierre_Operativo]]&lt;=SI([@[Fecha_Nueva_Programada]]&lt;&gt;"";[@[Fecha_Nueva_Programada]];[@[Fecha_Programada_Fin]]);"SÍ";"NO"))</f>
        <v/>
      </c>
      <c r="P166" s="14">
        <f>SI(O([@[Cumpli_Ingreso]]="";[@[Cumpli_Salida]]="");"";SI(Y([@[Cumpli_Ingreso]]="SÍ";[@[Cumpli_Salida]]="SÍ");"SÍ";"NO"))</f>
        <v/>
      </c>
      <c r="Q166" s="15">
        <f>SI(O([@[Fecha_Programada_Fin]]="";[@[Fecha_Cierre_Operativo]]="");"";MAX(0;ENTERO([@[Fecha_Cierre_Operativo]])-ENTERO(SI([@[Fecha_Nueva_Programada]]&lt;&gt;"";[@[Fecha_Nueva_Programada]];[@[Fecha_Programada_Fin]])))</f>
        <v/>
      </c>
      <c r="R166" s="12" t="n"/>
      <c r="S166" s="12" t="n"/>
      <c r="T166" s="13" t="n"/>
      <c r="U166" s="12" t="n">
        <v>12</v>
      </c>
      <c r="V166" s="12" t="n"/>
      <c r="W16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66" s="14">
        <f>SI([@SBAN]="";"";BUSCARV([@SBAN];Cronograma_Maestro!$A:$M;6;FALSO))</f>
        <v/>
      </c>
    </row>
    <row r="167">
      <c r="A167" s="11" t="inlineStr">
        <is>
          <t>1524</t>
        </is>
      </c>
      <c r="B167" s="12">
        <f>SI([@SBAN]="";"";BUSCARV([@SBAN];Cronograma_Maestro!$A:$M;2;FALSO))</f>
        <v/>
      </c>
      <c r="C167" s="12">
        <f>SI([@SBAN]="";"";BUSCARV([@SBAN];Cronograma_Maestro!$A:$M;3;FALSO))</f>
        <v/>
      </c>
      <c r="D167" s="12">
        <f>SI([@SBAN]="";"";BUSCARV([@SBAN];Cronograma_Maestro!$A:$M;4;FALSO))</f>
        <v/>
      </c>
      <c r="E167" s="12">
        <f>SI([@SBAN]="";"";BUSCARV([@SBAN];Cronograma_Maestro!$A:$M;5;FALSO))</f>
        <v/>
      </c>
      <c r="F167" s="12" t="inlineStr">
        <is>
          <t>Luz Nélida Barragán Toro</t>
        </is>
      </c>
      <c r="G167" s="12" t="inlineStr">
        <is>
          <t>PMU COLSOF</t>
        </is>
      </c>
      <c r="H167" s="13" t="n">
        <v>46267</v>
      </c>
      <c r="I167" s="13" t="n">
        <v>46268</v>
      </c>
      <c r="J167" s="13" t="n"/>
      <c r="K167" s="13" t="n"/>
      <c r="L167" s="12" t="inlineStr">
        <is>
          <t>Programada</t>
        </is>
      </c>
      <c r="M167" s="13" t="n"/>
      <c r="N167" s="14">
        <f>SI(O([@[Fecha_Programada_Inicio]]="";[@[Fecha_Inicio_Real]]="");"";SI([@[Fecha_Inicio_Real]]&lt;=[@[Fecha_Programada_Inicio]];"SÍ";"NO"))</f>
        <v/>
      </c>
      <c r="O167" s="14">
        <f>SI(O([@[Fecha_Programada_Fin]]="";[@[Fecha_Cierre_Operativo]]="");"";SI([@[Fecha_Cierre_Operativo]]&lt;=SI([@[Fecha_Nueva_Programada]]&lt;&gt;"";[@[Fecha_Nueva_Programada]];[@[Fecha_Programada_Fin]]);"SÍ";"NO"))</f>
        <v/>
      </c>
      <c r="P167" s="14">
        <f>SI(O([@[Cumpli_Ingreso]]="";[@[Cumpli_Salida]]="");"";SI(Y([@[Cumpli_Ingreso]]="SÍ";[@[Cumpli_Salida]]="SÍ");"SÍ";"NO"))</f>
        <v/>
      </c>
      <c r="Q167" s="15">
        <f>SI(O([@[Fecha_Programada_Fin]]="";[@[Fecha_Cierre_Operativo]]="");"";MAX(0;ENTERO([@[Fecha_Cierre_Operativo]])-ENTERO(SI([@[Fecha_Nueva_Programada]]&lt;&gt;"";[@[Fecha_Nueva_Programada]];[@[Fecha_Programada_Fin]])))</f>
        <v/>
      </c>
      <c r="R167" s="12" t="n"/>
      <c r="S167" s="12" t="n"/>
      <c r="T167" s="13" t="n"/>
      <c r="U167" s="12" t="n">
        <v>16</v>
      </c>
      <c r="V167" s="12" t="n"/>
      <c r="W16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67" s="14">
        <f>SI([@SBAN]="";"";BUSCARV([@SBAN];Cronograma_Maestro!$A:$M;6;FALSO))</f>
        <v/>
      </c>
    </row>
    <row r="168">
      <c r="A168" s="11" t="inlineStr">
        <is>
          <t>1526</t>
        </is>
      </c>
      <c r="B168" s="12">
        <f>SI([@SBAN]="";"";BUSCARV([@SBAN];Cronograma_Maestro!$A:$M;2;FALSO))</f>
        <v/>
      </c>
      <c r="C168" s="12">
        <f>SI([@SBAN]="";"";BUSCARV([@SBAN];Cronograma_Maestro!$A:$M;3;FALSO))</f>
        <v/>
      </c>
      <c r="D168" s="12">
        <f>SI([@SBAN]="";"";BUSCARV([@SBAN];Cronograma_Maestro!$A:$M;4;FALSO))</f>
        <v/>
      </c>
      <c r="E168" s="12">
        <f>SI([@SBAN]="";"";BUSCARV([@SBAN];Cronograma_Maestro!$A:$M;5;FALSO))</f>
        <v/>
      </c>
      <c r="F168" s="12" t="inlineStr">
        <is>
          <t>Luz Nélida Barragán Toro</t>
        </is>
      </c>
      <c r="G168" s="12" t="inlineStr">
        <is>
          <t>PMU COLSOF</t>
        </is>
      </c>
      <c r="H168" s="13" t="n">
        <v>46268</v>
      </c>
      <c r="I168" s="13" t="n">
        <v>46269</v>
      </c>
      <c r="J168" s="13" t="n"/>
      <c r="K168" s="13" t="n"/>
      <c r="L168" s="12" t="inlineStr">
        <is>
          <t>Programada</t>
        </is>
      </c>
      <c r="M168" s="13" t="n"/>
      <c r="N168" s="14">
        <f>SI(O([@[Fecha_Programada_Inicio]]="";[@[Fecha_Inicio_Real]]="");"";SI([@[Fecha_Inicio_Real]]&lt;=[@[Fecha_Programada_Inicio]];"SÍ";"NO"))</f>
        <v/>
      </c>
      <c r="O168" s="14">
        <f>SI(O([@[Fecha_Programada_Fin]]="";[@[Fecha_Cierre_Operativo]]="");"";SI([@[Fecha_Cierre_Operativo]]&lt;=SI([@[Fecha_Nueva_Programada]]&lt;&gt;"";[@[Fecha_Nueva_Programada]];[@[Fecha_Programada_Fin]]);"SÍ";"NO"))</f>
        <v/>
      </c>
      <c r="P168" s="14">
        <f>SI(O([@[Cumpli_Ingreso]]="";[@[Cumpli_Salida]]="");"";SI(Y([@[Cumpli_Ingreso]]="SÍ";[@[Cumpli_Salida]]="SÍ");"SÍ";"NO"))</f>
        <v/>
      </c>
      <c r="Q168" s="15">
        <f>SI(O([@[Fecha_Programada_Fin]]="";[@[Fecha_Cierre_Operativo]]="");"";MAX(0;ENTERO([@[Fecha_Cierre_Operativo]])-ENTERO(SI([@[Fecha_Nueva_Programada]]&lt;&gt;"";[@[Fecha_Nueva_Programada]];[@[Fecha_Programada_Fin]])))</f>
        <v/>
      </c>
      <c r="R168" s="12" t="n"/>
      <c r="S168" s="12" t="n"/>
      <c r="T168" s="13" t="n"/>
      <c r="U168" s="12" t="n">
        <v>12</v>
      </c>
      <c r="V168" s="12" t="n"/>
      <c r="W16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68" s="14">
        <f>SI([@SBAN]="";"";BUSCARV([@SBAN];Cronograma_Maestro!$A:$M;6;FALSO))</f>
        <v/>
      </c>
    </row>
    <row r="169">
      <c r="A169" s="11" t="inlineStr">
        <is>
          <t>1528</t>
        </is>
      </c>
      <c r="B169" s="12">
        <f>SI([@SBAN]="";"";BUSCARV([@SBAN];Cronograma_Maestro!$A:$M;2;FALSO))</f>
        <v/>
      </c>
      <c r="C169" s="12">
        <f>SI([@SBAN]="";"";BUSCARV([@SBAN];Cronograma_Maestro!$A:$M;3;FALSO))</f>
        <v/>
      </c>
      <c r="D169" s="12">
        <f>SI([@SBAN]="";"";BUSCARV([@SBAN];Cronograma_Maestro!$A:$M;4;FALSO))</f>
        <v/>
      </c>
      <c r="E169" s="12">
        <f>SI([@SBAN]="";"";BUSCARV([@SBAN];Cronograma_Maestro!$A:$M;5;FALSO))</f>
        <v/>
      </c>
      <c r="F169" s="12" t="inlineStr">
        <is>
          <t>CRISTIAN CAMILO DIAZ NOY</t>
        </is>
      </c>
      <c r="G169" s="12" t="inlineStr">
        <is>
          <t>PMU COLSOF</t>
        </is>
      </c>
      <c r="H169" s="13" t="n">
        <v>46287</v>
      </c>
      <c r="I169" s="13" t="n">
        <v>46288</v>
      </c>
      <c r="J169" s="13" t="n"/>
      <c r="K169" s="13" t="n"/>
      <c r="L169" s="12" t="inlineStr">
        <is>
          <t>Programada</t>
        </is>
      </c>
      <c r="M169" s="13" t="n"/>
      <c r="N169" s="14">
        <f>SI(O([@[Fecha_Programada_Inicio]]="";[@[Fecha_Inicio_Real]]="");"";SI([@[Fecha_Inicio_Real]]&lt;=[@[Fecha_Programada_Inicio]];"SÍ";"NO"))</f>
        <v/>
      </c>
      <c r="O169" s="14">
        <f>SI(O([@[Fecha_Programada_Fin]]="";[@[Fecha_Cierre_Operativo]]="");"";SI([@[Fecha_Cierre_Operativo]]&lt;=SI([@[Fecha_Nueva_Programada]]&lt;&gt;"";[@[Fecha_Nueva_Programada]];[@[Fecha_Programada_Fin]]);"SÍ";"NO"))</f>
        <v/>
      </c>
      <c r="P169" s="14">
        <f>SI(O([@[Cumpli_Ingreso]]="";[@[Cumpli_Salida]]="");"";SI(Y([@[Cumpli_Ingreso]]="SÍ";[@[Cumpli_Salida]]="SÍ");"SÍ";"NO"))</f>
        <v/>
      </c>
      <c r="Q169" s="15">
        <f>SI(O([@[Fecha_Programada_Fin]]="";[@[Fecha_Cierre_Operativo]]="");"";MAX(0;ENTERO([@[Fecha_Cierre_Operativo]])-ENTERO(SI([@[Fecha_Nueva_Programada]]&lt;&gt;"";[@[Fecha_Nueva_Programada]];[@[Fecha_Programada_Fin]])))</f>
        <v/>
      </c>
      <c r="R169" s="12" t="n"/>
      <c r="S169" s="12" t="n"/>
      <c r="T169" s="13" t="n"/>
      <c r="U169" s="12" t="n">
        <v>12</v>
      </c>
      <c r="V169" s="12" t="n"/>
      <c r="W16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69" s="14">
        <f>SI([@SBAN]="";"";BUSCARV([@SBAN];Cronograma_Maestro!$A:$M;6;FALSO))</f>
        <v/>
      </c>
    </row>
    <row r="170">
      <c r="A170" s="11" t="inlineStr">
        <is>
          <t>1530</t>
        </is>
      </c>
      <c r="B170" s="12">
        <f>SI([@SBAN]="";"";BUSCARV([@SBAN];Cronograma_Maestro!$A:$M;2;FALSO))</f>
        <v/>
      </c>
      <c r="C170" s="12">
        <f>SI([@SBAN]="";"";BUSCARV([@SBAN];Cronograma_Maestro!$A:$M;3;FALSO))</f>
        <v/>
      </c>
      <c r="D170" s="12">
        <f>SI([@SBAN]="";"";BUSCARV([@SBAN];Cronograma_Maestro!$A:$M;4;FALSO))</f>
        <v/>
      </c>
      <c r="E170" s="12">
        <f>SI([@SBAN]="";"";BUSCARV([@SBAN];Cronograma_Maestro!$A:$M;5;FALSO))</f>
        <v/>
      </c>
      <c r="F170" s="12" t="inlineStr">
        <is>
          <t>Mauricio Andrés Rivera Páez</t>
        </is>
      </c>
      <c r="G170" s="12" t="inlineStr">
        <is>
          <t>PMU COLSOF</t>
        </is>
      </c>
      <c r="H170" s="13" t="n">
        <v>46280</v>
      </c>
      <c r="I170" s="13" t="n">
        <v>46282</v>
      </c>
      <c r="J170" s="13" t="n"/>
      <c r="K170" s="13" t="n"/>
      <c r="L170" s="12" t="inlineStr">
        <is>
          <t>Programada</t>
        </is>
      </c>
      <c r="M170" s="13" t="n"/>
      <c r="N170" s="14">
        <f>SI(O([@[Fecha_Programada_Inicio]]="";[@[Fecha_Inicio_Real]]="");"";SI([@[Fecha_Inicio_Real]]&lt;=[@[Fecha_Programada_Inicio]];"SÍ";"NO"))</f>
        <v/>
      </c>
      <c r="O170" s="14">
        <f>SI(O([@[Fecha_Programada_Fin]]="";[@[Fecha_Cierre_Operativo]]="");"";SI([@[Fecha_Cierre_Operativo]]&lt;=SI([@[Fecha_Nueva_Programada]]&lt;&gt;"";[@[Fecha_Nueva_Programada]];[@[Fecha_Programada_Fin]]);"SÍ";"NO"))</f>
        <v/>
      </c>
      <c r="P170" s="14">
        <f>SI(O([@[Cumpli_Ingreso]]="";[@[Cumpli_Salida]]="");"";SI(Y([@[Cumpli_Ingreso]]="SÍ";[@[Cumpli_Salida]]="SÍ");"SÍ";"NO"))</f>
        <v/>
      </c>
      <c r="Q170" s="15">
        <f>SI(O([@[Fecha_Programada_Fin]]="";[@[Fecha_Cierre_Operativo]]="");"";MAX(0;ENTERO([@[Fecha_Cierre_Operativo]])-ENTERO(SI([@[Fecha_Nueva_Programada]]&lt;&gt;"";[@[Fecha_Nueva_Programada]];[@[Fecha_Programada_Fin]])))</f>
        <v/>
      </c>
      <c r="R170" s="12" t="n"/>
      <c r="S170" s="12" t="n"/>
      <c r="T170" s="13" t="n"/>
      <c r="U170" s="12" t="n">
        <v>42</v>
      </c>
      <c r="V170" s="12" t="n"/>
      <c r="W17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70" s="14">
        <f>SI([@SBAN]="";"";BUSCARV([@SBAN];Cronograma_Maestro!$A:$M;6;FALSO))</f>
        <v/>
      </c>
    </row>
    <row r="171">
      <c r="A171" s="11" t="inlineStr">
        <is>
          <t>1532</t>
        </is>
      </c>
      <c r="B171" s="12">
        <f>SI([@SBAN]="";"";BUSCARV([@SBAN];Cronograma_Maestro!$A:$M;2;FALSO))</f>
        <v/>
      </c>
      <c r="C171" s="12">
        <f>SI([@SBAN]="";"";BUSCARV([@SBAN];Cronograma_Maestro!$A:$M;3;FALSO))</f>
        <v/>
      </c>
      <c r="D171" s="12">
        <f>SI([@SBAN]="";"";BUSCARV([@SBAN];Cronograma_Maestro!$A:$M;4;FALSO))</f>
        <v/>
      </c>
      <c r="E171" s="12">
        <f>SI([@SBAN]="";"";BUSCARV([@SBAN];Cronograma_Maestro!$A:$M;5;FALSO))</f>
        <v/>
      </c>
      <c r="F171" s="12" t="inlineStr">
        <is>
          <t>Mauricio Andrés Rivera Páez</t>
        </is>
      </c>
      <c r="G171" s="12" t="inlineStr">
        <is>
          <t>PMU COLSOF</t>
        </is>
      </c>
      <c r="H171" s="13" t="n">
        <v>46286</v>
      </c>
      <c r="I171" s="13" t="n">
        <v>46287</v>
      </c>
      <c r="J171" s="13" t="n"/>
      <c r="K171" s="13" t="n"/>
      <c r="L171" s="12" t="inlineStr">
        <is>
          <t>Programada</t>
        </is>
      </c>
      <c r="M171" s="13" t="n"/>
      <c r="N171" s="14">
        <f>SI(O([@[Fecha_Programada_Inicio]]="";[@[Fecha_Inicio_Real]]="");"";SI([@[Fecha_Inicio_Real]]&lt;=[@[Fecha_Programada_Inicio]];"SÍ";"NO"))</f>
        <v/>
      </c>
      <c r="O171" s="14">
        <f>SI(O([@[Fecha_Programada_Fin]]="";[@[Fecha_Cierre_Operativo]]="");"";SI([@[Fecha_Cierre_Operativo]]&lt;=SI([@[Fecha_Nueva_Programada]]&lt;&gt;"";[@[Fecha_Nueva_Programada]];[@[Fecha_Programada_Fin]]);"SÍ";"NO"))</f>
        <v/>
      </c>
      <c r="P171" s="14">
        <f>SI(O([@[Cumpli_Ingreso]]="";[@[Cumpli_Salida]]="");"";SI(Y([@[Cumpli_Ingreso]]="SÍ";[@[Cumpli_Salida]]="SÍ");"SÍ";"NO"))</f>
        <v/>
      </c>
      <c r="Q171" s="15">
        <f>SI(O([@[Fecha_Programada_Fin]]="";[@[Fecha_Cierre_Operativo]]="");"";MAX(0;ENTERO([@[Fecha_Cierre_Operativo]])-ENTERO(SI([@[Fecha_Nueva_Programada]]&lt;&gt;"";[@[Fecha_Nueva_Programada]];[@[Fecha_Programada_Fin]])))</f>
        <v/>
      </c>
      <c r="R171" s="12" t="n"/>
      <c r="S171" s="12" t="n"/>
      <c r="T171" s="13" t="n"/>
      <c r="U171" s="12" t="n">
        <v>16</v>
      </c>
      <c r="V171" s="12" t="n"/>
      <c r="W17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71" s="14">
        <f>SI([@SBAN]="";"";BUSCARV([@SBAN];Cronograma_Maestro!$A:$M;6;FALSO))</f>
        <v/>
      </c>
    </row>
    <row r="172">
      <c r="A172" s="11" t="inlineStr">
        <is>
          <t>1534</t>
        </is>
      </c>
      <c r="B172" s="12">
        <f>SI([@SBAN]="";"";BUSCARV([@SBAN];Cronograma_Maestro!$A:$M;2;FALSO))</f>
        <v/>
      </c>
      <c r="C172" s="12">
        <f>SI([@SBAN]="";"";BUSCARV([@SBAN];Cronograma_Maestro!$A:$M;3;FALSO))</f>
        <v/>
      </c>
      <c r="D172" s="12">
        <f>SI([@SBAN]="";"";BUSCARV([@SBAN];Cronograma_Maestro!$A:$M;4;FALSO))</f>
        <v/>
      </c>
      <c r="E172" s="12">
        <f>SI([@SBAN]="";"";BUSCARV([@SBAN];Cronograma_Maestro!$A:$M;5;FALSO))</f>
        <v/>
      </c>
      <c r="F172" s="12" t="inlineStr">
        <is>
          <t>Luz Nélida Barragán Toro</t>
        </is>
      </c>
      <c r="G172" s="12" t="inlineStr">
        <is>
          <t>PMU COLSOF</t>
        </is>
      </c>
      <c r="H172" s="13" t="n">
        <v>46272</v>
      </c>
      <c r="I172" s="13" t="n">
        <v>46273</v>
      </c>
      <c r="J172" s="13" t="n"/>
      <c r="K172" s="13" t="n"/>
      <c r="L172" s="12" t="inlineStr">
        <is>
          <t>Programada</t>
        </is>
      </c>
      <c r="M172" s="13" t="n"/>
      <c r="N172" s="14">
        <f>SI(O([@[Fecha_Programada_Inicio]]="";[@[Fecha_Inicio_Real]]="");"";SI([@[Fecha_Inicio_Real]]&lt;=[@[Fecha_Programada_Inicio]];"SÍ";"NO"))</f>
        <v/>
      </c>
      <c r="O172" s="14">
        <f>SI(O([@[Fecha_Programada_Fin]]="";[@[Fecha_Cierre_Operativo]]="");"";SI([@[Fecha_Cierre_Operativo]]&lt;=SI([@[Fecha_Nueva_Programada]]&lt;&gt;"";[@[Fecha_Nueva_Programada]];[@[Fecha_Programada_Fin]]);"SÍ";"NO"))</f>
        <v/>
      </c>
      <c r="P172" s="14">
        <f>SI(O([@[Cumpli_Ingreso]]="";[@[Cumpli_Salida]]="");"";SI(Y([@[Cumpli_Ingreso]]="SÍ";[@[Cumpli_Salida]]="SÍ");"SÍ";"NO"))</f>
        <v/>
      </c>
      <c r="Q172" s="15">
        <f>SI(O([@[Fecha_Programada_Fin]]="";[@[Fecha_Cierre_Operativo]]="");"";MAX(0;ENTERO([@[Fecha_Cierre_Operativo]])-ENTERO(SI([@[Fecha_Nueva_Programada]]&lt;&gt;"";[@[Fecha_Nueva_Programada]];[@[Fecha_Programada_Fin]])))</f>
        <v/>
      </c>
      <c r="R172" s="12" t="n"/>
      <c r="S172" s="12" t="n"/>
      <c r="T172" s="13" t="n"/>
      <c r="U172" s="12" t="n">
        <v>33</v>
      </c>
      <c r="V172" s="12" t="n"/>
      <c r="W17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72" s="14">
        <f>SI([@SBAN]="";"";BUSCARV([@SBAN];Cronograma_Maestro!$A:$M;6;FALSO))</f>
        <v/>
      </c>
    </row>
    <row r="173">
      <c r="A173" s="11" t="inlineStr">
        <is>
          <t>1535</t>
        </is>
      </c>
      <c r="B173" s="12">
        <f>SI([@SBAN]="";"";BUSCARV([@SBAN];Cronograma_Maestro!$A:$M;2;FALSO))</f>
        <v/>
      </c>
      <c r="C173" s="12">
        <f>SI([@SBAN]="";"";BUSCARV([@SBAN];Cronograma_Maestro!$A:$M;3;FALSO))</f>
        <v/>
      </c>
      <c r="D173" s="12">
        <f>SI([@SBAN]="";"";BUSCARV([@SBAN];Cronograma_Maestro!$A:$M;4;FALSO))</f>
        <v/>
      </c>
      <c r="E173" s="12">
        <f>SI([@SBAN]="";"";BUSCARV([@SBAN];Cronograma_Maestro!$A:$M;5;FALSO))</f>
        <v/>
      </c>
      <c r="F173" s="12" t="inlineStr">
        <is>
          <t>Andrés Felipe Díaz Noy</t>
        </is>
      </c>
      <c r="G173" s="12" t="inlineStr">
        <is>
          <t>PMU COLSOF</t>
        </is>
      </c>
      <c r="H173" s="13" t="n">
        <v>46274</v>
      </c>
      <c r="I173" s="13" t="n">
        <v>46275</v>
      </c>
      <c r="J173" s="13" t="n"/>
      <c r="K173" s="13" t="n"/>
      <c r="L173" s="12" t="inlineStr">
        <is>
          <t>Programada</t>
        </is>
      </c>
      <c r="M173" s="13" t="n"/>
      <c r="N173" s="14">
        <f>SI(O([@[Fecha_Programada_Inicio]]="";[@[Fecha_Inicio_Real]]="");"";SI([@[Fecha_Inicio_Real]]&lt;=[@[Fecha_Programada_Inicio]];"SÍ";"NO"))</f>
        <v/>
      </c>
      <c r="O173" s="14">
        <f>SI(O([@[Fecha_Programada_Fin]]="";[@[Fecha_Cierre_Operativo]]="");"";SI([@[Fecha_Cierre_Operativo]]&lt;=SI([@[Fecha_Nueva_Programada]]&lt;&gt;"";[@[Fecha_Nueva_Programada]];[@[Fecha_Programada_Fin]]);"SÍ";"NO"))</f>
        <v/>
      </c>
      <c r="P173" s="14">
        <f>SI(O([@[Cumpli_Ingreso]]="";[@[Cumpli_Salida]]="");"";SI(Y([@[Cumpli_Ingreso]]="SÍ";[@[Cumpli_Salida]]="SÍ");"SÍ";"NO"))</f>
        <v/>
      </c>
      <c r="Q173" s="15">
        <f>SI(O([@[Fecha_Programada_Fin]]="";[@[Fecha_Cierre_Operativo]]="");"";MAX(0;ENTERO([@[Fecha_Cierre_Operativo]])-ENTERO(SI([@[Fecha_Nueva_Programada]]&lt;&gt;"";[@[Fecha_Nueva_Programada]];[@[Fecha_Programada_Fin]])))</f>
        <v/>
      </c>
      <c r="R173" s="12" t="n"/>
      <c r="S173" s="12" t="n"/>
      <c r="T173" s="13" t="n"/>
      <c r="U173" s="12" t="n">
        <v>15</v>
      </c>
      <c r="V173" s="12" t="n"/>
      <c r="W17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73" s="14">
        <f>SI([@SBAN]="";"";BUSCARV([@SBAN];Cronograma_Maestro!$A:$M;6;FALSO))</f>
        <v/>
      </c>
    </row>
    <row r="174">
      <c r="A174" s="11" t="inlineStr">
        <is>
          <t>1536</t>
        </is>
      </c>
      <c r="B174" s="12">
        <f>SI([@SBAN]="";"";BUSCARV([@SBAN];Cronograma_Maestro!$A:$M;2;FALSO))</f>
        <v/>
      </c>
      <c r="C174" s="12">
        <f>SI([@SBAN]="";"";BUSCARV([@SBAN];Cronograma_Maestro!$A:$M;3;FALSO))</f>
        <v/>
      </c>
      <c r="D174" s="12">
        <f>SI([@SBAN]="";"";BUSCARV([@SBAN];Cronograma_Maestro!$A:$M;4;FALSO))</f>
        <v/>
      </c>
      <c r="E174" s="12">
        <f>SI([@SBAN]="";"";BUSCARV([@SBAN];Cronograma_Maestro!$A:$M;5;FALSO))</f>
        <v/>
      </c>
      <c r="F174" s="12" t="inlineStr">
        <is>
          <t>Andrés Felipe Díaz Noy</t>
        </is>
      </c>
      <c r="G174" s="12" t="inlineStr">
        <is>
          <t>PMU COLSOF</t>
        </is>
      </c>
      <c r="H174" s="13" t="n">
        <v>46272</v>
      </c>
      <c r="I174" s="13" t="n">
        <v>46273</v>
      </c>
      <c r="J174" s="13" t="n"/>
      <c r="K174" s="13" t="n"/>
      <c r="L174" s="12" t="inlineStr">
        <is>
          <t>Programada</t>
        </is>
      </c>
      <c r="M174" s="13" t="n"/>
      <c r="N174" s="14">
        <f>SI(O([@[Fecha_Programada_Inicio]]="";[@[Fecha_Inicio_Real]]="");"";SI([@[Fecha_Inicio_Real]]&lt;=[@[Fecha_Programada_Inicio]];"SÍ";"NO"))</f>
        <v/>
      </c>
      <c r="O174" s="14">
        <f>SI(O([@[Fecha_Programada_Fin]]="";[@[Fecha_Cierre_Operativo]]="");"";SI([@[Fecha_Cierre_Operativo]]&lt;=SI([@[Fecha_Nueva_Programada]]&lt;&gt;"";[@[Fecha_Nueva_Programada]];[@[Fecha_Programada_Fin]]);"SÍ";"NO"))</f>
        <v/>
      </c>
      <c r="P174" s="14">
        <f>SI(O([@[Cumpli_Ingreso]]="";[@[Cumpli_Salida]]="");"";SI(Y([@[Cumpli_Ingreso]]="SÍ";[@[Cumpli_Salida]]="SÍ");"SÍ";"NO"))</f>
        <v/>
      </c>
      <c r="Q174" s="15">
        <f>SI(O([@[Fecha_Programada_Fin]]="";[@[Fecha_Cierre_Operativo]]="");"";MAX(0;ENTERO([@[Fecha_Cierre_Operativo]])-ENTERO(SI([@[Fecha_Nueva_Programada]]&lt;&gt;"";[@[Fecha_Nueva_Programada]];[@[Fecha_Programada_Fin]])))</f>
        <v/>
      </c>
      <c r="R174" s="12" t="n"/>
      <c r="S174" s="12" t="n"/>
      <c r="T174" s="13" t="n"/>
      <c r="U174" s="12" t="n">
        <v>29</v>
      </c>
      <c r="V174" s="12" t="n"/>
      <c r="W17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74" s="14">
        <f>SI([@SBAN]="";"";BUSCARV([@SBAN];Cronograma_Maestro!$A:$M;6;FALSO))</f>
        <v/>
      </c>
    </row>
    <row r="175">
      <c r="A175" s="11" t="inlineStr">
        <is>
          <t>1538</t>
        </is>
      </c>
      <c r="B175" s="12">
        <f>SI([@SBAN]="";"";BUSCARV([@SBAN];Cronograma_Maestro!$A:$M;2;FALSO))</f>
        <v/>
      </c>
      <c r="C175" s="12">
        <f>SI([@SBAN]="";"";BUSCARV([@SBAN];Cronograma_Maestro!$A:$M;3;FALSO))</f>
        <v/>
      </c>
      <c r="D175" s="12">
        <f>SI([@SBAN]="";"";BUSCARV([@SBAN];Cronograma_Maestro!$A:$M;4;FALSO))</f>
        <v/>
      </c>
      <c r="E175" s="12">
        <f>SI([@SBAN]="";"";BUSCARV([@SBAN];Cronograma_Maestro!$A:$M;5;FALSO))</f>
        <v/>
      </c>
      <c r="F175" s="12" t="inlineStr">
        <is>
          <t>Andrés Felipe Díaz Noy</t>
        </is>
      </c>
      <c r="G175" s="12" t="inlineStr">
        <is>
          <t>PMU COLSOF</t>
        </is>
      </c>
      <c r="H175" s="13" t="n">
        <v>46269</v>
      </c>
      <c r="I175" s="13" t="n">
        <v>46269</v>
      </c>
      <c r="J175" s="13" t="n"/>
      <c r="K175" s="13" t="n"/>
      <c r="L175" s="12" t="inlineStr">
        <is>
          <t>Programada</t>
        </is>
      </c>
      <c r="M175" s="13" t="n"/>
      <c r="N175" s="14">
        <f>SI(O([@[Fecha_Programada_Inicio]]="";[@[Fecha_Inicio_Real]]="");"";SI([@[Fecha_Inicio_Real]]&lt;=[@[Fecha_Programada_Inicio]];"SÍ";"NO"))</f>
        <v/>
      </c>
      <c r="O175" s="14">
        <f>SI(O([@[Fecha_Programada_Fin]]="";[@[Fecha_Cierre_Operativo]]="");"";SI([@[Fecha_Cierre_Operativo]]&lt;=SI([@[Fecha_Nueva_Programada]]&lt;&gt;"";[@[Fecha_Nueva_Programada]];[@[Fecha_Programada_Fin]]);"SÍ";"NO"))</f>
        <v/>
      </c>
      <c r="P175" s="14">
        <f>SI(O([@[Cumpli_Ingreso]]="";[@[Cumpli_Salida]]="");"";SI(Y([@[Cumpli_Ingreso]]="SÍ";[@[Cumpli_Salida]]="SÍ");"SÍ";"NO"))</f>
        <v/>
      </c>
      <c r="Q175" s="15">
        <f>SI(O([@[Fecha_Programada_Fin]]="";[@[Fecha_Cierre_Operativo]]="");"";MAX(0;ENTERO([@[Fecha_Cierre_Operativo]])-ENTERO(SI([@[Fecha_Nueva_Programada]]&lt;&gt;"";[@[Fecha_Nueva_Programada]];[@[Fecha_Programada_Fin]])))</f>
        <v/>
      </c>
      <c r="R175" s="12" t="n"/>
      <c r="S175" s="12" t="n"/>
      <c r="T175" s="13" t="n"/>
      <c r="U175" s="12" t="n">
        <v>12</v>
      </c>
      <c r="V175" s="12" t="n"/>
      <c r="W17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75" s="14">
        <f>SI([@SBAN]="";"";BUSCARV([@SBAN];Cronograma_Maestro!$A:$M;6;FALSO))</f>
        <v/>
      </c>
    </row>
    <row r="176">
      <c r="A176" s="11" t="inlineStr">
        <is>
          <t>1540</t>
        </is>
      </c>
      <c r="B176" s="12">
        <f>SI([@SBAN]="";"";BUSCARV([@SBAN];Cronograma_Maestro!$A:$M;2;FALSO))</f>
        <v/>
      </c>
      <c r="C176" s="12">
        <f>SI([@SBAN]="";"";BUSCARV([@SBAN];Cronograma_Maestro!$A:$M;3;FALSO))</f>
        <v/>
      </c>
      <c r="D176" s="12">
        <f>SI([@SBAN]="";"";BUSCARV([@SBAN];Cronograma_Maestro!$A:$M;4;FALSO))</f>
        <v/>
      </c>
      <c r="E176" s="12">
        <f>SI([@SBAN]="";"";BUSCARV([@SBAN];Cronograma_Maestro!$A:$M;5;FALSO))</f>
        <v/>
      </c>
      <c r="F176" s="12" t="inlineStr">
        <is>
          <t>CRISTIAN CAMILO DIAZ NOY</t>
        </is>
      </c>
      <c r="G176" s="12" t="inlineStr">
        <is>
          <t>PMU COLSOF</t>
        </is>
      </c>
      <c r="H176" s="13" t="n">
        <v>46268</v>
      </c>
      <c r="I176" s="13" t="n">
        <v>46269</v>
      </c>
      <c r="J176" s="13" t="n"/>
      <c r="K176" s="13" t="n"/>
      <c r="L176" s="12" t="inlineStr">
        <is>
          <t>Programada</t>
        </is>
      </c>
      <c r="M176" s="13" t="n"/>
      <c r="N176" s="14">
        <f>SI(O([@[Fecha_Programada_Inicio]]="";[@[Fecha_Inicio_Real]]="");"";SI([@[Fecha_Inicio_Real]]&lt;=[@[Fecha_Programada_Inicio]];"SÍ";"NO"))</f>
        <v/>
      </c>
      <c r="O176" s="14">
        <f>SI(O([@[Fecha_Programada_Fin]]="";[@[Fecha_Cierre_Operativo]]="");"";SI([@[Fecha_Cierre_Operativo]]&lt;=SI([@[Fecha_Nueva_Programada]]&lt;&gt;"";[@[Fecha_Nueva_Programada]];[@[Fecha_Programada_Fin]]);"SÍ";"NO"))</f>
        <v/>
      </c>
      <c r="P176" s="14">
        <f>SI(O([@[Cumpli_Ingreso]]="";[@[Cumpli_Salida]]="");"";SI(Y([@[Cumpli_Ingreso]]="SÍ";[@[Cumpli_Salida]]="SÍ");"SÍ";"NO"))</f>
        <v/>
      </c>
      <c r="Q176" s="15">
        <f>SI(O([@[Fecha_Programada_Fin]]="";[@[Fecha_Cierre_Operativo]]="");"";MAX(0;ENTERO([@[Fecha_Cierre_Operativo]])-ENTERO(SI([@[Fecha_Nueva_Programada]]&lt;&gt;"";[@[Fecha_Nueva_Programada]];[@[Fecha_Programada_Fin]])))</f>
        <v/>
      </c>
      <c r="R176" s="12" t="n"/>
      <c r="S176" s="12" t="n"/>
      <c r="T176" s="13" t="n"/>
      <c r="U176" s="12" t="n">
        <v>12</v>
      </c>
      <c r="V176" s="12" t="n"/>
      <c r="W17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76" s="14">
        <f>SI([@SBAN]="";"";BUSCARV([@SBAN];Cronograma_Maestro!$A:$M;6;FALSO))</f>
        <v/>
      </c>
    </row>
    <row r="177">
      <c r="A177" s="11" t="inlineStr">
        <is>
          <t>1542</t>
        </is>
      </c>
      <c r="B177" s="12">
        <f>SI([@SBAN]="";"";BUSCARV([@SBAN];Cronograma_Maestro!$A:$M;2;FALSO))</f>
        <v/>
      </c>
      <c r="C177" s="12">
        <f>SI([@SBAN]="";"";BUSCARV([@SBAN];Cronograma_Maestro!$A:$M;3;FALSO))</f>
        <v/>
      </c>
      <c r="D177" s="12">
        <f>SI([@SBAN]="";"";BUSCARV([@SBAN];Cronograma_Maestro!$A:$M;4;FALSO))</f>
        <v/>
      </c>
      <c r="E177" s="12">
        <f>SI([@SBAN]="";"";BUSCARV([@SBAN];Cronograma_Maestro!$A:$M;5;FALSO))</f>
        <v/>
      </c>
      <c r="F177" s="12" t="inlineStr">
        <is>
          <t>Luz Nélida Barragán Toro</t>
        </is>
      </c>
      <c r="G177" s="12" t="inlineStr">
        <is>
          <t>PMU COLSOF</t>
        </is>
      </c>
      <c r="H177" s="13" t="n">
        <v>46287</v>
      </c>
      <c r="I177" s="13" t="n">
        <v>46288</v>
      </c>
      <c r="J177" s="13" t="n"/>
      <c r="K177" s="13" t="n"/>
      <c r="L177" s="12" t="inlineStr">
        <is>
          <t>Programada</t>
        </is>
      </c>
      <c r="M177" s="13" t="n"/>
      <c r="N177" s="14">
        <f>SI(O([@[Fecha_Programada_Inicio]]="";[@[Fecha_Inicio_Real]]="");"";SI([@[Fecha_Inicio_Real]]&lt;=[@[Fecha_Programada_Inicio]];"SÍ";"NO"))</f>
        <v/>
      </c>
      <c r="O177" s="14">
        <f>SI(O([@[Fecha_Programada_Fin]]="";[@[Fecha_Cierre_Operativo]]="");"";SI([@[Fecha_Cierre_Operativo]]&lt;=SI([@[Fecha_Nueva_Programada]]&lt;&gt;"";[@[Fecha_Nueva_Programada]];[@[Fecha_Programada_Fin]]);"SÍ";"NO"))</f>
        <v/>
      </c>
      <c r="P177" s="14">
        <f>SI(O([@[Cumpli_Ingreso]]="";[@[Cumpli_Salida]]="");"";SI(Y([@[Cumpli_Ingreso]]="SÍ";[@[Cumpli_Salida]]="SÍ");"SÍ";"NO"))</f>
        <v/>
      </c>
      <c r="Q177" s="15">
        <f>SI(O([@[Fecha_Programada_Fin]]="";[@[Fecha_Cierre_Operativo]]="");"";MAX(0;ENTERO([@[Fecha_Cierre_Operativo]])-ENTERO(SI([@[Fecha_Nueva_Programada]]&lt;&gt;"";[@[Fecha_Nueva_Programada]];[@[Fecha_Programada_Fin]])))</f>
        <v/>
      </c>
      <c r="R177" s="12" t="n"/>
      <c r="S177" s="12" t="n"/>
      <c r="T177" s="13" t="n"/>
      <c r="U177" s="12" t="n">
        <v>14</v>
      </c>
      <c r="V177" s="12" t="n"/>
      <c r="W17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77" s="14">
        <f>SI([@SBAN]="";"";BUSCARV([@SBAN];Cronograma_Maestro!$A:$M;6;FALSO))</f>
        <v/>
      </c>
    </row>
    <row r="178">
      <c r="A178" s="11" t="inlineStr">
        <is>
          <t>1544</t>
        </is>
      </c>
      <c r="B178" s="12">
        <f>SI([@SBAN]="";"";BUSCARV([@SBAN];Cronograma_Maestro!$A:$M;2;FALSO))</f>
        <v/>
      </c>
      <c r="C178" s="12">
        <f>SI([@SBAN]="";"";BUSCARV([@SBAN];Cronograma_Maestro!$A:$M;3;FALSO))</f>
        <v/>
      </c>
      <c r="D178" s="12">
        <f>SI([@SBAN]="";"";BUSCARV([@SBAN];Cronograma_Maestro!$A:$M;4;FALSO))</f>
        <v/>
      </c>
      <c r="E178" s="12">
        <f>SI([@SBAN]="";"";BUSCARV([@SBAN];Cronograma_Maestro!$A:$M;5;FALSO))</f>
        <v/>
      </c>
      <c r="F178" s="12" t="inlineStr">
        <is>
          <t>Andrés Felipe Díaz Noy</t>
        </is>
      </c>
      <c r="G178" s="12" t="inlineStr">
        <is>
          <t>PMU COLSOF</t>
        </is>
      </c>
      <c r="H178" s="13" t="n">
        <v>46266</v>
      </c>
      <c r="I178" s="13" t="n">
        <v>46267</v>
      </c>
      <c r="J178" s="13" t="n">
        <v>46266</v>
      </c>
      <c r="K178" s="13" t="n"/>
      <c r="L178" s="12" t="inlineStr">
        <is>
          <t>En Proceso</t>
        </is>
      </c>
      <c r="M178" s="13" t="n"/>
      <c r="N178" s="14">
        <f>SI(O([@[Fecha_Programada_Inicio]]="";[@[Fecha_Inicio_Real]]="");"";SI([@[Fecha_Inicio_Real]]&lt;=[@[Fecha_Programada_Inicio]];"SÍ";"NO"))</f>
        <v/>
      </c>
      <c r="O178" s="14">
        <f>SI(O([@[Fecha_Programada_Fin]]="";[@[Fecha_Cierre_Operativo]]="");"";SI([@[Fecha_Cierre_Operativo]]&lt;=SI([@[Fecha_Nueva_Programada]]&lt;&gt;"";[@[Fecha_Nueva_Programada]];[@[Fecha_Programada_Fin]]);"SÍ";"NO"))</f>
        <v/>
      </c>
      <c r="P178" s="14">
        <f>SI(O([@[Cumpli_Ingreso]]="";[@[Cumpli_Salida]]="");"";SI(Y([@[Cumpli_Ingreso]]="SÍ";[@[Cumpli_Salida]]="SÍ");"SÍ";"NO"))</f>
        <v/>
      </c>
      <c r="Q178" s="15">
        <f>SI(O([@[Fecha_Programada_Fin]]="";[@[Fecha_Cierre_Operativo]]="");"";MAX(0;ENTERO([@[Fecha_Cierre_Operativo]])-ENTERO(SI([@[Fecha_Nueva_Programada]]&lt;&gt;"";[@[Fecha_Nueva_Programada]];[@[Fecha_Programada_Fin]])))</f>
        <v/>
      </c>
      <c r="R178" s="12" t="n"/>
      <c r="S178" s="12" t="n"/>
      <c r="T178" s="13" t="n"/>
      <c r="U178" s="12" t="n">
        <v>12</v>
      </c>
      <c r="V178" s="12" t="n"/>
      <c r="W17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78" s="14">
        <f>SI([@SBAN]="";"";BUSCARV([@SBAN];Cronograma_Maestro!$A:$M;6;FALSO))</f>
        <v/>
      </c>
    </row>
    <row r="179">
      <c r="A179" s="11" t="inlineStr">
        <is>
          <t>1545</t>
        </is>
      </c>
      <c r="B179" s="12">
        <f>SI([@SBAN]="";"";BUSCARV([@SBAN];Cronograma_Maestro!$A:$M;2;FALSO))</f>
        <v/>
      </c>
      <c r="C179" s="12">
        <f>SI([@SBAN]="";"";BUSCARV([@SBAN];Cronograma_Maestro!$A:$M;3;FALSO))</f>
        <v/>
      </c>
      <c r="D179" s="12">
        <f>SI([@SBAN]="";"";BUSCARV([@SBAN];Cronograma_Maestro!$A:$M;4;FALSO))</f>
        <v/>
      </c>
      <c r="E179" s="12">
        <f>SI([@SBAN]="";"";BUSCARV([@SBAN];Cronograma_Maestro!$A:$M;5;FALSO))</f>
        <v/>
      </c>
      <c r="F179" s="12" t="inlineStr">
        <is>
          <t>Mauricio Andrés Rivera Páez</t>
        </is>
      </c>
      <c r="G179" s="12" t="inlineStr">
        <is>
          <t>PMU COLSOF</t>
        </is>
      </c>
      <c r="H179" s="13" t="n">
        <v>46279</v>
      </c>
      <c r="I179" s="13" t="n">
        <v>46280</v>
      </c>
      <c r="J179" s="13" t="n"/>
      <c r="K179" s="13" t="n"/>
      <c r="L179" s="12" t="inlineStr">
        <is>
          <t>Programada</t>
        </is>
      </c>
      <c r="M179" s="13" t="n"/>
      <c r="N179" s="14">
        <f>SI(O([@[Fecha_Programada_Inicio]]="";[@[Fecha_Inicio_Real]]="");"";SI([@[Fecha_Inicio_Real]]&lt;=[@[Fecha_Programada_Inicio]];"SÍ";"NO"))</f>
        <v/>
      </c>
      <c r="O179" s="14">
        <f>SI(O([@[Fecha_Programada_Fin]]="";[@[Fecha_Cierre_Operativo]]="");"";SI([@[Fecha_Cierre_Operativo]]&lt;=SI([@[Fecha_Nueva_Programada]]&lt;&gt;"";[@[Fecha_Nueva_Programada]];[@[Fecha_Programada_Fin]]);"SÍ";"NO"))</f>
        <v/>
      </c>
      <c r="P179" s="14">
        <f>SI(O([@[Cumpli_Ingreso]]="";[@[Cumpli_Salida]]="");"";SI(Y([@[Cumpli_Ingreso]]="SÍ";[@[Cumpli_Salida]]="SÍ");"SÍ";"NO"))</f>
        <v/>
      </c>
      <c r="Q179" s="15">
        <f>SI(O([@[Fecha_Programada_Fin]]="";[@[Fecha_Cierre_Operativo]]="");"";MAX(0;ENTERO([@[Fecha_Cierre_Operativo]])-ENTERO(SI([@[Fecha_Nueva_Programada]]&lt;&gt;"";[@[Fecha_Nueva_Programada]];[@[Fecha_Programada_Fin]])))</f>
        <v/>
      </c>
      <c r="R179" s="12" t="n"/>
      <c r="S179" s="12" t="n"/>
      <c r="T179" s="13" t="n"/>
      <c r="U179" s="12" t="n">
        <v>16</v>
      </c>
      <c r="V179" s="12" t="n"/>
      <c r="W17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79" s="14">
        <f>SI([@SBAN]="";"";BUSCARV([@SBAN];Cronograma_Maestro!$A:$M;6;FALSO))</f>
        <v/>
      </c>
    </row>
    <row r="180">
      <c r="A180" s="11" t="inlineStr">
        <is>
          <t>1546</t>
        </is>
      </c>
      <c r="B180" s="12">
        <f>SI([@SBAN]="";"";BUSCARV([@SBAN];Cronograma_Maestro!$A:$M;2;FALSO))</f>
        <v/>
      </c>
      <c r="C180" s="12">
        <f>SI([@SBAN]="";"";BUSCARV([@SBAN];Cronograma_Maestro!$A:$M;3;FALSO))</f>
        <v/>
      </c>
      <c r="D180" s="12">
        <f>SI([@SBAN]="";"";BUSCARV([@SBAN];Cronograma_Maestro!$A:$M;4;FALSO))</f>
        <v/>
      </c>
      <c r="E180" s="12">
        <f>SI([@SBAN]="";"";BUSCARV([@SBAN];Cronograma_Maestro!$A:$M;5;FALSO))</f>
        <v/>
      </c>
      <c r="F180" s="12" t="inlineStr">
        <is>
          <t>Luz Nélida Barragán Toro</t>
        </is>
      </c>
      <c r="G180" s="12" t="inlineStr">
        <is>
          <t>PMU COLSOF</t>
        </is>
      </c>
      <c r="H180" s="13" t="n">
        <v>46280</v>
      </c>
      <c r="I180" s="13" t="n">
        <v>46281</v>
      </c>
      <c r="J180" s="13" t="n"/>
      <c r="K180" s="13" t="n"/>
      <c r="L180" s="12" t="inlineStr">
        <is>
          <t>Programada</t>
        </is>
      </c>
      <c r="M180" s="13" t="n"/>
      <c r="N180" s="14">
        <f>SI(O([@[Fecha_Programada_Inicio]]="";[@[Fecha_Inicio_Real]]="");"";SI([@[Fecha_Inicio_Real]]&lt;=[@[Fecha_Programada_Inicio]];"SÍ";"NO"))</f>
        <v/>
      </c>
      <c r="O180" s="14">
        <f>SI(O([@[Fecha_Programada_Fin]]="";[@[Fecha_Cierre_Operativo]]="");"";SI([@[Fecha_Cierre_Operativo]]&lt;=SI([@[Fecha_Nueva_Programada]]&lt;&gt;"";[@[Fecha_Nueva_Programada]];[@[Fecha_Programada_Fin]]);"SÍ";"NO"))</f>
        <v/>
      </c>
      <c r="P180" s="14">
        <f>SI(O([@[Cumpli_Ingreso]]="";[@[Cumpli_Salida]]="");"";SI(Y([@[Cumpli_Ingreso]]="SÍ";[@[Cumpli_Salida]]="SÍ");"SÍ";"NO"))</f>
        <v/>
      </c>
      <c r="Q180" s="15">
        <f>SI(O([@[Fecha_Programada_Fin]]="";[@[Fecha_Cierre_Operativo]]="");"";MAX(0;ENTERO([@[Fecha_Cierre_Operativo]])-ENTERO(SI([@[Fecha_Nueva_Programada]]&lt;&gt;"";[@[Fecha_Nueva_Programada]];[@[Fecha_Programada_Fin]])))</f>
        <v/>
      </c>
      <c r="R180" s="12" t="n"/>
      <c r="S180" s="12" t="n"/>
      <c r="T180" s="13" t="n"/>
      <c r="U180" s="12" t="n">
        <v>20</v>
      </c>
      <c r="V180" s="12" t="n"/>
      <c r="W18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80" s="14">
        <f>SI([@SBAN]="";"";BUSCARV([@SBAN];Cronograma_Maestro!$A:$M;6;FALSO))</f>
        <v/>
      </c>
    </row>
    <row r="181">
      <c r="A181" s="11" t="inlineStr">
        <is>
          <t>1547</t>
        </is>
      </c>
      <c r="B181" s="12">
        <f>SI([@SBAN]="";"";BUSCARV([@SBAN];Cronograma_Maestro!$A:$M;2;FALSO))</f>
        <v/>
      </c>
      <c r="C181" s="12">
        <f>SI([@SBAN]="";"";BUSCARV([@SBAN];Cronograma_Maestro!$A:$M;3;FALSO))</f>
        <v/>
      </c>
      <c r="D181" s="12">
        <f>SI([@SBAN]="";"";BUSCARV([@SBAN];Cronograma_Maestro!$A:$M;4;FALSO))</f>
        <v/>
      </c>
      <c r="E181" s="12">
        <f>SI([@SBAN]="";"";BUSCARV([@SBAN];Cronograma_Maestro!$A:$M;5;FALSO))</f>
        <v/>
      </c>
      <c r="F181" s="12" t="inlineStr">
        <is>
          <t>Andrés Felipe Carvajal Pire</t>
        </is>
      </c>
      <c r="G181" s="12" t="inlineStr">
        <is>
          <t>PMU COLSOF</t>
        </is>
      </c>
      <c r="H181" s="13" t="n">
        <v>46288</v>
      </c>
      <c r="I181" s="13" t="n">
        <v>46289</v>
      </c>
      <c r="J181" s="13" t="n"/>
      <c r="K181" s="13" t="n"/>
      <c r="L181" s="12" t="inlineStr">
        <is>
          <t>Programada</t>
        </is>
      </c>
      <c r="M181" s="13" t="n"/>
      <c r="N181" s="14">
        <f>SI(O([@[Fecha_Programada_Inicio]]="";[@[Fecha_Inicio_Real]]="");"";SI([@[Fecha_Inicio_Real]]&lt;=[@[Fecha_Programada_Inicio]];"SÍ";"NO"))</f>
        <v/>
      </c>
      <c r="O181" s="14">
        <f>SI(O([@[Fecha_Programada_Fin]]="";[@[Fecha_Cierre_Operativo]]="");"";SI([@[Fecha_Cierre_Operativo]]&lt;=SI([@[Fecha_Nueva_Programada]]&lt;&gt;"";[@[Fecha_Nueva_Programada]];[@[Fecha_Programada_Fin]]);"SÍ";"NO"))</f>
        <v/>
      </c>
      <c r="P181" s="14">
        <f>SI(O([@[Cumpli_Ingreso]]="";[@[Cumpli_Salida]]="");"";SI(Y([@[Cumpli_Ingreso]]="SÍ";[@[Cumpli_Salida]]="SÍ");"SÍ";"NO"))</f>
        <v/>
      </c>
      <c r="Q181" s="15">
        <f>SI(O([@[Fecha_Programada_Fin]]="";[@[Fecha_Cierre_Operativo]]="");"";MAX(0;ENTERO([@[Fecha_Cierre_Operativo]])-ENTERO(SI([@[Fecha_Nueva_Programada]]&lt;&gt;"";[@[Fecha_Nueva_Programada]];[@[Fecha_Programada_Fin]])))</f>
        <v/>
      </c>
      <c r="R181" s="12" t="n"/>
      <c r="S181" s="12" t="n"/>
      <c r="T181" s="13" t="n"/>
      <c r="U181" s="12" t="n">
        <v>15</v>
      </c>
      <c r="V181" s="12" t="n"/>
      <c r="W18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81" s="14">
        <f>SI([@SBAN]="";"";BUSCARV([@SBAN];Cronograma_Maestro!$A:$M;6;FALSO))</f>
        <v/>
      </c>
    </row>
    <row r="182">
      <c r="A182" s="11" t="inlineStr">
        <is>
          <t>1548</t>
        </is>
      </c>
      <c r="B182" s="12">
        <f>SI([@SBAN]="";"";BUSCARV([@SBAN];Cronograma_Maestro!$A:$M;2;FALSO))</f>
        <v/>
      </c>
      <c r="C182" s="12">
        <f>SI([@SBAN]="";"";BUSCARV([@SBAN];Cronograma_Maestro!$A:$M;3;FALSO))</f>
        <v/>
      </c>
      <c r="D182" s="12">
        <f>SI([@SBAN]="";"";BUSCARV([@SBAN];Cronograma_Maestro!$A:$M;4;FALSO))</f>
        <v/>
      </c>
      <c r="E182" s="12">
        <f>SI([@SBAN]="";"";BUSCARV([@SBAN];Cronograma_Maestro!$A:$M;5;FALSO))</f>
        <v/>
      </c>
      <c r="F182" s="12" t="inlineStr">
        <is>
          <t>Mauricio Andrés Rivera Páez</t>
        </is>
      </c>
      <c r="G182" s="12" t="inlineStr">
        <is>
          <t>PMU COLSOF</t>
        </is>
      </c>
      <c r="H182" s="13" t="n">
        <v>46269</v>
      </c>
      <c r="I182" s="13" t="n">
        <v>46269</v>
      </c>
      <c r="J182" s="13" t="n"/>
      <c r="K182" s="13" t="n"/>
      <c r="L182" s="12" t="inlineStr">
        <is>
          <t>Programada</t>
        </is>
      </c>
      <c r="M182" s="13" t="n"/>
      <c r="N182" s="14">
        <f>SI(O([@[Fecha_Programada_Inicio]]="";[@[Fecha_Inicio_Real]]="");"";SI([@[Fecha_Inicio_Real]]&lt;=[@[Fecha_Programada_Inicio]];"SÍ";"NO"))</f>
        <v/>
      </c>
      <c r="O182" s="14">
        <f>SI(O([@[Fecha_Programada_Fin]]="";[@[Fecha_Cierre_Operativo]]="");"";SI([@[Fecha_Cierre_Operativo]]&lt;=SI([@[Fecha_Nueva_Programada]]&lt;&gt;"";[@[Fecha_Nueva_Programada]];[@[Fecha_Programada_Fin]]);"SÍ";"NO"))</f>
        <v/>
      </c>
      <c r="P182" s="14">
        <f>SI(O([@[Cumpli_Ingreso]]="";[@[Cumpli_Salida]]="");"";SI(Y([@[Cumpli_Ingreso]]="SÍ";[@[Cumpli_Salida]]="SÍ");"SÍ";"NO"))</f>
        <v/>
      </c>
      <c r="Q182" s="15">
        <f>SI(O([@[Fecha_Programada_Fin]]="";[@[Fecha_Cierre_Operativo]]="");"";MAX(0;ENTERO([@[Fecha_Cierre_Operativo]])-ENTERO(SI([@[Fecha_Nueva_Programada]]&lt;&gt;"";[@[Fecha_Nueva_Programada]];[@[Fecha_Programada_Fin]])))</f>
        <v/>
      </c>
      <c r="R182" s="12" t="n"/>
      <c r="S182" s="12" t="n"/>
      <c r="T182" s="13" t="n"/>
      <c r="U182" s="12" t="n">
        <v>14</v>
      </c>
      <c r="V182" s="12" t="n"/>
      <c r="W18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82" s="14">
        <f>SI([@SBAN]="";"";BUSCARV([@SBAN];Cronograma_Maestro!$A:$M;6;FALSO))</f>
        <v/>
      </c>
    </row>
    <row r="183">
      <c r="A183" s="11" t="inlineStr">
        <is>
          <t>1550</t>
        </is>
      </c>
      <c r="B183" s="12">
        <f>SI([@SBAN]="";"";BUSCARV([@SBAN];Cronograma_Maestro!$A:$M;2;FALSO))</f>
        <v/>
      </c>
      <c r="C183" s="12">
        <f>SI([@SBAN]="";"";BUSCARV([@SBAN];Cronograma_Maestro!$A:$M;3;FALSO))</f>
        <v/>
      </c>
      <c r="D183" s="12">
        <f>SI([@SBAN]="";"";BUSCARV([@SBAN];Cronograma_Maestro!$A:$M;4;FALSO))</f>
        <v/>
      </c>
      <c r="E183" s="12">
        <f>SI([@SBAN]="";"";BUSCARV([@SBAN];Cronograma_Maestro!$A:$M;5;FALSO))</f>
        <v/>
      </c>
      <c r="F183" s="12" t="inlineStr">
        <is>
          <t>Luz Nélida Barragán Toro</t>
        </is>
      </c>
      <c r="G183" s="12" t="inlineStr">
        <is>
          <t>PMU COLSOF</t>
        </is>
      </c>
      <c r="H183" s="13" t="n">
        <v>46274</v>
      </c>
      <c r="I183" s="13" t="n">
        <v>46275</v>
      </c>
      <c r="J183" s="13" t="n"/>
      <c r="K183" s="13" t="n"/>
      <c r="L183" s="12" t="inlineStr">
        <is>
          <t>Programada</t>
        </is>
      </c>
      <c r="M183" s="13" t="n"/>
      <c r="N183" s="14">
        <f>SI(O([@[Fecha_Programada_Inicio]]="";[@[Fecha_Inicio_Real]]="");"";SI([@[Fecha_Inicio_Real]]&lt;=[@[Fecha_Programada_Inicio]];"SÍ";"NO"))</f>
        <v/>
      </c>
      <c r="O183" s="14">
        <f>SI(O([@[Fecha_Programada_Fin]]="";[@[Fecha_Cierre_Operativo]]="");"";SI([@[Fecha_Cierre_Operativo]]&lt;=SI([@[Fecha_Nueva_Programada]]&lt;&gt;"";[@[Fecha_Nueva_Programada]];[@[Fecha_Programada_Fin]]);"SÍ";"NO"))</f>
        <v/>
      </c>
      <c r="P183" s="14">
        <f>SI(O([@[Cumpli_Ingreso]]="";[@[Cumpli_Salida]]="");"";SI(Y([@[Cumpli_Ingreso]]="SÍ";[@[Cumpli_Salida]]="SÍ");"SÍ";"NO"))</f>
        <v/>
      </c>
      <c r="Q183" s="15">
        <f>SI(O([@[Fecha_Programada_Fin]]="";[@[Fecha_Cierre_Operativo]]="");"";MAX(0;ENTERO([@[Fecha_Cierre_Operativo]])-ENTERO(SI([@[Fecha_Nueva_Programada]]&lt;&gt;"";[@[Fecha_Nueva_Programada]];[@[Fecha_Programada_Fin]])))</f>
        <v/>
      </c>
      <c r="R183" s="12" t="n"/>
      <c r="S183" s="12" t="n"/>
      <c r="T183" s="13" t="n"/>
      <c r="U183" s="12" t="n">
        <v>22</v>
      </c>
      <c r="V183" s="12" t="n"/>
      <c r="W18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83" s="14">
        <f>SI([@SBAN]="";"";BUSCARV([@SBAN];Cronograma_Maestro!$A:$M;6;FALSO))</f>
        <v/>
      </c>
    </row>
    <row r="184">
      <c r="A184" s="11" t="inlineStr">
        <is>
          <t>1551</t>
        </is>
      </c>
      <c r="B184" s="12">
        <f>SI([@SBAN]="";"";BUSCARV([@SBAN];Cronograma_Maestro!$A:$M;2;FALSO))</f>
        <v/>
      </c>
      <c r="C184" s="12">
        <f>SI([@SBAN]="";"";BUSCARV([@SBAN];Cronograma_Maestro!$A:$M;3;FALSO))</f>
        <v/>
      </c>
      <c r="D184" s="12">
        <f>SI([@SBAN]="";"";BUSCARV([@SBAN];Cronograma_Maestro!$A:$M;4;FALSO))</f>
        <v/>
      </c>
      <c r="E184" s="12">
        <f>SI([@SBAN]="";"";BUSCARV([@SBAN];Cronograma_Maestro!$A:$M;5;FALSO))</f>
        <v/>
      </c>
      <c r="F184" s="12" t="inlineStr">
        <is>
          <t>Andrés Felipe Díaz Noy</t>
        </is>
      </c>
      <c r="G184" s="12" t="inlineStr">
        <is>
          <t>PMU COLSOF</t>
        </is>
      </c>
      <c r="H184" s="13" t="n">
        <v>46282</v>
      </c>
      <c r="I184" s="13" t="n">
        <v>46283</v>
      </c>
      <c r="J184" s="13" t="n"/>
      <c r="K184" s="13" t="n"/>
      <c r="L184" s="12" t="inlineStr">
        <is>
          <t>Programada</t>
        </is>
      </c>
      <c r="M184" s="13" t="n"/>
      <c r="N184" s="14">
        <f>SI(O([@[Fecha_Programada_Inicio]]="";[@[Fecha_Inicio_Real]]="");"";SI([@[Fecha_Inicio_Real]]&lt;=[@[Fecha_Programada_Inicio]];"SÍ";"NO"))</f>
        <v/>
      </c>
      <c r="O184" s="14">
        <f>SI(O([@[Fecha_Programada_Fin]]="";[@[Fecha_Cierre_Operativo]]="");"";SI([@[Fecha_Cierre_Operativo]]&lt;=SI([@[Fecha_Nueva_Programada]]&lt;&gt;"";[@[Fecha_Nueva_Programada]];[@[Fecha_Programada_Fin]]);"SÍ";"NO"))</f>
        <v/>
      </c>
      <c r="P184" s="14">
        <f>SI(O([@[Cumpli_Ingreso]]="";[@[Cumpli_Salida]]="");"";SI(Y([@[Cumpli_Ingreso]]="SÍ";[@[Cumpli_Salida]]="SÍ");"SÍ";"NO"))</f>
        <v/>
      </c>
      <c r="Q184" s="15">
        <f>SI(O([@[Fecha_Programada_Fin]]="";[@[Fecha_Cierre_Operativo]]="");"";MAX(0;ENTERO([@[Fecha_Cierre_Operativo]])-ENTERO(SI([@[Fecha_Nueva_Programada]]&lt;&gt;"";[@[Fecha_Nueva_Programada]];[@[Fecha_Programada_Fin]])))</f>
        <v/>
      </c>
      <c r="R184" s="12" t="n"/>
      <c r="S184" s="12" t="n"/>
      <c r="T184" s="13" t="n"/>
      <c r="U184" s="12" t="n">
        <v>27</v>
      </c>
      <c r="V184" s="12" t="n"/>
      <c r="W18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84" s="14">
        <f>SI([@SBAN]="";"";BUSCARV([@SBAN];Cronograma_Maestro!$A:$M;6;FALSO))</f>
        <v/>
      </c>
    </row>
    <row r="185">
      <c r="A185" s="11" t="inlineStr">
        <is>
          <t>1552</t>
        </is>
      </c>
      <c r="B185" s="12">
        <f>SI([@SBAN]="";"";BUSCARV([@SBAN];Cronograma_Maestro!$A:$M;2;FALSO))</f>
        <v/>
      </c>
      <c r="C185" s="12">
        <f>SI([@SBAN]="";"";BUSCARV([@SBAN];Cronograma_Maestro!$A:$M;3;FALSO))</f>
        <v/>
      </c>
      <c r="D185" s="12">
        <f>SI([@SBAN]="";"";BUSCARV([@SBAN];Cronograma_Maestro!$A:$M;4;FALSO))</f>
        <v/>
      </c>
      <c r="E185" s="12">
        <f>SI([@SBAN]="";"";BUSCARV([@SBAN];Cronograma_Maestro!$A:$M;5;FALSO))</f>
        <v/>
      </c>
      <c r="F185" s="12" t="inlineStr">
        <is>
          <t>Luz Nélida Barragán Toro</t>
        </is>
      </c>
      <c r="G185" s="12" t="inlineStr">
        <is>
          <t>PMU COLSOF</t>
        </is>
      </c>
      <c r="H185" s="13" t="n">
        <v>46279</v>
      </c>
      <c r="I185" s="13" t="n">
        <v>46280</v>
      </c>
      <c r="J185" s="13" t="n"/>
      <c r="K185" s="13" t="n"/>
      <c r="L185" s="12" t="inlineStr">
        <is>
          <t>Programada</t>
        </is>
      </c>
      <c r="M185" s="13" t="n"/>
      <c r="N185" s="14">
        <f>SI(O([@[Fecha_Programada_Inicio]]="";[@[Fecha_Inicio_Real]]="");"";SI([@[Fecha_Inicio_Real]]&lt;=[@[Fecha_Programada_Inicio]];"SÍ";"NO"))</f>
        <v/>
      </c>
      <c r="O185" s="14">
        <f>SI(O([@[Fecha_Programada_Fin]]="";[@[Fecha_Cierre_Operativo]]="");"";SI([@[Fecha_Cierre_Operativo]]&lt;=SI([@[Fecha_Nueva_Programada]]&lt;&gt;"";[@[Fecha_Nueva_Programada]];[@[Fecha_Programada_Fin]]);"SÍ";"NO"))</f>
        <v/>
      </c>
      <c r="P185" s="14">
        <f>SI(O([@[Cumpli_Ingreso]]="";[@[Cumpli_Salida]]="");"";SI(Y([@[Cumpli_Ingreso]]="SÍ";[@[Cumpli_Salida]]="SÍ");"SÍ";"NO"))</f>
        <v/>
      </c>
      <c r="Q185" s="15">
        <f>SI(O([@[Fecha_Programada_Fin]]="";[@[Fecha_Cierre_Operativo]]="");"";MAX(0;ENTERO([@[Fecha_Cierre_Operativo]])-ENTERO(SI([@[Fecha_Nueva_Programada]]&lt;&gt;"";[@[Fecha_Nueva_Programada]];[@[Fecha_Programada_Fin]])))</f>
        <v/>
      </c>
      <c r="R185" s="12" t="n"/>
      <c r="S185" s="12" t="n"/>
      <c r="T185" s="13" t="n"/>
      <c r="U185" s="12" t="n">
        <v>15</v>
      </c>
      <c r="V185" s="12" t="n"/>
      <c r="W18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85" s="14">
        <f>SI([@SBAN]="";"";BUSCARV([@SBAN];Cronograma_Maestro!$A:$M;6;FALSO))</f>
        <v/>
      </c>
    </row>
    <row r="186">
      <c r="A186" s="11" t="inlineStr">
        <is>
          <t>1553</t>
        </is>
      </c>
      <c r="B186" s="12">
        <f>SI([@SBAN]="";"";BUSCARV([@SBAN];Cronograma_Maestro!$A:$M;2;FALSO))</f>
        <v/>
      </c>
      <c r="C186" s="12">
        <f>SI([@SBAN]="";"";BUSCARV([@SBAN];Cronograma_Maestro!$A:$M;3;FALSO))</f>
        <v/>
      </c>
      <c r="D186" s="12">
        <f>SI([@SBAN]="";"";BUSCARV([@SBAN];Cronograma_Maestro!$A:$M;4;FALSO))</f>
        <v/>
      </c>
      <c r="E186" s="12">
        <f>SI([@SBAN]="";"";BUSCARV([@SBAN];Cronograma_Maestro!$A:$M;5;FALSO))</f>
        <v/>
      </c>
      <c r="F186" s="12" t="inlineStr">
        <is>
          <t>Andrés Felipe Carvajal Pire</t>
        </is>
      </c>
      <c r="G186" s="12" t="inlineStr">
        <is>
          <t>PMU COLSOF</t>
        </is>
      </c>
      <c r="H186" s="13" t="n">
        <v>46275</v>
      </c>
      <c r="I186" s="13" t="n">
        <v>46276</v>
      </c>
      <c r="J186" s="13" t="n"/>
      <c r="K186" s="13" t="n"/>
      <c r="L186" s="12" t="inlineStr">
        <is>
          <t>Programada</t>
        </is>
      </c>
      <c r="M186" s="13" t="n"/>
      <c r="N186" s="14">
        <f>SI(O([@[Fecha_Programada_Inicio]]="";[@[Fecha_Inicio_Real]]="");"";SI([@[Fecha_Inicio_Real]]&lt;=[@[Fecha_Programada_Inicio]];"SÍ";"NO"))</f>
        <v/>
      </c>
      <c r="O186" s="14">
        <f>SI(O([@[Fecha_Programada_Fin]]="";[@[Fecha_Cierre_Operativo]]="");"";SI([@[Fecha_Cierre_Operativo]]&lt;=SI([@[Fecha_Nueva_Programada]]&lt;&gt;"";[@[Fecha_Nueva_Programada]];[@[Fecha_Programada_Fin]]);"SÍ";"NO"))</f>
        <v/>
      </c>
      <c r="P186" s="14">
        <f>SI(O([@[Cumpli_Ingreso]]="";[@[Cumpli_Salida]]="");"";SI(Y([@[Cumpli_Ingreso]]="SÍ";[@[Cumpli_Salida]]="SÍ");"SÍ";"NO"))</f>
        <v/>
      </c>
      <c r="Q186" s="15">
        <f>SI(O([@[Fecha_Programada_Fin]]="";[@[Fecha_Cierre_Operativo]]="");"";MAX(0;ENTERO([@[Fecha_Cierre_Operativo]])-ENTERO(SI([@[Fecha_Nueva_Programada]]&lt;&gt;"";[@[Fecha_Nueva_Programada]];[@[Fecha_Programada_Fin]])))</f>
        <v/>
      </c>
      <c r="R186" s="12" t="n"/>
      <c r="S186" s="12" t="n"/>
      <c r="T186" s="13" t="n"/>
      <c r="U186" s="12" t="n">
        <v>12</v>
      </c>
      <c r="V186" s="12" t="n"/>
      <c r="W18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86" s="14">
        <f>SI([@SBAN]="";"";BUSCARV([@SBAN];Cronograma_Maestro!$A:$M;6;FALSO))</f>
        <v/>
      </c>
    </row>
    <row r="187">
      <c r="A187" s="11" t="inlineStr">
        <is>
          <t>1554</t>
        </is>
      </c>
      <c r="B187" s="12">
        <f>SI([@SBAN]="";"";BUSCARV([@SBAN];Cronograma_Maestro!$A:$M;2;FALSO))</f>
        <v/>
      </c>
      <c r="C187" s="12">
        <f>SI([@SBAN]="";"";BUSCARV([@SBAN];Cronograma_Maestro!$A:$M;3;FALSO))</f>
        <v/>
      </c>
      <c r="D187" s="12">
        <f>SI([@SBAN]="";"";BUSCARV([@SBAN];Cronograma_Maestro!$A:$M;4;FALSO))</f>
        <v/>
      </c>
      <c r="E187" s="12">
        <f>SI([@SBAN]="";"";BUSCARV([@SBAN];Cronograma_Maestro!$A:$M;5;FALSO))</f>
        <v/>
      </c>
      <c r="F187" s="12" t="inlineStr">
        <is>
          <t>Mauricio Andrés Rivera Páez</t>
        </is>
      </c>
      <c r="G187" s="12" t="inlineStr">
        <is>
          <t>PMU COLSOF</t>
        </is>
      </c>
      <c r="H187" s="13" t="n">
        <v>46289</v>
      </c>
      <c r="I187" s="13" t="n">
        <v>46290</v>
      </c>
      <c r="J187" s="13" t="n"/>
      <c r="K187" s="13" t="n"/>
      <c r="L187" s="12" t="inlineStr">
        <is>
          <t>Programada</t>
        </is>
      </c>
      <c r="M187" s="13" t="n"/>
      <c r="N187" s="14">
        <f>SI(O([@[Fecha_Programada_Inicio]]="";[@[Fecha_Inicio_Real]]="");"";SI([@[Fecha_Inicio_Real]]&lt;=[@[Fecha_Programada_Inicio]];"SÍ";"NO"))</f>
        <v/>
      </c>
      <c r="O187" s="14">
        <f>SI(O([@[Fecha_Programada_Fin]]="";[@[Fecha_Cierre_Operativo]]="");"";SI([@[Fecha_Cierre_Operativo]]&lt;=SI([@[Fecha_Nueva_Programada]]&lt;&gt;"";[@[Fecha_Nueva_Programada]];[@[Fecha_Programada_Fin]]);"SÍ";"NO"))</f>
        <v/>
      </c>
      <c r="P187" s="14">
        <f>SI(O([@[Cumpli_Ingreso]]="";[@[Cumpli_Salida]]="");"";SI(Y([@[Cumpli_Ingreso]]="SÍ";[@[Cumpli_Salida]]="SÍ");"SÍ";"NO"))</f>
        <v/>
      </c>
      <c r="Q187" s="15">
        <f>SI(O([@[Fecha_Programada_Fin]]="";[@[Fecha_Cierre_Operativo]]="");"";MAX(0;ENTERO([@[Fecha_Cierre_Operativo]])-ENTERO(SI([@[Fecha_Nueva_Programada]]&lt;&gt;"";[@[Fecha_Nueva_Programada]];[@[Fecha_Programada_Fin]])))</f>
        <v/>
      </c>
      <c r="R187" s="12" t="n"/>
      <c r="S187" s="12" t="n"/>
      <c r="T187" s="13" t="n"/>
      <c r="U187" s="12" t="n">
        <v>14</v>
      </c>
      <c r="V187" s="12" t="n"/>
      <c r="W18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87" s="14">
        <f>SI([@SBAN]="";"";BUSCARV([@SBAN];Cronograma_Maestro!$A:$M;6;FALSO))</f>
        <v/>
      </c>
    </row>
    <row r="188">
      <c r="A188" s="11" t="inlineStr">
        <is>
          <t>1555</t>
        </is>
      </c>
      <c r="B188" s="12">
        <f>SI([@SBAN]="";"";BUSCARV([@SBAN];Cronograma_Maestro!$A:$M;2;FALSO))</f>
        <v/>
      </c>
      <c r="C188" s="12">
        <f>SI([@SBAN]="";"";BUSCARV([@SBAN];Cronograma_Maestro!$A:$M;3;FALSO))</f>
        <v/>
      </c>
      <c r="D188" s="12">
        <f>SI([@SBAN]="";"";BUSCARV([@SBAN];Cronograma_Maestro!$A:$M;4;FALSO))</f>
        <v/>
      </c>
      <c r="E188" s="12">
        <f>SI([@SBAN]="";"";BUSCARV([@SBAN];Cronograma_Maestro!$A:$M;5;FALSO))</f>
        <v/>
      </c>
      <c r="F188" s="12" t="inlineStr">
        <is>
          <t>Andrés Felipe Díaz Noy</t>
        </is>
      </c>
      <c r="G188" s="12" t="inlineStr">
        <is>
          <t>PMU COLSOF</t>
        </is>
      </c>
      <c r="H188" s="13" t="n">
        <v>46279</v>
      </c>
      <c r="I188" s="13" t="n">
        <v>46280</v>
      </c>
      <c r="J188" s="13" t="n"/>
      <c r="K188" s="13" t="n"/>
      <c r="L188" s="12" t="inlineStr">
        <is>
          <t>Programada</t>
        </is>
      </c>
      <c r="M188" s="13" t="n"/>
      <c r="N188" s="14">
        <f>SI(O([@[Fecha_Programada_Inicio]]="";[@[Fecha_Inicio_Real]]="");"";SI([@[Fecha_Inicio_Real]]&lt;=[@[Fecha_Programada_Inicio]];"SÍ";"NO"))</f>
        <v/>
      </c>
      <c r="O188" s="14">
        <f>SI(O([@[Fecha_Programada_Fin]]="";[@[Fecha_Cierre_Operativo]]="");"";SI([@[Fecha_Cierre_Operativo]]&lt;=SI([@[Fecha_Nueva_Programada]]&lt;&gt;"";[@[Fecha_Nueva_Programada]];[@[Fecha_Programada_Fin]]);"SÍ";"NO"))</f>
        <v/>
      </c>
      <c r="P188" s="14">
        <f>SI(O([@[Cumpli_Ingreso]]="";[@[Cumpli_Salida]]="");"";SI(Y([@[Cumpli_Ingreso]]="SÍ";[@[Cumpli_Salida]]="SÍ");"SÍ";"NO"))</f>
        <v/>
      </c>
      <c r="Q188" s="15">
        <f>SI(O([@[Fecha_Programada_Fin]]="";[@[Fecha_Cierre_Operativo]]="");"";MAX(0;ENTERO([@[Fecha_Cierre_Operativo]])-ENTERO(SI([@[Fecha_Nueva_Programada]]&lt;&gt;"";[@[Fecha_Nueva_Programada]];[@[Fecha_Programada_Fin]])))</f>
        <v/>
      </c>
      <c r="R188" s="12" t="n"/>
      <c r="S188" s="12" t="n"/>
      <c r="T188" s="13" t="n"/>
      <c r="U188" s="12" t="n">
        <v>19</v>
      </c>
      <c r="V188" s="12" t="n"/>
      <c r="W18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88" s="14">
        <f>SI([@SBAN]="";"";BUSCARV([@SBAN];Cronograma_Maestro!$A:$M;6;FALSO))</f>
        <v/>
      </c>
    </row>
    <row r="189">
      <c r="A189" s="11" t="inlineStr">
        <is>
          <t>1556</t>
        </is>
      </c>
      <c r="B189" s="12">
        <f>SI([@SBAN]="";"";BUSCARV([@SBAN];Cronograma_Maestro!$A:$M;2;FALSO))</f>
        <v/>
      </c>
      <c r="C189" s="12">
        <f>SI([@SBAN]="";"";BUSCARV([@SBAN];Cronograma_Maestro!$A:$M;3;FALSO))</f>
        <v/>
      </c>
      <c r="D189" s="12">
        <f>SI([@SBAN]="";"";BUSCARV([@SBAN];Cronograma_Maestro!$A:$M;4;FALSO))</f>
        <v/>
      </c>
      <c r="E189" s="12">
        <f>SI([@SBAN]="";"";BUSCARV([@SBAN];Cronograma_Maestro!$A:$M;5;FALSO))</f>
        <v/>
      </c>
      <c r="F189" s="12" t="inlineStr">
        <is>
          <t>Andrés Felipe Carvajal Pire</t>
        </is>
      </c>
      <c r="G189" s="12" t="inlineStr">
        <is>
          <t>PMU COLSOF</t>
        </is>
      </c>
      <c r="H189" s="13" t="n">
        <v>46286</v>
      </c>
      <c r="I189" s="13" t="n">
        <v>46287</v>
      </c>
      <c r="J189" s="13" t="n"/>
      <c r="K189" s="13" t="n"/>
      <c r="L189" s="12" t="inlineStr">
        <is>
          <t>Programada</t>
        </is>
      </c>
      <c r="M189" s="13" t="n"/>
      <c r="N189" s="14">
        <f>SI(O([@[Fecha_Programada_Inicio]]="";[@[Fecha_Inicio_Real]]="");"";SI([@[Fecha_Inicio_Real]]&lt;=[@[Fecha_Programada_Inicio]];"SÍ";"NO"))</f>
        <v/>
      </c>
      <c r="O189" s="14">
        <f>SI(O([@[Fecha_Programada_Fin]]="";[@[Fecha_Cierre_Operativo]]="");"";SI([@[Fecha_Cierre_Operativo]]&lt;=SI([@[Fecha_Nueva_Programada]]&lt;&gt;"";[@[Fecha_Nueva_Programada]];[@[Fecha_Programada_Fin]]);"SÍ";"NO"))</f>
        <v/>
      </c>
      <c r="P189" s="14">
        <f>SI(O([@[Cumpli_Ingreso]]="";[@[Cumpli_Salida]]="");"";SI(Y([@[Cumpli_Ingreso]]="SÍ";[@[Cumpli_Salida]]="SÍ");"SÍ";"NO"))</f>
        <v/>
      </c>
      <c r="Q189" s="15">
        <f>SI(O([@[Fecha_Programada_Fin]]="";[@[Fecha_Cierre_Operativo]]="");"";MAX(0;ENTERO([@[Fecha_Cierre_Operativo]])-ENTERO(SI([@[Fecha_Nueva_Programada]]&lt;&gt;"";[@[Fecha_Nueva_Programada]];[@[Fecha_Programada_Fin]])))</f>
        <v/>
      </c>
      <c r="R189" s="12" t="n"/>
      <c r="S189" s="12" t="n"/>
      <c r="T189" s="13" t="n"/>
      <c r="U189" s="12" t="n">
        <v>15</v>
      </c>
      <c r="V189" s="12" t="n"/>
      <c r="W18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89" s="14">
        <f>SI([@SBAN]="";"";BUSCARV([@SBAN];Cronograma_Maestro!$A:$M;6;FALSO))</f>
        <v/>
      </c>
    </row>
    <row r="190">
      <c r="A190" s="11" t="inlineStr">
        <is>
          <t>1560</t>
        </is>
      </c>
      <c r="B190" s="12">
        <f>SI([@SBAN]="";"";BUSCARV([@SBAN];Cronograma_Maestro!$A:$M;2;FALSO))</f>
        <v/>
      </c>
      <c r="C190" s="12">
        <f>SI([@SBAN]="";"";BUSCARV([@SBAN];Cronograma_Maestro!$A:$M;3;FALSO))</f>
        <v/>
      </c>
      <c r="D190" s="12">
        <f>SI([@SBAN]="";"";BUSCARV([@SBAN];Cronograma_Maestro!$A:$M;4;FALSO))</f>
        <v/>
      </c>
      <c r="E190" s="12">
        <f>SI([@SBAN]="";"";BUSCARV([@SBAN];Cronograma_Maestro!$A:$M;5;FALSO))</f>
        <v/>
      </c>
      <c r="F190" s="12" t="inlineStr">
        <is>
          <t>Luz Nélida Barragán Toro  Y ANDRES FELIPE DIAZ</t>
        </is>
      </c>
      <c r="G190" s="12" t="inlineStr">
        <is>
          <t>PMU COLSOF</t>
        </is>
      </c>
      <c r="H190" s="13" t="n">
        <v>46314</v>
      </c>
      <c r="I190" s="13" t="n">
        <v>46318</v>
      </c>
      <c r="J190" s="13" t="n"/>
      <c r="K190" s="13" t="n"/>
      <c r="L190" s="12" t="inlineStr">
        <is>
          <t>Programada</t>
        </is>
      </c>
      <c r="M190" s="13" t="n"/>
      <c r="N190" s="14">
        <f>SI(O([@[Fecha_Programada_Inicio]]="";[@[Fecha_Inicio_Real]]="");"";SI([@[Fecha_Inicio_Real]]&lt;=[@[Fecha_Programada_Inicio]];"SÍ";"NO"))</f>
        <v/>
      </c>
      <c r="O190" s="14">
        <f>SI(O([@[Fecha_Programada_Fin]]="";[@[Fecha_Cierre_Operativo]]="");"";SI([@[Fecha_Cierre_Operativo]]&lt;=SI([@[Fecha_Nueva_Programada]]&lt;&gt;"";[@[Fecha_Nueva_Programada]];[@[Fecha_Programada_Fin]]);"SÍ";"NO"))</f>
        <v/>
      </c>
      <c r="P190" s="14">
        <f>SI(O([@[Cumpli_Ingreso]]="";[@[Cumpli_Salida]]="");"";SI(Y([@[Cumpli_Ingreso]]="SÍ";[@[Cumpli_Salida]]="SÍ");"SÍ";"NO"))</f>
        <v/>
      </c>
      <c r="Q190" s="15">
        <f>SI(O([@[Fecha_Programada_Fin]]="";[@[Fecha_Cierre_Operativo]]="");"";MAX(0;ENTERO([@[Fecha_Cierre_Operativo]])-ENTERO(SI([@[Fecha_Nueva_Programada]]&lt;&gt;"";[@[Fecha_Nueva_Programada]];[@[Fecha_Programada_Fin]])))</f>
        <v/>
      </c>
      <c r="R190" s="12" t="n"/>
      <c r="S190" s="12" t="n"/>
      <c r="T190" s="13" t="n"/>
      <c r="U190" s="12" t="n">
        <v>27</v>
      </c>
      <c r="V190" s="12" t="n"/>
      <c r="W19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90" s="14">
        <f>SI([@SBAN]="";"";BUSCARV([@SBAN];Cronograma_Maestro!$A:$M;6;FALSO))</f>
        <v/>
      </c>
    </row>
    <row r="191">
      <c r="A191" s="11" t="inlineStr">
        <is>
          <t>1563</t>
        </is>
      </c>
      <c r="B191" s="12">
        <f>SI([@SBAN]="";"";BUSCARV([@SBAN];Cronograma_Maestro!$A:$M;2;FALSO))</f>
        <v/>
      </c>
      <c r="C191" s="12">
        <f>SI([@SBAN]="";"";BUSCARV([@SBAN];Cronograma_Maestro!$A:$M;3;FALSO))</f>
        <v/>
      </c>
      <c r="D191" s="12">
        <f>SI([@SBAN]="";"";BUSCARV([@SBAN];Cronograma_Maestro!$A:$M;4;FALSO))</f>
        <v/>
      </c>
      <c r="E191" s="12">
        <f>SI([@SBAN]="";"";BUSCARV([@SBAN];Cronograma_Maestro!$A:$M;5;FALSO))</f>
        <v/>
      </c>
      <c r="F191" s="12" t="inlineStr">
        <is>
          <t>Mauricio Andrés Rivera Páez</t>
        </is>
      </c>
      <c r="G191" s="12" t="inlineStr">
        <is>
          <t>PMU COLSOF</t>
        </is>
      </c>
      <c r="H191" s="13" t="n">
        <v>46274</v>
      </c>
      <c r="I191" s="13" t="n">
        <v>46275</v>
      </c>
      <c r="J191" s="13" t="n"/>
      <c r="K191" s="13" t="n"/>
      <c r="L191" s="12" t="inlineStr">
        <is>
          <t>Programada</t>
        </is>
      </c>
      <c r="M191" s="13" t="n"/>
      <c r="N191" s="14">
        <f>SI(O([@[Fecha_Programada_Inicio]]="";[@[Fecha_Inicio_Real]]="");"";SI([@[Fecha_Inicio_Real]]&lt;=[@[Fecha_Programada_Inicio]];"SÍ";"NO"))</f>
        <v/>
      </c>
      <c r="O191" s="14">
        <f>SI(O([@[Fecha_Programada_Fin]]="";[@[Fecha_Cierre_Operativo]]="");"";SI([@[Fecha_Cierre_Operativo]]&lt;=SI([@[Fecha_Nueva_Programada]]&lt;&gt;"";[@[Fecha_Nueva_Programada]];[@[Fecha_Programada_Fin]]);"SÍ";"NO"))</f>
        <v/>
      </c>
      <c r="P191" s="14">
        <f>SI(O([@[Cumpli_Ingreso]]="";[@[Cumpli_Salida]]="");"";SI(Y([@[Cumpli_Ingreso]]="SÍ";[@[Cumpli_Salida]]="SÍ");"SÍ";"NO"))</f>
        <v/>
      </c>
      <c r="Q191" s="15">
        <f>SI(O([@[Fecha_Programada_Fin]]="";[@[Fecha_Cierre_Operativo]]="");"";MAX(0;ENTERO([@[Fecha_Cierre_Operativo]])-ENTERO(SI([@[Fecha_Nueva_Programada]]&lt;&gt;"";[@[Fecha_Nueva_Programada]];[@[Fecha_Programada_Fin]])))</f>
        <v/>
      </c>
      <c r="R191" s="12" t="n"/>
      <c r="S191" s="12" t="n"/>
      <c r="T191" s="13" t="n"/>
      <c r="U191" s="12" t="n">
        <v>26</v>
      </c>
      <c r="V191" s="12" t="n"/>
      <c r="W19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91" s="14">
        <f>SI([@SBAN]="";"";BUSCARV([@SBAN];Cronograma_Maestro!$A:$M;6;FALSO))</f>
        <v/>
      </c>
    </row>
    <row r="192">
      <c r="A192" s="11" t="inlineStr">
        <is>
          <t>1567</t>
        </is>
      </c>
      <c r="B192" s="12">
        <f>SI([@SBAN]="";"";BUSCARV([@SBAN];Cronograma_Maestro!$A:$M;2;FALSO))</f>
        <v/>
      </c>
      <c r="C192" s="12">
        <f>SI([@SBAN]="";"";BUSCARV([@SBAN];Cronograma_Maestro!$A:$M;3;FALSO))</f>
        <v/>
      </c>
      <c r="D192" s="12">
        <f>SI([@SBAN]="";"";BUSCARV([@SBAN];Cronograma_Maestro!$A:$M;4;FALSO))</f>
        <v/>
      </c>
      <c r="E192" s="12">
        <f>SI([@SBAN]="";"";BUSCARV([@SBAN];Cronograma_Maestro!$A:$M;5;FALSO))</f>
        <v/>
      </c>
      <c r="F192" s="12" t="inlineStr">
        <is>
          <t>Andrés Felipe Carvajal Pire</t>
        </is>
      </c>
      <c r="G192" s="12" t="inlineStr">
        <is>
          <t>PMU COLSOF</t>
        </is>
      </c>
      <c r="H192" s="13" t="n">
        <v>46279</v>
      </c>
      <c r="I192" s="13" t="n">
        <v>46280</v>
      </c>
      <c r="J192" s="13" t="n"/>
      <c r="K192" s="13" t="n"/>
      <c r="L192" s="12" t="inlineStr">
        <is>
          <t>Programada</t>
        </is>
      </c>
      <c r="M192" s="13" t="n"/>
      <c r="N192" s="14">
        <f>SI(O([@[Fecha_Programada_Inicio]]="";[@[Fecha_Inicio_Real]]="");"";SI([@[Fecha_Inicio_Real]]&lt;=[@[Fecha_Programada_Inicio]];"SÍ";"NO"))</f>
        <v/>
      </c>
      <c r="O192" s="14">
        <f>SI(O([@[Fecha_Programada_Fin]]="";[@[Fecha_Cierre_Operativo]]="");"";SI([@[Fecha_Cierre_Operativo]]&lt;=SI([@[Fecha_Nueva_Programada]]&lt;&gt;"";[@[Fecha_Nueva_Programada]];[@[Fecha_Programada_Fin]]);"SÍ";"NO"))</f>
        <v/>
      </c>
      <c r="P192" s="14">
        <f>SI(O([@[Cumpli_Ingreso]]="";[@[Cumpli_Salida]]="");"";SI(Y([@[Cumpli_Ingreso]]="SÍ";[@[Cumpli_Salida]]="SÍ");"SÍ";"NO"))</f>
        <v/>
      </c>
      <c r="Q192" s="15">
        <f>SI(O([@[Fecha_Programada_Fin]]="";[@[Fecha_Cierre_Operativo]]="");"";MAX(0;ENTERO([@[Fecha_Cierre_Operativo]])-ENTERO(SI([@[Fecha_Nueva_Programada]]&lt;&gt;"";[@[Fecha_Nueva_Programada]];[@[Fecha_Programada_Fin]])))</f>
        <v/>
      </c>
      <c r="R192" s="12" t="n"/>
      <c r="S192" s="12" t="n"/>
      <c r="T192" s="13" t="n"/>
      <c r="U192" s="12" t="n">
        <v>16</v>
      </c>
      <c r="V192" s="12" t="n"/>
      <c r="W19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92" s="14">
        <f>SI([@SBAN]="";"";BUSCARV([@SBAN];Cronograma_Maestro!$A:$M;6;FALSO))</f>
        <v/>
      </c>
    </row>
    <row r="193">
      <c r="A193" s="11" t="inlineStr">
        <is>
          <t>1568</t>
        </is>
      </c>
      <c r="B193" s="12">
        <f>SI([@SBAN]="";"";BUSCARV([@SBAN];Cronograma_Maestro!$A:$M;2;FALSO))</f>
        <v/>
      </c>
      <c r="C193" s="12">
        <f>SI([@SBAN]="";"";BUSCARV([@SBAN];Cronograma_Maestro!$A:$M;3;FALSO))</f>
        <v/>
      </c>
      <c r="D193" s="12">
        <f>SI([@SBAN]="";"";BUSCARV([@SBAN];Cronograma_Maestro!$A:$M;4;FALSO))</f>
        <v/>
      </c>
      <c r="E193" s="12">
        <f>SI([@SBAN]="";"";BUSCARV([@SBAN];Cronograma_Maestro!$A:$M;5;FALSO))</f>
        <v/>
      </c>
      <c r="F193" s="12" t="inlineStr">
        <is>
          <t>Mauricio Andrés Rivera Páez</t>
        </is>
      </c>
      <c r="G193" s="12" t="inlineStr">
        <is>
          <t>PMU COLSOF</t>
        </is>
      </c>
      <c r="H193" s="13" t="n">
        <v>46282</v>
      </c>
      <c r="I193" s="13" t="n">
        <v>46283</v>
      </c>
      <c r="J193" s="13" t="n"/>
      <c r="K193" s="13" t="n"/>
      <c r="L193" s="12" t="inlineStr">
        <is>
          <t>Programada</t>
        </is>
      </c>
      <c r="M193" s="13" t="n"/>
      <c r="N193" s="14">
        <f>SI(O([@[Fecha_Programada_Inicio]]="";[@[Fecha_Inicio_Real]]="");"";SI([@[Fecha_Inicio_Real]]&lt;=[@[Fecha_Programada_Inicio]];"SÍ";"NO"))</f>
        <v/>
      </c>
      <c r="O193" s="14">
        <f>SI(O([@[Fecha_Programada_Fin]]="";[@[Fecha_Cierre_Operativo]]="");"";SI([@[Fecha_Cierre_Operativo]]&lt;=SI([@[Fecha_Nueva_Programada]]&lt;&gt;"";[@[Fecha_Nueva_Programada]];[@[Fecha_Programada_Fin]]);"SÍ";"NO"))</f>
        <v/>
      </c>
      <c r="P193" s="14">
        <f>SI(O([@[Cumpli_Ingreso]]="";[@[Cumpli_Salida]]="");"";SI(Y([@[Cumpli_Ingreso]]="SÍ";[@[Cumpli_Salida]]="SÍ");"SÍ";"NO"))</f>
        <v/>
      </c>
      <c r="Q193" s="15">
        <f>SI(O([@[Fecha_Programada_Fin]]="";[@[Fecha_Cierre_Operativo]]="");"";MAX(0;ENTERO([@[Fecha_Cierre_Operativo]])-ENTERO(SI([@[Fecha_Nueva_Programada]]&lt;&gt;"";[@[Fecha_Nueva_Programada]];[@[Fecha_Programada_Fin]])))</f>
        <v/>
      </c>
      <c r="R193" s="12" t="n"/>
      <c r="S193" s="12" t="n"/>
      <c r="T193" s="13" t="n"/>
      <c r="U193" s="12" t="n">
        <v>21</v>
      </c>
      <c r="V193" s="12" t="n"/>
      <c r="W19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93" s="14">
        <f>SI([@SBAN]="";"";BUSCARV([@SBAN];Cronograma_Maestro!$A:$M;6;FALSO))</f>
        <v/>
      </c>
    </row>
    <row r="194">
      <c r="A194" s="11" t="inlineStr">
        <is>
          <t>1569</t>
        </is>
      </c>
      <c r="B194" s="12">
        <f>SI([@SBAN]="";"";BUSCARV([@SBAN];Cronograma_Maestro!$A:$M;2;FALSO))</f>
        <v/>
      </c>
      <c r="C194" s="12">
        <f>SI([@SBAN]="";"";BUSCARV([@SBAN];Cronograma_Maestro!$A:$M;3;FALSO))</f>
        <v/>
      </c>
      <c r="D194" s="12">
        <f>SI([@SBAN]="";"";BUSCARV([@SBAN];Cronograma_Maestro!$A:$M;4;FALSO))</f>
        <v/>
      </c>
      <c r="E194" s="12">
        <f>SI([@SBAN]="";"";BUSCARV([@SBAN];Cronograma_Maestro!$A:$M;5;FALSO))</f>
        <v/>
      </c>
      <c r="F194" s="12" t="inlineStr">
        <is>
          <t>Andrés Felipe Carvajal Pire</t>
        </is>
      </c>
      <c r="G194" s="12" t="inlineStr">
        <is>
          <t>PMU COLSOF</t>
        </is>
      </c>
      <c r="H194" s="13" t="n">
        <v>46282</v>
      </c>
      <c r="I194" s="13" t="n">
        <v>46283</v>
      </c>
      <c r="J194" s="13" t="n"/>
      <c r="K194" s="13" t="n"/>
      <c r="L194" s="12" t="inlineStr">
        <is>
          <t>Programada</t>
        </is>
      </c>
      <c r="M194" s="13" t="n"/>
      <c r="N194" s="14">
        <f>SI(O([@[Fecha_Programada_Inicio]]="";[@[Fecha_Inicio_Real]]="");"";SI([@[Fecha_Inicio_Real]]&lt;=[@[Fecha_Programada_Inicio]];"SÍ";"NO"))</f>
        <v/>
      </c>
      <c r="O194" s="14">
        <f>SI(O([@[Fecha_Programada_Fin]]="";[@[Fecha_Cierre_Operativo]]="");"";SI([@[Fecha_Cierre_Operativo]]&lt;=SI([@[Fecha_Nueva_Programada]]&lt;&gt;"";[@[Fecha_Nueva_Programada]];[@[Fecha_Programada_Fin]]);"SÍ";"NO"))</f>
        <v/>
      </c>
      <c r="P194" s="14">
        <f>SI(O([@[Cumpli_Ingreso]]="";[@[Cumpli_Salida]]="");"";SI(Y([@[Cumpli_Ingreso]]="SÍ";[@[Cumpli_Salida]]="SÍ");"SÍ";"NO"))</f>
        <v/>
      </c>
      <c r="Q194" s="15">
        <f>SI(O([@[Fecha_Programada_Fin]]="";[@[Fecha_Cierre_Operativo]]="");"";MAX(0;ENTERO([@[Fecha_Cierre_Operativo]])-ENTERO(SI([@[Fecha_Nueva_Programada]]&lt;&gt;"";[@[Fecha_Nueva_Programada]];[@[Fecha_Programada_Fin]])))</f>
        <v/>
      </c>
      <c r="R194" s="12" t="n"/>
      <c r="S194" s="12" t="n"/>
      <c r="T194" s="13" t="n"/>
      <c r="U194" s="12" t="n">
        <v>12</v>
      </c>
      <c r="V194" s="12" t="n"/>
      <c r="W19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94" s="14">
        <f>SI([@SBAN]="";"";BUSCARV([@SBAN];Cronograma_Maestro!$A:$M;6;FALSO))</f>
        <v/>
      </c>
    </row>
    <row r="195">
      <c r="A195" s="11" t="inlineStr">
        <is>
          <t>1570</t>
        </is>
      </c>
      <c r="B195" s="12">
        <f>SI([@SBAN]="";"";BUSCARV([@SBAN];Cronograma_Maestro!$A:$M;2;FALSO))</f>
        <v/>
      </c>
      <c r="C195" s="12">
        <f>SI([@SBAN]="";"";BUSCARV([@SBAN];Cronograma_Maestro!$A:$M;3;FALSO))</f>
        <v/>
      </c>
      <c r="D195" s="12">
        <f>SI([@SBAN]="";"";BUSCARV([@SBAN];Cronograma_Maestro!$A:$M;4;FALSO))</f>
        <v/>
      </c>
      <c r="E195" s="12">
        <f>SI([@SBAN]="";"";BUSCARV([@SBAN];Cronograma_Maestro!$A:$M;5;FALSO))</f>
        <v/>
      </c>
      <c r="F195" s="12" t="inlineStr">
        <is>
          <t>CRISTIAN CAMILO DIAZ NOY</t>
        </is>
      </c>
      <c r="G195" s="12" t="inlineStr">
        <is>
          <t>PMU COLSOF</t>
        </is>
      </c>
      <c r="H195" s="13" t="n">
        <v>46269</v>
      </c>
      <c r="I195" s="13" t="n">
        <v>46269</v>
      </c>
      <c r="J195" s="13" t="n"/>
      <c r="K195" s="13" t="n"/>
      <c r="L195" s="12" t="inlineStr">
        <is>
          <t>Programada</t>
        </is>
      </c>
      <c r="M195" s="13" t="n"/>
      <c r="N195" s="14">
        <f>SI(O([@[Fecha_Programada_Inicio]]="";[@[Fecha_Inicio_Real]]="");"";SI([@[Fecha_Inicio_Real]]&lt;=[@[Fecha_Programada_Inicio]];"SÍ";"NO"))</f>
        <v/>
      </c>
      <c r="O195" s="14">
        <f>SI(O([@[Fecha_Programada_Fin]]="";[@[Fecha_Cierre_Operativo]]="");"";SI([@[Fecha_Cierre_Operativo]]&lt;=SI([@[Fecha_Nueva_Programada]]&lt;&gt;"";[@[Fecha_Nueva_Programada]];[@[Fecha_Programada_Fin]]);"SÍ";"NO"))</f>
        <v/>
      </c>
      <c r="P195" s="14">
        <f>SI(O([@[Cumpli_Ingreso]]="";[@[Cumpli_Salida]]="");"";SI(Y([@[Cumpli_Ingreso]]="SÍ";[@[Cumpli_Salida]]="SÍ");"SÍ";"NO"))</f>
        <v/>
      </c>
      <c r="Q195" s="15">
        <f>SI(O([@[Fecha_Programada_Fin]]="";[@[Fecha_Cierre_Operativo]]="");"";MAX(0;ENTERO([@[Fecha_Cierre_Operativo]])-ENTERO(SI([@[Fecha_Nueva_Programada]]&lt;&gt;"";[@[Fecha_Nueva_Programada]];[@[Fecha_Programada_Fin]])))</f>
        <v/>
      </c>
      <c r="R195" s="12" t="n"/>
      <c r="S195" s="12" t="n"/>
      <c r="T195" s="13" t="n"/>
      <c r="U195" s="12" t="n">
        <v>18</v>
      </c>
      <c r="V195" s="12" t="n"/>
      <c r="W19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95" s="14">
        <f>SI([@SBAN]="";"";BUSCARV([@SBAN];Cronograma_Maestro!$A:$M;6;FALSO))</f>
        <v/>
      </c>
    </row>
    <row r="196">
      <c r="A196" s="11" t="inlineStr">
        <is>
          <t>1571</t>
        </is>
      </c>
      <c r="B196" s="12">
        <f>SI([@SBAN]="";"";BUSCARV([@SBAN];Cronograma_Maestro!$A:$M;2;FALSO))</f>
        <v/>
      </c>
      <c r="C196" s="12">
        <f>SI([@SBAN]="";"";BUSCARV([@SBAN];Cronograma_Maestro!$A:$M;3;FALSO))</f>
        <v/>
      </c>
      <c r="D196" s="12">
        <f>SI([@SBAN]="";"";BUSCARV([@SBAN];Cronograma_Maestro!$A:$M;4;FALSO))</f>
        <v/>
      </c>
      <c r="E196" s="12">
        <f>SI([@SBAN]="";"";BUSCARV([@SBAN];Cronograma_Maestro!$A:$M;5;FALSO))</f>
        <v/>
      </c>
      <c r="F196" s="12" t="inlineStr">
        <is>
          <t>Andrés Felipe Carvajal Pire</t>
        </is>
      </c>
      <c r="G196" s="12" t="inlineStr">
        <is>
          <t>PMU COLSOF</t>
        </is>
      </c>
      <c r="H196" s="13" t="n">
        <v>46268</v>
      </c>
      <c r="I196" s="13" t="n">
        <v>46269</v>
      </c>
      <c r="J196" s="13" t="n"/>
      <c r="K196" s="13" t="n"/>
      <c r="L196" s="12" t="inlineStr">
        <is>
          <t>Programada</t>
        </is>
      </c>
      <c r="M196" s="13" t="n"/>
      <c r="N196" s="14">
        <f>SI(O([@[Fecha_Programada_Inicio]]="";[@[Fecha_Inicio_Real]]="");"";SI([@[Fecha_Inicio_Real]]&lt;=[@[Fecha_Programada_Inicio]];"SÍ";"NO"))</f>
        <v/>
      </c>
      <c r="O196" s="14">
        <f>SI(O([@[Fecha_Programada_Fin]]="";[@[Fecha_Cierre_Operativo]]="");"";SI([@[Fecha_Cierre_Operativo]]&lt;=SI([@[Fecha_Nueva_Programada]]&lt;&gt;"";[@[Fecha_Nueva_Programada]];[@[Fecha_Programada_Fin]]);"SÍ";"NO"))</f>
        <v/>
      </c>
      <c r="P196" s="14">
        <f>SI(O([@[Cumpli_Ingreso]]="";[@[Cumpli_Salida]]="");"";SI(Y([@[Cumpli_Ingreso]]="SÍ";[@[Cumpli_Salida]]="SÍ");"SÍ";"NO"))</f>
        <v/>
      </c>
      <c r="Q196" s="15">
        <f>SI(O([@[Fecha_Programada_Fin]]="";[@[Fecha_Cierre_Operativo]]="");"";MAX(0;ENTERO([@[Fecha_Cierre_Operativo]])-ENTERO(SI([@[Fecha_Nueva_Programada]]&lt;&gt;"";[@[Fecha_Nueva_Programada]];[@[Fecha_Programada_Fin]])))</f>
        <v/>
      </c>
      <c r="R196" s="12" t="n"/>
      <c r="S196" s="12" t="n"/>
      <c r="T196" s="13" t="n"/>
      <c r="U196" s="12" t="n">
        <v>12</v>
      </c>
      <c r="V196" s="12" t="n"/>
      <c r="W19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96" s="14">
        <f>SI([@SBAN]="";"";BUSCARV([@SBAN];Cronograma_Maestro!$A:$M;6;FALSO))</f>
        <v/>
      </c>
    </row>
    <row r="197">
      <c r="A197" s="11" t="inlineStr">
        <is>
          <t>1572</t>
        </is>
      </c>
      <c r="B197" s="12">
        <f>SI([@SBAN]="";"";BUSCARV([@SBAN];Cronograma_Maestro!$A:$M;2;FALSO))</f>
        <v/>
      </c>
      <c r="C197" s="12">
        <f>SI([@SBAN]="";"";BUSCARV([@SBAN];Cronograma_Maestro!$A:$M;3;FALSO))</f>
        <v/>
      </c>
      <c r="D197" s="12">
        <f>SI([@SBAN]="";"";BUSCARV([@SBAN];Cronograma_Maestro!$A:$M;4;FALSO))</f>
        <v/>
      </c>
      <c r="E197" s="12">
        <f>SI([@SBAN]="";"";BUSCARV([@SBAN];Cronograma_Maestro!$A:$M;5;FALSO))</f>
        <v/>
      </c>
      <c r="F197" s="12" t="inlineStr">
        <is>
          <t>Andrés Felipe Carvajal Pire</t>
        </is>
      </c>
      <c r="G197" s="12" t="inlineStr">
        <is>
          <t>PMU COLSOF</t>
        </is>
      </c>
      <c r="H197" s="13" t="n">
        <v>46283</v>
      </c>
      <c r="I197" s="13" t="n">
        <v>46283</v>
      </c>
      <c r="J197" s="13" t="n"/>
      <c r="K197" s="13" t="n"/>
      <c r="L197" s="12" t="inlineStr">
        <is>
          <t>Programada</t>
        </is>
      </c>
      <c r="M197" s="13" t="n"/>
      <c r="N197" s="14">
        <f>SI(O([@[Fecha_Programada_Inicio]]="";[@[Fecha_Inicio_Real]]="");"";SI([@[Fecha_Inicio_Real]]&lt;=[@[Fecha_Programada_Inicio]];"SÍ";"NO"))</f>
        <v/>
      </c>
      <c r="O197" s="14">
        <f>SI(O([@[Fecha_Programada_Fin]]="";[@[Fecha_Cierre_Operativo]]="");"";SI([@[Fecha_Cierre_Operativo]]&lt;=SI([@[Fecha_Nueva_Programada]]&lt;&gt;"";[@[Fecha_Nueva_Programada]];[@[Fecha_Programada_Fin]]);"SÍ";"NO"))</f>
        <v/>
      </c>
      <c r="P197" s="14">
        <f>SI(O([@[Cumpli_Ingreso]]="";[@[Cumpli_Salida]]="");"";SI(Y([@[Cumpli_Ingreso]]="SÍ";[@[Cumpli_Salida]]="SÍ");"SÍ";"NO"))</f>
        <v/>
      </c>
      <c r="Q197" s="15">
        <f>SI(O([@[Fecha_Programada_Fin]]="";[@[Fecha_Cierre_Operativo]]="");"";MAX(0;ENTERO([@[Fecha_Cierre_Operativo]])-ENTERO(SI([@[Fecha_Nueva_Programada]]&lt;&gt;"";[@[Fecha_Nueva_Programada]];[@[Fecha_Programada_Fin]])))</f>
        <v/>
      </c>
      <c r="R197" s="12" t="n"/>
      <c r="S197" s="12" t="n"/>
      <c r="T197" s="13" t="n"/>
      <c r="U197" s="12" t="n">
        <v>17</v>
      </c>
      <c r="V197" s="12" t="n"/>
      <c r="W19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97" s="14">
        <f>SI([@SBAN]="";"";BUSCARV([@SBAN];Cronograma_Maestro!$A:$M;6;FALSO))</f>
        <v/>
      </c>
    </row>
    <row r="198">
      <c r="A198" s="11" t="inlineStr">
        <is>
          <t>1573</t>
        </is>
      </c>
      <c r="B198" s="12">
        <f>SI([@SBAN]="";"";BUSCARV([@SBAN];Cronograma_Maestro!$A:$M;2;FALSO))</f>
        <v/>
      </c>
      <c r="C198" s="12">
        <f>SI([@SBAN]="";"";BUSCARV([@SBAN];Cronograma_Maestro!$A:$M;3;FALSO))</f>
        <v/>
      </c>
      <c r="D198" s="12">
        <f>SI([@SBAN]="";"";BUSCARV([@SBAN];Cronograma_Maestro!$A:$M;4;FALSO))</f>
        <v/>
      </c>
      <c r="E198" s="12">
        <f>SI([@SBAN]="";"";BUSCARV([@SBAN];Cronograma_Maestro!$A:$M;5;FALSO))</f>
        <v/>
      </c>
      <c r="F198" s="12" t="inlineStr">
        <is>
          <t>Andrés Felipe Carvajal Pire</t>
        </is>
      </c>
      <c r="G198" s="12" t="inlineStr">
        <is>
          <t>PMU COLSOF</t>
        </is>
      </c>
      <c r="H198" s="13" t="n">
        <v>46269</v>
      </c>
      <c r="I198" s="13" t="n">
        <v>46269</v>
      </c>
      <c r="J198" s="13" t="n"/>
      <c r="K198" s="13" t="n"/>
      <c r="L198" s="12" t="inlineStr">
        <is>
          <t>Programada</t>
        </is>
      </c>
      <c r="M198" s="13" t="n"/>
      <c r="N198" s="14">
        <f>SI(O([@[Fecha_Programada_Inicio]]="";[@[Fecha_Inicio_Real]]="");"";SI([@[Fecha_Inicio_Real]]&lt;=[@[Fecha_Programada_Inicio]];"SÍ";"NO"))</f>
        <v/>
      </c>
      <c r="O198" s="14">
        <f>SI(O([@[Fecha_Programada_Fin]]="";[@[Fecha_Cierre_Operativo]]="");"";SI([@[Fecha_Cierre_Operativo]]&lt;=SI([@[Fecha_Nueva_Programada]]&lt;&gt;"";[@[Fecha_Nueva_Programada]];[@[Fecha_Programada_Fin]]);"SÍ";"NO"))</f>
        <v/>
      </c>
      <c r="P198" s="14">
        <f>SI(O([@[Cumpli_Ingreso]]="";[@[Cumpli_Salida]]="");"";SI(Y([@[Cumpli_Ingreso]]="SÍ";[@[Cumpli_Salida]]="SÍ");"SÍ";"NO"))</f>
        <v/>
      </c>
      <c r="Q198" s="15">
        <f>SI(O([@[Fecha_Programada_Fin]]="";[@[Fecha_Cierre_Operativo]]="");"";MAX(0;ENTERO([@[Fecha_Cierre_Operativo]])-ENTERO(SI([@[Fecha_Nueva_Programada]]&lt;&gt;"";[@[Fecha_Nueva_Programada]];[@[Fecha_Programada_Fin]])))</f>
        <v/>
      </c>
      <c r="R198" s="12" t="n"/>
      <c r="S198" s="12" t="n"/>
      <c r="T198" s="13" t="n"/>
      <c r="U198" s="12" t="n">
        <v>21</v>
      </c>
      <c r="V198" s="12" t="n"/>
      <c r="W19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98" s="14">
        <f>SI([@SBAN]="";"";BUSCARV([@SBAN];Cronograma_Maestro!$A:$M;6;FALSO))</f>
        <v/>
      </c>
    </row>
    <row r="199">
      <c r="A199" s="11" t="inlineStr">
        <is>
          <t>1574</t>
        </is>
      </c>
      <c r="B199" s="12">
        <f>SI([@SBAN]="";"";BUSCARV([@SBAN];Cronograma_Maestro!$A:$M;2;FALSO))</f>
        <v/>
      </c>
      <c r="C199" s="12">
        <f>SI([@SBAN]="";"";BUSCARV([@SBAN];Cronograma_Maestro!$A:$M;3;FALSO))</f>
        <v/>
      </c>
      <c r="D199" s="12">
        <f>SI([@SBAN]="";"";BUSCARV([@SBAN];Cronograma_Maestro!$A:$M;4;FALSO))</f>
        <v/>
      </c>
      <c r="E199" s="12">
        <f>SI([@SBAN]="";"";BUSCARV([@SBAN];Cronograma_Maestro!$A:$M;5;FALSO))</f>
        <v/>
      </c>
      <c r="F199" s="12" t="inlineStr">
        <is>
          <t>Andrés Felipe Díaz Noy</t>
        </is>
      </c>
      <c r="G199" s="12" t="inlineStr">
        <is>
          <t>PMU COLSOF</t>
        </is>
      </c>
      <c r="H199" s="13" t="n">
        <v>46280</v>
      </c>
      <c r="I199" s="13" t="n">
        <v>46281</v>
      </c>
      <c r="J199" s="13" t="n"/>
      <c r="K199" s="13" t="n"/>
      <c r="L199" s="12" t="inlineStr">
        <is>
          <t>Programada</t>
        </is>
      </c>
      <c r="M199" s="13" t="n"/>
      <c r="N199" s="14">
        <f>SI(O([@[Fecha_Programada_Inicio]]="";[@[Fecha_Inicio_Real]]="");"";SI([@[Fecha_Inicio_Real]]&lt;=[@[Fecha_Programada_Inicio]];"SÍ";"NO"))</f>
        <v/>
      </c>
      <c r="O199" s="14">
        <f>SI(O([@[Fecha_Programada_Fin]]="";[@[Fecha_Cierre_Operativo]]="");"";SI([@[Fecha_Cierre_Operativo]]&lt;=SI([@[Fecha_Nueva_Programada]]&lt;&gt;"";[@[Fecha_Nueva_Programada]];[@[Fecha_Programada_Fin]]);"SÍ";"NO"))</f>
        <v/>
      </c>
      <c r="P199" s="14">
        <f>SI(O([@[Cumpli_Ingreso]]="";[@[Cumpli_Salida]]="");"";SI(Y([@[Cumpli_Ingreso]]="SÍ";[@[Cumpli_Salida]]="SÍ");"SÍ";"NO"))</f>
        <v/>
      </c>
      <c r="Q199" s="15">
        <f>SI(O([@[Fecha_Programada_Fin]]="";[@[Fecha_Cierre_Operativo]]="");"";MAX(0;ENTERO([@[Fecha_Cierre_Operativo]])-ENTERO(SI([@[Fecha_Nueva_Programada]]&lt;&gt;"";[@[Fecha_Nueva_Programada]];[@[Fecha_Programada_Fin]])))</f>
        <v/>
      </c>
      <c r="R199" s="12" t="n"/>
      <c r="S199" s="12" t="n"/>
      <c r="T199" s="13" t="n"/>
      <c r="U199" s="12" t="n">
        <v>12</v>
      </c>
      <c r="V199" s="12" t="n"/>
      <c r="W19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199" s="14">
        <f>SI([@SBAN]="";"";BUSCARV([@SBAN];Cronograma_Maestro!$A:$M;6;FALSO))</f>
        <v/>
      </c>
    </row>
    <row r="200">
      <c r="A200" s="11" t="inlineStr">
        <is>
          <t>1575</t>
        </is>
      </c>
      <c r="B200" s="12">
        <f>SI([@SBAN]="";"";BUSCARV([@SBAN];Cronograma_Maestro!$A:$M;2;FALSO))</f>
        <v/>
      </c>
      <c r="C200" s="12">
        <f>SI([@SBAN]="";"";BUSCARV([@SBAN];Cronograma_Maestro!$A:$M;3;FALSO))</f>
        <v/>
      </c>
      <c r="D200" s="12">
        <f>SI([@SBAN]="";"";BUSCARV([@SBAN];Cronograma_Maestro!$A:$M;4;FALSO))</f>
        <v/>
      </c>
      <c r="E200" s="12">
        <f>SI([@SBAN]="";"";BUSCARV([@SBAN];Cronograma_Maestro!$A:$M;5;FALSO))</f>
        <v/>
      </c>
      <c r="F200" s="12" t="inlineStr">
        <is>
          <t>Mauricio Andrés Rivera Páez</t>
        </is>
      </c>
      <c r="G200" s="12" t="inlineStr">
        <is>
          <t>PMU COLSOF</t>
        </is>
      </c>
      <c r="H200" s="13" t="n">
        <v>46283</v>
      </c>
      <c r="I200" s="13" t="n">
        <v>46283</v>
      </c>
      <c r="J200" s="13" t="n"/>
      <c r="K200" s="13" t="n"/>
      <c r="L200" s="12" t="inlineStr">
        <is>
          <t>Programada</t>
        </is>
      </c>
      <c r="M200" s="13" t="n"/>
      <c r="N200" s="14">
        <f>SI(O([@[Fecha_Programada_Inicio]]="";[@[Fecha_Inicio_Real]]="");"";SI([@[Fecha_Inicio_Real]]&lt;=[@[Fecha_Programada_Inicio]];"SÍ";"NO"))</f>
        <v/>
      </c>
      <c r="O200" s="14">
        <f>SI(O([@[Fecha_Programada_Fin]]="";[@[Fecha_Cierre_Operativo]]="");"";SI([@[Fecha_Cierre_Operativo]]&lt;=SI([@[Fecha_Nueva_Programada]]&lt;&gt;"";[@[Fecha_Nueva_Programada]];[@[Fecha_Programada_Fin]]);"SÍ";"NO"))</f>
        <v/>
      </c>
      <c r="P200" s="14">
        <f>SI(O([@[Cumpli_Ingreso]]="";[@[Cumpli_Salida]]="");"";SI(Y([@[Cumpli_Ingreso]]="SÍ";[@[Cumpli_Salida]]="SÍ");"SÍ";"NO"))</f>
        <v/>
      </c>
      <c r="Q200" s="15">
        <f>SI(O([@[Fecha_Programada_Fin]]="";[@[Fecha_Cierre_Operativo]]="");"";MAX(0;ENTERO([@[Fecha_Cierre_Operativo]])-ENTERO(SI([@[Fecha_Nueva_Programada]]&lt;&gt;"";[@[Fecha_Nueva_Programada]];[@[Fecha_Programada_Fin]])))</f>
        <v/>
      </c>
      <c r="R200" s="12" t="n"/>
      <c r="S200" s="12" t="n"/>
      <c r="T200" s="13" t="n"/>
      <c r="U200" s="12" t="n">
        <v>12</v>
      </c>
      <c r="V200" s="12" t="n"/>
      <c r="W20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00" s="14">
        <f>SI([@SBAN]="";"";BUSCARV([@SBAN];Cronograma_Maestro!$A:$M;6;FALSO))</f>
        <v/>
      </c>
    </row>
    <row r="201">
      <c r="A201" s="11" t="inlineStr">
        <is>
          <t>1576</t>
        </is>
      </c>
      <c r="B201" s="12">
        <f>SI([@SBAN]="";"";BUSCARV([@SBAN];Cronograma_Maestro!$A:$M;2;FALSO))</f>
        <v/>
      </c>
      <c r="C201" s="12">
        <f>SI([@SBAN]="";"";BUSCARV([@SBAN];Cronograma_Maestro!$A:$M;3;FALSO))</f>
        <v/>
      </c>
      <c r="D201" s="12">
        <f>SI([@SBAN]="";"";BUSCARV([@SBAN];Cronograma_Maestro!$A:$M;4;FALSO))</f>
        <v/>
      </c>
      <c r="E201" s="12">
        <f>SI([@SBAN]="";"";BUSCARV([@SBAN];Cronograma_Maestro!$A:$M;5;FALSO))</f>
        <v/>
      </c>
      <c r="F201" s="12" t="inlineStr">
        <is>
          <t>Mauricio Andrés Rivera Páez  Y ANDRES FELIPE DIAZ</t>
        </is>
      </c>
      <c r="G201" s="12" t="inlineStr">
        <is>
          <t>PMU COLSOF</t>
        </is>
      </c>
      <c r="H201" s="13" t="n">
        <v>46267</v>
      </c>
      <c r="I201" s="13" t="n">
        <v>46269</v>
      </c>
      <c r="J201" s="13" t="n"/>
      <c r="K201" s="13" t="n"/>
      <c r="L201" s="12" t="inlineStr">
        <is>
          <t>Programada</t>
        </is>
      </c>
      <c r="M201" s="13" t="n"/>
      <c r="N201" s="14">
        <f>SI(O([@[Fecha_Programada_Inicio]]="";[@[Fecha_Inicio_Real]]="");"";SI([@[Fecha_Inicio_Real]]&lt;=[@[Fecha_Programada_Inicio]];"SÍ";"NO"))</f>
        <v/>
      </c>
      <c r="O201" s="14">
        <f>SI(O([@[Fecha_Programada_Fin]]="";[@[Fecha_Cierre_Operativo]]="");"";SI([@[Fecha_Cierre_Operativo]]&lt;=SI([@[Fecha_Nueva_Programada]]&lt;&gt;"";[@[Fecha_Nueva_Programada]];[@[Fecha_Programada_Fin]]);"SÍ";"NO"))</f>
        <v/>
      </c>
      <c r="P201" s="14">
        <f>SI(O([@[Cumpli_Ingreso]]="";[@[Cumpli_Salida]]="");"";SI(Y([@[Cumpli_Ingreso]]="SÍ";[@[Cumpli_Salida]]="SÍ");"SÍ";"NO"))</f>
        <v/>
      </c>
      <c r="Q201" s="15">
        <f>SI(O([@[Fecha_Programada_Fin]]="";[@[Fecha_Cierre_Operativo]]="");"";MAX(0;ENTERO([@[Fecha_Cierre_Operativo]])-ENTERO(SI([@[Fecha_Nueva_Programada]]&lt;&gt;"";[@[Fecha_Nueva_Programada]];[@[Fecha_Programada_Fin]])))</f>
        <v/>
      </c>
      <c r="R201" s="12" t="n"/>
      <c r="S201" s="12" t="n"/>
      <c r="T201" s="13" t="n"/>
      <c r="U201" s="12" t="n">
        <v>27</v>
      </c>
      <c r="V201" s="12" t="n"/>
      <c r="W20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01" s="14">
        <f>SI([@SBAN]="";"";BUSCARV([@SBAN];Cronograma_Maestro!$A:$M;6;FALSO))</f>
        <v/>
      </c>
    </row>
    <row r="202">
      <c r="A202" s="11" t="inlineStr">
        <is>
          <t>1577</t>
        </is>
      </c>
      <c r="B202" s="12">
        <f>SI([@SBAN]="";"";BUSCARV([@SBAN];Cronograma_Maestro!$A:$M;2;FALSO))</f>
        <v/>
      </c>
      <c r="C202" s="12">
        <f>SI([@SBAN]="";"";BUSCARV([@SBAN];Cronograma_Maestro!$A:$M;3;FALSO))</f>
        <v/>
      </c>
      <c r="D202" s="12">
        <f>SI([@SBAN]="";"";BUSCARV([@SBAN];Cronograma_Maestro!$A:$M;4;FALSO))</f>
        <v/>
      </c>
      <c r="E202" s="12">
        <f>SI([@SBAN]="";"";BUSCARV([@SBAN];Cronograma_Maestro!$A:$M;5;FALSO))</f>
        <v/>
      </c>
      <c r="F202" s="12" t="inlineStr">
        <is>
          <t>Andrés Felipe Díaz Noy</t>
        </is>
      </c>
      <c r="G202" s="12" t="inlineStr">
        <is>
          <t>PMU COLSOF</t>
        </is>
      </c>
      <c r="H202" s="13" t="n">
        <v>46275</v>
      </c>
      <c r="I202" s="13" t="n">
        <v>46276</v>
      </c>
      <c r="J202" s="13" t="n"/>
      <c r="K202" s="13" t="n"/>
      <c r="L202" s="12" t="inlineStr">
        <is>
          <t>Programada</t>
        </is>
      </c>
      <c r="M202" s="13" t="n"/>
      <c r="N202" s="14">
        <f>SI(O([@[Fecha_Programada_Inicio]]="";[@[Fecha_Inicio_Real]]="");"";SI([@[Fecha_Inicio_Real]]&lt;=[@[Fecha_Programada_Inicio]];"SÍ";"NO"))</f>
        <v/>
      </c>
      <c r="O202" s="14">
        <f>SI(O([@[Fecha_Programada_Fin]]="";[@[Fecha_Cierre_Operativo]]="");"";SI([@[Fecha_Cierre_Operativo]]&lt;=SI([@[Fecha_Nueva_Programada]]&lt;&gt;"";[@[Fecha_Nueva_Programada]];[@[Fecha_Programada_Fin]]);"SÍ";"NO"))</f>
        <v/>
      </c>
      <c r="P202" s="14">
        <f>SI(O([@[Cumpli_Ingreso]]="";[@[Cumpli_Salida]]="");"";SI(Y([@[Cumpli_Ingreso]]="SÍ";[@[Cumpli_Salida]]="SÍ");"SÍ";"NO"))</f>
        <v/>
      </c>
      <c r="Q202" s="15">
        <f>SI(O([@[Fecha_Programada_Fin]]="";[@[Fecha_Cierre_Operativo]]="");"";MAX(0;ENTERO([@[Fecha_Cierre_Operativo]])-ENTERO(SI([@[Fecha_Nueva_Programada]]&lt;&gt;"";[@[Fecha_Nueva_Programada]];[@[Fecha_Programada_Fin]])))</f>
        <v/>
      </c>
      <c r="R202" s="12" t="n"/>
      <c r="S202" s="12" t="n"/>
      <c r="T202" s="13" t="n"/>
      <c r="U202" s="12" t="n">
        <v>13</v>
      </c>
      <c r="V202" s="12" t="n"/>
      <c r="W20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02" s="14">
        <f>SI([@SBAN]="";"";BUSCARV([@SBAN];Cronograma_Maestro!$A:$M;6;FALSO))</f>
        <v/>
      </c>
    </row>
    <row r="203">
      <c r="A203" s="11" t="inlineStr">
        <is>
          <t>1578</t>
        </is>
      </c>
      <c r="B203" s="12">
        <f>SI([@SBAN]="";"";BUSCARV([@SBAN];Cronograma_Maestro!$A:$M;2;FALSO))</f>
        <v/>
      </c>
      <c r="C203" s="12">
        <f>SI([@SBAN]="";"";BUSCARV([@SBAN];Cronograma_Maestro!$A:$M;3;FALSO))</f>
        <v/>
      </c>
      <c r="D203" s="12">
        <f>SI([@SBAN]="";"";BUSCARV([@SBAN];Cronograma_Maestro!$A:$M;4;FALSO))</f>
        <v/>
      </c>
      <c r="E203" s="12">
        <f>SI([@SBAN]="";"";BUSCARV([@SBAN];Cronograma_Maestro!$A:$M;5;FALSO))</f>
        <v/>
      </c>
      <c r="F203" s="12" t="inlineStr">
        <is>
          <t>Luz Nélida Barragán Toro</t>
        </is>
      </c>
      <c r="G203" s="12" t="inlineStr">
        <is>
          <t>PMU COLSOF</t>
        </is>
      </c>
      <c r="H203" s="13" t="n">
        <v>46275</v>
      </c>
      <c r="I203" s="13" t="n">
        <v>46276</v>
      </c>
      <c r="J203" s="13" t="n"/>
      <c r="K203" s="13" t="n"/>
      <c r="L203" s="12" t="inlineStr">
        <is>
          <t>Programada</t>
        </is>
      </c>
      <c r="M203" s="13" t="n"/>
      <c r="N203" s="14">
        <f>SI(O([@[Fecha_Programada_Inicio]]="";[@[Fecha_Inicio_Real]]="");"";SI([@[Fecha_Inicio_Real]]&lt;=[@[Fecha_Programada_Inicio]];"SÍ";"NO"))</f>
        <v/>
      </c>
      <c r="O203" s="14">
        <f>SI(O([@[Fecha_Programada_Fin]]="";[@[Fecha_Cierre_Operativo]]="");"";SI([@[Fecha_Cierre_Operativo]]&lt;=SI([@[Fecha_Nueva_Programada]]&lt;&gt;"";[@[Fecha_Nueva_Programada]];[@[Fecha_Programada_Fin]]);"SÍ";"NO"))</f>
        <v/>
      </c>
      <c r="P203" s="14">
        <f>SI(O([@[Cumpli_Ingreso]]="";[@[Cumpli_Salida]]="");"";SI(Y([@[Cumpli_Ingreso]]="SÍ";[@[Cumpli_Salida]]="SÍ");"SÍ";"NO"))</f>
        <v/>
      </c>
      <c r="Q203" s="15">
        <f>SI(O([@[Fecha_Programada_Fin]]="";[@[Fecha_Cierre_Operativo]]="");"";MAX(0;ENTERO([@[Fecha_Cierre_Operativo]])-ENTERO(SI([@[Fecha_Nueva_Programada]]&lt;&gt;"";[@[Fecha_Nueva_Programada]];[@[Fecha_Programada_Fin]])))</f>
        <v/>
      </c>
      <c r="R203" s="12" t="n"/>
      <c r="S203" s="12" t="n"/>
      <c r="T203" s="13" t="n"/>
      <c r="U203" s="12" t="n">
        <v>14</v>
      </c>
      <c r="V203" s="12" t="n"/>
      <c r="W20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03" s="14">
        <f>SI([@SBAN]="";"";BUSCARV([@SBAN];Cronograma_Maestro!$A:$M;6;FALSO))</f>
        <v/>
      </c>
    </row>
    <row r="204">
      <c r="A204" s="11" t="inlineStr">
        <is>
          <t>1579</t>
        </is>
      </c>
      <c r="B204" s="12">
        <f>SI([@SBAN]="";"";BUSCARV([@SBAN];Cronograma_Maestro!$A:$M;2;FALSO))</f>
        <v/>
      </c>
      <c r="C204" s="12">
        <f>SI([@SBAN]="";"";BUSCARV([@SBAN];Cronograma_Maestro!$A:$M;3;FALSO))</f>
        <v/>
      </c>
      <c r="D204" s="12">
        <f>SI([@SBAN]="";"";BUSCARV([@SBAN];Cronograma_Maestro!$A:$M;4;FALSO))</f>
        <v/>
      </c>
      <c r="E204" s="12">
        <f>SI([@SBAN]="";"";BUSCARV([@SBAN];Cronograma_Maestro!$A:$M;5;FALSO))</f>
        <v/>
      </c>
      <c r="F204" s="12" t="inlineStr">
        <is>
          <t>Andrés Felipe Carvajal Pire</t>
        </is>
      </c>
      <c r="G204" s="12" t="inlineStr">
        <is>
          <t>PMU COLSOF</t>
        </is>
      </c>
      <c r="H204" s="13" t="n">
        <v>46272</v>
      </c>
      <c r="I204" s="13" t="n">
        <v>46273</v>
      </c>
      <c r="J204" s="13" t="n"/>
      <c r="K204" s="13" t="n"/>
      <c r="L204" s="12" t="inlineStr">
        <is>
          <t>Programada</t>
        </is>
      </c>
      <c r="M204" s="13" t="n"/>
      <c r="N204" s="14">
        <f>SI(O([@[Fecha_Programada_Inicio]]="";[@[Fecha_Inicio_Real]]="");"";SI([@[Fecha_Inicio_Real]]&lt;=[@[Fecha_Programada_Inicio]];"SÍ";"NO"))</f>
        <v/>
      </c>
      <c r="O204" s="14">
        <f>SI(O([@[Fecha_Programada_Fin]]="";[@[Fecha_Cierre_Operativo]]="");"";SI([@[Fecha_Cierre_Operativo]]&lt;=SI([@[Fecha_Nueva_Programada]]&lt;&gt;"";[@[Fecha_Nueva_Programada]];[@[Fecha_Programada_Fin]]);"SÍ";"NO"))</f>
        <v/>
      </c>
      <c r="P204" s="14">
        <f>SI(O([@[Cumpli_Ingreso]]="";[@[Cumpli_Salida]]="");"";SI(Y([@[Cumpli_Ingreso]]="SÍ";[@[Cumpli_Salida]]="SÍ");"SÍ";"NO"))</f>
        <v/>
      </c>
      <c r="Q204" s="15">
        <f>SI(O([@[Fecha_Programada_Fin]]="";[@[Fecha_Cierre_Operativo]]="");"";MAX(0;ENTERO([@[Fecha_Cierre_Operativo]])-ENTERO(SI([@[Fecha_Nueva_Programada]]&lt;&gt;"";[@[Fecha_Nueva_Programada]];[@[Fecha_Programada_Fin]])))</f>
        <v/>
      </c>
      <c r="R204" s="12" t="n"/>
      <c r="S204" s="12" t="n"/>
      <c r="T204" s="13" t="n"/>
      <c r="U204" s="12" t="n">
        <v>12</v>
      </c>
      <c r="V204" s="12" t="n"/>
      <c r="W20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04" s="14">
        <f>SI([@SBAN]="";"";BUSCARV([@SBAN];Cronograma_Maestro!$A:$M;6;FALSO))</f>
        <v/>
      </c>
    </row>
    <row r="205">
      <c r="A205" s="11" t="inlineStr">
        <is>
          <t>1580</t>
        </is>
      </c>
      <c r="B205" s="12">
        <f>SI([@SBAN]="";"";BUSCARV([@SBAN];Cronograma_Maestro!$A:$M;2;FALSO))</f>
        <v/>
      </c>
      <c r="C205" s="12">
        <f>SI([@SBAN]="";"";BUSCARV([@SBAN];Cronograma_Maestro!$A:$M;3;FALSO))</f>
        <v/>
      </c>
      <c r="D205" s="12">
        <f>SI([@SBAN]="";"";BUSCARV([@SBAN];Cronograma_Maestro!$A:$M;4;FALSO))</f>
        <v/>
      </c>
      <c r="E205" s="12">
        <f>SI([@SBAN]="";"";BUSCARV([@SBAN];Cronograma_Maestro!$A:$M;5;FALSO))</f>
        <v/>
      </c>
      <c r="F205" s="12" t="inlineStr">
        <is>
          <t>Andrés Felipe Díaz Noy</t>
        </is>
      </c>
      <c r="G205" s="12" t="inlineStr">
        <is>
          <t>PMU COLSOF</t>
        </is>
      </c>
      <c r="H205" s="13" t="n">
        <v>46288</v>
      </c>
      <c r="I205" s="13" t="n">
        <v>46289</v>
      </c>
      <c r="J205" s="13" t="n"/>
      <c r="K205" s="13" t="n"/>
      <c r="L205" s="12" t="inlineStr">
        <is>
          <t>Programada</t>
        </is>
      </c>
      <c r="M205" s="13" t="n"/>
      <c r="N205" s="14">
        <f>SI(O([@[Fecha_Programada_Inicio]]="";[@[Fecha_Inicio_Real]]="");"";SI([@[Fecha_Inicio_Real]]&lt;=[@[Fecha_Programada_Inicio]];"SÍ";"NO"))</f>
        <v/>
      </c>
      <c r="O205" s="14">
        <f>SI(O([@[Fecha_Programada_Fin]]="";[@[Fecha_Cierre_Operativo]]="");"";SI([@[Fecha_Cierre_Operativo]]&lt;=SI([@[Fecha_Nueva_Programada]]&lt;&gt;"";[@[Fecha_Nueva_Programada]];[@[Fecha_Programada_Fin]]);"SÍ";"NO"))</f>
        <v/>
      </c>
      <c r="P205" s="14">
        <f>SI(O([@[Cumpli_Ingreso]]="";[@[Cumpli_Salida]]="");"";SI(Y([@[Cumpli_Ingreso]]="SÍ";[@[Cumpli_Salida]]="SÍ");"SÍ";"NO"))</f>
        <v/>
      </c>
      <c r="Q205" s="15">
        <f>SI(O([@[Fecha_Programada_Fin]]="";[@[Fecha_Cierre_Operativo]]="");"";MAX(0;ENTERO([@[Fecha_Cierre_Operativo]])-ENTERO(SI([@[Fecha_Nueva_Programada]]&lt;&gt;"";[@[Fecha_Nueva_Programada]];[@[Fecha_Programada_Fin]])))</f>
        <v/>
      </c>
      <c r="R205" s="12" t="n"/>
      <c r="S205" s="12" t="n"/>
      <c r="T205" s="13" t="n"/>
      <c r="U205" s="12" t="n">
        <v>17</v>
      </c>
      <c r="V205" s="12" t="n"/>
      <c r="W20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05" s="14">
        <f>SI([@SBAN]="";"";BUSCARV([@SBAN];Cronograma_Maestro!$A:$M;6;FALSO))</f>
        <v/>
      </c>
    </row>
    <row r="206">
      <c r="A206" s="11" t="inlineStr">
        <is>
          <t>1582</t>
        </is>
      </c>
      <c r="B206" s="12">
        <f>SI([@SBAN]="";"";BUSCARV([@SBAN];Cronograma_Maestro!$A:$M;2;FALSO))</f>
        <v/>
      </c>
      <c r="C206" s="12">
        <f>SI([@SBAN]="";"";BUSCARV([@SBAN];Cronograma_Maestro!$A:$M;3;FALSO))</f>
        <v/>
      </c>
      <c r="D206" s="12">
        <f>SI([@SBAN]="";"";BUSCARV([@SBAN];Cronograma_Maestro!$A:$M;4;FALSO))</f>
        <v/>
      </c>
      <c r="E206" s="12">
        <f>SI([@SBAN]="";"";BUSCARV([@SBAN];Cronograma_Maestro!$A:$M;5;FALSO))</f>
        <v/>
      </c>
      <c r="F206" s="12" t="inlineStr">
        <is>
          <t>Andrés Felipe Carvajal Pire</t>
        </is>
      </c>
      <c r="G206" s="12" t="inlineStr">
        <is>
          <t>PMU COLSOF</t>
        </is>
      </c>
      <c r="H206" s="13" t="n">
        <v>46266</v>
      </c>
      <c r="I206" s="13" t="n">
        <v>46267</v>
      </c>
      <c r="J206" s="13" t="n">
        <v>46266</v>
      </c>
      <c r="K206" s="13" t="n"/>
      <c r="L206" s="12" t="inlineStr">
        <is>
          <t>En Proceso</t>
        </is>
      </c>
      <c r="M206" s="13" t="n"/>
      <c r="N206" s="14">
        <f>SI(O([@[Fecha_Programada_Inicio]]="";[@[Fecha_Inicio_Real]]="");"";SI([@[Fecha_Inicio_Real]]&lt;=[@[Fecha_Programada_Inicio]];"SÍ";"NO"))</f>
        <v/>
      </c>
      <c r="O206" s="14">
        <f>SI(O([@[Fecha_Programada_Fin]]="";[@[Fecha_Cierre_Operativo]]="");"";SI([@[Fecha_Cierre_Operativo]]&lt;=SI([@[Fecha_Nueva_Programada]]&lt;&gt;"";[@[Fecha_Nueva_Programada]];[@[Fecha_Programada_Fin]]);"SÍ";"NO"))</f>
        <v/>
      </c>
      <c r="P206" s="14">
        <f>SI(O([@[Cumpli_Ingreso]]="";[@[Cumpli_Salida]]="");"";SI(Y([@[Cumpli_Ingreso]]="SÍ";[@[Cumpli_Salida]]="SÍ");"SÍ";"NO"))</f>
        <v/>
      </c>
      <c r="Q206" s="15">
        <f>SI(O([@[Fecha_Programada_Fin]]="";[@[Fecha_Cierre_Operativo]]="");"";MAX(0;ENTERO([@[Fecha_Cierre_Operativo]])-ENTERO(SI([@[Fecha_Nueva_Programada]]&lt;&gt;"";[@[Fecha_Nueva_Programada]];[@[Fecha_Programada_Fin]])))</f>
        <v/>
      </c>
      <c r="R206" s="12" t="n"/>
      <c r="S206" s="12" t="n"/>
      <c r="T206" s="13" t="n"/>
      <c r="U206" s="12" t="n">
        <v>12</v>
      </c>
      <c r="V206" s="12" t="n"/>
      <c r="W20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06" s="14">
        <f>SI([@SBAN]="";"";BUSCARV([@SBAN];Cronograma_Maestro!$A:$M;6;FALSO))</f>
        <v/>
      </c>
    </row>
    <row r="207">
      <c r="A207" s="11" t="inlineStr">
        <is>
          <t>1583</t>
        </is>
      </c>
      <c r="B207" s="12">
        <f>SI([@SBAN]="";"";BUSCARV([@SBAN];Cronograma_Maestro!$A:$M;2;FALSO))</f>
        <v/>
      </c>
      <c r="C207" s="12">
        <f>SI([@SBAN]="";"";BUSCARV([@SBAN];Cronograma_Maestro!$A:$M;3;FALSO))</f>
        <v/>
      </c>
      <c r="D207" s="12">
        <f>SI([@SBAN]="";"";BUSCARV([@SBAN];Cronograma_Maestro!$A:$M;4;FALSO))</f>
        <v/>
      </c>
      <c r="E207" s="12">
        <f>SI([@SBAN]="";"";BUSCARV([@SBAN];Cronograma_Maestro!$A:$M;5;FALSO))</f>
        <v/>
      </c>
      <c r="F207" s="12" t="inlineStr">
        <is>
          <t>Andrés Felipe Carvajal Pire</t>
        </is>
      </c>
      <c r="G207" s="12" t="inlineStr">
        <is>
          <t>PMU COLSOF</t>
        </is>
      </c>
      <c r="H207" s="13" t="n">
        <v>46280</v>
      </c>
      <c r="I207" s="13" t="n">
        <v>46281</v>
      </c>
      <c r="J207" s="13" t="n"/>
      <c r="K207" s="13" t="n"/>
      <c r="L207" s="12" t="inlineStr">
        <is>
          <t>Programada</t>
        </is>
      </c>
      <c r="M207" s="13" t="n"/>
      <c r="N207" s="14">
        <f>SI(O([@[Fecha_Programada_Inicio]]="";[@[Fecha_Inicio_Real]]="");"";SI([@[Fecha_Inicio_Real]]&lt;=[@[Fecha_Programada_Inicio]];"SÍ";"NO"))</f>
        <v/>
      </c>
      <c r="O207" s="14">
        <f>SI(O([@[Fecha_Programada_Fin]]="";[@[Fecha_Cierre_Operativo]]="");"";SI([@[Fecha_Cierre_Operativo]]&lt;=SI([@[Fecha_Nueva_Programada]]&lt;&gt;"";[@[Fecha_Nueva_Programada]];[@[Fecha_Programada_Fin]]);"SÍ";"NO"))</f>
        <v/>
      </c>
      <c r="P207" s="14">
        <f>SI(O([@[Cumpli_Ingreso]]="";[@[Cumpli_Salida]]="");"";SI(Y([@[Cumpli_Ingreso]]="SÍ";[@[Cumpli_Salida]]="SÍ");"SÍ";"NO"))</f>
        <v/>
      </c>
      <c r="Q207" s="15">
        <f>SI(O([@[Fecha_Programada_Fin]]="";[@[Fecha_Cierre_Operativo]]="");"";MAX(0;ENTERO([@[Fecha_Cierre_Operativo]])-ENTERO(SI([@[Fecha_Nueva_Programada]]&lt;&gt;"";[@[Fecha_Nueva_Programada]];[@[Fecha_Programada_Fin]])))</f>
        <v/>
      </c>
      <c r="R207" s="12" t="n"/>
      <c r="S207" s="12" t="n"/>
      <c r="T207" s="13" t="n"/>
      <c r="U207" s="12" t="n">
        <v>22</v>
      </c>
      <c r="V207" s="12" t="n"/>
      <c r="W20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07" s="14">
        <f>SI([@SBAN]="";"";BUSCARV([@SBAN];Cronograma_Maestro!$A:$M;6;FALSO))</f>
        <v/>
      </c>
    </row>
    <row r="208">
      <c r="A208" s="11" t="inlineStr">
        <is>
          <t>1584</t>
        </is>
      </c>
      <c r="B208" s="12">
        <f>SI([@SBAN]="";"";BUSCARV([@SBAN];Cronograma_Maestro!$A:$M;2;FALSO))</f>
        <v/>
      </c>
      <c r="C208" s="12">
        <f>SI([@SBAN]="";"";BUSCARV([@SBAN];Cronograma_Maestro!$A:$M;3;FALSO))</f>
        <v/>
      </c>
      <c r="D208" s="12">
        <f>SI([@SBAN]="";"";BUSCARV([@SBAN];Cronograma_Maestro!$A:$M;4;FALSO))</f>
        <v/>
      </c>
      <c r="E208" s="12">
        <f>SI([@SBAN]="";"";BUSCARV([@SBAN];Cronograma_Maestro!$A:$M;5;FALSO))</f>
        <v/>
      </c>
      <c r="F208" s="12" t="inlineStr">
        <is>
          <t>Mauricio Andrés Rivera Páez</t>
        </is>
      </c>
      <c r="G208" s="12" t="inlineStr">
        <is>
          <t>PMU COLSOF</t>
        </is>
      </c>
      <c r="H208" s="13" t="n">
        <v>46272</v>
      </c>
      <c r="I208" s="13" t="n">
        <v>46273</v>
      </c>
      <c r="J208" s="13" t="n"/>
      <c r="K208" s="13" t="n"/>
      <c r="L208" s="12" t="inlineStr">
        <is>
          <t>Programada</t>
        </is>
      </c>
      <c r="M208" s="13" t="n"/>
      <c r="N208" s="14">
        <f>SI(O([@[Fecha_Programada_Inicio]]="";[@[Fecha_Inicio_Real]]="");"";SI([@[Fecha_Inicio_Real]]&lt;=[@[Fecha_Programada_Inicio]];"SÍ";"NO"))</f>
        <v/>
      </c>
      <c r="O208" s="14">
        <f>SI(O([@[Fecha_Programada_Fin]]="";[@[Fecha_Cierre_Operativo]]="");"";SI([@[Fecha_Cierre_Operativo]]&lt;=SI([@[Fecha_Nueva_Programada]]&lt;&gt;"";[@[Fecha_Nueva_Programada]];[@[Fecha_Programada_Fin]]);"SÍ";"NO"))</f>
        <v/>
      </c>
      <c r="P208" s="14">
        <f>SI(O([@[Cumpli_Ingreso]]="";[@[Cumpli_Salida]]="");"";SI(Y([@[Cumpli_Ingreso]]="SÍ";[@[Cumpli_Salida]]="SÍ");"SÍ";"NO"))</f>
        <v/>
      </c>
      <c r="Q208" s="15">
        <f>SI(O([@[Fecha_Programada_Fin]]="";[@[Fecha_Cierre_Operativo]]="");"";MAX(0;ENTERO([@[Fecha_Cierre_Operativo]])-ENTERO(SI([@[Fecha_Nueva_Programada]]&lt;&gt;"";[@[Fecha_Nueva_Programada]];[@[Fecha_Programada_Fin]])))</f>
        <v/>
      </c>
      <c r="R208" s="12" t="n"/>
      <c r="S208" s="12" t="n"/>
      <c r="T208" s="13" t="n"/>
      <c r="U208" s="12" t="n">
        <v>18</v>
      </c>
      <c r="V208" s="12" t="n"/>
      <c r="W20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08" s="14">
        <f>SI([@SBAN]="";"";BUSCARV([@SBAN];Cronograma_Maestro!$A:$M;6;FALSO))</f>
        <v/>
      </c>
    </row>
    <row r="209">
      <c r="A209" s="11" t="inlineStr">
        <is>
          <t>1585</t>
        </is>
      </c>
      <c r="B209" s="12">
        <f>SI([@SBAN]="";"";BUSCARV([@SBAN];Cronograma_Maestro!$A:$M;2;FALSO))</f>
        <v/>
      </c>
      <c r="C209" s="12">
        <f>SI([@SBAN]="";"";BUSCARV([@SBAN];Cronograma_Maestro!$A:$M;3;FALSO))</f>
        <v/>
      </c>
      <c r="D209" s="12">
        <f>SI([@SBAN]="";"";BUSCARV([@SBAN];Cronograma_Maestro!$A:$M;4;FALSO))</f>
        <v/>
      </c>
      <c r="E209" s="12">
        <f>SI([@SBAN]="";"";BUSCARV([@SBAN];Cronograma_Maestro!$A:$M;5;FALSO))</f>
        <v/>
      </c>
      <c r="F209" s="12" t="inlineStr">
        <is>
          <t>Mauricio Andrés Rivera Páez</t>
        </is>
      </c>
      <c r="G209" s="12" t="inlineStr">
        <is>
          <t>PMU COLSOF</t>
        </is>
      </c>
      <c r="H209" s="13" t="n">
        <v>46273</v>
      </c>
      <c r="I209" s="13" t="n">
        <v>46274</v>
      </c>
      <c r="J209" s="13" t="n"/>
      <c r="K209" s="13" t="n"/>
      <c r="L209" s="12" t="inlineStr">
        <is>
          <t>Programada</t>
        </is>
      </c>
      <c r="M209" s="13" t="n"/>
      <c r="N209" s="14">
        <f>SI(O([@[Fecha_Programada_Inicio]]="";[@[Fecha_Inicio_Real]]="");"";SI([@[Fecha_Inicio_Real]]&lt;=[@[Fecha_Programada_Inicio]];"SÍ";"NO"))</f>
        <v/>
      </c>
      <c r="O209" s="14">
        <f>SI(O([@[Fecha_Programada_Fin]]="";[@[Fecha_Cierre_Operativo]]="");"";SI([@[Fecha_Cierre_Operativo]]&lt;=SI([@[Fecha_Nueva_Programada]]&lt;&gt;"";[@[Fecha_Nueva_Programada]];[@[Fecha_Programada_Fin]]);"SÍ";"NO"))</f>
        <v/>
      </c>
      <c r="P209" s="14">
        <f>SI(O([@[Cumpli_Ingreso]]="";[@[Cumpli_Salida]]="");"";SI(Y([@[Cumpli_Ingreso]]="SÍ";[@[Cumpli_Salida]]="SÍ");"SÍ";"NO"))</f>
        <v/>
      </c>
      <c r="Q209" s="15">
        <f>SI(O([@[Fecha_Programada_Fin]]="";[@[Fecha_Cierre_Operativo]]="");"";MAX(0;ENTERO([@[Fecha_Cierre_Operativo]])-ENTERO(SI([@[Fecha_Nueva_Programada]]&lt;&gt;"";[@[Fecha_Nueva_Programada]];[@[Fecha_Programada_Fin]])))</f>
        <v/>
      </c>
      <c r="R209" s="12" t="n"/>
      <c r="S209" s="12" t="n"/>
      <c r="T209" s="13" t="n"/>
      <c r="U209" s="12" t="n">
        <v>17</v>
      </c>
      <c r="V209" s="12" t="n"/>
      <c r="W20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09" s="14">
        <f>SI([@SBAN]="";"";BUSCARV([@SBAN];Cronograma_Maestro!$A:$M;6;FALSO))</f>
        <v/>
      </c>
    </row>
    <row r="210">
      <c r="A210" s="11" t="inlineStr">
        <is>
          <t>1586</t>
        </is>
      </c>
      <c r="B210" s="12">
        <f>SI([@SBAN]="";"";BUSCARV([@SBAN];Cronograma_Maestro!$A:$M;2;FALSO))</f>
        <v/>
      </c>
      <c r="C210" s="12">
        <f>SI([@SBAN]="";"";BUSCARV([@SBAN];Cronograma_Maestro!$A:$M;3;FALSO))</f>
        <v/>
      </c>
      <c r="D210" s="12">
        <f>SI([@SBAN]="";"";BUSCARV([@SBAN];Cronograma_Maestro!$A:$M;4;FALSO))</f>
        <v/>
      </c>
      <c r="E210" s="12">
        <f>SI([@SBAN]="";"";BUSCARV([@SBAN];Cronograma_Maestro!$A:$M;5;FALSO))</f>
        <v/>
      </c>
      <c r="F210" s="12" t="inlineStr">
        <is>
          <t>Mauricio Andrés Rivera Páez</t>
        </is>
      </c>
      <c r="G210" s="12" t="inlineStr">
        <is>
          <t>PMU COLSOF</t>
        </is>
      </c>
      <c r="H210" s="13" t="n">
        <v>46266</v>
      </c>
      <c r="I210" s="13" t="n">
        <v>46267</v>
      </c>
      <c r="J210" s="13" t="n">
        <v>46266</v>
      </c>
      <c r="K210" s="13" t="n"/>
      <c r="L210" s="12" t="inlineStr">
        <is>
          <t>En Proceso</t>
        </is>
      </c>
      <c r="M210" s="13" t="n"/>
      <c r="N210" s="14">
        <f>SI(O([@[Fecha_Programada_Inicio]]="";[@[Fecha_Inicio_Real]]="");"";SI([@[Fecha_Inicio_Real]]&lt;=[@[Fecha_Programada_Inicio]];"SÍ";"NO"))</f>
        <v/>
      </c>
      <c r="O210" s="14">
        <f>SI(O([@[Fecha_Programada_Fin]]="";[@[Fecha_Cierre_Operativo]]="");"";SI([@[Fecha_Cierre_Operativo]]&lt;=SI([@[Fecha_Nueva_Programada]]&lt;&gt;"";[@[Fecha_Nueva_Programada]];[@[Fecha_Programada_Fin]]);"SÍ";"NO"))</f>
        <v/>
      </c>
      <c r="P210" s="14">
        <f>SI(O([@[Cumpli_Ingreso]]="";[@[Cumpli_Salida]]="");"";SI(Y([@[Cumpli_Ingreso]]="SÍ";[@[Cumpli_Salida]]="SÍ");"SÍ";"NO"))</f>
        <v/>
      </c>
      <c r="Q210" s="15">
        <f>SI(O([@[Fecha_Programada_Fin]]="";[@[Fecha_Cierre_Operativo]]="");"";MAX(0;ENTERO([@[Fecha_Cierre_Operativo]])-ENTERO(SI([@[Fecha_Nueva_Programada]]&lt;&gt;"";[@[Fecha_Nueva_Programada]];[@[Fecha_Programada_Fin]])))</f>
        <v/>
      </c>
      <c r="R210" s="12" t="n"/>
      <c r="S210" s="12" t="n"/>
      <c r="T210" s="13" t="n"/>
      <c r="U210" s="12" t="n">
        <v>12</v>
      </c>
      <c r="V210" s="12" t="n"/>
      <c r="W21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10" s="14">
        <f>SI([@SBAN]="";"";BUSCARV([@SBAN];Cronograma_Maestro!$A:$M;6;FALSO))</f>
        <v/>
      </c>
    </row>
    <row r="211">
      <c r="A211" s="11" t="inlineStr">
        <is>
          <t>1587</t>
        </is>
      </c>
      <c r="B211" s="12">
        <f>SI([@SBAN]="";"";BUSCARV([@SBAN];Cronograma_Maestro!$A:$M;2;FALSO))</f>
        <v/>
      </c>
      <c r="C211" s="12">
        <f>SI([@SBAN]="";"";BUSCARV([@SBAN];Cronograma_Maestro!$A:$M;3;FALSO))</f>
        <v/>
      </c>
      <c r="D211" s="12">
        <f>SI([@SBAN]="";"";BUSCARV([@SBAN];Cronograma_Maestro!$A:$M;4;FALSO))</f>
        <v/>
      </c>
      <c r="E211" s="12">
        <f>SI([@SBAN]="";"";BUSCARV([@SBAN];Cronograma_Maestro!$A:$M;5;FALSO))</f>
        <v/>
      </c>
      <c r="F211" s="12" t="inlineStr">
        <is>
          <t>Mauricio Andrés Rivera Páez</t>
        </is>
      </c>
      <c r="G211" s="12" t="inlineStr">
        <is>
          <t>PMU COLSOF</t>
        </is>
      </c>
      <c r="H211" s="13" t="n">
        <v>46288</v>
      </c>
      <c r="I211" s="13" t="n">
        <v>46289</v>
      </c>
      <c r="J211" s="13" t="n"/>
      <c r="K211" s="13" t="n"/>
      <c r="L211" s="12" t="inlineStr">
        <is>
          <t>Programada</t>
        </is>
      </c>
      <c r="M211" s="13" t="n"/>
      <c r="N211" s="14">
        <f>SI(O([@[Fecha_Programada_Inicio]]="";[@[Fecha_Inicio_Real]]="");"";SI([@[Fecha_Inicio_Real]]&lt;=[@[Fecha_Programada_Inicio]];"SÍ";"NO"))</f>
        <v/>
      </c>
      <c r="O211" s="14">
        <f>SI(O([@[Fecha_Programada_Fin]]="";[@[Fecha_Cierre_Operativo]]="");"";SI([@[Fecha_Cierre_Operativo]]&lt;=SI([@[Fecha_Nueva_Programada]]&lt;&gt;"";[@[Fecha_Nueva_Programada]];[@[Fecha_Programada_Fin]]);"SÍ";"NO"))</f>
        <v/>
      </c>
      <c r="P211" s="14">
        <f>SI(O([@[Cumpli_Ingreso]]="";[@[Cumpli_Salida]]="");"";SI(Y([@[Cumpli_Ingreso]]="SÍ";[@[Cumpli_Salida]]="SÍ");"SÍ";"NO"))</f>
        <v/>
      </c>
      <c r="Q211" s="15">
        <f>SI(O([@[Fecha_Programada_Fin]]="";[@[Fecha_Cierre_Operativo]]="");"";MAX(0;ENTERO([@[Fecha_Cierre_Operativo]])-ENTERO(SI([@[Fecha_Nueva_Programada]]&lt;&gt;"";[@[Fecha_Nueva_Programada]];[@[Fecha_Programada_Fin]])))</f>
        <v/>
      </c>
      <c r="R211" s="12" t="n"/>
      <c r="S211" s="12" t="n"/>
      <c r="T211" s="13" t="n"/>
      <c r="U211" s="12" t="n">
        <v>19</v>
      </c>
      <c r="V211" s="12" t="n"/>
      <c r="W21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11" s="14">
        <f>SI([@SBAN]="";"";BUSCARV([@SBAN];Cronograma_Maestro!$A:$M;6;FALSO))</f>
        <v/>
      </c>
    </row>
    <row r="212">
      <c r="A212" s="11" t="inlineStr">
        <is>
          <t>1588</t>
        </is>
      </c>
      <c r="B212" s="12">
        <f>SI([@SBAN]="";"";BUSCARV([@SBAN];Cronograma_Maestro!$A:$M;2;FALSO))</f>
        <v/>
      </c>
      <c r="C212" s="12">
        <f>SI([@SBAN]="";"";BUSCARV([@SBAN];Cronograma_Maestro!$A:$M;3;FALSO))</f>
        <v/>
      </c>
      <c r="D212" s="12">
        <f>SI([@SBAN]="";"";BUSCARV([@SBAN];Cronograma_Maestro!$A:$M;4;FALSO))</f>
        <v/>
      </c>
      <c r="E212" s="12">
        <f>SI([@SBAN]="";"";BUSCARV([@SBAN];Cronograma_Maestro!$A:$M;5;FALSO))</f>
        <v/>
      </c>
      <c r="F212" s="12" t="inlineStr">
        <is>
          <t>Luz Nélida Barragán Toro</t>
        </is>
      </c>
      <c r="G212" s="12" t="inlineStr">
        <is>
          <t>PMU COLSOF</t>
        </is>
      </c>
      <c r="H212" s="13" t="n">
        <v>46283</v>
      </c>
      <c r="I212" s="13" t="n">
        <v>46283</v>
      </c>
      <c r="J212" s="13" t="n"/>
      <c r="K212" s="13" t="n"/>
      <c r="L212" s="12" t="inlineStr">
        <is>
          <t>Programada</t>
        </is>
      </c>
      <c r="M212" s="13" t="n"/>
      <c r="N212" s="14">
        <f>SI(O([@[Fecha_Programada_Inicio]]="";[@[Fecha_Inicio_Real]]="");"";SI([@[Fecha_Inicio_Real]]&lt;=[@[Fecha_Programada_Inicio]];"SÍ";"NO"))</f>
        <v/>
      </c>
      <c r="O212" s="14">
        <f>SI(O([@[Fecha_Programada_Fin]]="";[@[Fecha_Cierre_Operativo]]="");"";SI([@[Fecha_Cierre_Operativo]]&lt;=SI([@[Fecha_Nueva_Programada]]&lt;&gt;"";[@[Fecha_Nueva_Programada]];[@[Fecha_Programada_Fin]]);"SÍ";"NO"))</f>
        <v/>
      </c>
      <c r="P212" s="14">
        <f>SI(O([@[Cumpli_Ingreso]]="";[@[Cumpli_Salida]]="");"";SI(Y([@[Cumpli_Ingreso]]="SÍ";[@[Cumpli_Salida]]="SÍ");"SÍ";"NO"))</f>
        <v/>
      </c>
      <c r="Q212" s="15">
        <f>SI(O([@[Fecha_Programada_Fin]]="";[@[Fecha_Cierre_Operativo]]="");"";MAX(0;ENTERO([@[Fecha_Cierre_Operativo]])-ENTERO(SI([@[Fecha_Nueva_Programada]]&lt;&gt;"";[@[Fecha_Nueva_Programada]];[@[Fecha_Programada_Fin]])))</f>
        <v/>
      </c>
      <c r="R212" s="12" t="n"/>
      <c r="S212" s="12" t="n"/>
      <c r="T212" s="13" t="n"/>
      <c r="U212" s="12" t="n">
        <v>12</v>
      </c>
      <c r="V212" s="12" t="n"/>
      <c r="W21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12" s="14">
        <f>SI([@SBAN]="";"";BUSCARV([@SBAN];Cronograma_Maestro!$A:$M;6;FALSO))</f>
        <v/>
      </c>
    </row>
    <row r="213">
      <c r="A213" s="11" t="inlineStr">
        <is>
          <t>1589</t>
        </is>
      </c>
      <c r="B213" s="12">
        <f>SI([@SBAN]="";"";BUSCARV([@SBAN];Cronograma_Maestro!$A:$M;2;FALSO))</f>
        <v/>
      </c>
      <c r="C213" s="12">
        <f>SI([@SBAN]="";"";BUSCARV([@SBAN];Cronograma_Maestro!$A:$M;3;FALSO))</f>
        <v/>
      </c>
      <c r="D213" s="12">
        <f>SI([@SBAN]="";"";BUSCARV([@SBAN];Cronograma_Maestro!$A:$M;4;FALSO))</f>
        <v/>
      </c>
      <c r="E213" s="12">
        <f>SI([@SBAN]="";"";BUSCARV([@SBAN];Cronograma_Maestro!$A:$M;5;FALSO))</f>
        <v/>
      </c>
      <c r="F213" s="12" t="inlineStr">
        <is>
          <t>Andrés Felipe Díaz Noy</t>
        </is>
      </c>
      <c r="G213" s="12" t="inlineStr">
        <is>
          <t>PMU COLSOF</t>
        </is>
      </c>
      <c r="H213" s="13" t="n">
        <v>46287</v>
      </c>
      <c r="I213" s="13" t="n">
        <v>46288</v>
      </c>
      <c r="J213" s="13" t="n"/>
      <c r="K213" s="13" t="n"/>
      <c r="L213" s="12" t="inlineStr">
        <is>
          <t>Programada</t>
        </is>
      </c>
      <c r="M213" s="13" t="n"/>
      <c r="N213" s="14">
        <f>SI(O([@[Fecha_Programada_Inicio]]="";[@[Fecha_Inicio_Real]]="");"";SI([@[Fecha_Inicio_Real]]&lt;=[@[Fecha_Programada_Inicio]];"SÍ";"NO"))</f>
        <v/>
      </c>
      <c r="O213" s="14">
        <f>SI(O([@[Fecha_Programada_Fin]]="";[@[Fecha_Cierre_Operativo]]="");"";SI([@[Fecha_Cierre_Operativo]]&lt;=SI([@[Fecha_Nueva_Programada]]&lt;&gt;"";[@[Fecha_Nueva_Programada]];[@[Fecha_Programada_Fin]]);"SÍ";"NO"))</f>
        <v/>
      </c>
      <c r="P213" s="14">
        <f>SI(O([@[Cumpli_Ingreso]]="";[@[Cumpli_Salida]]="");"";SI(Y([@[Cumpli_Ingreso]]="SÍ";[@[Cumpli_Salida]]="SÍ");"SÍ";"NO"))</f>
        <v/>
      </c>
      <c r="Q213" s="15">
        <f>SI(O([@[Fecha_Programada_Fin]]="";[@[Fecha_Cierre_Operativo]]="");"";MAX(0;ENTERO([@[Fecha_Cierre_Operativo]])-ENTERO(SI([@[Fecha_Nueva_Programada]]&lt;&gt;"";[@[Fecha_Nueva_Programada]];[@[Fecha_Programada_Fin]])))</f>
        <v/>
      </c>
      <c r="R213" s="12" t="n"/>
      <c r="S213" s="12" t="n"/>
      <c r="T213" s="13" t="n"/>
      <c r="U213" s="12" t="n">
        <v>14</v>
      </c>
      <c r="V213" s="12" t="n"/>
      <c r="W21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13" s="14">
        <f>SI([@SBAN]="";"";BUSCARV([@SBAN];Cronograma_Maestro!$A:$M;6;FALSO))</f>
        <v/>
      </c>
    </row>
    <row r="214">
      <c r="A214" s="11" t="inlineStr">
        <is>
          <t>1590</t>
        </is>
      </c>
      <c r="B214" s="12">
        <f>SI([@SBAN]="";"";BUSCARV([@SBAN];Cronograma_Maestro!$A:$M;2;FALSO))</f>
        <v/>
      </c>
      <c r="C214" s="12">
        <f>SI([@SBAN]="";"";BUSCARV([@SBAN];Cronograma_Maestro!$A:$M;3;FALSO))</f>
        <v/>
      </c>
      <c r="D214" s="12">
        <f>SI([@SBAN]="";"";BUSCARV([@SBAN];Cronograma_Maestro!$A:$M;4;FALSO))</f>
        <v/>
      </c>
      <c r="E214" s="12">
        <f>SI([@SBAN]="";"";BUSCARV([@SBAN];Cronograma_Maestro!$A:$M;5;FALSO))</f>
        <v/>
      </c>
      <c r="F214" s="12" t="inlineStr">
        <is>
          <t>Luz Nélida Barragán Toro</t>
        </is>
      </c>
      <c r="G214" s="12" t="inlineStr">
        <is>
          <t>PMU COLSOF</t>
        </is>
      </c>
      <c r="H214" s="13" t="n">
        <v>46288</v>
      </c>
      <c r="I214" s="13" t="n">
        <v>46289</v>
      </c>
      <c r="J214" s="13" t="n"/>
      <c r="K214" s="13" t="n"/>
      <c r="L214" s="12" t="inlineStr">
        <is>
          <t>Programada</t>
        </is>
      </c>
      <c r="M214" s="13" t="n"/>
      <c r="N214" s="14">
        <f>SI(O([@[Fecha_Programada_Inicio]]="";[@[Fecha_Inicio_Real]]="");"";SI([@[Fecha_Inicio_Real]]&lt;=[@[Fecha_Programada_Inicio]];"SÍ";"NO"))</f>
        <v/>
      </c>
      <c r="O214" s="14">
        <f>SI(O([@[Fecha_Programada_Fin]]="";[@[Fecha_Cierre_Operativo]]="");"";SI([@[Fecha_Cierre_Operativo]]&lt;=SI([@[Fecha_Nueva_Programada]]&lt;&gt;"";[@[Fecha_Nueva_Programada]];[@[Fecha_Programada_Fin]]);"SÍ";"NO"))</f>
        <v/>
      </c>
      <c r="P214" s="14">
        <f>SI(O([@[Cumpli_Ingreso]]="";[@[Cumpli_Salida]]="");"";SI(Y([@[Cumpli_Ingreso]]="SÍ";[@[Cumpli_Salida]]="SÍ");"SÍ";"NO"))</f>
        <v/>
      </c>
      <c r="Q214" s="15">
        <f>SI(O([@[Fecha_Programada_Fin]]="";[@[Fecha_Cierre_Operativo]]="");"";MAX(0;ENTERO([@[Fecha_Cierre_Operativo]])-ENTERO(SI([@[Fecha_Nueva_Programada]]&lt;&gt;"";[@[Fecha_Nueva_Programada]];[@[Fecha_Programada_Fin]])))</f>
        <v/>
      </c>
      <c r="R214" s="12" t="n"/>
      <c r="S214" s="12" t="n"/>
      <c r="T214" s="13" t="n"/>
      <c r="U214" s="12" t="n">
        <v>17</v>
      </c>
      <c r="V214" s="12" t="n"/>
      <c r="W21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14" s="14">
        <f>SI([@SBAN]="";"";BUSCARV([@SBAN];Cronograma_Maestro!$A:$M;6;FALSO))</f>
        <v/>
      </c>
    </row>
    <row r="215">
      <c r="A215" s="11" t="inlineStr">
        <is>
          <t>1592</t>
        </is>
      </c>
      <c r="B215" s="12">
        <f>SI([@SBAN]="";"";BUSCARV([@SBAN];Cronograma_Maestro!$A:$M;2;FALSO))</f>
        <v/>
      </c>
      <c r="C215" s="12">
        <f>SI([@SBAN]="";"";BUSCARV([@SBAN];Cronograma_Maestro!$A:$M;3;FALSO))</f>
        <v/>
      </c>
      <c r="D215" s="12">
        <f>SI([@SBAN]="";"";BUSCARV([@SBAN];Cronograma_Maestro!$A:$M;4;FALSO))</f>
        <v/>
      </c>
      <c r="E215" s="12">
        <f>SI([@SBAN]="";"";BUSCARV([@SBAN];Cronograma_Maestro!$A:$M;5;FALSO))</f>
        <v/>
      </c>
      <c r="F215" s="12" t="inlineStr">
        <is>
          <t>Mauricio Andrés Rivera Páez</t>
        </is>
      </c>
      <c r="G215" s="12" t="inlineStr">
        <is>
          <t>PMU COLSOF</t>
        </is>
      </c>
      <c r="H215" s="13" t="n">
        <v>46287</v>
      </c>
      <c r="I215" s="13" t="n">
        <v>46288</v>
      </c>
      <c r="J215" s="13" t="n"/>
      <c r="K215" s="13" t="n"/>
      <c r="L215" s="12" t="inlineStr">
        <is>
          <t>Programada</t>
        </is>
      </c>
      <c r="M215" s="13" t="n"/>
      <c r="N215" s="14">
        <f>SI(O([@[Fecha_Programada_Inicio]]="";[@[Fecha_Inicio_Real]]="");"";SI([@[Fecha_Inicio_Real]]&lt;=[@[Fecha_Programada_Inicio]];"SÍ";"NO"))</f>
        <v/>
      </c>
      <c r="O215" s="14">
        <f>SI(O([@[Fecha_Programada_Fin]]="";[@[Fecha_Cierre_Operativo]]="");"";SI([@[Fecha_Cierre_Operativo]]&lt;=SI([@[Fecha_Nueva_Programada]]&lt;&gt;"";[@[Fecha_Nueva_Programada]];[@[Fecha_Programada_Fin]]);"SÍ";"NO"))</f>
        <v/>
      </c>
      <c r="P215" s="14">
        <f>SI(O([@[Cumpli_Ingreso]]="";[@[Cumpli_Salida]]="");"";SI(Y([@[Cumpli_Ingreso]]="SÍ";[@[Cumpli_Salida]]="SÍ");"SÍ";"NO"))</f>
        <v/>
      </c>
      <c r="Q215" s="15">
        <f>SI(O([@[Fecha_Programada_Fin]]="";[@[Fecha_Cierre_Operativo]]="");"";MAX(0;ENTERO([@[Fecha_Cierre_Operativo]])-ENTERO(SI([@[Fecha_Nueva_Programada]]&lt;&gt;"";[@[Fecha_Nueva_Programada]];[@[Fecha_Programada_Fin]])))</f>
        <v/>
      </c>
      <c r="R215" s="12" t="n"/>
      <c r="S215" s="12" t="n"/>
      <c r="T215" s="13" t="n"/>
      <c r="U215" s="12" t="n">
        <v>19</v>
      </c>
      <c r="V215" s="12" t="n"/>
      <c r="W21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15" s="14">
        <f>SI([@SBAN]="";"";BUSCARV([@SBAN];Cronograma_Maestro!$A:$M;6;FALSO))</f>
        <v/>
      </c>
    </row>
    <row r="216">
      <c r="A216" s="11" t="inlineStr">
        <is>
          <t>1593</t>
        </is>
      </c>
      <c r="B216" s="12">
        <f>SI([@SBAN]="";"";BUSCARV([@SBAN];Cronograma_Maestro!$A:$M;2;FALSO))</f>
        <v/>
      </c>
      <c r="C216" s="12">
        <f>SI([@SBAN]="";"";BUSCARV([@SBAN];Cronograma_Maestro!$A:$M;3;FALSO))</f>
        <v/>
      </c>
      <c r="D216" s="12">
        <f>SI([@SBAN]="";"";BUSCARV([@SBAN];Cronograma_Maestro!$A:$M;4;FALSO))</f>
        <v/>
      </c>
      <c r="E216" s="12">
        <f>SI([@SBAN]="";"";BUSCARV([@SBAN];Cronograma_Maestro!$A:$M;5;FALSO))</f>
        <v/>
      </c>
      <c r="F216" s="12" t="inlineStr">
        <is>
          <t>Andrés Felipe Carvajal Pire</t>
        </is>
      </c>
      <c r="G216" s="12" t="inlineStr">
        <is>
          <t>PMU COLSOF</t>
        </is>
      </c>
      <c r="H216" s="13" t="n">
        <v>46289</v>
      </c>
      <c r="I216" s="13" t="n">
        <v>46290</v>
      </c>
      <c r="J216" s="13" t="n"/>
      <c r="K216" s="13" t="n"/>
      <c r="L216" s="12" t="inlineStr">
        <is>
          <t>Programada</t>
        </is>
      </c>
      <c r="M216" s="13" t="n"/>
      <c r="N216" s="14">
        <f>SI(O([@[Fecha_Programada_Inicio]]="";[@[Fecha_Inicio_Real]]="");"";SI([@[Fecha_Inicio_Real]]&lt;=[@[Fecha_Programada_Inicio]];"SÍ";"NO"))</f>
        <v/>
      </c>
      <c r="O216" s="14">
        <f>SI(O([@[Fecha_Programada_Fin]]="";[@[Fecha_Cierre_Operativo]]="");"";SI([@[Fecha_Cierre_Operativo]]&lt;=SI([@[Fecha_Nueva_Programada]]&lt;&gt;"";[@[Fecha_Nueva_Programada]];[@[Fecha_Programada_Fin]]);"SÍ";"NO"))</f>
        <v/>
      </c>
      <c r="P216" s="14">
        <f>SI(O([@[Cumpli_Ingreso]]="";[@[Cumpli_Salida]]="");"";SI(Y([@[Cumpli_Ingreso]]="SÍ";[@[Cumpli_Salida]]="SÍ");"SÍ";"NO"))</f>
        <v/>
      </c>
      <c r="Q216" s="15">
        <f>SI(O([@[Fecha_Programada_Fin]]="";[@[Fecha_Cierre_Operativo]]="");"";MAX(0;ENTERO([@[Fecha_Cierre_Operativo]])-ENTERO(SI([@[Fecha_Nueva_Programada]]&lt;&gt;"";[@[Fecha_Nueva_Programada]];[@[Fecha_Programada_Fin]])))</f>
        <v/>
      </c>
      <c r="R216" s="12" t="n"/>
      <c r="S216" s="12" t="n"/>
      <c r="T216" s="13" t="n"/>
      <c r="U216" s="12" t="n">
        <v>19</v>
      </c>
      <c r="V216" s="12" t="n"/>
      <c r="W21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16" s="14">
        <f>SI([@SBAN]="";"";BUSCARV([@SBAN];Cronograma_Maestro!$A:$M;6;FALSO))</f>
        <v/>
      </c>
    </row>
    <row r="217">
      <c r="A217" s="11" t="inlineStr">
        <is>
          <t>1595</t>
        </is>
      </c>
      <c r="B217" s="12">
        <f>SI([@SBAN]="";"";BUSCARV([@SBAN];Cronograma_Maestro!$A:$M;2;FALSO))</f>
        <v/>
      </c>
      <c r="C217" s="12">
        <f>SI([@SBAN]="";"";BUSCARV([@SBAN];Cronograma_Maestro!$A:$M;3;FALSO))</f>
        <v/>
      </c>
      <c r="D217" s="12">
        <f>SI([@SBAN]="";"";BUSCARV([@SBAN];Cronograma_Maestro!$A:$M;4;FALSO))</f>
        <v/>
      </c>
      <c r="E217" s="12">
        <f>SI([@SBAN]="";"";BUSCARV([@SBAN];Cronograma_Maestro!$A:$M;5;FALSO))</f>
        <v/>
      </c>
      <c r="F217" s="12" t="inlineStr">
        <is>
          <t>Andrés Felipe Carvajal Pire</t>
        </is>
      </c>
      <c r="G217" s="12" t="inlineStr">
        <is>
          <t>PMU COLSOF</t>
        </is>
      </c>
      <c r="H217" s="13" t="n">
        <v>46276</v>
      </c>
      <c r="I217" s="13" t="n">
        <v>46276</v>
      </c>
      <c r="J217" s="13" t="n"/>
      <c r="K217" s="13" t="n"/>
      <c r="L217" s="12" t="inlineStr">
        <is>
          <t>Programada</t>
        </is>
      </c>
      <c r="M217" s="13" t="n"/>
      <c r="N217" s="14">
        <f>SI(O([@[Fecha_Programada_Inicio]]="";[@[Fecha_Inicio_Real]]="");"";SI([@[Fecha_Inicio_Real]]&lt;=[@[Fecha_Programada_Inicio]];"SÍ";"NO"))</f>
        <v/>
      </c>
      <c r="O217" s="14">
        <f>SI(O([@[Fecha_Programada_Fin]]="";[@[Fecha_Cierre_Operativo]]="");"";SI([@[Fecha_Cierre_Operativo]]&lt;=SI([@[Fecha_Nueva_Programada]]&lt;&gt;"";[@[Fecha_Nueva_Programada]];[@[Fecha_Programada_Fin]]);"SÍ";"NO"))</f>
        <v/>
      </c>
      <c r="P217" s="14">
        <f>SI(O([@[Cumpli_Ingreso]]="";[@[Cumpli_Salida]]="");"";SI(Y([@[Cumpli_Ingreso]]="SÍ";[@[Cumpli_Salida]]="SÍ");"SÍ";"NO"))</f>
        <v/>
      </c>
      <c r="Q217" s="15">
        <f>SI(O([@[Fecha_Programada_Fin]]="";[@[Fecha_Cierre_Operativo]]="");"";MAX(0;ENTERO([@[Fecha_Cierre_Operativo]])-ENTERO(SI([@[Fecha_Nueva_Programada]]&lt;&gt;"";[@[Fecha_Nueva_Programada]];[@[Fecha_Programada_Fin]])))</f>
        <v/>
      </c>
      <c r="R217" s="12" t="n"/>
      <c r="S217" s="12" t="n"/>
      <c r="T217" s="13" t="n"/>
      <c r="U217" s="12" t="n">
        <v>13</v>
      </c>
      <c r="V217" s="12" t="n"/>
      <c r="W21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17" s="14">
        <f>SI([@SBAN]="";"";BUSCARV([@SBAN];Cronograma_Maestro!$A:$M;6;FALSO))</f>
        <v/>
      </c>
    </row>
    <row r="218">
      <c r="A218" s="11" t="inlineStr">
        <is>
          <t>1601</t>
        </is>
      </c>
      <c r="B218" s="12">
        <f>SI([@SBAN]="";"";BUSCARV([@SBAN];Cronograma_Maestro!$A:$M;2;FALSO))</f>
        <v/>
      </c>
      <c r="C218" s="12">
        <f>SI([@SBAN]="";"";BUSCARV([@SBAN];Cronograma_Maestro!$A:$M;3;FALSO))</f>
        <v/>
      </c>
      <c r="D218" s="12">
        <f>SI([@SBAN]="";"";BUSCARV([@SBAN];Cronograma_Maestro!$A:$M;4;FALSO))</f>
        <v/>
      </c>
      <c r="E218" s="12">
        <f>SI([@SBAN]="";"";BUSCARV([@SBAN];Cronograma_Maestro!$A:$M;5;FALSO))</f>
        <v/>
      </c>
      <c r="F218" s="12" t="inlineStr">
        <is>
          <t>JOSÉ CONTRERAS VALERA</t>
        </is>
      </c>
      <c r="G218" s="12" t="inlineStr">
        <is>
          <t>PMU COLSOF</t>
        </is>
      </c>
      <c r="H218" s="13" t="n">
        <v>46301</v>
      </c>
      <c r="I218" s="13" t="n">
        <v>46311</v>
      </c>
      <c r="J218" s="13" t="n"/>
      <c r="K218" s="13" t="n"/>
      <c r="L218" s="12" t="inlineStr">
        <is>
          <t>Programada</t>
        </is>
      </c>
      <c r="M218" s="13" t="n"/>
      <c r="N218" s="14">
        <f>SI(O([@[Fecha_Programada_Inicio]]="";[@[Fecha_Inicio_Real]]="");"";SI([@[Fecha_Inicio_Real]]&lt;=[@[Fecha_Programada_Inicio]];"SÍ";"NO"))</f>
        <v/>
      </c>
      <c r="O218" s="14">
        <f>SI(O([@[Fecha_Programada_Fin]]="";[@[Fecha_Cierre_Operativo]]="");"";SI([@[Fecha_Cierre_Operativo]]&lt;=SI([@[Fecha_Nueva_Programada]]&lt;&gt;"";[@[Fecha_Nueva_Programada]];[@[Fecha_Programada_Fin]]);"SÍ";"NO"))</f>
        <v/>
      </c>
      <c r="P218" s="14">
        <f>SI(O([@[Cumpli_Ingreso]]="";[@[Cumpli_Salida]]="");"";SI(Y([@[Cumpli_Ingreso]]="SÍ";[@[Cumpli_Salida]]="SÍ");"SÍ";"NO"))</f>
        <v/>
      </c>
      <c r="Q218" s="15">
        <f>SI(O([@[Fecha_Programada_Fin]]="";[@[Fecha_Cierre_Operativo]]="");"";MAX(0;ENTERO([@[Fecha_Cierre_Operativo]])-ENTERO(SI([@[Fecha_Nueva_Programada]]&lt;&gt;"";[@[Fecha_Nueva_Programada]];[@[Fecha_Programada_Fin]])))</f>
        <v/>
      </c>
      <c r="R218" s="12" t="n"/>
      <c r="S218" s="12" t="n"/>
      <c r="T218" s="13" t="n"/>
      <c r="U218" s="12" t="n">
        <v>69</v>
      </c>
      <c r="V218" s="12" t="n"/>
      <c r="W21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18" s="14">
        <f>SI([@SBAN]="";"";BUSCARV([@SBAN];Cronograma_Maestro!$A:$M;6;FALSO))</f>
        <v/>
      </c>
    </row>
    <row r="219">
      <c r="A219" s="11" t="inlineStr">
        <is>
          <t>1610</t>
        </is>
      </c>
      <c r="B219" s="12">
        <f>SI([@SBAN]="";"";BUSCARV([@SBAN];Cronograma_Maestro!$A:$M;2;FALSO))</f>
        <v/>
      </c>
      <c r="C219" s="12">
        <f>SI([@SBAN]="";"";BUSCARV([@SBAN];Cronograma_Maestro!$A:$M;3;FALSO))</f>
        <v/>
      </c>
      <c r="D219" s="12">
        <f>SI([@SBAN]="";"";BUSCARV([@SBAN];Cronograma_Maestro!$A:$M;4;FALSO))</f>
        <v/>
      </c>
      <c r="E219" s="12">
        <f>SI([@SBAN]="";"";BUSCARV([@SBAN];Cronograma_Maestro!$A:$M;5;FALSO))</f>
        <v/>
      </c>
      <c r="F219" s="12" t="inlineStr">
        <is>
          <t>Vladimir Faneyte Taborda/Karolyn Ripoll</t>
        </is>
      </c>
      <c r="G219" s="12" t="inlineStr">
        <is>
          <t>PMU COLSOF</t>
        </is>
      </c>
      <c r="H219" s="13" t="n">
        <v>46296</v>
      </c>
      <c r="I219" s="13" t="n">
        <v>46297</v>
      </c>
      <c r="J219" s="13" t="n"/>
      <c r="K219" s="13" t="n"/>
      <c r="L219" s="12" t="inlineStr">
        <is>
          <t>Programada</t>
        </is>
      </c>
      <c r="M219" s="13" t="n"/>
      <c r="N219" s="14">
        <f>SI(O([@[Fecha_Programada_Inicio]]="";[@[Fecha_Inicio_Real]]="");"";SI([@[Fecha_Inicio_Real]]&lt;=[@[Fecha_Programada_Inicio]];"SÍ";"NO"))</f>
        <v/>
      </c>
      <c r="O219" s="14">
        <f>SI(O([@[Fecha_Programada_Fin]]="";[@[Fecha_Cierre_Operativo]]="");"";SI([@[Fecha_Cierre_Operativo]]&lt;=SI([@[Fecha_Nueva_Programada]]&lt;&gt;"";[@[Fecha_Nueva_Programada]];[@[Fecha_Programada_Fin]]);"SÍ";"NO"))</f>
        <v/>
      </c>
      <c r="P219" s="14">
        <f>SI(O([@[Cumpli_Ingreso]]="";[@[Cumpli_Salida]]="");"";SI(Y([@[Cumpli_Ingreso]]="SÍ";[@[Cumpli_Salida]]="SÍ");"SÍ";"NO"))</f>
        <v/>
      </c>
      <c r="Q219" s="15">
        <f>SI(O([@[Fecha_Programada_Fin]]="";[@[Fecha_Cierre_Operativo]]="");"";MAX(0;ENTERO([@[Fecha_Cierre_Operativo]])-ENTERO(SI([@[Fecha_Nueva_Programada]]&lt;&gt;"";[@[Fecha_Nueva_Programada]];[@[Fecha_Programada_Fin]])))</f>
        <v/>
      </c>
      <c r="R219" s="12" t="n"/>
      <c r="S219" s="12" t="n"/>
      <c r="T219" s="13" t="n"/>
      <c r="U219" s="12" t="n">
        <v>31</v>
      </c>
      <c r="V219" s="12" t="n"/>
      <c r="W21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19" s="14">
        <f>SI([@SBAN]="";"";BUSCARV([@SBAN];Cronograma_Maestro!$A:$M;6;FALSO))</f>
        <v/>
      </c>
    </row>
    <row r="220">
      <c r="A220" s="11" t="inlineStr">
        <is>
          <t>1620</t>
        </is>
      </c>
      <c r="B220" s="12">
        <f>SI([@SBAN]="";"";BUSCARV([@SBAN];Cronograma_Maestro!$A:$M;2;FALSO))</f>
        <v/>
      </c>
      <c r="C220" s="12">
        <f>SI([@SBAN]="";"";BUSCARV([@SBAN];Cronograma_Maestro!$A:$M;3;FALSO))</f>
        <v/>
      </c>
      <c r="D220" s="12">
        <f>SI([@SBAN]="";"";BUSCARV([@SBAN];Cronograma_Maestro!$A:$M;4;FALSO))</f>
        <v/>
      </c>
      <c r="E220" s="12">
        <f>SI([@SBAN]="";"";BUSCARV([@SBAN];Cronograma_Maestro!$A:$M;5;FALSO))</f>
        <v/>
      </c>
      <c r="F220" s="12" t="inlineStr">
        <is>
          <t>Karolym  Maria Rypoll Bolemo</t>
        </is>
      </c>
      <c r="G220" s="12" t="inlineStr">
        <is>
          <t>PMU COLSOF</t>
        </is>
      </c>
      <c r="H220" s="13" t="n">
        <v>46300</v>
      </c>
      <c r="I220" s="13" t="n">
        <v>46300</v>
      </c>
      <c r="J220" s="13" t="n"/>
      <c r="K220" s="13" t="n"/>
      <c r="L220" s="12" t="inlineStr">
        <is>
          <t>Programada</t>
        </is>
      </c>
      <c r="M220" s="13" t="n"/>
      <c r="N220" s="14">
        <f>SI(O([@[Fecha_Programada_Inicio]]="";[@[Fecha_Inicio_Real]]="");"";SI([@[Fecha_Inicio_Real]]&lt;=[@[Fecha_Programada_Inicio]];"SÍ";"NO"))</f>
        <v/>
      </c>
      <c r="O220" s="14">
        <f>SI(O([@[Fecha_Programada_Fin]]="";[@[Fecha_Cierre_Operativo]]="");"";SI([@[Fecha_Cierre_Operativo]]&lt;=SI([@[Fecha_Nueva_Programada]]&lt;&gt;"";[@[Fecha_Nueva_Programada]];[@[Fecha_Programada_Fin]]);"SÍ";"NO"))</f>
        <v/>
      </c>
      <c r="P220" s="14">
        <f>SI(O([@[Cumpli_Ingreso]]="";[@[Cumpli_Salida]]="");"";SI(Y([@[Cumpli_Ingreso]]="SÍ";[@[Cumpli_Salida]]="SÍ");"SÍ";"NO"))</f>
        <v/>
      </c>
      <c r="Q220" s="15">
        <f>SI(O([@[Fecha_Programada_Fin]]="";[@[Fecha_Cierre_Operativo]]="");"";MAX(0;ENTERO([@[Fecha_Cierre_Operativo]])-ENTERO(SI([@[Fecha_Nueva_Programada]]&lt;&gt;"";[@[Fecha_Nueva_Programada]];[@[Fecha_Programada_Fin]])))</f>
        <v/>
      </c>
      <c r="R220" s="12" t="n"/>
      <c r="S220" s="12" t="n"/>
      <c r="T220" s="13" t="n"/>
      <c r="U220" s="12" t="n">
        <v>20</v>
      </c>
      <c r="V220" s="12" t="n"/>
      <c r="W22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20" s="14">
        <f>SI([@SBAN]="";"";BUSCARV([@SBAN];Cronograma_Maestro!$A:$M;6;FALSO))</f>
        <v/>
      </c>
    </row>
    <row r="221">
      <c r="A221" s="11" t="inlineStr">
        <is>
          <t>1622</t>
        </is>
      </c>
      <c r="B221" s="12">
        <f>SI([@SBAN]="";"";BUSCARV([@SBAN];Cronograma_Maestro!$A:$M;2;FALSO))</f>
        <v/>
      </c>
      <c r="C221" s="12">
        <f>SI([@SBAN]="";"";BUSCARV([@SBAN];Cronograma_Maestro!$A:$M;3;FALSO))</f>
        <v/>
      </c>
      <c r="D221" s="12">
        <f>SI([@SBAN]="";"";BUSCARV([@SBAN];Cronograma_Maestro!$A:$M;4;FALSO))</f>
        <v/>
      </c>
      <c r="E221" s="12">
        <f>SI([@SBAN]="";"";BUSCARV([@SBAN];Cronograma_Maestro!$A:$M;5;FALSO))</f>
        <v/>
      </c>
      <c r="F221" s="12" t="inlineStr">
        <is>
          <t>Saudy Enrique Amaya Hernadez</t>
        </is>
      </c>
      <c r="G221" s="12" t="inlineStr">
        <is>
          <t>PMU COLSOF</t>
        </is>
      </c>
      <c r="H221" s="13" t="n">
        <v>46276</v>
      </c>
      <c r="I221" s="13" t="n">
        <v>46276</v>
      </c>
      <c r="J221" s="13" t="n"/>
      <c r="K221" s="13" t="n"/>
      <c r="L221" s="12" t="inlineStr">
        <is>
          <t>Programada</t>
        </is>
      </c>
      <c r="M221" s="13" t="n"/>
      <c r="N221" s="14">
        <f>SI(O([@[Fecha_Programada_Inicio]]="";[@[Fecha_Inicio_Real]]="");"";SI([@[Fecha_Inicio_Real]]&lt;=[@[Fecha_Programada_Inicio]];"SÍ";"NO"))</f>
        <v/>
      </c>
      <c r="O221" s="14">
        <f>SI(O([@[Fecha_Programada_Fin]]="";[@[Fecha_Cierre_Operativo]]="");"";SI([@[Fecha_Cierre_Operativo]]&lt;=SI([@[Fecha_Nueva_Programada]]&lt;&gt;"";[@[Fecha_Nueva_Programada]];[@[Fecha_Programada_Fin]]);"SÍ";"NO"))</f>
        <v/>
      </c>
      <c r="P221" s="14">
        <f>SI(O([@[Cumpli_Ingreso]]="";[@[Cumpli_Salida]]="");"";SI(Y([@[Cumpli_Ingreso]]="SÍ";[@[Cumpli_Salida]]="SÍ");"SÍ";"NO"))</f>
        <v/>
      </c>
      <c r="Q221" s="15">
        <f>SI(O([@[Fecha_Programada_Fin]]="";[@[Fecha_Cierre_Operativo]]="");"";MAX(0;ENTERO([@[Fecha_Cierre_Operativo]])-ENTERO(SI([@[Fecha_Nueva_Programada]]&lt;&gt;"";[@[Fecha_Nueva_Programada]];[@[Fecha_Programada_Fin]])))</f>
        <v/>
      </c>
      <c r="R221" s="12" t="n"/>
      <c r="S221" s="12" t="n"/>
      <c r="T221" s="13" t="n"/>
      <c r="U221" s="12" t="n">
        <v>22</v>
      </c>
      <c r="V221" s="12" t="n"/>
      <c r="W22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21" s="14">
        <f>SI([@SBAN]="";"";BUSCARV([@SBAN];Cronograma_Maestro!$A:$M;6;FALSO))</f>
        <v/>
      </c>
    </row>
    <row r="222">
      <c r="A222" s="11" t="inlineStr">
        <is>
          <t>1626</t>
        </is>
      </c>
      <c r="B222" s="12">
        <f>SI([@SBAN]="";"";BUSCARV([@SBAN];Cronograma_Maestro!$A:$M;2;FALSO))</f>
        <v/>
      </c>
      <c r="C222" s="12">
        <f>SI([@SBAN]="";"";BUSCARV([@SBAN];Cronograma_Maestro!$A:$M;3;FALSO))</f>
        <v/>
      </c>
      <c r="D222" s="12">
        <f>SI([@SBAN]="";"";BUSCARV([@SBAN];Cronograma_Maestro!$A:$M;4;FALSO))</f>
        <v/>
      </c>
      <c r="E222" s="12">
        <f>SI([@SBAN]="";"";BUSCARV([@SBAN];Cronograma_Maestro!$A:$M;5;FALSO))</f>
        <v/>
      </c>
      <c r="F222" s="12" t="inlineStr">
        <is>
          <t>Hernando Arenas Lambis</t>
        </is>
      </c>
      <c r="G222" s="12" t="inlineStr">
        <is>
          <t>PMU COLSOF</t>
        </is>
      </c>
      <c r="H222" s="13" t="n">
        <v>46287</v>
      </c>
      <c r="I222" s="13" t="n">
        <v>46287</v>
      </c>
      <c r="J222" s="13" t="n"/>
      <c r="K222" s="13" t="n"/>
      <c r="L222" s="12" t="inlineStr">
        <is>
          <t>Programada</t>
        </is>
      </c>
      <c r="M222" s="13" t="n"/>
      <c r="N222" s="14">
        <f>SI(O([@[Fecha_Programada_Inicio]]="";[@[Fecha_Inicio_Real]]="");"";SI([@[Fecha_Inicio_Real]]&lt;=[@[Fecha_Programada_Inicio]];"SÍ";"NO"))</f>
        <v/>
      </c>
      <c r="O222" s="14">
        <f>SI(O([@[Fecha_Programada_Fin]]="";[@[Fecha_Cierre_Operativo]]="");"";SI([@[Fecha_Cierre_Operativo]]&lt;=SI([@[Fecha_Nueva_Programada]]&lt;&gt;"";[@[Fecha_Nueva_Programada]];[@[Fecha_Programada_Fin]]);"SÍ";"NO"))</f>
        <v/>
      </c>
      <c r="P222" s="14">
        <f>SI(O([@[Cumpli_Ingreso]]="";[@[Cumpli_Salida]]="");"";SI(Y([@[Cumpli_Ingreso]]="SÍ";[@[Cumpli_Salida]]="SÍ");"SÍ";"NO"))</f>
        <v/>
      </c>
      <c r="Q222" s="15">
        <f>SI(O([@[Fecha_Programada_Fin]]="";[@[Fecha_Cierre_Operativo]]="");"";MAX(0;ENTERO([@[Fecha_Cierre_Operativo]])-ENTERO(SI([@[Fecha_Nueva_Programada]]&lt;&gt;"";[@[Fecha_Nueva_Programada]];[@[Fecha_Programada_Fin]])))</f>
        <v/>
      </c>
      <c r="R222" s="12" t="n"/>
      <c r="S222" s="12" t="n"/>
      <c r="T222" s="13" t="n"/>
      <c r="U222" s="12" t="n">
        <v>13</v>
      </c>
      <c r="V222" s="12" t="n"/>
      <c r="W22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22" s="14">
        <f>SI([@SBAN]="";"";BUSCARV([@SBAN];Cronograma_Maestro!$A:$M;6;FALSO))</f>
        <v/>
      </c>
    </row>
    <row r="223">
      <c r="A223" s="11" t="inlineStr">
        <is>
          <t>1630</t>
        </is>
      </c>
      <c r="B223" s="12">
        <f>SI([@SBAN]="";"";BUSCARV([@SBAN];Cronograma_Maestro!$A:$M;2;FALSO))</f>
        <v/>
      </c>
      <c r="C223" s="12">
        <f>SI([@SBAN]="";"";BUSCARV([@SBAN];Cronograma_Maestro!$A:$M;3;FALSO))</f>
        <v/>
      </c>
      <c r="D223" s="12">
        <f>SI([@SBAN]="";"";BUSCARV([@SBAN];Cronograma_Maestro!$A:$M;4;FALSO))</f>
        <v/>
      </c>
      <c r="E223" s="12">
        <f>SI([@SBAN]="";"";BUSCARV([@SBAN];Cronograma_Maestro!$A:$M;5;FALSO))</f>
        <v/>
      </c>
      <c r="F223" s="12" t="inlineStr">
        <is>
          <t>Ramon Salgado Romero</t>
        </is>
      </c>
      <c r="G223" s="12" t="inlineStr">
        <is>
          <t>PMU COLSOF</t>
        </is>
      </c>
      <c r="H223" s="13" t="n">
        <v>46303</v>
      </c>
      <c r="I223" s="13" t="n">
        <v>46303</v>
      </c>
      <c r="J223" s="13" t="n"/>
      <c r="K223" s="13" t="n"/>
      <c r="L223" s="12" t="inlineStr">
        <is>
          <t>Programada</t>
        </is>
      </c>
      <c r="M223" s="13" t="n"/>
      <c r="N223" s="14">
        <f>SI(O([@[Fecha_Programada_Inicio]]="";[@[Fecha_Inicio_Real]]="");"";SI([@[Fecha_Inicio_Real]]&lt;=[@[Fecha_Programada_Inicio]];"SÍ";"NO"))</f>
        <v/>
      </c>
      <c r="O223" s="14">
        <f>SI(O([@[Fecha_Programada_Fin]]="";[@[Fecha_Cierre_Operativo]]="");"";SI([@[Fecha_Cierre_Operativo]]&lt;=SI([@[Fecha_Nueva_Programada]]&lt;&gt;"";[@[Fecha_Nueva_Programada]];[@[Fecha_Programada_Fin]]);"SÍ";"NO"))</f>
        <v/>
      </c>
      <c r="P223" s="14">
        <f>SI(O([@[Cumpli_Ingreso]]="";[@[Cumpli_Salida]]="");"";SI(Y([@[Cumpli_Ingreso]]="SÍ";[@[Cumpli_Salida]]="SÍ");"SÍ";"NO"))</f>
        <v/>
      </c>
      <c r="Q223" s="15">
        <f>SI(O([@[Fecha_Programada_Fin]]="";[@[Fecha_Cierre_Operativo]]="");"";MAX(0;ENTERO([@[Fecha_Cierre_Operativo]])-ENTERO(SI([@[Fecha_Nueva_Programada]]&lt;&gt;"";[@[Fecha_Nueva_Programada]];[@[Fecha_Programada_Fin]])))</f>
        <v/>
      </c>
      <c r="R223" s="12" t="n"/>
      <c r="S223" s="12" t="n"/>
      <c r="T223" s="13" t="n"/>
      <c r="U223" s="12" t="n">
        <v>12</v>
      </c>
      <c r="V223" s="12" t="n"/>
      <c r="W22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23" s="14">
        <f>SI([@SBAN]="";"";BUSCARV([@SBAN];Cronograma_Maestro!$A:$M;6;FALSO))</f>
        <v/>
      </c>
    </row>
    <row r="224">
      <c r="A224" s="11" t="inlineStr">
        <is>
          <t>1634</t>
        </is>
      </c>
      <c r="B224" s="12">
        <f>SI([@SBAN]="";"";BUSCARV([@SBAN];Cronograma_Maestro!$A:$M;2;FALSO))</f>
        <v/>
      </c>
      <c r="C224" s="12">
        <f>SI([@SBAN]="";"";BUSCARV([@SBAN];Cronograma_Maestro!$A:$M;3;FALSO))</f>
        <v/>
      </c>
      <c r="D224" s="12">
        <f>SI([@SBAN]="";"";BUSCARV([@SBAN];Cronograma_Maestro!$A:$M;4;FALSO))</f>
        <v/>
      </c>
      <c r="E224" s="12">
        <f>SI([@SBAN]="";"";BUSCARV([@SBAN];Cronograma_Maestro!$A:$M;5;FALSO))</f>
        <v/>
      </c>
      <c r="F224" s="12" t="inlineStr">
        <is>
          <t>Hernando Arenas Lambis</t>
        </is>
      </c>
      <c r="G224" s="12" t="inlineStr">
        <is>
          <t>PMU COLSOF</t>
        </is>
      </c>
      <c r="H224" s="13" t="n">
        <v>46269</v>
      </c>
      <c r="I224" s="13" t="n">
        <v>46269</v>
      </c>
      <c r="J224" s="13" t="n"/>
      <c r="K224" s="13" t="n"/>
      <c r="L224" s="12" t="inlineStr">
        <is>
          <t>Programada</t>
        </is>
      </c>
      <c r="M224" s="13" t="n"/>
      <c r="N224" s="14">
        <f>SI(O([@[Fecha_Programada_Inicio]]="";[@[Fecha_Inicio_Real]]="");"";SI([@[Fecha_Inicio_Real]]&lt;=[@[Fecha_Programada_Inicio]];"SÍ";"NO"))</f>
        <v/>
      </c>
      <c r="O224" s="14">
        <f>SI(O([@[Fecha_Programada_Fin]]="";[@[Fecha_Cierre_Operativo]]="");"";SI([@[Fecha_Cierre_Operativo]]&lt;=SI([@[Fecha_Nueva_Programada]]&lt;&gt;"";[@[Fecha_Nueva_Programada]];[@[Fecha_Programada_Fin]]);"SÍ";"NO"))</f>
        <v/>
      </c>
      <c r="P224" s="14">
        <f>SI(O([@[Cumpli_Ingreso]]="";[@[Cumpli_Salida]]="");"";SI(Y([@[Cumpli_Ingreso]]="SÍ";[@[Cumpli_Salida]]="SÍ");"SÍ";"NO"))</f>
        <v/>
      </c>
      <c r="Q224" s="15">
        <f>SI(O([@[Fecha_Programada_Fin]]="";[@[Fecha_Cierre_Operativo]]="");"";MAX(0;ENTERO([@[Fecha_Cierre_Operativo]])-ENTERO(SI([@[Fecha_Nueva_Programada]]&lt;&gt;"";[@[Fecha_Nueva_Programada]];[@[Fecha_Programada_Fin]])))</f>
        <v/>
      </c>
      <c r="R224" s="12" t="n"/>
      <c r="S224" s="12" t="n"/>
      <c r="T224" s="13" t="n"/>
      <c r="U224" s="12" t="n">
        <v>12</v>
      </c>
      <c r="V224" s="12" t="n"/>
      <c r="W22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24" s="14">
        <f>SI([@SBAN]="";"";BUSCARV([@SBAN];Cronograma_Maestro!$A:$M;6;FALSO))</f>
        <v/>
      </c>
    </row>
    <row r="225">
      <c r="A225" s="11" t="inlineStr">
        <is>
          <t>1636</t>
        </is>
      </c>
      <c r="B225" s="12">
        <f>SI([@SBAN]="";"";BUSCARV([@SBAN];Cronograma_Maestro!$A:$M;2;FALSO))</f>
        <v/>
      </c>
      <c r="C225" s="12">
        <f>SI([@SBAN]="";"";BUSCARV([@SBAN];Cronograma_Maestro!$A:$M;3;FALSO))</f>
        <v/>
      </c>
      <c r="D225" s="12">
        <f>SI([@SBAN]="";"";BUSCARV([@SBAN];Cronograma_Maestro!$A:$M;4;FALSO))</f>
        <v/>
      </c>
      <c r="E225" s="12">
        <f>SI([@SBAN]="";"";BUSCARV([@SBAN];Cronograma_Maestro!$A:$M;5;FALSO))</f>
        <v/>
      </c>
      <c r="F225" s="12" t="inlineStr">
        <is>
          <t>Hernando Arenas Lambis</t>
        </is>
      </c>
      <c r="G225" s="12" t="inlineStr">
        <is>
          <t>PMU COLSOF</t>
        </is>
      </c>
      <c r="H225" s="13" t="n">
        <v>46288</v>
      </c>
      <c r="I225" s="13" t="n">
        <v>46288</v>
      </c>
      <c r="J225" s="13" t="n"/>
      <c r="K225" s="13" t="n"/>
      <c r="L225" s="12" t="inlineStr">
        <is>
          <t>Programada</t>
        </is>
      </c>
      <c r="M225" s="13" t="n"/>
      <c r="N225" s="14">
        <f>SI(O([@[Fecha_Programada_Inicio]]="";[@[Fecha_Inicio_Real]]="");"";SI([@[Fecha_Inicio_Real]]&lt;=[@[Fecha_Programada_Inicio]];"SÍ";"NO"))</f>
        <v/>
      </c>
      <c r="O225" s="14">
        <f>SI(O([@[Fecha_Programada_Fin]]="";[@[Fecha_Cierre_Operativo]]="");"";SI([@[Fecha_Cierre_Operativo]]&lt;=SI([@[Fecha_Nueva_Programada]]&lt;&gt;"";[@[Fecha_Nueva_Programada]];[@[Fecha_Programada_Fin]]);"SÍ";"NO"))</f>
        <v/>
      </c>
      <c r="P225" s="14">
        <f>SI(O([@[Cumpli_Ingreso]]="";[@[Cumpli_Salida]]="");"";SI(Y([@[Cumpli_Ingreso]]="SÍ";[@[Cumpli_Salida]]="SÍ");"SÍ";"NO"))</f>
        <v/>
      </c>
      <c r="Q225" s="15">
        <f>SI(O([@[Fecha_Programada_Fin]]="";[@[Fecha_Cierre_Operativo]]="");"";MAX(0;ENTERO([@[Fecha_Cierre_Operativo]])-ENTERO(SI([@[Fecha_Nueva_Programada]]&lt;&gt;"";[@[Fecha_Nueva_Programada]];[@[Fecha_Programada_Fin]])))</f>
        <v/>
      </c>
      <c r="R225" s="12" t="n"/>
      <c r="S225" s="12" t="n"/>
      <c r="T225" s="13" t="n"/>
      <c r="U225" s="12" t="n">
        <v>14</v>
      </c>
      <c r="V225" s="12" t="n"/>
      <c r="W22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25" s="14">
        <f>SI([@SBAN]="";"";BUSCARV([@SBAN];Cronograma_Maestro!$A:$M;6;FALSO))</f>
        <v/>
      </c>
    </row>
    <row r="226">
      <c r="A226" s="11" t="inlineStr">
        <is>
          <t>1648</t>
        </is>
      </c>
      <c r="B226" s="12">
        <f>SI([@SBAN]="";"";BUSCARV([@SBAN];Cronograma_Maestro!$A:$M;2;FALSO))</f>
        <v/>
      </c>
      <c r="C226" s="12">
        <f>SI([@SBAN]="";"";BUSCARV([@SBAN];Cronograma_Maestro!$A:$M;3;FALSO))</f>
        <v/>
      </c>
      <c r="D226" s="12">
        <f>SI([@SBAN]="";"";BUSCARV([@SBAN];Cronograma_Maestro!$A:$M;4;FALSO))</f>
        <v/>
      </c>
      <c r="E226" s="12">
        <f>SI([@SBAN]="";"";BUSCARV([@SBAN];Cronograma_Maestro!$A:$M;5;FALSO))</f>
        <v/>
      </c>
      <c r="F226" s="12" t="inlineStr">
        <is>
          <t>Saudy Enrique Amaya Hernadez</t>
        </is>
      </c>
      <c r="G226" s="12" t="inlineStr">
        <is>
          <t>PMU COLSOF</t>
        </is>
      </c>
      <c r="H226" s="13" t="n">
        <v>46275</v>
      </c>
      <c r="I226" s="13" t="n">
        <v>46275</v>
      </c>
      <c r="J226" s="13" t="n"/>
      <c r="K226" s="13" t="n"/>
      <c r="L226" s="12" t="inlineStr">
        <is>
          <t>Programada</t>
        </is>
      </c>
      <c r="M226" s="13" t="n"/>
      <c r="N226" s="14">
        <f>SI(O([@[Fecha_Programada_Inicio]]="";[@[Fecha_Inicio_Real]]="");"";SI([@[Fecha_Inicio_Real]]&lt;=[@[Fecha_Programada_Inicio]];"SÍ";"NO"))</f>
        <v/>
      </c>
      <c r="O226" s="14">
        <f>SI(O([@[Fecha_Programada_Fin]]="";[@[Fecha_Cierre_Operativo]]="");"";SI([@[Fecha_Cierre_Operativo]]&lt;=SI([@[Fecha_Nueva_Programada]]&lt;&gt;"";[@[Fecha_Nueva_Programada]];[@[Fecha_Programada_Fin]]);"SÍ";"NO"))</f>
        <v/>
      </c>
      <c r="P226" s="14">
        <f>SI(O([@[Cumpli_Ingreso]]="";[@[Cumpli_Salida]]="");"";SI(Y([@[Cumpli_Ingreso]]="SÍ";[@[Cumpli_Salida]]="SÍ");"SÍ";"NO"))</f>
        <v/>
      </c>
      <c r="Q226" s="15">
        <f>SI(O([@[Fecha_Programada_Fin]]="";[@[Fecha_Cierre_Operativo]]="");"";MAX(0;ENTERO([@[Fecha_Cierre_Operativo]])-ENTERO(SI([@[Fecha_Nueva_Programada]]&lt;&gt;"";[@[Fecha_Nueva_Programada]];[@[Fecha_Programada_Fin]])))</f>
        <v/>
      </c>
      <c r="R226" s="12" t="n"/>
      <c r="S226" s="12" t="n"/>
      <c r="T226" s="13" t="n"/>
      <c r="U226" s="12" t="n">
        <v>13</v>
      </c>
      <c r="V226" s="12" t="n"/>
      <c r="W22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26" s="14">
        <f>SI([@SBAN]="";"";BUSCARV([@SBAN];Cronograma_Maestro!$A:$M;6;FALSO))</f>
        <v/>
      </c>
    </row>
    <row r="227">
      <c r="A227" s="11" t="inlineStr">
        <is>
          <t>1652</t>
        </is>
      </c>
      <c r="B227" s="12">
        <f>SI([@SBAN]="";"";BUSCARV([@SBAN];Cronograma_Maestro!$A:$M;2;FALSO))</f>
        <v/>
      </c>
      <c r="C227" s="12">
        <f>SI([@SBAN]="";"";BUSCARV([@SBAN];Cronograma_Maestro!$A:$M;3;FALSO))</f>
        <v/>
      </c>
      <c r="D227" s="12">
        <f>SI([@SBAN]="";"";BUSCARV([@SBAN];Cronograma_Maestro!$A:$M;4;FALSO))</f>
        <v/>
      </c>
      <c r="E227" s="12">
        <f>SI([@SBAN]="";"";BUSCARV([@SBAN];Cronograma_Maestro!$A:$M;5;FALSO))</f>
        <v/>
      </c>
      <c r="F227" s="12" t="inlineStr">
        <is>
          <t>Karolym  Maria Rypoll Bolemo</t>
        </is>
      </c>
      <c r="G227" s="12" t="inlineStr">
        <is>
          <t>PMU COLSOF</t>
        </is>
      </c>
      <c r="H227" s="13" t="n">
        <v>46302</v>
      </c>
      <c r="I227" s="13" t="n">
        <v>46302</v>
      </c>
      <c r="J227" s="13" t="n"/>
      <c r="K227" s="13" t="n"/>
      <c r="L227" s="12" t="inlineStr">
        <is>
          <t>Programada</t>
        </is>
      </c>
      <c r="M227" s="13" t="n"/>
      <c r="N227" s="14">
        <f>SI(O([@[Fecha_Programada_Inicio]]="";[@[Fecha_Inicio_Real]]="");"";SI([@[Fecha_Inicio_Real]]&lt;=[@[Fecha_Programada_Inicio]];"SÍ";"NO"))</f>
        <v/>
      </c>
      <c r="O227" s="14">
        <f>SI(O([@[Fecha_Programada_Fin]]="";[@[Fecha_Cierre_Operativo]]="");"";SI([@[Fecha_Cierre_Operativo]]&lt;=SI([@[Fecha_Nueva_Programada]]&lt;&gt;"";[@[Fecha_Nueva_Programada]];[@[Fecha_Programada_Fin]]);"SÍ";"NO"))</f>
        <v/>
      </c>
      <c r="P227" s="14">
        <f>SI(O([@[Cumpli_Ingreso]]="";[@[Cumpli_Salida]]="");"";SI(Y([@[Cumpli_Ingreso]]="SÍ";[@[Cumpli_Salida]]="SÍ");"SÍ";"NO"))</f>
        <v/>
      </c>
      <c r="Q227" s="15">
        <f>SI(O([@[Fecha_Programada_Fin]]="";[@[Fecha_Cierre_Operativo]]="");"";MAX(0;ENTERO([@[Fecha_Cierre_Operativo]])-ENTERO(SI([@[Fecha_Nueva_Programada]]&lt;&gt;"";[@[Fecha_Nueva_Programada]];[@[Fecha_Programada_Fin]])))</f>
        <v/>
      </c>
      <c r="R227" s="12" t="n"/>
      <c r="S227" s="12" t="n"/>
      <c r="T227" s="13" t="n"/>
      <c r="U227" s="12" t="n">
        <v>13</v>
      </c>
      <c r="V227" s="12" t="n"/>
      <c r="W22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27" s="14">
        <f>SI([@SBAN]="";"";BUSCARV([@SBAN];Cronograma_Maestro!$A:$M;6;FALSO))</f>
        <v/>
      </c>
    </row>
    <row r="228">
      <c r="A228" s="11" t="inlineStr">
        <is>
          <t>1654</t>
        </is>
      </c>
      <c r="B228" s="12">
        <f>SI([@SBAN]="";"";BUSCARV([@SBAN];Cronograma_Maestro!$A:$M;2;FALSO))</f>
        <v/>
      </c>
      <c r="C228" s="12">
        <f>SI([@SBAN]="";"";BUSCARV([@SBAN];Cronograma_Maestro!$A:$M;3;FALSO))</f>
        <v/>
      </c>
      <c r="D228" s="12">
        <f>SI([@SBAN]="";"";BUSCARV([@SBAN];Cronograma_Maestro!$A:$M;4;FALSO))</f>
        <v/>
      </c>
      <c r="E228" s="12">
        <f>SI([@SBAN]="";"";BUSCARV([@SBAN];Cronograma_Maestro!$A:$M;5;FALSO))</f>
        <v/>
      </c>
      <c r="F228" s="12" t="inlineStr">
        <is>
          <t>Hernando Arenas Lambis</t>
        </is>
      </c>
      <c r="G228" s="12" t="inlineStr">
        <is>
          <t>PMU COLSOF</t>
        </is>
      </c>
      <c r="H228" s="13" t="n">
        <v>46286</v>
      </c>
      <c r="I228" s="13" t="n">
        <v>46286</v>
      </c>
      <c r="J228" s="13" t="n"/>
      <c r="K228" s="13" t="n"/>
      <c r="L228" s="12" t="inlineStr">
        <is>
          <t>Programada</t>
        </is>
      </c>
      <c r="M228" s="13" t="n"/>
      <c r="N228" s="14">
        <f>SI(O([@[Fecha_Programada_Inicio]]="";[@[Fecha_Inicio_Real]]="");"";SI([@[Fecha_Inicio_Real]]&lt;=[@[Fecha_Programada_Inicio]];"SÍ";"NO"))</f>
        <v/>
      </c>
      <c r="O228" s="14">
        <f>SI(O([@[Fecha_Programada_Fin]]="";[@[Fecha_Cierre_Operativo]]="");"";SI([@[Fecha_Cierre_Operativo]]&lt;=SI([@[Fecha_Nueva_Programada]]&lt;&gt;"";[@[Fecha_Nueva_Programada]];[@[Fecha_Programada_Fin]]);"SÍ";"NO"))</f>
        <v/>
      </c>
      <c r="P228" s="14">
        <f>SI(O([@[Cumpli_Ingreso]]="";[@[Cumpli_Salida]]="");"";SI(Y([@[Cumpli_Ingreso]]="SÍ";[@[Cumpli_Salida]]="SÍ");"SÍ";"NO"))</f>
        <v/>
      </c>
      <c r="Q228" s="15">
        <f>SI(O([@[Fecha_Programada_Fin]]="";[@[Fecha_Cierre_Operativo]]="");"";MAX(0;ENTERO([@[Fecha_Cierre_Operativo]])-ENTERO(SI([@[Fecha_Nueva_Programada]]&lt;&gt;"";[@[Fecha_Nueva_Programada]];[@[Fecha_Programada_Fin]])))</f>
        <v/>
      </c>
      <c r="R228" s="12" t="n"/>
      <c r="S228" s="12" t="n"/>
      <c r="T228" s="13" t="n"/>
      <c r="U228" s="12" t="n">
        <v>12</v>
      </c>
      <c r="V228" s="12" t="n"/>
      <c r="W22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28" s="14">
        <f>SI([@SBAN]="";"";BUSCARV([@SBAN];Cronograma_Maestro!$A:$M;6;FALSO))</f>
        <v/>
      </c>
    </row>
    <row r="229">
      <c r="A229" s="11" t="inlineStr">
        <is>
          <t>1660</t>
        </is>
      </c>
      <c r="B229" s="12">
        <f>SI([@SBAN]="";"";BUSCARV([@SBAN];Cronograma_Maestro!$A:$M;2;FALSO))</f>
        <v/>
      </c>
      <c r="C229" s="12">
        <f>SI([@SBAN]="";"";BUSCARV([@SBAN];Cronograma_Maestro!$A:$M;3;FALSO))</f>
        <v/>
      </c>
      <c r="D229" s="12">
        <f>SI([@SBAN]="";"";BUSCARV([@SBAN];Cronograma_Maestro!$A:$M;4;FALSO))</f>
        <v/>
      </c>
      <c r="E229" s="12">
        <f>SI([@SBAN]="";"";BUSCARV([@SBAN];Cronograma_Maestro!$A:$M;5;FALSO))</f>
        <v/>
      </c>
      <c r="F229" s="12" t="inlineStr">
        <is>
          <t>Vladimir Faneyte Taborda</t>
        </is>
      </c>
      <c r="G229" s="12" t="inlineStr">
        <is>
          <t>PMU COLSOF</t>
        </is>
      </c>
      <c r="H229" s="13" t="n">
        <v>46301</v>
      </c>
      <c r="I229" s="13" t="n">
        <v>46301</v>
      </c>
      <c r="J229" s="13" t="n"/>
      <c r="K229" s="13" t="n"/>
      <c r="L229" s="12" t="inlineStr">
        <is>
          <t>Programada</t>
        </is>
      </c>
      <c r="M229" s="13" t="n"/>
      <c r="N229" s="14">
        <f>SI(O([@[Fecha_Programada_Inicio]]="";[@[Fecha_Inicio_Real]]="");"";SI([@[Fecha_Inicio_Real]]&lt;=[@[Fecha_Programada_Inicio]];"SÍ";"NO"))</f>
        <v/>
      </c>
      <c r="O229" s="14">
        <f>SI(O([@[Fecha_Programada_Fin]]="";[@[Fecha_Cierre_Operativo]]="");"";SI([@[Fecha_Cierre_Operativo]]&lt;=SI([@[Fecha_Nueva_Programada]]&lt;&gt;"";[@[Fecha_Nueva_Programada]];[@[Fecha_Programada_Fin]]);"SÍ";"NO"))</f>
        <v/>
      </c>
      <c r="P229" s="14">
        <f>SI(O([@[Cumpli_Ingreso]]="";[@[Cumpli_Salida]]="");"";SI(Y([@[Cumpli_Ingreso]]="SÍ";[@[Cumpli_Salida]]="SÍ");"SÍ";"NO"))</f>
        <v/>
      </c>
      <c r="Q229" s="15">
        <f>SI(O([@[Fecha_Programada_Fin]]="";[@[Fecha_Cierre_Operativo]]="");"";MAX(0;ENTERO([@[Fecha_Cierre_Operativo]])-ENTERO(SI([@[Fecha_Nueva_Programada]]&lt;&gt;"";[@[Fecha_Nueva_Programada]];[@[Fecha_Programada_Fin]])))</f>
        <v/>
      </c>
      <c r="R229" s="12" t="n"/>
      <c r="S229" s="12" t="n"/>
      <c r="T229" s="13" t="n"/>
      <c r="U229" s="12" t="n">
        <v>24</v>
      </c>
      <c r="V229" s="12" t="n"/>
      <c r="W22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29" s="14">
        <f>SI([@SBAN]="";"";BUSCARV([@SBAN];Cronograma_Maestro!$A:$M;6;FALSO))</f>
        <v/>
      </c>
    </row>
    <row r="230">
      <c r="A230" s="11" t="inlineStr">
        <is>
          <t>1801</t>
        </is>
      </c>
      <c r="B230" s="12">
        <f>SI([@SBAN]="";"";BUSCARV([@SBAN];Cronograma_Maestro!$A:$M;2;FALSO))</f>
        <v/>
      </c>
      <c r="C230" s="12">
        <f>SI([@SBAN]="";"";BUSCARV([@SBAN];Cronograma_Maestro!$A:$M;3;FALSO))</f>
        <v/>
      </c>
      <c r="D230" s="12">
        <f>SI([@SBAN]="";"";BUSCARV([@SBAN];Cronograma_Maestro!$A:$M;4;FALSO))</f>
        <v/>
      </c>
      <c r="E230" s="12">
        <f>SI([@SBAN]="";"";BUSCARV([@SBAN];Cronograma_Maestro!$A:$M;5;FALSO))</f>
        <v/>
      </c>
      <c r="F230" s="12" t="inlineStr">
        <is>
          <t>JULIO  CESAR AUDELO  - ANDRES FELIPE BOTERO</t>
        </is>
      </c>
      <c r="G230" s="12" t="inlineStr">
        <is>
          <t>PMU COLSOF</t>
        </is>
      </c>
      <c r="H230" s="13" t="n">
        <v>46280</v>
      </c>
      <c r="I230" s="13" t="n">
        <v>46281</v>
      </c>
      <c r="J230" s="13" t="n"/>
      <c r="K230" s="13" t="n"/>
      <c r="L230" s="12" t="inlineStr">
        <is>
          <t>Programada</t>
        </is>
      </c>
      <c r="M230" s="13" t="n"/>
      <c r="N230" s="14">
        <f>SI(O([@[Fecha_Programada_Inicio]]="";[@[Fecha_Inicio_Real]]="");"";SI([@[Fecha_Inicio_Real]]&lt;=[@[Fecha_Programada_Inicio]];"SÍ";"NO"))</f>
        <v/>
      </c>
      <c r="O230" s="14">
        <f>SI(O([@[Fecha_Programada_Fin]]="";[@[Fecha_Cierre_Operativo]]="");"";SI([@[Fecha_Cierre_Operativo]]&lt;=SI([@[Fecha_Nueva_Programada]]&lt;&gt;"";[@[Fecha_Nueva_Programada]];[@[Fecha_Programada_Fin]]);"SÍ";"NO"))</f>
        <v/>
      </c>
      <c r="P230" s="14">
        <f>SI(O([@[Cumpli_Ingreso]]="";[@[Cumpli_Salida]]="");"";SI(Y([@[Cumpli_Ingreso]]="SÍ";[@[Cumpli_Salida]]="SÍ");"SÍ";"NO"))</f>
        <v/>
      </c>
      <c r="Q230" s="15">
        <f>SI(O([@[Fecha_Programada_Fin]]="";[@[Fecha_Cierre_Operativo]]="");"";MAX(0;ENTERO([@[Fecha_Cierre_Operativo]])-ENTERO(SI([@[Fecha_Nueva_Programada]]&lt;&gt;"";[@[Fecha_Nueva_Programada]];[@[Fecha_Programada_Fin]])))</f>
        <v/>
      </c>
      <c r="R230" s="12" t="n"/>
      <c r="S230" s="12" t="n"/>
      <c r="T230" s="13" t="n"/>
      <c r="U230" s="12" t="n">
        <v>19</v>
      </c>
      <c r="V230" s="12" t="n"/>
      <c r="W23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30" s="14">
        <f>SI([@SBAN]="";"";BUSCARV([@SBAN];Cronograma_Maestro!$A:$M;6;FALSO))</f>
        <v/>
      </c>
    </row>
    <row r="231">
      <c r="A231" s="11" t="inlineStr">
        <is>
          <t>1803</t>
        </is>
      </c>
      <c r="B231" s="12">
        <f>SI([@SBAN]="";"";BUSCARV([@SBAN];Cronograma_Maestro!$A:$M;2;FALSO))</f>
        <v/>
      </c>
      <c r="C231" s="12">
        <f>SI([@SBAN]="";"";BUSCARV([@SBAN];Cronograma_Maestro!$A:$M;3;FALSO))</f>
        <v/>
      </c>
      <c r="D231" s="12">
        <f>SI([@SBAN]="";"";BUSCARV([@SBAN];Cronograma_Maestro!$A:$M;4;FALSO))</f>
        <v/>
      </c>
      <c r="E231" s="12">
        <f>SI([@SBAN]="";"";BUSCARV([@SBAN];Cronograma_Maestro!$A:$M;5;FALSO))</f>
        <v/>
      </c>
      <c r="F231" s="12" t="inlineStr">
        <is>
          <t>DIEGO ALEJANDRO HERNÁNDEZ OROZCO</t>
        </is>
      </c>
      <c r="G231" s="12" t="inlineStr">
        <is>
          <t>PMU COLSOF</t>
        </is>
      </c>
      <c r="H231" s="13" t="n">
        <v>46301</v>
      </c>
      <c r="I231" s="13" t="n">
        <v>46311</v>
      </c>
      <c r="J231" s="13" t="n"/>
      <c r="K231" s="13" t="n"/>
      <c r="L231" s="12" t="inlineStr">
        <is>
          <t>Sede_Cerrada</t>
        </is>
      </c>
      <c r="M231" s="13" t="n"/>
      <c r="N231" s="14">
        <f>SI(O([@[Fecha_Programada_Inicio]]="";[@[Fecha_Inicio_Real]]="");"";SI([@[Fecha_Inicio_Real]]&lt;=[@[Fecha_Programada_Inicio]];"SÍ";"NO"))</f>
        <v/>
      </c>
      <c r="O231" s="14">
        <f>SI(O([@[Fecha_Programada_Fin]]="";[@[Fecha_Cierre_Operativo]]="");"";SI([@[Fecha_Cierre_Operativo]]&lt;=SI([@[Fecha_Nueva_Programada]]&lt;&gt;"";[@[Fecha_Nueva_Programada]];[@[Fecha_Programada_Fin]]);"SÍ";"NO"))</f>
        <v/>
      </c>
      <c r="P231" s="14">
        <f>SI(O([@[Cumpli_Ingreso]]="";[@[Cumpli_Salida]]="");"";SI(Y([@[Cumpli_Ingreso]]="SÍ";[@[Cumpli_Salida]]="SÍ");"SÍ";"NO"))</f>
        <v/>
      </c>
      <c r="Q231" s="15">
        <f>SI(O([@[Fecha_Programada_Fin]]="";[@[Fecha_Cierre_Operativo]]="");"";MAX(0;ENTERO([@[Fecha_Cierre_Operativo]])-ENTERO(SI([@[Fecha_Nueva_Programada]]&lt;&gt;"";[@[Fecha_Nueva_Programada]];[@[Fecha_Programada_Fin]])))</f>
        <v/>
      </c>
      <c r="R231" s="12" t="inlineStr">
        <is>
          <t>N/A - A Tiempo</t>
        </is>
      </c>
      <c r="S231" s="12" t="inlineStr">
        <is>
          <t>Firmada</t>
        </is>
      </c>
      <c r="T231" s="13" t="n"/>
      <c r="U231" s="12" t="n">
        <v>61</v>
      </c>
      <c r="V231" s="12" t="n"/>
      <c r="W23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31" s="14">
        <f>SI([@SBAN]="";"";BUSCARV([@SBAN];Cronograma_Maestro!$A:$M;6;FALSO))</f>
        <v/>
      </c>
    </row>
    <row r="232">
      <c r="A232" s="11" t="inlineStr">
        <is>
          <t>1812</t>
        </is>
      </c>
      <c r="B232" s="12">
        <f>SI([@SBAN]="";"";BUSCARV([@SBAN];Cronograma_Maestro!$A:$M;2;FALSO))</f>
        <v/>
      </c>
      <c r="C232" s="12">
        <f>SI([@SBAN]="";"";BUSCARV([@SBAN];Cronograma_Maestro!$A:$M;3;FALSO))</f>
        <v/>
      </c>
      <c r="D232" s="12">
        <f>SI([@SBAN]="";"";BUSCARV([@SBAN];Cronograma_Maestro!$A:$M;4;FALSO))</f>
        <v/>
      </c>
      <c r="E232" s="12">
        <f>SI([@SBAN]="";"";BUSCARV([@SBAN];Cronograma_Maestro!$A:$M;5;FALSO))</f>
        <v/>
      </c>
      <c r="F232" s="12" t="inlineStr">
        <is>
          <t>JULIO  CESAR AUDELO  - ANDRES FELIPE BOTERO</t>
        </is>
      </c>
      <c r="G232" s="12" t="inlineStr">
        <is>
          <t>PMU COLSOF</t>
        </is>
      </c>
      <c r="H232" s="13" t="n">
        <v>46287</v>
      </c>
      <c r="I232" s="13" t="n">
        <v>46288</v>
      </c>
      <c r="J232" s="13" t="n"/>
      <c r="K232" s="13" t="n"/>
      <c r="L232" s="12" t="inlineStr">
        <is>
          <t>Programada</t>
        </is>
      </c>
      <c r="M232" s="13" t="n"/>
      <c r="N232" s="14">
        <f>SI(O([@[Fecha_Programada_Inicio]]="";[@[Fecha_Inicio_Real]]="");"";SI([@[Fecha_Inicio_Real]]&lt;=[@[Fecha_Programada_Inicio]];"SÍ";"NO"))</f>
        <v/>
      </c>
      <c r="O232" s="14">
        <f>SI(O([@[Fecha_Programada_Fin]]="";[@[Fecha_Cierre_Operativo]]="");"";SI([@[Fecha_Cierre_Operativo]]&lt;=SI([@[Fecha_Nueva_Programada]]&lt;&gt;"";[@[Fecha_Nueva_Programada]];[@[Fecha_Programada_Fin]]);"SÍ";"NO"))</f>
        <v/>
      </c>
      <c r="P232" s="14">
        <f>SI(O([@[Cumpli_Ingreso]]="";[@[Cumpli_Salida]]="");"";SI(Y([@[Cumpli_Ingreso]]="SÍ";[@[Cumpli_Salida]]="SÍ");"SÍ";"NO"))</f>
        <v/>
      </c>
      <c r="Q232" s="15">
        <f>SI(O([@[Fecha_Programada_Fin]]="";[@[Fecha_Cierre_Operativo]]="");"";MAX(0;ENTERO([@[Fecha_Cierre_Operativo]])-ENTERO(SI([@[Fecha_Nueva_Programada]]&lt;&gt;"";[@[Fecha_Nueva_Programada]];[@[Fecha_Programada_Fin]])))</f>
        <v/>
      </c>
      <c r="R232" s="12" t="n"/>
      <c r="S232" s="12" t="n"/>
      <c r="T232" s="13" t="n"/>
      <c r="U232" s="12" t="n">
        <v>16</v>
      </c>
      <c r="V232" s="12" t="n"/>
      <c r="W23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32" s="14">
        <f>SI([@SBAN]="";"";BUSCARV([@SBAN];Cronograma_Maestro!$A:$M;6;FALSO))</f>
        <v/>
      </c>
    </row>
    <row r="233">
      <c r="A233" s="11" t="inlineStr">
        <is>
          <t>1820</t>
        </is>
      </c>
      <c r="B233" s="12">
        <f>SI([@SBAN]="";"";BUSCARV([@SBAN];Cronograma_Maestro!$A:$M;2;FALSO))</f>
        <v/>
      </c>
      <c r="C233" s="12">
        <f>SI([@SBAN]="";"";BUSCARV([@SBAN];Cronograma_Maestro!$A:$M;3;FALSO))</f>
        <v/>
      </c>
      <c r="D233" s="12">
        <f>SI([@SBAN]="";"";BUSCARV([@SBAN];Cronograma_Maestro!$A:$M;4;FALSO))</f>
        <v/>
      </c>
      <c r="E233" s="12">
        <f>SI([@SBAN]="";"";BUSCARV([@SBAN];Cronograma_Maestro!$A:$M;5;FALSO))</f>
        <v/>
      </c>
      <c r="F233" s="12" t="inlineStr">
        <is>
          <t>JULIO  CESAR AUDELO  - ANDRES FELIPE BOTERO</t>
        </is>
      </c>
      <c r="G233" s="12" t="inlineStr">
        <is>
          <t>PMU COLSOF</t>
        </is>
      </c>
      <c r="H233" s="13" t="n">
        <v>46336</v>
      </c>
      <c r="I233" s="13" t="n">
        <v>46337</v>
      </c>
      <c r="J233" s="13" t="n"/>
      <c r="K233" s="13" t="n"/>
      <c r="L233" s="12" t="inlineStr">
        <is>
          <t>Sede_Cerrada</t>
        </is>
      </c>
      <c r="M233" s="13" t="n"/>
      <c r="N233" s="14">
        <f>SI(O([@[Fecha_Programada_Inicio]]="";[@[Fecha_Inicio_Real]]="");"";SI([@[Fecha_Inicio_Real]]&lt;=[@[Fecha_Programada_Inicio]];"SÍ";"NO"))</f>
        <v/>
      </c>
      <c r="O233" s="14">
        <f>SI(O([@[Fecha_Programada_Fin]]="";[@[Fecha_Cierre_Operativo]]="");"";SI([@[Fecha_Cierre_Operativo]]&lt;=SI([@[Fecha_Nueva_Programada]]&lt;&gt;"";[@[Fecha_Nueva_Programada]];[@[Fecha_Programada_Fin]]);"SÍ";"NO"))</f>
        <v/>
      </c>
      <c r="P233" s="14">
        <f>SI(O([@[Cumpli_Ingreso]]="";[@[Cumpli_Salida]]="");"";SI(Y([@[Cumpli_Ingreso]]="SÍ";[@[Cumpli_Salida]]="SÍ");"SÍ";"NO"))</f>
        <v/>
      </c>
      <c r="Q233" s="15">
        <f>SI(O([@[Fecha_Programada_Fin]]="";[@[Fecha_Cierre_Operativo]]="");"";MAX(0;ENTERO([@[Fecha_Cierre_Operativo]])-ENTERO(SI([@[Fecha_Nueva_Programada]]&lt;&gt;"";[@[Fecha_Nueva_Programada]];[@[Fecha_Programada_Fin]])))</f>
        <v/>
      </c>
      <c r="R233" s="12" t="inlineStr">
        <is>
          <t>N/A - A Tiempo</t>
        </is>
      </c>
      <c r="S233" s="12" t="inlineStr">
        <is>
          <t>Firmada</t>
        </is>
      </c>
      <c r="T233" s="13" t="n"/>
      <c r="U233" s="12" t="n">
        <v>13</v>
      </c>
      <c r="V233" s="12" t="n"/>
      <c r="W23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33" s="14">
        <f>SI([@SBAN]="";"";BUSCARV([@SBAN];Cronograma_Maestro!$A:$M;6;FALSO))</f>
        <v/>
      </c>
    </row>
    <row r="234">
      <c r="A234" s="11" t="inlineStr">
        <is>
          <t>1822</t>
        </is>
      </c>
      <c r="B234" s="12">
        <f>SI([@SBAN]="";"";BUSCARV([@SBAN];Cronograma_Maestro!$A:$M;2;FALSO))</f>
        <v/>
      </c>
      <c r="C234" s="12">
        <f>SI([@SBAN]="";"";BUSCARV([@SBAN];Cronograma_Maestro!$A:$M;3;FALSO))</f>
        <v/>
      </c>
      <c r="D234" s="12">
        <f>SI([@SBAN]="";"";BUSCARV([@SBAN];Cronograma_Maestro!$A:$M;4;FALSO))</f>
        <v/>
      </c>
      <c r="E234" s="12">
        <f>SI([@SBAN]="";"";BUSCARV([@SBAN];Cronograma_Maestro!$A:$M;5;FALSO))</f>
        <v/>
      </c>
      <c r="F234" s="12" t="inlineStr">
        <is>
          <t>JULIO  CESAR AUDELO  - ANDRES FELIPE BOTERO</t>
        </is>
      </c>
      <c r="G234" s="12" t="inlineStr">
        <is>
          <t>PMU COLSOF</t>
        </is>
      </c>
      <c r="H234" s="13" t="n">
        <v>46324</v>
      </c>
      <c r="I234" s="13" t="n">
        <v>46325</v>
      </c>
      <c r="J234" s="13" t="n"/>
      <c r="K234" s="13" t="n"/>
      <c r="L234" s="12" t="inlineStr">
        <is>
          <t>Programada</t>
        </is>
      </c>
      <c r="M234" s="13" t="n"/>
      <c r="N234" s="14">
        <f>SI(O([@[Fecha_Programada_Inicio]]="";[@[Fecha_Inicio_Real]]="");"";SI([@[Fecha_Inicio_Real]]&lt;=[@[Fecha_Programada_Inicio]];"SÍ";"NO"))</f>
        <v/>
      </c>
      <c r="O234" s="14">
        <f>SI(O([@[Fecha_Programada_Fin]]="";[@[Fecha_Cierre_Operativo]]="");"";SI([@[Fecha_Cierre_Operativo]]&lt;=SI([@[Fecha_Nueva_Programada]]&lt;&gt;"";[@[Fecha_Nueva_Programada]];[@[Fecha_Programada_Fin]]);"SÍ";"NO"))</f>
        <v/>
      </c>
      <c r="P234" s="14">
        <f>SI(O([@[Cumpli_Ingreso]]="";[@[Cumpli_Salida]]="");"";SI(Y([@[Cumpli_Ingreso]]="SÍ";[@[Cumpli_Salida]]="SÍ");"SÍ";"NO"))</f>
        <v/>
      </c>
      <c r="Q234" s="15">
        <f>SI(O([@[Fecha_Programada_Fin]]="";[@[Fecha_Cierre_Operativo]]="");"";MAX(0;ENTERO([@[Fecha_Cierre_Operativo]])-ENTERO(SI([@[Fecha_Nueva_Programada]]&lt;&gt;"";[@[Fecha_Nueva_Programada]];[@[Fecha_Programada_Fin]])))</f>
        <v/>
      </c>
      <c r="R234" s="12" t="n"/>
      <c r="S234" s="12" t="n"/>
      <c r="T234" s="13" t="n"/>
      <c r="U234" s="12" t="n">
        <v>20</v>
      </c>
      <c r="V234" s="12" t="n"/>
      <c r="W23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34" s="14">
        <f>SI([@SBAN]="";"";BUSCARV([@SBAN];Cronograma_Maestro!$A:$M;6;FALSO))</f>
        <v/>
      </c>
    </row>
    <row r="235">
      <c r="A235" s="11" t="inlineStr">
        <is>
          <t>1825</t>
        </is>
      </c>
      <c r="B235" s="12">
        <f>SI([@SBAN]="";"";BUSCARV([@SBAN];Cronograma_Maestro!$A:$M;2;FALSO))</f>
        <v/>
      </c>
      <c r="C235" s="12">
        <f>SI([@SBAN]="";"";BUSCARV([@SBAN];Cronograma_Maestro!$A:$M;3;FALSO))</f>
        <v/>
      </c>
      <c r="D235" s="12">
        <f>SI([@SBAN]="";"";BUSCARV([@SBAN];Cronograma_Maestro!$A:$M;4;FALSO))</f>
        <v/>
      </c>
      <c r="E235" s="12">
        <f>SI([@SBAN]="";"";BUSCARV([@SBAN];Cronograma_Maestro!$A:$M;5;FALSO))</f>
        <v/>
      </c>
      <c r="F235" s="12" t="inlineStr">
        <is>
          <t>JULIO  CESAR AUDELO  - ANDRES FELIPE BOTERO</t>
        </is>
      </c>
      <c r="G235" s="12" t="inlineStr">
        <is>
          <t>PMU COLSOF</t>
        </is>
      </c>
      <c r="H235" s="13" t="n">
        <v>46294</v>
      </c>
      <c r="I235" s="13" t="n">
        <v>46295</v>
      </c>
      <c r="J235" s="13" t="n"/>
      <c r="K235" s="13" t="n"/>
      <c r="L235" s="12" t="inlineStr">
        <is>
          <t>Programada</t>
        </is>
      </c>
      <c r="M235" s="13" t="n"/>
      <c r="N235" s="14">
        <f>SI(O([@[Fecha_Programada_Inicio]]="";[@[Fecha_Inicio_Real]]="");"";SI([@[Fecha_Inicio_Real]]&lt;=[@[Fecha_Programada_Inicio]];"SÍ";"NO"))</f>
        <v/>
      </c>
      <c r="O235" s="14">
        <f>SI(O([@[Fecha_Programada_Fin]]="";[@[Fecha_Cierre_Operativo]]="");"";SI([@[Fecha_Cierre_Operativo]]&lt;=SI([@[Fecha_Nueva_Programada]]&lt;&gt;"";[@[Fecha_Nueva_Programada]];[@[Fecha_Programada_Fin]]);"SÍ";"NO"))</f>
        <v/>
      </c>
      <c r="P235" s="14">
        <f>SI(O([@[Cumpli_Ingreso]]="";[@[Cumpli_Salida]]="");"";SI(Y([@[Cumpli_Ingreso]]="SÍ";[@[Cumpli_Salida]]="SÍ");"SÍ";"NO"))</f>
        <v/>
      </c>
      <c r="Q235" s="15">
        <f>SI(O([@[Fecha_Programada_Fin]]="";[@[Fecha_Cierre_Operativo]]="");"";MAX(0;ENTERO([@[Fecha_Cierre_Operativo]])-ENTERO(SI([@[Fecha_Nueva_Programada]]&lt;&gt;"";[@[Fecha_Nueva_Programada]];[@[Fecha_Programada_Fin]])))</f>
        <v/>
      </c>
      <c r="R235" s="12" t="n"/>
      <c r="S235" s="12" t="n"/>
      <c r="T235" s="13" t="n"/>
      <c r="U235" s="12" t="n">
        <v>18</v>
      </c>
      <c r="V235" s="12" t="n"/>
      <c r="W23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35" s="14">
        <f>SI([@SBAN]="";"";BUSCARV([@SBAN];Cronograma_Maestro!$A:$M;6;FALSO))</f>
        <v/>
      </c>
    </row>
    <row r="236">
      <c r="A236" s="11" t="inlineStr">
        <is>
          <t>1830</t>
        </is>
      </c>
      <c r="B236" s="12">
        <f>SI([@SBAN]="";"";BUSCARV([@SBAN];Cronograma_Maestro!$A:$M;2;FALSO))</f>
        <v/>
      </c>
      <c r="C236" s="12">
        <f>SI([@SBAN]="";"";BUSCARV([@SBAN];Cronograma_Maestro!$A:$M;3;FALSO))</f>
        <v/>
      </c>
      <c r="D236" s="12">
        <f>SI([@SBAN]="";"";BUSCARV([@SBAN];Cronograma_Maestro!$A:$M;4;FALSO))</f>
        <v/>
      </c>
      <c r="E236" s="12">
        <f>SI([@SBAN]="";"";BUSCARV([@SBAN];Cronograma_Maestro!$A:$M;5;FALSO))</f>
        <v/>
      </c>
      <c r="F236" s="12" t="inlineStr">
        <is>
          <t>JULIO  CESAR AUDELO  - ANDRES FELIPE BOTERO</t>
        </is>
      </c>
      <c r="G236" s="12" t="inlineStr">
        <is>
          <t>PMU COLSOF</t>
        </is>
      </c>
      <c r="H236" s="13" t="n">
        <v>46282</v>
      </c>
      <c r="I236" s="13" t="n">
        <v>46283</v>
      </c>
      <c r="J236" s="13" t="n"/>
      <c r="K236" s="13" t="n"/>
      <c r="L236" s="12" t="inlineStr">
        <is>
          <t>Programada</t>
        </is>
      </c>
      <c r="M236" s="13" t="n"/>
      <c r="N236" s="14">
        <f>SI(O([@[Fecha_Programada_Inicio]]="";[@[Fecha_Inicio_Real]]="");"";SI([@[Fecha_Inicio_Real]]&lt;=[@[Fecha_Programada_Inicio]];"SÍ";"NO"))</f>
        <v/>
      </c>
      <c r="O236" s="14">
        <f>SI(O([@[Fecha_Programada_Fin]]="";[@[Fecha_Cierre_Operativo]]="");"";SI([@[Fecha_Cierre_Operativo]]&lt;=SI([@[Fecha_Nueva_Programada]]&lt;&gt;"";[@[Fecha_Nueva_Programada]];[@[Fecha_Programada_Fin]]);"SÍ";"NO"))</f>
        <v/>
      </c>
      <c r="P236" s="14">
        <f>SI(O([@[Cumpli_Ingreso]]="";[@[Cumpli_Salida]]="");"";SI(Y([@[Cumpli_Ingreso]]="SÍ";[@[Cumpli_Salida]]="SÍ");"SÍ";"NO"))</f>
        <v/>
      </c>
      <c r="Q236" s="15">
        <f>SI(O([@[Fecha_Programada_Fin]]="";[@[Fecha_Cierre_Operativo]]="");"";MAX(0;ENTERO([@[Fecha_Cierre_Operativo]])-ENTERO(SI([@[Fecha_Nueva_Programada]]&lt;&gt;"";[@[Fecha_Nueva_Programada]];[@[Fecha_Programada_Fin]])))</f>
        <v/>
      </c>
      <c r="R236" s="12" t="n"/>
      <c r="S236" s="12" t="n"/>
      <c r="T236" s="13" t="n"/>
      <c r="U236" s="12" t="n">
        <v>16</v>
      </c>
      <c r="V236" s="12" t="n"/>
      <c r="W23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36" s="14">
        <f>SI([@SBAN]="";"";BUSCARV([@SBAN];Cronograma_Maestro!$A:$M;6;FALSO))</f>
        <v/>
      </c>
    </row>
    <row r="237">
      <c r="A237" s="11" t="inlineStr">
        <is>
          <t>1832</t>
        </is>
      </c>
      <c r="B237" s="12">
        <f>SI([@SBAN]="";"";BUSCARV([@SBAN];Cronograma_Maestro!$A:$M;2;FALSO))</f>
        <v/>
      </c>
      <c r="C237" s="12">
        <f>SI([@SBAN]="";"";BUSCARV([@SBAN];Cronograma_Maestro!$A:$M;3;FALSO))</f>
        <v/>
      </c>
      <c r="D237" s="12">
        <f>SI([@SBAN]="";"";BUSCARV([@SBAN];Cronograma_Maestro!$A:$M;4;FALSO))</f>
        <v/>
      </c>
      <c r="E237" s="12">
        <f>SI([@SBAN]="";"";BUSCARV([@SBAN];Cronograma_Maestro!$A:$M;5;FALSO))</f>
        <v/>
      </c>
      <c r="F237" s="12" t="inlineStr">
        <is>
          <t>JULIO  CESAR AUDELO  - ANDRES FELIPE BOTERO</t>
        </is>
      </c>
      <c r="G237" s="12" t="inlineStr">
        <is>
          <t>PMU COLSOF</t>
        </is>
      </c>
      <c r="H237" s="13" t="n">
        <v>46289</v>
      </c>
      <c r="I237" s="13" t="n">
        <v>46290</v>
      </c>
      <c r="J237" s="13" t="n"/>
      <c r="K237" s="13" t="n"/>
      <c r="L237" s="12" t="inlineStr">
        <is>
          <t>Programada</t>
        </is>
      </c>
      <c r="M237" s="13" t="n"/>
      <c r="N237" s="14">
        <f>SI(O([@[Fecha_Programada_Inicio]]="";[@[Fecha_Inicio_Real]]="");"";SI([@[Fecha_Inicio_Real]]&lt;=[@[Fecha_Programada_Inicio]];"SÍ";"NO"))</f>
        <v/>
      </c>
      <c r="O237" s="14">
        <f>SI(O([@[Fecha_Programada_Fin]]="";[@[Fecha_Cierre_Operativo]]="");"";SI([@[Fecha_Cierre_Operativo]]&lt;=SI([@[Fecha_Nueva_Programada]]&lt;&gt;"";[@[Fecha_Nueva_Programada]];[@[Fecha_Programada_Fin]]);"SÍ";"NO"))</f>
        <v/>
      </c>
      <c r="P237" s="14">
        <f>SI(O([@[Cumpli_Ingreso]]="";[@[Cumpli_Salida]]="");"";SI(Y([@[Cumpli_Ingreso]]="SÍ";[@[Cumpli_Salida]]="SÍ");"SÍ";"NO"))</f>
        <v/>
      </c>
      <c r="Q237" s="15">
        <f>SI(O([@[Fecha_Programada_Fin]]="";[@[Fecha_Cierre_Operativo]]="");"";MAX(0;ENTERO([@[Fecha_Cierre_Operativo]])-ENTERO(SI([@[Fecha_Nueva_Programada]]&lt;&gt;"";[@[Fecha_Nueva_Programada]];[@[Fecha_Programada_Fin]])))</f>
        <v/>
      </c>
      <c r="R237" s="12" t="n"/>
      <c r="S237" s="12" t="n"/>
      <c r="T237" s="13" t="n"/>
      <c r="U237" s="12" t="n">
        <v>14</v>
      </c>
      <c r="V237" s="12" t="n"/>
      <c r="W23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37" s="14">
        <f>SI([@SBAN]="";"";BUSCARV([@SBAN];Cronograma_Maestro!$A:$M;6;FALSO))</f>
        <v/>
      </c>
    </row>
    <row r="238">
      <c r="A238" s="11" t="inlineStr">
        <is>
          <t>1833</t>
        </is>
      </c>
      <c r="B238" s="12">
        <f>SI([@SBAN]="";"";BUSCARV([@SBAN];Cronograma_Maestro!$A:$M;2;FALSO))</f>
        <v/>
      </c>
      <c r="C238" s="12">
        <f>SI([@SBAN]="";"";BUSCARV([@SBAN];Cronograma_Maestro!$A:$M;3;FALSO))</f>
        <v/>
      </c>
      <c r="D238" s="12">
        <f>SI([@SBAN]="";"";BUSCARV([@SBAN];Cronograma_Maestro!$A:$M;4;FALSO))</f>
        <v/>
      </c>
      <c r="E238" s="12">
        <f>SI([@SBAN]="";"";BUSCARV([@SBAN];Cronograma_Maestro!$A:$M;5;FALSO))</f>
        <v/>
      </c>
      <c r="F238" s="12" t="inlineStr">
        <is>
          <t>JULIO  CESAR AUDELO  - ANDRES FELIPE BOTERO</t>
        </is>
      </c>
      <c r="G238" s="12" t="inlineStr">
        <is>
          <t>PMU COLSOF</t>
        </is>
      </c>
      <c r="H238" s="13" t="n">
        <v>46322</v>
      </c>
      <c r="I238" s="13" t="n">
        <v>46323</v>
      </c>
      <c r="J238" s="13" t="n"/>
      <c r="K238" s="13" t="n"/>
      <c r="L238" s="12" t="inlineStr">
        <is>
          <t>Programada</t>
        </is>
      </c>
      <c r="M238" s="13" t="n"/>
      <c r="N238" s="14">
        <f>SI(O([@[Fecha_Programada_Inicio]]="";[@[Fecha_Inicio_Real]]="");"";SI([@[Fecha_Inicio_Real]]&lt;=[@[Fecha_Programada_Inicio]];"SÍ";"NO"))</f>
        <v/>
      </c>
      <c r="O238" s="14">
        <f>SI(O([@[Fecha_Programada_Fin]]="";[@[Fecha_Cierre_Operativo]]="");"";SI([@[Fecha_Cierre_Operativo]]&lt;=SI([@[Fecha_Nueva_Programada]]&lt;&gt;"";[@[Fecha_Nueva_Programada]];[@[Fecha_Programada_Fin]]);"SÍ";"NO"))</f>
        <v/>
      </c>
      <c r="P238" s="14">
        <f>SI(O([@[Cumpli_Ingreso]]="";[@[Cumpli_Salida]]="");"";SI(Y([@[Cumpli_Ingreso]]="SÍ";[@[Cumpli_Salida]]="SÍ");"SÍ";"NO"))</f>
        <v/>
      </c>
      <c r="Q238" s="15">
        <f>SI(O([@[Fecha_Programada_Fin]]="";[@[Fecha_Cierre_Operativo]]="");"";MAX(0;ENTERO([@[Fecha_Cierre_Operativo]])-ENTERO(SI([@[Fecha_Nueva_Programada]]&lt;&gt;"";[@[Fecha_Nueva_Programada]];[@[Fecha_Programada_Fin]])))</f>
        <v/>
      </c>
      <c r="R238" s="12" t="n"/>
      <c r="S238" s="12" t="n"/>
      <c r="T238" s="13" t="n"/>
      <c r="U238" s="12" t="n">
        <v>15</v>
      </c>
      <c r="V238" s="12" t="n"/>
      <c r="W23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38" s="14">
        <f>SI([@SBAN]="";"";BUSCARV([@SBAN];Cronograma_Maestro!$A:$M;6;FALSO))</f>
        <v/>
      </c>
    </row>
    <row r="239">
      <c r="A239" s="11" t="inlineStr">
        <is>
          <t>1834</t>
        </is>
      </c>
      <c r="B239" s="12">
        <f>SI([@SBAN]="";"";BUSCARV([@SBAN];Cronograma_Maestro!$A:$M;2;FALSO))</f>
        <v/>
      </c>
      <c r="C239" s="12">
        <f>SI([@SBAN]="";"";BUSCARV([@SBAN];Cronograma_Maestro!$A:$M;3;FALSO))</f>
        <v/>
      </c>
      <c r="D239" s="12">
        <f>SI([@SBAN]="";"";BUSCARV([@SBAN];Cronograma_Maestro!$A:$M;4;FALSO))</f>
        <v/>
      </c>
      <c r="E239" s="12">
        <f>SI([@SBAN]="";"";BUSCARV([@SBAN];Cronograma_Maestro!$A:$M;5;FALSO))</f>
        <v/>
      </c>
      <c r="F239" s="12" t="inlineStr">
        <is>
          <t>JULIO  CESAR AUDELO  - ANDRES FELIPE BOTERO</t>
        </is>
      </c>
      <c r="G239" s="12" t="inlineStr">
        <is>
          <t>PMU COLSOF</t>
        </is>
      </c>
      <c r="H239" s="13" t="n">
        <v>46282</v>
      </c>
      <c r="I239" s="13" t="n">
        <v>46283</v>
      </c>
      <c r="J239" s="13" t="n"/>
      <c r="K239" s="13" t="n"/>
      <c r="L239" s="12" t="inlineStr">
        <is>
          <t>Programada</t>
        </is>
      </c>
      <c r="M239" s="13" t="n"/>
      <c r="N239" s="14">
        <f>SI(O([@[Fecha_Programada_Inicio]]="";[@[Fecha_Inicio_Real]]="");"";SI([@[Fecha_Inicio_Real]]&lt;=[@[Fecha_Programada_Inicio]];"SÍ";"NO"))</f>
        <v/>
      </c>
      <c r="O239" s="14">
        <f>SI(O([@[Fecha_Programada_Fin]]="";[@[Fecha_Cierre_Operativo]]="");"";SI([@[Fecha_Cierre_Operativo]]&lt;=SI([@[Fecha_Nueva_Programada]]&lt;&gt;"";[@[Fecha_Nueva_Programada]];[@[Fecha_Programada_Fin]]);"SÍ";"NO"))</f>
        <v/>
      </c>
      <c r="P239" s="14">
        <f>SI(O([@[Cumpli_Ingreso]]="";[@[Cumpli_Salida]]="");"";SI(Y([@[Cumpli_Ingreso]]="SÍ";[@[Cumpli_Salida]]="SÍ");"SÍ";"NO"))</f>
        <v/>
      </c>
      <c r="Q239" s="15">
        <f>SI(O([@[Fecha_Programada_Fin]]="";[@[Fecha_Cierre_Operativo]]="");"";MAX(0;ENTERO([@[Fecha_Cierre_Operativo]])-ENTERO(SI([@[Fecha_Nueva_Programada]]&lt;&gt;"";[@[Fecha_Nueva_Programada]];[@[Fecha_Programada_Fin]])))</f>
        <v/>
      </c>
      <c r="R239" s="12" t="n"/>
      <c r="S239" s="12" t="n"/>
      <c r="T239" s="13" t="n"/>
      <c r="U239" s="12" t="n">
        <v>12</v>
      </c>
      <c r="V239" s="12" t="n"/>
      <c r="W23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39" s="14">
        <f>SI([@SBAN]="";"";BUSCARV([@SBAN];Cronograma_Maestro!$A:$M;6;FALSO))</f>
        <v/>
      </c>
    </row>
    <row r="240">
      <c r="A240" s="11" t="inlineStr">
        <is>
          <t>1835</t>
        </is>
      </c>
      <c r="B240" s="12">
        <f>SI([@SBAN]="";"";BUSCARV([@SBAN];Cronograma_Maestro!$A:$M;2;FALSO))</f>
        <v/>
      </c>
      <c r="C240" s="12">
        <f>SI([@SBAN]="";"";BUSCARV([@SBAN];Cronograma_Maestro!$A:$M;3;FALSO))</f>
        <v/>
      </c>
      <c r="D240" s="12">
        <f>SI([@SBAN]="";"";BUSCARV([@SBAN];Cronograma_Maestro!$A:$M;4;FALSO))</f>
        <v/>
      </c>
      <c r="E240" s="12">
        <f>SI([@SBAN]="";"";BUSCARV([@SBAN];Cronograma_Maestro!$A:$M;5;FALSO))</f>
        <v/>
      </c>
      <c r="F240" s="12" t="inlineStr">
        <is>
          <t>JULIO  CESAR AUDELO  - ANDRES FELIPE BOTERO</t>
        </is>
      </c>
      <c r="G240" s="12" t="inlineStr">
        <is>
          <t>PMU COLSOF</t>
        </is>
      </c>
      <c r="H240" s="13" t="n">
        <v>46294</v>
      </c>
      <c r="I240" s="13" t="n">
        <v>46295</v>
      </c>
      <c r="J240" s="13" t="n"/>
      <c r="K240" s="13" t="n"/>
      <c r="L240" s="12" t="inlineStr">
        <is>
          <t>Programada</t>
        </is>
      </c>
      <c r="M240" s="13" t="n"/>
      <c r="N240" s="14">
        <f>SI(O([@[Fecha_Programada_Inicio]]="";[@[Fecha_Inicio_Real]]="");"";SI([@[Fecha_Inicio_Real]]&lt;=[@[Fecha_Programada_Inicio]];"SÍ";"NO"))</f>
        <v/>
      </c>
      <c r="O240" s="14">
        <f>SI(O([@[Fecha_Programada_Fin]]="";[@[Fecha_Cierre_Operativo]]="");"";SI([@[Fecha_Cierre_Operativo]]&lt;=SI([@[Fecha_Nueva_Programada]]&lt;&gt;"";[@[Fecha_Nueva_Programada]];[@[Fecha_Programada_Fin]]);"SÍ";"NO"))</f>
        <v/>
      </c>
      <c r="P240" s="14">
        <f>SI(O([@[Cumpli_Ingreso]]="";[@[Cumpli_Salida]]="");"";SI(Y([@[Cumpli_Ingreso]]="SÍ";[@[Cumpli_Salida]]="SÍ");"SÍ";"NO"))</f>
        <v/>
      </c>
      <c r="Q240" s="15">
        <f>SI(O([@[Fecha_Programada_Fin]]="";[@[Fecha_Cierre_Operativo]]="");"";MAX(0;ENTERO([@[Fecha_Cierre_Operativo]])-ENTERO(SI([@[Fecha_Nueva_Programada]]&lt;&gt;"";[@[Fecha_Nueva_Programada]];[@[Fecha_Programada_Fin]])))</f>
        <v/>
      </c>
      <c r="R240" s="12" t="n"/>
      <c r="S240" s="12" t="n"/>
      <c r="T240" s="13" t="n"/>
      <c r="U240" s="12" t="n">
        <v>26</v>
      </c>
      <c r="V240" s="12" t="n"/>
      <c r="W24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40" s="14">
        <f>SI([@SBAN]="";"";BUSCARV([@SBAN];Cronograma_Maestro!$A:$M;6;FALSO))</f>
        <v/>
      </c>
    </row>
    <row r="241">
      <c r="A241" s="11" t="inlineStr">
        <is>
          <t>1840</t>
        </is>
      </c>
      <c r="B241" s="12">
        <f>SI([@SBAN]="";"";BUSCARV([@SBAN];Cronograma_Maestro!$A:$M;2;FALSO))</f>
        <v/>
      </c>
      <c r="C241" s="12">
        <f>SI([@SBAN]="";"";BUSCARV([@SBAN];Cronograma_Maestro!$A:$M;3;FALSO))</f>
        <v/>
      </c>
      <c r="D241" s="12">
        <f>SI([@SBAN]="";"";BUSCARV([@SBAN];Cronograma_Maestro!$A:$M;4;FALSO))</f>
        <v/>
      </c>
      <c r="E241" s="12">
        <f>SI([@SBAN]="";"";BUSCARV([@SBAN];Cronograma_Maestro!$A:$M;5;FALSO))</f>
        <v/>
      </c>
      <c r="F241" s="12" t="inlineStr">
        <is>
          <t>JULIO  CESAR AUDELO  - ANDRES FELIPE BOTERO</t>
        </is>
      </c>
      <c r="G241" s="12" t="inlineStr">
        <is>
          <t>PMU COLSOF</t>
        </is>
      </c>
      <c r="H241" s="13" t="n">
        <v>46303</v>
      </c>
      <c r="I241" s="13" t="n">
        <v>46304</v>
      </c>
      <c r="J241" s="13" t="n"/>
      <c r="K241" s="13" t="n"/>
      <c r="L241" s="12" t="inlineStr">
        <is>
          <t>Programada</t>
        </is>
      </c>
      <c r="M241" s="13" t="n"/>
      <c r="N241" s="14">
        <f>SI(O([@[Fecha_Programada_Inicio]]="";[@[Fecha_Inicio_Real]]="");"";SI([@[Fecha_Inicio_Real]]&lt;=[@[Fecha_Programada_Inicio]];"SÍ";"NO"))</f>
        <v/>
      </c>
      <c r="O241" s="14">
        <f>SI(O([@[Fecha_Programada_Fin]]="";[@[Fecha_Cierre_Operativo]]="");"";SI([@[Fecha_Cierre_Operativo]]&lt;=SI([@[Fecha_Nueva_Programada]]&lt;&gt;"";[@[Fecha_Nueva_Programada]];[@[Fecha_Programada_Fin]]);"SÍ";"NO"))</f>
        <v/>
      </c>
      <c r="P241" s="14">
        <f>SI(O([@[Cumpli_Ingreso]]="";[@[Cumpli_Salida]]="");"";SI(Y([@[Cumpli_Ingreso]]="SÍ";[@[Cumpli_Salida]]="SÍ");"SÍ";"NO"))</f>
        <v/>
      </c>
      <c r="Q241" s="15">
        <f>SI(O([@[Fecha_Programada_Fin]]="";[@[Fecha_Cierre_Operativo]]="");"";MAX(0;ENTERO([@[Fecha_Cierre_Operativo]])-ENTERO(SI([@[Fecha_Nueva_Programada]]&lt;&gt;"";[@[Fecha_Nueva_Programada]];[@[Fecha_Programada_Fin]])))</f>
        <v/>
      </c>
      <c r="R241" s="12" t="n"/>
      <c r="S241" s="12" t="n"/>
      <c r="T241" s="13" t="n"/>
      <c r="U241" s="12" t="n">
        <v>14</v>
      </c>
      <c r="V241" s="12" t="n"/>
      <c r="W24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41" s="14">
        <f>SI([@SBAN]="";"";BUSCARV([@SBAN];Cronograma_Maestro!$A:$M;6;FALSO))</f>
        <v/>
      </c>
    </row>
    <row r="242">
      <c r="A242" s="11" t="inlineStr">
        <is>
          <t>1846</t>
        </is>
      </c>
      <c r="B242" s="12">
        <f>SI([@SBAN]="";"";BUSCARV([@SBAN];Cronograma_Maestro!$A:$M;2;FALSO))</f>
        <v/>
      </c>
      <c r="C242" s="12">
        <f>SI([@SBAN]="";"";BUSCARV([@SBAN];Cronograma_Maestro!$A:$M;3;FALSO))</f>
        <v/>
      </c>
      <c r="D242" s="12">
        <f>SI([@SBAN]="";"";BUSCARV([@SBAN];Cronograma_Maestro!$A:$M;4;FALSO))</f>
        <v/>
      </c>
      <c r="E242" s="12">
        <f>SI([@SBAN]="";"";BUSCARV([@SBAN];Cronograma_Maestro!$A:$M;5;FALSO))</f>
        <v/>
      </c>
      <c r="F242" s="12" t="inlineStr">
        <is>
          <t>JULIO  CESAR AUDELO  - ANDRES FELIPE BOTERO</t>
        </is>
      </c>
      <c r="G242" s="12" t="inlineStr">
        <is>
          <t>PMU COLSOF</t>
        </is>
      </c>
      <c r="H242" s="13" t="n">
        <v>46289</v>
      </c>
      <c r="I242" s="13" t="n">
        <v>46290</v>
      </c>
      <c r="J242" s="13" t="n"/>
      <c r="K242" s="13" t="n"/>
      <c r="L242" s="12" t="inlineStr">
        <is>
          <t>Programada</t>
        </is>
      </c>
      <c r="M242" s="13" t="n"/>
      <c r="N242" s="14">
        <f>SI(O([@[Fecha_Programada_Inicio]]="";[@[Fecha_Inicio_Real]]="");"";SI([@[Fecha_Inicio_Real]]&lt;=[@[Fecha_Programada_Inicio]];"SÍ";"NO"))</f>
        <v/>
      </c>
      <c r="O242" s="14">
        <f>SI(O([@[Fecha_Programada_Fin]]="";[@[Fecha_Cierre_Operativo]]="");"";SI([@[Fecha_Cierre_Operativo]]&lt;=SI([@[Fecha_Nueva_Programada]]&lt;&gt;"";[@[Fecha_Nueva_Programada]];[@[Fecha_Programada_Fin]]);"SÍ";"NO"))</f>
        <v/>
      </c>
      <c r="P242" s="14">
        <f>SI(O([@[Cumpli_Ingreso]]="";[@[Cumpli_Salida]]="");"";SI(Y([@[Cumpli_Ingreso]]="SÍ";[@[Cumpli_Salida]]="SÍ");"SÍ";"NO"))</f>
        <v/>
      </c>
      <c r="Q242" s="15">
        <f>SI(O([@[Fecha_Programada_Fin]]="";[@[Fecha_Cierre_Operativo]]="");"";MAX(0;ENTERO([@[Fecha_Cierre_Operativo]])-ENTERO(SI([@[Fecha_Nueva_Programada]]&lt;&gt;"";[@[Fecha_Nueva_Programada]];[@[Fecha_Programada_Fin]])))</f>
        <v/>
      </c>
      <c r="R242" s="12" t="n"/>
      <c r="S242" s="12" t="n"/>
      <c r="T242" s="13" t="n"/>
      <c r="U242" s="12" t="n">
        <v>14</v>
      </c>
      <c r="V242" s="12" t="n"/>
      <c r="W24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42" s="14">
        <f>SI([@SBAN]="";"";BUSCARV([@SBAN];Cronograma_Maestro!$A:$M;6;FALSO))</f>
        <v/>
      </c>
    </row>
    <row r="243">
      <c r="A243" s="11" t="inlineStr">
        <is>
          <t>1850</t>
        </is>
      </c>
      <c r="B243" s="12">
        <f>SI([@SBAN]="";"";BUSCARV([@SBAN];Cronograma_Maestro!$A:$M;2;FALSO))</f>
        <v/>
      </c>
      <c r="C243" s="12">
        <f>SI([@SBAN]="";"";BUSCARV([@SBAN];Cronograma_Maestro!$A:$M;3;FALSO))</f>
        <v/>
      </c>
      <c r="D243" s="12">
        <f>SI([@SBAN]="";"";BUSCARV([@SBAN];Cronograma_Maestro!$A:$M;4;FALSO))</f>
        <v/>
      </c>
      <c r="E243" s="12">
        <f>SI([@SBAN]="";"";BUSCARV([@SBAN];Cronograma_Maestro!$A:$M;5;FALSO))</f>
        <v/>
      </c>
      <c r="F243" s="12" t="inlineStr">
        <is>
          <t>JULIO  CESAR AUDELO  - ANDRES FELIPE BOTERO</t>
        </is>
      </c>
      <c r="G243" s="12" t="inlineStr">
        <is>
          <t>PMU COLSOF</t>
        </is>
      </c>
      <c r="H243" s="13" t="n">
        <v>46332</v>
      </c>
      <c r="I243" s="13" t="n">
        <v>46332</v>
      </c>
      <c r="J243" s="13" t="n"/>
      <c r="K243" s="13" t="n"/>
      <c r="L243" s="12" t="inlineStr">
        <is>
          <t>Sede_Cerrada</t>
        </is>
      </c>
      <c r="M243" s="13" t="n"/>
      <c r="N243" s="14">
        <f>SI(O([@[Fecha_Programada_Inicio]]="";[@[Fecha_Inicio_Real]]="");"";SI([@[Fecha_Inicio_Real]]&lt;=[@[Fecha_Programada_Inicio]];"SÍ";"NO"))</f>
        <v/>
      </c>
      <c r="O243" s="14">
        <f>SI(O([@[Fecha_Programada_Fin]]="";[@[Fecha_Cierre_Operativo]]="");"";SI([@[Fecha_Cierre_Operativo]]&lt;=SI([@[Fecha_Nueva_Programada]]&lt;&gt;"";[@[Fecha_Nueva_Programada]];[@[Fecha_Programada_Fin]]);"SÍ";"NO"))</f>
        <v/>
      </c>
      <c r="P243" s="14">
        <f>SI(O([@[Cumpli_Ingreso]]="";[@[Cumpli_Salida]]="");"";SI(Y([@[Cumpli_Ingreso]]="SÍ";[@[Cumpli_Salida]]="SÍ");"SÍ";"NO"))</f>
        <v/>
      </c>
      <c r="Q243" s="15">
        <f>SI(O([@[Fecha_Programada_Fin]]="";[@[Fecha_Cierre_Operativo]]="");"";MAX(0;ENTERO([@[Fecha_Cierre_Operativo]])-ENTERO(SI([@[Fecha_Nueva_Programada]]&lt;&gt;"";[@[Fecha_Nueva_Programada]];[@[Fecha_Programada_Fin]])))</f>
        <v/>
      </c>
      <c r="R243" s="12" t="inlineStr">
        <is>
          <t>N/A - A Tiempo</t>
        </is>
      </c>
      <c r="S243" s="12" t="inlineStr">
        <is>
          <t>Firmada</t>
        </is>
      </c>
      <c r="T243" s="13" t="n"/>
      <c r="U243" s="12" t="n">
        <v>14</v>
      </c>
      <c r="V243" s="12" t="n"/>
      <c r="W24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43" s="14">
        <f>SI([@SBAN]="";"";BUSCARV([@SBAN];Cronograma_Maestro!$A:$M;6;FALSO))</f>
        <v/>
      </c>
    </row>
    <row r="244">
      <c r="A244" s="11" t="inlineStr">
        <is>
          <t>1853</t>
        </is>
      </c>
      <c r="B244" s="12">
        <f>SI([@SBAN]="";"";BUSCARV([@SBAN];Cronograma_Maestro!$A:$M;2;FALSO))</f>
        <v/>
      </c>
      <c r="C244" s="12">
        <f>SI([@SBAN]="";"";BUSCARV([@SBAN];Cronograma_Maestro!$A:$M;3;FALSO))</f>
        <v/>
      </c>
      <c r="D244" s="12">
        <f>SI([@SBAN]="";"";BUSCARV([@SBAN];Cronograma_Maestro!$A:$M;4;FALSO))</f>
        <v/>
      </c>
      <c r="E244" s="12">
        <f>SI([@SBAN]="";"";BUSCARV([@SBAN];Cronograma_Maestro!$A:$M;5;FALSO))</f>
        <v/>
      </c>
      <c r="F244" s="12" t="inlineStr">
        <is>
          <t>JULIO  CESAR AUDELO  - ANDRES FELIPE BOTERO</t>
        </is>
      </c>
      <c r="G244" s="12" t="inlineStr">
        <is>
          <t>PMU COLSOF</t>
        </is>
      </c>
      <c r="H244" s="13" t="n">
        <v>46317</v>
      </c>
      <c r="I244" s="13" t="n">
        <v>46318</v>
      </c>
      <c r="J244" s="13" t="n"/>
      <c r="K244" s="13" t="n"/>
      <c r="L244" s="12" t="inlineStr">
        <is>
          <t>Programada</t>
        </is>
      </c>
      <c r="M244" s="13" t="n"/>
      <c r="N244" s="14">
        <f>SI(O([@[Fecha_Programada_Inicio]]="";[@[Fecha_Inicio_Real]]="");"";SI([@[Fecha_Inicio_Real]]&lt;=[@[Fecha_Programada_Inicio]];"SÍ";"NO"))</f>
        <v/>
      </c>
      <c r="O244" s="14">
        <f>SI(O([@[Fecha_Programada_Fin]]="";[@[Fecha_Cierre_Operativo]]="");"";SI([@[Fecha_Cierre_Operativo]]&lt;=SI([@[Fecha_Nueva_Programada]]&lt;&gt;"";[@[Fecha_Nueva_Programada]];[@[Fecha_Programada_Fin]]);"SÍ";"NO"))</f>
        <v/>
      </c>
      <c r="P244" s="14">
        <f>SI(O([@[Cumpli_Ingreso]]="";[@[Cumpli_Salida]]="");"";SI(Y([@[Cumpli_Ingreso]]="SÍ";[@[Cumpli_Salida]]="SÍ");"SÍ";"NO"))</f>
        <v/>
      </c>
      <c r="Q244" s="15">
        <f>SI(O([@[Fecha_Programada_Fin]]="";[@[Fecha_Cierre_Operativo]]="");"";MAX(0;ENTERO([@[Fecha_Cierre_Operativo]])-ENTERO(SI([@[Fecha_Nueva_Programada]]&lt;&gt;"";[@[Fecha_Nueva_Programada]];[@[Fecha_Programada_Fin]])))</f>
        <v/>
      </c>
      <c r="R244" s="12" t="n"/>
      <c r="S244" s="12" t="n"/>
      <c r="T244" s="13" t="n"/>
      <c r="U244" s="12" t="n">
        <v>23</v>
      </c>
      <c r="V244" s="12" t="n"/>
      <c r="W24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44" s="14">
        <f>SI([@SBAN]="";"";BUSCARV([@SBAN];Cronograma_Maestro!$A:$M;6;FALSO))</f>
        <v/>
      </c>
    </row>
    <row r="245">
      <c r="A245" s="11" t="inlineStr">
        <is>
          <t>1855</t>
        </is>
      </c>
      <c r="B245" s="12">
        <f>SI([@SBAN]="";"";BUSCARV([@SBAN];Cronograma_Maestro!$A:$M;2;FALSO))</f>
        <v/>
      </c>
      <c r="C245" s="12">
        <f>SI([@SBAN]="";"";BUSCARV([@SBAN];Cronograma_Maestro!$A:$M;3;FALSO))</f>
        <v/>
      </c>
      <c r="D245" s="12">
        <f>SI([@SBAN]="";"";BUSCARV([@SBAN];Cronograma_Maestro!$A:$M;4;FALSO))</f>
        <v/>
      </c>
      <c r="E245" s="12">
        <f>SI([@SBAN]="";"";BUSCARV([@SBAN];Cronograma_Maestro!$A:$M;5;FALSO))</f>
        <v/>
      </c>
      <c r="F245" s="12" t="inlineStr">
        <is>
          <t>JULIO  CESAR AUDELO  - ANDRES FELIPE BOTERO</t>
        </is>
      </c>
      <c r="G245" s="12" t="inlineStr">
        <is>
          <t>PMU COLSOF</t>
        </is>
      </c>
      <c r="H245" s="13" t="n">
        <v>46301</v>
      </c>
      <c r="I245" s="13" t="n">
        <v>46302</v>
      </c>
      <c r="J245" s="13" t="n"/>
      <c r="K245" s="13" t="n"/>
      <c r="L245" s="12" t="inlineStr">
        <is>
          <t>Programada</t>
        </is>
      </c>
      <c r="M245" s="13" t="n"/>
      <c r="N245" s="14">
        <f>SI(O([@[Fecha_Programada_Inicio]]="";[@[Fecha_Inicio_Real]]="");"";SI([@[Fecha_Inicio_Real]]&lt;=[@[Fecha_Programada_Inicio]];"SÍ";"NO"))</f>
        <v/>
      </c>
      <c r="O245" s="14">
        <f>SI(O([@[Fecha_Programada_Fin]]="";[@[Fecha_Cierre_Operativo]]="");"";SI([@[Fecha_Cierre_Operativo]]&lt;=SI([@[Fecha_Nueva_Programada]]&lt;&gt;"";[@[Fecha_Nueva_Programada]];[@[Fecha_Programada_Fin]]);"SÍ";"NO"))</f>
        <v/>
      </c>
      <c r="P245" s="14">
        <f>SI(O([@[Cumpli_Ingreso]]="";[@[Cumpli_Salida]]="");"";SI(Y([@[Cumpli_Ingreso]]="SÍ";[@[Cumpli_Salida]]="SÍ");"SÍ";"NO"))</f>
        <v/>
      </c>
      <c r="Q245" s="15">
        <f>SI(O([@[Fecha_Programada_Fin]]="";[@[Fecha_Cierre_Operativo]]="");"";MAX(0;ENTERO([@[Fecha_Cierre_Operativo]])-ENTERO(SI([@[Fecha_Nueva_Programada]]&lt;&gt;"";[@[Fecha_Nueva_Programada]];[@[Fecha_Programada_Fin]])))</f>
        <v/>
      </c>
      <c r="R245" s="12" t="n"/>
      <c r="S245" s="12" t="n"/>
      <c r="T245" s="13" t="n"/>
      <c r="U245" s="12" t="n">
        <v>17</v>
      </c>
      <c r="V245" s="12" t="n"/>
      <c r="W24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45" s="14">
        <f>SI([@SBAN]="";"";BUSCARV([@SBAN];Cronograma_Maestro!$A:$M;6;FALSO))</f>
        <v/>
      </c>
    </row>
    <row r="246">
      <c r="A246" s="11" t="inlineStr">
        <is>
          <t>1860</t>
        </is>
      </c>
      <c r="B246" s="12">
        <f>SI([@SBAN]="";"";BUSCARV([@SBAN];Cronograma_Maestro!$A:$M;2;FALSO))</f>
        <v/>
      </c>
      <c r="C246" s="12">
        <f>SI([@SBAN]="";"";BUSCARV([@SBAN];Cronograma_Maestro!$A:$M;3;FALSO))</f>
        <v/>
      </c>
      <c r="D246" s="12">
        <f>SI([@SBAN]="";"";BUSCARV([@SBAN];Cronograma_Maestro!$A:$M;4;FALSO))</f>
        <v/>
      </c>
      <c r="E246" s="12">
        <f>SI([@SBAN]="";"";BUSCARV([@SBAN];Cronograma_Maestro!$A:$M;5;FALSO))</f>
        <v/>
      </c>
      <c r="F246" s="12" t="inlineStr">
        <is>
          <t>JULIO  CESAR AUDELO  - ANDRES FELIPE BOTERO</t>
        </is>
      </c>
      <c r="G246" s="12" t="inlineStr">
        <is>
          <t>PMU COLSOF</t>
        </is>
      </c>
      <c r="H246" s="13" t="n">
        <v>46280</v>
      </c>
      <c r="I246" s="13" t="n">
        <v>46281</v>
      </c>
      <c r="J246" s="13" t="n"/>
      <c r="K246" s="13" t="n"/>
      <c r="L246" s="12" t="inlineStr">
        <is>
          <t>Programada</t>
        </is>
      </c>
      <c r="M246" s="13" t="n"/>
      <c r="N246" s="14">
        <f>SI(O([@[Fecha_Programada_Inicio]]="";[@[Fecha_Inicio_Real]]="");"";SI([@[Fecha_Inicio_Real]]&lt;=[@[Fecha_Programada_Inicio]];"SÍ";"NO"))</f>
        <v/>
      </c>
      <c r="O246" s="14">
        <f>SI(O([@[Fecha_Programada_Fin]]="";[@[Fecha_Cierre_Operativo]]="");"";SI([@[Fecha_Cierre_Operativo]]&lt;=SI([@[Fecha_Nueva_Programada]]&lt;&gt;"";[@[Fecha_Nueva_Programada]];[@[Fecha_Programada_Fin]]);"SÍ";"NO"))</f>
        <v/>
      </c>
      <c r="P246" s="14">
        <f>SI(O([@[Cumpli_Ingreso]]="";[@[Cumpli_Salida]]="");"";SI(Y([@[Cumpli_Ingreso]]="SÍ";[@[Cumpli_Salida]]="SÍ");"SÍ";"NO"))</f>
        <v/>
      </c>
      <c r="Q246" s="15">
        <f>SI(O([@[Fecha_Programada_Fin]]="";[@[Fecha_Cierre_Operativo]]="");"";MAX(0;ENTERO([@[Fecha_Cierre_Operativo]])-ENTERO(SI([@[Fecha_Nueva_Programada]]&lt;&gt;"";[@[Fecha_Nueva_Programada]];[@[Fecha_Programada_Fin]])))</f>
        <v/>
      </c>
      <c r="R246" s="12" t="n"/>
      <c r="S246" s="12" t="n"/>
      <c r="T246" s="13" t="n"/>
      <c r="U246" s="12" t="n">
        <v>16</v>
      </c>
      <c r="V246" s="12" t="n"/>
      <c r="W24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46" s="14">
        <f>SI([@SBAN]="";"";BUSCARV([@SBAN];Cronograma_Maestro!$A:$M;6;FALSO))</f>
        <v/>
      </c>
    </row>
    <row r="247">
      <c r="A247" s="11" t="inlineStr">
        <is>
          <t>1861</t>
        </is>
      </c>
      <c r="B247" s="12">
        <f>SI([@SBAN]="";"";BUSCARV([@SBAN];Cronograma_Maestro!$A:$M;2;FALSO))</f>
        <v/>
      </c>
      <c r="C247" s="12">
        <f>SI([@SBAN]="";"";BUSCARV([@SBAN];Cronograma_Maestro!$A:$M;3;FALSO))</f>
        <v/>
      </c>
      <c r="D247" s="12">
        <f>SI([@SBAN]="";"";BUSCARV([@SBAN];Cronograma_Maestro!$A:$M;4;FALSO))</f>
        <v/>
      </c>
      <c r="E247" s="12">
        <f>SI([@SBAN]="";"";BUSCARV([@SBAN];Cronograma_Maestro!$A:$M;5;FALSO))</f>
        <v/>
      </c>
      <c r="F247" s="12" t="inlineStr">
        <is>
          <t>JULIO  CESAR AUDELO  - ANDRES FELIPE BOTERO</t>
        </is>
      </c>
      <c r="G247" s="12" t="inlineStr">
        <is>
          <t>PMU COLSOF</t>
        </is>
      </c>
      <c r="H247" s="13" t="n">
        <v>46309</v>
      </c>
      <c r="I247" s="13" t="n">
        <v>46309</v>
      </c>
      <c r="J247" s="13" t="n"/>
      <c r="K247" s="13" t="n"/>
      <c r="L247" s="12" t="inlineStr">
        <is>
          <t>Programada</t>
        </is>
      </c>
      <c r="M247" s="13" t="n"/>
      <c r="N247" s="14">
        <f>SI(O([@[Fecha_Programada_Inicio]]="";[@[Fecha_Inicio_Real]]="");"";SI([@[Fecha_Inicio_Real]]&lt;=[@[Fecha_Programada_Inicio]];"SÍ";"NO"))</f>
        <v/>
      </c>
      <c r="O247" s="14">
        <f>SI(O([@[Fecha_Programada_Fin]]="";[@[Fecha_Cierre_Operativo]]="");"";SI([@[Fecha_Cierre_Operativo]]&lt;=SI([@[Fecha_Nueva_Programada]]&lt;&gt;"";[@[Fecha_Nueva_Programada]];[@[Fecha_Programada_Fin]]);"SÍ";"NO"))</f>
        <v/>
      </c>
      <c r="P247" s="14">
        <f>SI(O([@[Cumpli_Ingreso]]="";[@[Cumpli_Salida]]="");"";SI(Y([@[Cumpli_Ingreso]]="SÍ";[@[Cumpli_Salida]]="SÍ");"SÍ";"NO"))</f>
        <v/>
      </c>
      <c r="Q247" s="15">
        <f>SI(O([@[Fecha_Programada_Fin]]="";[@[Fecha_Cierre_Operativo]]="");"";MAX(0;ENTERO([@[Fecha_Cierre_Operativo]])-ENTERO(SI([@[Fecha_Nueva_Programada]]&lt;&gt;"";[@[Fecha_Nueva_Programada]];[@[Fecha_Programada_Fin]])))</f>
        <v/>
      </c>
      <c r="R247" s="12" t="n"/>
      <c r="S247" s="12" t="n"/>
      <c r="T247" s="13" t="n"/>
      <c r="U247" s="12" t="n">
        <v>13</v>
      </c>
      <c r="V247" s="12" t="n"/>
      <c r="W24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47" s="14">
        <f>SI([@SBAN]="";"";BUSCARV([@SBAN];Cronograma_Maestro!$A:$M;6;FALSO))</f>
        <v/>
      </c>
    </row>
    <row r="248">
      <c r="A248" s="11" t="inlineStr">
        <is>
          <t>1862</t>
        </is>
      </c>
      <c r="B248" s="12">
        <f>SI([@SBAN]="";"";BUSCARV([@SBAN];Cronograma_Maestro!$A:$M;2;FALSO))</f>
        <v/>
      </c>
      <c r="C248" s="12">
        <f>SI([@SBAN]="";"";BUSCARV([@SBAN];Cronograma_Maestro!$A:$M;3;FALSO))</f>
        <v/>
      </c>
      <c r="D248" s="12">
        <f>SI([@SBAN]="";"";BUSCARV([@SBAN];Cronograma_Maestro!$A:$M;4;FALSO))</f>
        <v/>
      </c>
      <c r="E248" s="12">
        <f>SI([@SBAN]="";"";BUSCARV([@SBAN];Cronograma_Maestro!$A:$M;5;FALSO))</f>
        <v/>
      </c>
      <c r="F248" s="12" t="inlineStr">
        <is>
          <t>JULIO  CESAR AUDELO  - ANDRES FELIPE BOTERO</t>
        </is>
      </c>
      <c r="G248" s="12" t="inlineStr">
        <is>
          <t>PMU COLSOF</t>
        </is>
      </c>
      <c r="H248" s="13" t="n">
        <v>46296</v>
      </c>
      <c r="I248" s="13" t="n">
        <v>46297</v>
      </c>
      <c r="J248" s="13" t="n"/>
      <c r="K248" s="13" t="n"/>
      <c r="L248" s="12" t="inlineStr">
        <is>
          <t>Programada</t>
        </is>
      </c>
      <c r="M248" s="13" t="n"/>
      <c r="N248" s="14">
        <f>SI(O([@[Fecha_Programada_Inicio]]="";[@[Fecha_Inicio_Real]]="");"";SI([@[Fecha_Inicio_Real]]&lt;=[@[Fecha_Programada_Inicio]];"SÍ";"NO"))</f>
        <v/>
      </c>
      <c r="O248" s="14">
        <f>SI(O([@[Fecha_Programada_Fin]]="";[@[Fecha_Cierre_Operativo]]="");"";SI([@[Fecha_Cierre_Operativo]]&lt;=SI([@[Fecha_Nueva_Programada]]&lt;&gt;"";[@[Fecha_Nueva_Programada]];[@[Fecha_Programada_Fin]]);"SÍ";"NO"))</f>
        <v/>
      </c>
      <c r="P248" s="14">
        <f>SI(O([@[Cumpli_Ingreso]]="";[@[Cumpli_Salida]]="");"";SI(Y([@[Cumpli_Ingreso]]="SÍ";[@[Cumpli_Salida]]="SÍ");"SÍ";"NO"))</f>
        <v/>
      </c>
      <c r="Q248" s="15">
        <f>SI(O([@[Fecha_Programada_Fin]]="";[@[Fecha_Cierre_Operativo]]="");"";MAX(0;ENTERO([@[Fecha_Cierre_Operativo]])-ENTERO(SI([@[Fecha_Nueva_Programada]]&lt;&gt;"";[@[Fecha_Nueva_Programada]];[@[Fecha_Programada_Fin]])))</f>
        <v/>
      </c>
      <c r="R248" s="12" t="n"/>
      <c r="S248" s="12" t="n"/>
      <c r="T248" s="13" t="n"/>
      <c r="U248" s="12" t="n">
        <v>13</v>
      </c>
      <c r="V248" s="12" t="n"/>
      <c r="W24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48" s="14">
        <f>SI([@SBAN]="";"";BUSCARV([@SBAN];Cronograma_Maestro!$A:$M;6;FALSO))</f>
        <v/>
      </c>
    </row>
    <row r="249">
      <c r="A249" s="11" t="inlineStr">
        <is>
          <t>1865</t>
        </is>
      </c>
      <c r="B249" s="12">
        <f>SI([@SBAN]="";"";BUSCARV([@SBAN];Cronograma_Maestro!$A:$M;2;FALSO))</f>
        <v/>
      </c>
      <c r="C249" s="12">
        <f>SI([@SBAN]="";"";BUSCARV([@SBAN];Cronograma_Maestro!$A:$M;3;FALSO))</f>
        <v/>
      </c>
      <c r="D249" s="12">
        <f>SI([@SBAN]="";"";BUSCARV([@SBAN];Cronograma_Maestro!$A:$M;4;FALSO))</f>
        <v/>
      </c>
      <c r="E249" s="12">
        <f>SI([@SBAN]="";"";BUSCARV([@SBAN];Cronograma_Maestro!$A:$M;5;FALSO))</f>
        <v/>
      </c>
      <c r="F249" s="12" t="inlineStr">
        <is>
          <t>JULIO  CESAR AUDELO  - ANDRES FELIPE BOTERO</t>
        </is>
      </c>
      <c r="G249" s="12" t="inlineStr">
        <is>
          <t>PMU COLSOF</t>
        </is>
      </c>
      <c r="H249" s="13" t="n">
        <v>46315</v>
      </c>
      <c r="I249" s="13" t="n">
        <v>46316</v>
      </c>
      <c r="J249" s="13" t="n"/>
      <c r="K249" s="13" t="n"/>
      <c r="L249" s="12" t="inlineStr">
        <is>
          <t>Programada</t>
        </is>
      </c>
      <c r="M249" s="13" t="n"/>
      <c r="N249" s="14">
        <f>SI(O([@[Fecha_Programada_Inicio]]="";[@[Fecha_Inicio_Real]]="");"";SI([@[Fecha_Inicio_Real]]&lt;=[@[Fecha_Programada_Inicio]];"SÍ";"NO"))</f>
        <v/>
      </c>
      <c r="O249" s="14">
        <f>SI(O([@[Fecha_Programada_Fin]]="";[@[Fecha_Cierre_Operativo]]="");"";SI([@[Fecha_Cierre_Operativo]]&lt;=SI([@[Fecha_Nueva_Programada]]&lt;&gt;"";[@[Fecha_Nueva_Programada]];[@[Fecha_Programada_Fin]]);"SÍ";"NO"))</f>
        <v/>
      </c>
      <c r="P249" s="14">
        <f>SI(O([@[Cumpli_Ingreso]]="";[@[Cumpli_Salida]]="");"";SI(Y([@[Cumpli_Ingreso]]="SÍ";[@[Cumpli_Salida]]="SÍ");"SÍ";"NO"))</f>
        <v/>
      </c>
      <c r="Q249" s="15">
        <f>SI(O([@[Fecha_Programada_Fin]]="";[@[Fecha_Cierre_Operativo]]="");"";MAX(0;ENTERO([@[Fecha_Cierre_Operativo]])-ENTERO(SI([@[Fecha_Nueva_Programada]]&lt;&gt;"";[@[Fecha_Nueva_Programada]];[@[Fecha_Programada_Fin]])))</f>
        <v/>
      </c>
      <c r="R249" s="12" t="n"/>
      <c r="S249" s="12" t="n"/>
      <c r="T249" s="13" t="n"/>
      <c r="U249" s="12" t="n">
        <v>12</v>
      </c>
      <c r="V249" s="12" t="n"/>
      <c r="W24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49" s="14">
        <f>SI([@SBAN]="";"";BUSCARV([@SBAN];Cronograma_Maestro!$A:$M;6;FALSO))</f>
        <v/>
      </c>
    </row>
    <row r="250">
      <c r="A250" s="11" t="inlineStr">
        <is>
          <t>1870</t>
        </is>
      </c>
      <c r="B250" s="12">
        <f>SI([@SBAN]="";"";BUSCARV([@SBAN];Cronograma_Maestro!$A:$M;2;FALSO))</f>
        <v/>
      </c>
      <c r="C250" s="12">
        <f>SI([@SBAN]="";"";BUSCARV([@SBAN];Cronograma_Maestro!$A:$M;3;FALSO))</f>
        <v/>
      </c>
      <c r="D250" s="12">
        <f>SI([@SBAN]="";"";BUSCARV([@SBAN];Cronograma_Maestro!$A:$M;4;FALSO))</f>
        <v/>
      </c>
      <c r="E250" s="12">
        <f>SI([@SBAN]="";"";BUSCARV([@SBAN];Cronograma_Maestro!$A:$M;5;FALSO))</f>
        <v/>
      </c>
      <c r="F250" s="12" t="inlineStr">
        <is>
          <t>JULIO  CESAR AUDELO  - ANDRES FELIPE BOTERO</t>
        </is>
      </c>
      <c r="G250" s="12" t="inlineStr">
        <is>
          <t>PMU COLSOF</t>
        </is>
      </c>
      <c r="H250" s="13" t="n">
        <v>46296</v>
      </c>
      <c r="I250" s="13" t="n">
        <v>46297</v>
      </c>
      <c r="J250" s="13" t="n"/>
      <c r="K250" s="13" t="n"/>
      <c r="L250" s="12" t="inlineStr">
        <is>
          <t>Programada</t>
        </is>
      </c>
      <c r="M250" s="13" t="n"/>
      <c r="N250" s="14">
        <f>SI(O([@[Fecha_Programada_Inicio]]="";[@[Fecha_Inicio_Real]]="");"";SI([@[Fecha_Inicio_Real]]&lt;=[@[Fecha_Programada_Inicio]];"SÍ";"NO"))</f>
        <v/>
      </c>
      <c r="O250" s="14">
        <f>SI(O([@[Fecha_Programada_Fin]]="";[@[Fecha_Cierre_Operativo]]="");"";SI([@[Fecha_Cierre_Operativo]]&lt;=SI([@[Fecha_Nueva_Programada]]&lt;&gt;"";[@[Fecha_Nueva_Programada]];[@[Fecha_Programada_Fin]]);"SÍ";"NO"))</f>
        <v/>
      </c>
      <c r="P250" s="14">
        <f>SI(O([@[Cumpli_Ingreso]]="";[@[Cumpli_Salida]]="");"";SI(Y([@[Cumpli_Ingreso]]="SÍ";[@[Cumpli_Salida]]="SÍ");"SÍ";"NO"))</f>
        <v/>
      </c>
      <c r="Q250" s="15">
        <f>SI(O([@[Fecha_Programada_Fin]]="";[@[Fecha_Cierre_Operativo]]="");"";MAX(0;ENTERO([@[Fecha_Cierre_Operativo]])-ENTERO(SI([@[Fecha_Nueva_Programada]]&lt;&gt;"";[@[Fecha_Nueva_Programada]];[@[Fecha_Programada_Fin]])))</f>
        <v/>
      </c>
      <c r="R250" s="12" t="n"/>
      <c r="S250" s="12" t="n"/>
      <c r="T250" s="13" t="n"/>
      <c r="U250" s="12" t="n">
        <v>12</v>
      </c>
      <c r="V250" s="12" t="n"/>
      <c r="W25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50" s="14">
        <f>SI([@SBAN]="";"";BUSCARV([@SBAN];Cronograma_Maestro!$A:$M;6;FALSO))</f>
        <v/>
      </c>
    </row>
    <row r="251">
      <c r="A251" s="11" t="inlineStr">
        <is>
          <t>2101</t>
        </is>
      </c>
      <c r="B251" s="12">
        <f>SI([@SBAN]="";"";BUSCARV([@SBAN];Cronograma_Maestro!$A:$M;2;FALSO))</f>
        <v/>
      </c>
      <c r="C251" s="12">
        <f>SI([@SBAN]="";"";BUSCARV([@SBAN];Cronograma_Maestro!$A:$M;3;FALSO))</f>
        <v/>
      </c>
      <c r="D251" s="12">
        <f>SI([@SBAN]="";"";BUSCARV([@SBAN];Cronograma_Maestro!$A:$M;4;FALSO))</f>
        <v/>
      </c>
      <c r="E251" s="12">
        <f>SI([@SBAN]="";"";BUSCARV([@SBAN];Cronograma_Maestro!$A:$M;5;FALSO))</f>
        <v/>
      </c>
      <c r="F251" s="12" t="inlineStr">
        <is>
          <t>Holmes Arley Astudillo Fajardo</t>
        </is>
      </c>
      <c r="G251" s="12" t="inlineStr">
        <is>
          <t>PMU COLSOF</t>
        </is>
      </c>
      <c r="H251" s="13" t="n">
        <v>46288</v>
      </c>
      <c r="I251" s="13" t="n">
        <v>46288</v>
      </c>
      <c r="J251" s="13" t="n"/>
      <c r="K251" s="13" t="n"/>
      <c r="L251" s="12" t="inlineStr">
        <is>
          <t>Programada</t>
        </is>
      </c>
      <c r="M251" s="13" t="n"/>
      <c r="N251" s="14">
        <f>SI(O([@[Fecha_Programada_Inicio]]="";[@[Fecha_Inicio_Real]]="");"";SI([@[Fecha_Inicio_Real]]&lt;=[@[Fecha_Programada_Inicio]];"SÍ";"NO"))</f>
        <v/>
      </c>
      <c r="O251" s="14">
        <f>SI(O([@[Fecha_Programada_Fin]]="";[@[Fecha_Cierre_Operativo]]="");"";SI([@[Fecha_Cierre_Operativo]]&lt;=SI([@[Fecha_Nueva_Programada]]&lt;&gt;"";[@[Fecha_Nueva_Programada]];[@[Fecha_Programada_Fin]]);"SÍ";"NO"))</f>
        <v/>
      </c>
      <c r="P251" s="14">
        <f>SI(O([@[Cumpli_Ingreso]]="";[@[Cumpli_Salida]]="");"";SI(Y([@[Cumpli_Ingreso]]="SÍ";[@[Cumpli_Salida]]="SÍ");"SÍ";"NO"))</f>
        <v/>
      </c>
      <c r="Q251" s="15">
        <f>SI(O([@[Fecha_Programada_Fin]]="";[@[Fecha_Cierre_Operativo]]="");"";MAX(0;ENTERO([@[Fecha_Cierre_Operativo]])-ENTERO(SI([@[Fecha_Nueva_Programada]]&lt;&gt;"";[@[Fecha_Nueva_Programada]];[@[Fecha_Programada_Fin]])))</f>
        <v/>
      </c>
      <c r="R251" s="12" t="n"/>
      <c r="S251" s="12" t="n"/>
      <c r="T251" s="13" t="n"/>
      <c r="U251" s="12" t="n">
        <v>23</v>
      </c>
      <c r="V251" s="12" t="n"/>
      <c r="W25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51" s="14">
        <f>SI([@SBAN]="";"";BUSCARV([@SBAN];Cronograma_Maestro!$A:$M;6;FALSO))</f>
        <v/>
      </c>
    </row>
    <row r="252">
      <c r="A252" s="11" t="inlineStr">
        <is>
          <t>2102</t>
        </is>
      </c>
      <c r="B252" s="12">
        <f>SI([@SBAN]="";"";BUSCARV([@SBAN];Cronograma_Maestro!$A:$M;2;FALSO))</f>
        <v/>
      </c>
      <c r="C252" s="12">
        <f>SI([@SBAN]="";"";BUSCARV([@SBAN];Cronograma_Maestro!$A:$M;3;FALSO))</f>
        <v/>
      </c>
      <c r="D252" s="12">
        <f>SI([@SBAN]="";"";BUSCARV([@SBAN];Cronograma_Maestro!$A:$M;4;FALSO))</f>
        <v/>
      </c>
      <c r="E252" s="12">
        <f>SI([@SBAN]="";"";BUSCARV([@SBAN];Cronograma_Maestro!$A:$M;5;FALSO))</f>
        <v/>
      </c>
      <c r="F252" s="12" t="inlineStr">
        <is>
          <t>Holmes Arley Astudillo Fajardo</t>
        </is>
      </c>
      <c r="G252" s="12" t="inlineStr">
        <is>
          <t>PMU COLSOF</t>
        </is>
      </c>
      <c r="H252" s="13" t="n">
        <v>46302</v>
      </c>
      <c r="I252" s="13" t="n">
        <v>46302</v>
      </c>
      <c r="J252" s="13" t="n"/>
      <c r="K252" s="13" t="n"/>
      <c r="L252" s="12" t="inlineStr">
        <is>
          <t>Programada</t>
        </is>
      </c>
      <c r="M252" s="13" t="n"/>
      <c r="N252" s="14">
        <f>SI(O([@[Fecha_Programada_Inicio]]="";[@[Fecha_Inicio_Real]]="");"";SI([@[Fecha_Inicio_Real]]&lt;=[@[Fecha_Programada_Inicio]];"SÍ";"NO"))</f>
        <v/>
      </c>
      <c r="O252" s="14">
        <f>SI(O([@[Fecha_Programada_Fin]]="";[@[Fecha_Cierre_Operativo]]="");"";SI([@[Fecha_Cierre_Operativo]]&lt;=SI([@[Fecha_Nueva_Programada]]&lt;&gt;"";[@[Fecha_Nueva_Programada]];[@[Fecha_Programada_Fin]]);"SÍ";"NO"))</f>
        <v/>
      </c>
      <c r="P252" s="14">
        <f>SI(O([@[Cumpli_Ingreso]]="";[@[Cumpli_Salida]]="");"";SI(Y([@[Cumpli_Ingreso]]="SÍ";[@[Cumpli_Salida]]="SÍ");"SÍ";"NO"))</f>
        <v/>
      </c>
      <c r="Q252" s="15">
        <f>SI(O([@[Fecha_Programada_Fin]]="";[@[Fecha_Cierre_Operativo]]="");"";MAX(0;ENTERO([@[Fecha_Cierre_Operativo]])-ENTERO(SI([@[Fecha_Nueva_Programada]]&lt;&gt;"";[@[Fecha_Nueva_Programada]];[@[Fecha_Programada_Fin]])))</f>
        <v/>
      </c>
      <c r="R252" s="12" t="n"/>
      <c r="S252" s="12" t="n"/>
      <c r="T252" s="13" t="n"/>
      <c r="U252" s="12" t="n">
        <v>28</v>
      </c>
      <c r="V252" s="12" t="n"/>
      <c r="W25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52" s="14">
        <f>SI([@SBAN]="";"";BUSCARV([@SBAN];Cronograma_Maestro!$A:$M;6;FALSO))</f>
        <v/>
      </c>
    </row>
    <row r="253">
      <c r="A253" s="11" t="inlineStr">
        <is>
          <t>2103</t>
        </is>
      </c>
      <c r="B253" s="12">
        <f>SI([@SBAN]="";"";BUSCARV([@SBAN];Cronograma_Maestro!$A:$M;2;FALSO))</f>
        <v/>
      </c>
      <c r="C253" s="12">
        <f>SI([@SBAN]="";"";BUSCARV([@SBAN];Cronograma_Maestro!$A:$M;3;FALSO))</f>
        <v/>
      </c>
      <c r="D253" s="12">
        <f>SI([@SBAN]="";"";BUSCARV([@SBAN];Cronograma_Maestro!$A:$M;4;FALSO))</f>
        <v/>
      </c>
      <c r="E253" s="12">
        <f>SI([@SBAN]="";"";BUSCARV([@SBAN];Cronograma_Maestro!$A:$M;5;FALSO))</f>
        <v/>
      </c>
      <c r="F253" s="12" t="inlineStr">
        <is>
          <t>Holmes Arley Astudillo Fajardo</t>
        </is>
      </c>
      <c r="G253" s="12" t="inlineStr">
        <is>
          <t>PMU COLSOF</t>
        </is>
      </c>
      <c r="H253" s="13" t="n">
        <v>46290</v>
      </c>
      <c r="I253" s="13" t="n">
        <v>46290</v>
      </c>
      <c r="J253" s="13" t="n"/>
      <c r="K253" s="13" t="n"/>
      <c r="L253" s="12" t="inlineStr">
        <is>
          <t>Programada</t>
        </is>
      </c>
      <c r="M253" s="13" t="n"/>
      <c r="N253" s="14">
        <f>SI(O([@[Fecha_Programada_Inicio]]="";[@[Fecha_Inicio_Real]]="");"";SI([@[Fecha_Inicio_Real]]&lt;=[@[Fecha_Programada_Inicio]];"SÍ";"NO"))</f>
        <v/>
      </c>
      <c r="O253" s="14">
        <f>SI(O([@[Fecha_Programada_Fin]]="";[@[Fecha_Cierre_Operativo]]="");"";SI([@[Fecha_Cierre_Operativo]]&lt;=SI([@[Fecha_Nueva_Programada]]&lt;&gt;"";[@[Fecha_Nueva_Programada]];[@[Fecha_Programada_Fin]]);"SÍ";"NO"))</f>
        <v/>
      </c>
      <c r="P253" s="14">
        <f>SI(O([@[Cumpli_Ingreso]]="";[@[Cumpli_Salida]]="");"";SI(Y([@[Cumpli_Ingreso]]="SÍ";[@[Cumpli_Salida]]="SÍ");"SÍ";"NO"))</f>
        <v/>
      </c>
      <c r="Q253" s="15">
        <f>SI(O([@[Fecha_Programada_Fin]]="";[@[Fecha_Cierre_Operativo]]="");"";MAX(0;ENTERO([@[Fecha_Cierre_Operativo]])-ENTERO(SI([@[Fecha_Nueva_Programada]]&lt;&gt;"";[@[Fecha_Nueva_Programada]];[@[Fecha_Programada_Fin]])))</f>
        <v/>
      </c>
      <c r="R253" s="12" t="n"/>
      <c r="S253" s="12" t="n"/>
      <c r="T253" s="13" t="n"/>
      <c r="U253" s="12" t="n">
        <v>14</v>
      </c>
      <c r="V253" s="12" t="n"/>
      <c r="W25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53" s="14">
        <f>SI([@SBAN]="";"";BUSCARV([@SBAN];Cronograma_Maestro!$A:$M;6;FALSO))</f>
        <v/>
      </c>
    </row>
    <row r="254">
      <c r="A254" s="11" t="inlineStr">
        <is>
          <t>2104</t>
        </is>
      </c>
      <c r="B254" s="12">
        <f>SI([@SBAN]="";"";BUSCARV([@SBAN];Cronograma_Maestro!$A:$M;2;FALSO))</f>
        <v/>
      </c>
      <c r="C254" s="12">
        <f>SI([@SBAN]="";"";BUSCARV([@SBAN];Cronograma_Maestro!$A:$M;3;FALSO))</f>
        <v/>
      </c>
      <c r="D254" s="12">
        <f>SI([@SBAN]="";"";BUSCARV([@SBAN];Cronograma_Maestro!$A:$M;4;FALSO))</f>
        <v/>
      </c>
      <c r="E254" s="12">
        <f>SI([@SBAN]="";"";BUSCARV([@SBAN];Cronograma_Maestro!$A:$M;5;FALSO))</f>
        <v/>
      </c>
      <c r="F254" s="12" t="inlineStr">
        <is>
          <t>Holmes Arley Astudillo Fajardo</t>
        </is>
      </c>
      <c r="G254" s="12" t="inlineStr">
        <is>
          <t>PMU COLSOF</t>
        </is>
      </c>
      <c r="H254" s="13" t="n">
        <v>46304</v>
      </c>
      <c r="I254" s="13" t="n">
        <v>46304</v>
      </c>
      <c r="J254" s="13" t="n"/>
      <c r="K254" s="13" t="n"/>
      <c r="L254" s="12" t="inlineStr">
        <is>
          <t>Programada</t>
        </is>
      </c>
      <c r="M254" s="13" t="n"/>
      <c r="N254" s="14">
        <f>SI(O([@[Fecha_Programada_Inicio]]="";[@[Fecha_Inicio_Real]]="");"";SI([@[Fecha_Inicio_Real]]&lt;=[@[Fecha_Programada_Inicio]];"SÍ";"NO"))</f>
        <v/>
      </c>
      <c r="O254" s="14">
        <f>SI(O([@[Fecha_Programada_Fin]]="";[@[Fecha_Cierre_Operativo]]="");"";SI([@[Fecha_Cierre_Operativo]]&lt;=SI([@[Fecha_Nueva_Programada]]&lt;&gt;"";[@[Fecha_Nueva_Programada]];[@[Fecha_Programada_Fin]]);"SÍ";"NO"))</f>
        <v/>
      </c>
      <c r="P254" s="14">
        <f>SI(O([@[Cumpli_Ingreso]]="";[@[Cumpli_Salida]]="");"";SI(Y([@[Cumpli_Ingreso]]="SÍ";[@[Cumpli_Salida]]="SÍ");"SÍ";"NO"))</f>
        <v/>
      </c>
      <c r="Q254" s="15">
        <f>SI(O([@[Fecha_Programada_Fin]]="";[@[Fecha_Cierre_Operativo]]="");"";MAX(0;ENTERO([@[Fecha_Cierre_Operativo]])-ENTERO(SI([@[Fecha_Nueva_Programada]]&lt;&gt;"";[@[Fecha_Nueva_Programada]];[@[Fecha_Programada_Fin]])))</f>
        <v/>
      </c>
      <c r="R254" s="12" t="n"/>
      <c r="S254" s="12" t="n"/>
      <c r="T254" s="13" t="n"/>
      <c r="U254" s="12" t="n">
        <v>23</v>
      </c>
      <c r="V254" s="12" t="n"/>
      <c r="W25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54" s="14">
        <f>SI([@SBAN]="";"";BUSCARV([@SBAN];Cronograma_Maestro!$A:$M;6;FALSO))</f>
        <v/>
      </c>
    </row>
    <row r="255">
      <c r="A255" s="11" t="inlineStr">
        <is>
          <t>2105</t>
        </is>
      </c>
      <c r="B255" s="12">
        <f>SI([@SBAN]="";"";BUSCARV([@SBAN];Cronograma_Maestro!$A:$M;2;FALSO))</f>
        <v/>
      </c>
      <c r="C255" s="12">
        <f>SI([@SBAN]="";"";BUSCARV([@SBAN];Cronograma_Maestro!$A:$M;3;FALSO))</f>
        <v/>
      </c>
      <c r="D255" s="12">
        <f>SI([@SBAN]="";"";BUSCARV([@SBAN];Cronograma_Maestro!$A:$M;4;FALSO))</f>
        <v/>
      </c>
      <c r="E255" s="12">
        <f>SI([@SBAN]="";"";BUSCARV([@SBAN];Cronograma_Maestro!$A:$M;5;FALSO))</f>
        <v/>
      </c>
      <c r="F255" s="12" t="inlineStr">
        <is>
          <t>Holmes Arley Astudillo Fajardo</t>
        </is>
      </c>
      <c r="G255" s="12" t="inlineStr">
        <is>
          <t>PMU COLSOF</t>
        </is>
      </c>
      <c r="H255" s="13" t="n">
        <v>46310</v>
      </c>
      <c r="I255" s="13" t="n">
        <v>46310</v>
      </c>
      <c r="J255" s="13" t="n"/>
      <c r="K255" s="13" t="n"/>
      <c r="L255" s="12" t="inlineStr">
        <is>
          <t>Programada</t>
        </is>
      </c>
      <c r="M255" s="13" t="n"/>
      <c r="N255" s="14">
        <f>SI(O([@[Fecha_Programada_Inicio]]="";[@[Fecha_Inicio_Real]]="");"";SI([@[Fecha_Inicio_Real]]&lt;=[@[Fecha_Programada_Inicio]];"SÍ";"NO"))</f>
        <v/>
      </c>
      <c r="O255" s="14">
        <f>SI(O([@[Fecha_Programada_Fin]]="";[@[Fecha_Cierre_Operativo]]="");"";SI([@[Fecha_Cierre_Operativo]]&lt;=SI([@[Fecha_Nueva_Programada]]&lt;&gt;"";[@[Fecha_Nueva_Programada]];[@[Fecha_Programada_Fin]]);"SÍ";"NO"))</f>
        <v/>
      </c>
      <c r="P255" s="14">
        <f>SI(O([@[Cumpli_Ingreso]]="";[@[Cumpli_Salida]]="");"";SI(Y([@[Cumpli_Ingreso]]="SÍ";[@[Cumpli_Salida]]="SÍ");"SÍ";"NO"))</f>
        <v/>
      </c>
      <c r="Q255" s="15">
        <f>SI(O([@[Fecha_Programada_Fin]]="";[@[Fecha_Cierre_Operativo]]="");"";MAX(0;ENTERO([@[Fecha_Cierre_Operativo]])-ENTERO(SI([@[Fecha_Nueva_Programada]]&lt;&gt;"";[@[Fecha_Nueva_Programada]];[@[Fecha_Programada_Fin]])))</f>
        <v/>
      </c>
      <c r="R255" s="12" t="n"/>
      <c r="S255" s="12" t="n"/>
      <c r="T255" s="13" t="n"/>
      <c r="U255" s="12" t="n">
        <v>17</v>
      </c>
      <c r="V255" s="12" t="n"/>
      <c r="W25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55" s="14">
        <f>SI([@SBAN]="";"";BUSCARV([@SBAN];Cronograma_Maestro!$A:$M;6;FALSO))</f>
        <v/>
      </c>
    </row>
    <row r="256">
      <c r="A256" s="11" t="inlineStr">
        <is>
          <t>2106</t>
        </is>
      </c>
      <c r="B256" s="12">
        <f>SI([@SBAN]="";"";BUSCARV([@SBAN];Cronograma_Maestro!$A:$M;2;FALSO))</f>
        <v/>
      </c>
      <c r="C256" s="12">
        <f>SI([@SBAN]="";"";BUSCARV([@SBAN];Cronograma_Maestro!$A:$M;3;FALSO))</f>
        <v/>
      </c>
      <c r="D256" s="12">
        <f>SI([@SBAN]="";"";BUSCARV([@SBAN];Cronograma_Maestro!$A:$M;4;FALSO))</f>
        <v/>
      </c>
      <c r="E256" s="12">
        <f>SI([@SBAN]="";"";BUSCARV([@SBAN];Cronograma_Maestro!$A:$M;5;FALSO))</f>
        <v/>
      </c>
      <c r="F256" s="12" t="inlineStr">
        <is>
          <t>Holmes Arley Astudillo Fajardo</t>
        </is>
      </c>
      <c r="G256" s="12" t="inlineStr">
        <is>
          <t>PMU COLSOF</t>
        </is>
      </c>
      <c r="H256" s="13" t="n">
        <v>46311</v>
      </c>
      <c r="I256" s="13" t="n">
        <v>46311</v>
      </c>
      <c r="J256" s="13" t="n"/>
      <c r="K256" s="13" t="n"/>
      <c r="L256" s="12" t="inlineStr">
        <is>
          <t>Programada</t>
        </is>
      </c>
      <c r="M256" s="13" t="n"/>
      <c r="N256" s="14">
        <f>SI(O([@[Fecha_Programada_Inicio]]="";[@[Fecha_Inicio_Real]]="");"";SI([@[Fecha_Inicio_Real]]&lt;=[@[Fecha_Programada_Inicio]];"SÍ";"NO"))</f>
        <v/>
      </c>
      <c r="O256" s="14">
        <f>SI(O([@[Fecha_Programada_Fin]]="";[@[Fecha_Cierre_Operativo]]="");"";SI([@[Fecha_Cierre_Operativo]]&lt;=SI([@[Fecha_Nueva_Programada]]&lt;&gt;"";[@[Fecha_Nueva_Programada]];[@[Fecha_Programada_Fin]]);"SÍ";"NO"))</f>
        <v/>
      </c>
      <c r="P256" s="14">
        <f>SI(O([@[Cumpli_Ingreso]]="";[@[Cumpli_Salida]]="");"";SI(Y([@[Cumpli_Ingreso]]="SÍ";[@[Cumpli_Salida]]="SÍ");"SÍ";"NO"))</f>
        <v/>
      </c>
      <c r="Q256" s="15">
        <f>SI(O([@[Fecha_Programada_Fin]]="";[@[Fecha_Cierre_Operativo]]="");"";MAX(0;ENTERO([@[Fecha_Cierre_Operativo]])-ENTERO(SI([@[Fecha_Nueva_Programada]]&lt;&gt;"";[@[Fecha_Nueva_Programada]];[@[Fecha_Programada_Fin]])))</f>
        <v/>
      </c>
      <c r="R256" s="12" t="n"/>
      <c r="S256" s="12" t="n"/>
      <c r="T256" s="13" t="n"/>
      <c r="U256" s="12" t="n">
        <v>21</v>
      </c>
      <c r="V256" s="12" t="n"/>
      <c r="W25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56" s="14">
        <f>SI([@SBAN]="";"";BUSCARV([@SBAN];Cronograma_Maestro!$A:$M;6;FALSO))</f>
        <v/>
      </c>
    </row>
    <row r="257">
      <c r="A257" s="11" t="inlineStr">
        <is>
          <t>2107</t>
        </is>
      </c>
      <c r="B257" s="12">
        <f>SI([@SBAN]="";"";BUSCARV([@SBAN];Cronograma_Maestro!$A:$M;2;FALSO))</f>
        <v/>
      </c>
      <c r="C257" s="12">
        <f>SI([@SBAN]="";"";BUSCARV([@SBAN];Cronograma_Maestro!$A:$M;3;FALSO))</f>
        <v/>
      </c>
      <c r="D257" s="12">
        <f>SI([@SBAN]="";"";BUSCARV([@SBAN];Cronograma_Maestro!$A:$M;4;FALSO))</f>
        <v/>
      </c>
      <c r="E257" s="12">
        <f>SI([@SBAN]="";"";BUSCARV([@SBAN];Cronograma_Maestro!$A:$M;5;FALSO))</f>
        <v/>
      </c>
      <c r="F257" s="12" t="inlineStr">
        <is>
          <t>Holmes Arley Astudillo Fajardo</t>
        </is>
      </c>
      <c r="G257" s="12" t="inlineStr">
        <is>
          <t>PMU COLSOF</t>
        </is>
      </c>
      <c r="H257" s="13" t="n">
        <v>46296</v>
      </c>
      <c r="I257" s="13" t="n">
        <v>46296</v>
      </c>
      <c r="J257" s="13" t="n"/>
      <c r="K257" s="13" t="n"/>
      <c r="L257" s="12" t="inlineStr">
        <is>
          <t>Programada</t>
        </is>
      </c>
      <c r="M257" s="13" t="n"/>
      <c r="N257" s="14">
        <f>SI(O([@[Fecha_Programada_Inicio]]="";[@[Fecha_Inicio_Real]]="");"";SI([@[Fecha_Inicio_Real]]&lt;=[@[Fecha_Programada_Inicio]];"SÍ";"NO"))</f>
        <v/>
      </c>
      <c r="O257" s="14">
        <f>SI(O([@[Fecha_Programada_Fin]]="";[@[Fecha_Cierre_Operativo]]="");"";SI([@[Fecha_Cierre_Operativo]]&lt;=SI([@[Fecha_Nueva_Programada]]&lt;&gt;"";[@[Fecha_Nueva_Programada]];[@[Fecha_Programada_Fin]]);"SÍ";"NO"))</f>
        <v/>
      </c>
      <c r="P257" s="14">
        <f>SI(O([@[Cumpli_Ingreso]]="";[@[Cumpli_Salida]]="");"";SI(Y([@[Cumpli_Ingreso]]="SÍ";[@[Cumpli_Salida]]="SÍ");"SÍ";"NO"))</f>
        <v/>
      </c>
      <c r="Q257" s="15">
        <f>SI(O([@[Fecha_Programada_Fin]]="";[@[Fecha_Cierre_Operativo]]="");"";MAX(0;ENTERO([@[Fecha_Cierre_Operativo]])-ENTERO(SI([@[Fecha_Nueva_Programada]]&lt;&gt;"";[@[Fecha_Nueva_Programada]];[@[Fecha_Programada_Fin]])))</f>
        <v/>
      </c>
      <c r="R257" s="12" t="n"/>
      <c r="S257" s="12" t="n"/>
      <c r="T257" s="13" t="n"/>
      <c r="U257" s="12" t="n">
        <v>12</v>
      </c>
      <c r="V257" s="12" t="n"/>
      <c r="W25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57" s="14">
        <f>SI([@SBAN]="";"";BUSCARV([@SBAN];Cronograma_Maestro!$A:$M;6;FALSO))</f>
        <v/>
      </c>
    </row>
    <row r="258">
      <c r="A258" s="11" t="inlineStr">
        <is>
          <t>2108</t>
        </is>
      </c>
      <c r="B258" s="12">
        <f>SI([@SBAN]="";"";BUSCARV([@SBAN];Cronograma_Maestro!$A:$M;2;FALSO))</f>
        <v/>
      </c>
      <c r="C258" s="12">
        <f>SI([@SBAN]="";"";BUSCARV([@SBAN];Cronograma_Maestro!$A:$M;3;FALSO))</f>
        <v/>
      </c>
      <c r="D258" s="12">
        <f>SI([@SBAN]="";"";BUSCARV([@SBAN];Cronograma_Maestro!$A:$M;4;FALSO))</f>
        <v/>
      </c>
      <c r="E258" s="12">
        <f>SI([@SBAN]="";"";BUSCARV([@SBAN];Cronograma_Maestro!$A:$M;5;FALSO))</f>
        <v/>
      </c>
      <c r="F258" s="12" t="inlineStr">
        <is>
          <t>Holmes Arley Astudillo Fajardo</t>
        </is>
      </c>
      <c r="G258" s="12" t="inlineStr">
        <is>
          <t>PMU COLSOF</t>
        </is>
      </c>
      <c r="H258" s="13" t="n">
        <v>46301</v>
      </c>
      <c r="I258" s="13" t="n">
        <v>46301</v>
      </c>
      <c r="J258" s="13" t="n"/>
      <c r="K258" s="13" t="n"/>
      <c r="L258" s="12" t="inlineStr">
        <is>
          <t>Programada</t>
        </is>
      </c>
      <c r="M258" s="13" t="n"/>
      <c r="N258" s="14">
        <f>SI(O([@[Fecha_Programada_Inicio]]="";[@[Fecha_Inicio_Real]]="");"";SI([@[Fecha_Inicio_Real]]&lt;=[@[Fecha_Programada_Inicio]];"SÍ";"NO"))</f>
        <v/>
      </c>
      <c r="O258" s="14">
        <f>SI(O([@[Fecha_Programada_Fin]]="";[@[Fecha_Cierre_Operativo]]="");"";SI([@[Fecha_Cierre_Operativo]]&lt;=SI([@[Fecha_Nueva_Programada]]&lt;&gt;"";[@[Fecha_Nueva_Programada]];[@[Fecha_Programada_Fin]]);"SÍ";"NO"))</f>
        <v/>
      </c>
      <c r="P258" s="14">
        <f>SI(O([@[Cumpli_Ingreso]]="";[@[Cumpli_Salida]]="");"";SI(Y([@[Cumpli_Ingreso]]="SÍ";[@[Cumpli_Salida]]="SÍ");"SÍ";"NO"))</f>
        <v/>
      </c>
      <c r="Q258" s="15">
        <f>SI(O([@[Fecha_Programada_Fin]]="";[@[Fecha_Cierre_Operativo]]="");"";MAX(0;ENTERO([@[Fecha_Cierre_Operativo]])-ENTERO(SI([@[Fecha_Nueva_Programada]]&lt;&gt;"";[@[Fecha_Nueva_Programada]];[@[Fecha_Programada_Fin]])))</f>
        <v/>
      </c>
      <c r="R258" s="12" t="n"/>
      <c r="S258" s="12" t="n"/>
      <c r="T258" s="13" t="n"/>
      <c r="U258" s="12" t="n">
        <v>13</v>
      </c>
      <c r="V258" s="12" t="n"/>
      <c r="W25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58" s="14">
        <f>SI([@SBAN]="";"";BUSCARV([@SBAN];Cronograma_Maestro!$A:$M;6;FALSO))</f>
        <v/>
      </c>
    </row>
    <row r="259">
      <c r="A259" s="11" t="inlineStr">
        <is>
          <t>2109</t>
        </is>
      </c>
      <c r="B259" s="12">
        <f>SI([@SBAN]="";"";BUSCARV([@SBAN];Cronograma_Maestro!$A:$M;2;FALSO))</f>
        <v/>
      </c>
      <c r="C259" s="12">
        <f>SI([@SBAN]="";"";BUSCARV([@SBAN];Cronograma_Maestro!$A:$M;3;FALSO))</f>
        <v/>
      </c>
      <c r="D259" s="12">
        <f>SI([@SBAN]="";"";BUSCARV([@SBAN];Cronograma_Maestro!$A:$M;4;FALSO))</f>
        <v/>
      </c>
      <c r="E259" s="12">
        <f>SI([@SBAN]="";"";BUSCARV([@SBAN];Cronograma_Maestro!$A:$M;5;FALSO))</f>
        <v/>
      </c>
      <c r="F259" s="12" t="inlineStr">
        <is>
          <t>Holmes Arley Astudillo Fajardo</t>
        </is>
      </c>
      <c r="G259" s="12" t="inlineStr">
        <is>
          <t>PMU COLSOF</t>
        </is>
      </c>
      <c r="H259" s="13" t="n">
        <v>46301</v>
      </c>
      <c r="I259" s="13" t="n">
        <v>46301</v>
      </c>
      <c r="J259" s="13" t="n"/>
      <c r="K259" s="13" t="n"/>
      <c r="L259" s="12" t="inlineStr">
        <is>
          <t>Programada</t>
        </is>
      </c>
      <c r="M259" s="13" t="n"/>
      <c r="N259" s="14">
        <f>SI(O([@[Fecha_Programada_Inicio]]="";[@[Fecha_Inicio_Real]]="");"";SI([@[Fecha_Inicio_Real]]&lt;=[@[Fecha_Programada_Inicio]];"SÍ";"NO"))</f>
        <v/>
      </c>
      <c r="O259" s="14">
        <f>SI(O([@[Fecha_Programada_Fin]]="";[@[Fecha_Cierre_Operativo]]="");"";SI([@[Fecha_Cierre_Operativo]]&lt;=SI([@[Fecha_Nueva_Programada]]&lt;&gt;"";[@[Fecha_Nueva_Programada]];[@[Fecha_Programada_Fin]]);"SÍ";"NO"))</f>
        <v/>
      </c>
      <c r="P259" s="14">
        <f>SI(O([@[Cumpli_Ingreso]]="";[@[Cumpli_Salida]]="");"";SI(Y([@[Cumpli_Ingreso]]="SÍ";[@[Cumpli_Salida]]="SÍ");"SÍ";"NO"))</f>
        <v/>
      </c>
      <c r="Q259" s="15">
        <f>SI(O([@[Fecha_Programada_Fin]]="";[@[Fecha_Cierre_Operativo]]="");"";MAX(0;ENTERO([@[Fecha_Cierre_Operativo]])-ENTERO(SI([@[Fecha_Nueva_Programada]]&lt;&gt;"";[@[Fecha_Nueva_Programada]];[@[Fecha_Programada_Fin]])))</f>
        <v/>
      </c>
      <c r="R259" s="12" t="n"/>
      <c r="S259" s="12" t="n"/>
      <c r="T259" s="13" t="n"/>
      <c r="U259" s="12" t="n">
        <v>12</v>
      </c>
      <c r="V259" s="12" t="n"/>
      <c r="W25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59" s="14">
        <f>SI([@SBAN]="";"";BUSCARV([@SBAN];Cronograma_Maestro!$A:$M;6;FALSO))</f>
        <v/>
      </c>
    </row>
    <row r="260">
      <c r="A260" s="11" t="inlineStr">
        <is>
          <t>2110</t>
        </is>
      </c>
      <c r="B260" s="12">
        <f>SI([@SBAN]="";"";BUSCARV([@SBAN];Cronograma_Maestro!$A:$M;2;FALSO))</f>
        <v/>
      </c>
      <c r="C260" s="12">
        <f>SI([@SBAN]="";"";BUSCARV([@SBAN];Cronograma_Maestro!$A:$M;3;FALSO))</f>
        <v/>
      </c>
      <c r="D260" s="12">
        <f>SI([@SBAN]="";"";BUSCARV([@SBAN];Cronograma_Maestro!$A:$M;4;FALSO))</f>
        <v/>
      </c>
      <c r="E260" s="12">
        <f>SI([@SBAN]="";"";BUSCARV([@SBAN];Cronograma_Maestro!$A:$M;5;FALSO))</f>
        <v/>
      </c>
      <c r="F260" s="12" t="inlineStr">
        <is>
          <t>Holmes Arley Astudillo Fajardo</t>
        </is>
      </c>
      <c r="G260" s="12" t="inlineStr">
        <is>
          <t>PMU COLSOF</t>
        </is>
      </c>
      <c r="H260" s="13" t="n">
        <v>46309</v>
      </c>
      <c r="I260" s="13" t="n">
        <v>46309</v>
      </c>
      <c r="J260" s="13" t="n"/>
      <c r="K260" s="13" t="n"/>
      <c r="L260" s="12" t="inlineStr">
        <is>
          <t>Programada</t>
        </is>
      </c>
      <c r="M260" s="13" t="n"/>
      <c r="N260" s="14">
        <f>SI(O([@[Fecha_Programada_Inicio]]="";[@[Fecha_Inicio_Real]]="");"";SI([@[Fecha_Inicio_Real]]&lt;=[@[Fecha_Programada_Inicio]];"SÍ";"NO"))</f>
        <v/>
      </c>
      <c r="O260" s="14">
        <f>SI(O([@[Fecha_Programada_Fin]]="";[@[Fecha_Cierre_Operativo]]="");"";SI([@[Fecha_Cierre_Operativo]]&lt;=SI([@[Fecha_Nueva_Programada]]&lt;&gt;"";[@[Fecha_Nueva_Programada]];[@[Fecha_Programada_Fin]]);"SÍ";"NO"))</f>
        <v/>
      </c>
      <c r="P260" s="14">
        <f>SI(O([@[Cumpli_Ingreso]]="";[@[Cumpli_Salida]]="");"";SI(Y([@[Cumpli_Ingreso]]="SÍ";[@[Cumpli_Salida]]="SÍ");"SÍ";"NO"))</f>
        <v/>
      </c>
      <c r="Q260" s="15">
        <f>SI(O([@[Fecha_Programada_Fin]]="";[@[Fecha_Cierre_Operativo]]="");"";MAX(0;ENTERO([@[Fecha_Cierre_Operativo]])-ENTERO(SI([@[Fecha_Nueva_Programada]]&lt;&gt;"";[@[Fecha_Nueva_Programada]];[@[Fecha_Programada_Fin]])))</f>
        <v/>
      </c>
      <c r="R260" s="12" t="n"/>
      <c r="S260" s="12" t="n"/>
      <c r="T260" s="13" t="n"/>
      <c r="U260" s="12" t="n">
        <v>16</v>
      </c>
      <c r="V260" s="12" t="n"/>
      <c r="W26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60" s="14">
        <f>SI([@SBAN]="";"";BUSCARV([@SBAN];Cronograma_Maestro!$A:$M;6;FALSO))</f>
        <v/>
      </c>
    </row>
    <row r="261">
      <c r="A261" s="11" t="inlineStr">
        <is>
          <t>2111</t>
        </is>
      </c>
      <c r="B261" s="12">
        <f>SI([@SBAN]="";"";BUSCARV([@SBAN];Cronograma_Maestro!$A:$M;2;FALSO))</f>
        <v/>
      </c>
      <c r="C261" s="12">
        <f>SI([@SBAN]="";"";BUSCARV([@SBAN];Cronograma_Maestro!$A:$M;3;FALSO))</f>
        <v/>
      </c>
      <c r="D261" s="12">
        <f>SI([@SBAN]="";"";BUSCARV([@SBAN];Cronograma_Maestro!$A:$M;4;FALSO))</f>
        <v/>
      </c>
      <c r="E261" s="12">
        <f>SI([@SBAN]="";"";BUSCARV([@SBAN];Cronograma_Maestro!$A:$M;5;FALSO))</f>
        <v/>
      </c>
      <c r="F261" s="12" t="inlineStr">
        <is>
          <t>Holmes Arley Astudillo Fajardo</t>
        </is>
      </c>
      <c r="G261" s="12" t="inlineStr">
        <is>
          <t>PMU COLSOF</t>
        </is>
      </c>
      <c r="H261" s="13" t="n">
        <v>46282</v>
      </c>
      <c r="I261" s="13" t="n">
        <v>46282</v>
      </c>
      <c r="J261" s="13" t="n"/>
      <c r="K261" s="13" t="n"/>
      <c r="L261" s="12" t="inlineStr">
        <is>
          <t>Programada</t>
        </is>
      </c>
      <c r="M261" s="13" t="n"/>
      <c r="N261" s="14">
        <f>SI(O([@[Fecha_Programada_Inicio]]="";[@[Fecha_Inicio_Real]]="");"";SI([@[Fecha_Inicio_Real]]&lt;=[@[Fecha_Programada_Inicio]];"SÍ";"NO"))</f>
        <v/>
      </c>
      <c r="O261" s="14">
        <f>SI(O([@[Fecha_Programada_Fin]]="";[@[Fecha_Cierre_Operativo]]="");"";SI([@[Fecha_Cierre_Operativo]]&lt;=SI([@[Fecha_Nueva_Programada]]&lt;&gt;"";[@[Fecha_Nueva_Programada]];[@[Fecha_Programada_Fin]]);"SÍ";"NO"))</f>
        <v/>
      </c>
      <c r="P261" s="14">
        <f>SI(O([@[Cumpli_Ingreso]]="";[@[Cumpli_Salida]]="");"";SI(Y([@[Cumpli_Ingreso]]="SÍ";[@[Cumpli_Salida]]="SÍ");"SÍ";"NO"))</f>
        <v/>
      </c>
      <c r="Q261" s="15">
        <f>SI(O([@[Fecha_Programada_Fin]]="";[@[Fecha_Cierre_Operativo]]="");"";MAX(0;ENTERO([@[Fecha_Cierre_Operativo]])-ENTERO(SI([@[Fecha_Nueva_Programada]]&lt;&gt;"";[@[Fecha_Nueva_Programada]];[@[Fecha_Programada_Fin]])))</f>
        <v/>
      </c>
      <c r="R261" s="12" t="n"/>
      <c r="S261" s="12" t="n"/>
      <c r="T261" s="13" t="n"/>
      <c r="U261" s="12" t="n">
        <v>12</v>
      </c>
      <c r="V261" s="12" t="n"/>
      <c r="W26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61" s="14">
        <f>SI([@SBAN]="";"";BUSCARV([@SBAN];Cronograma_Maestro!$A:$M;6;FALSO))</f>
        <v/>
      </c>
    </row>
    <row r="262">
      <c r="A262" s="11" t="inlineStr">
        <is>
          <t>2112</t>
        </is>
      </c>
      <c r="B262" s="12">
        <f>SI([@SBAN]="";"";BUSCARV([@SBAN];Cronograma_Maestro!$A:$M;2;FALSO))</f>
        <v/>
      </c>
      <c r="C262" s="12">
        <f>SI([@SBAN]="";"";BUSCARV([@SBAN];Cronograma_Maestro!$A:$M;3;FALSO))</f>
        <v/>
      </c>
      <c r="D262" s="12">
        <f>SI([@SBAN]="";"";BUSCARV([@SBAN];Cronograma_Maestro!$A:$M;4;FALSO))</f>
        <v/>
      </c>
      <c r="E262" s="12">
        <f>SI([@SBAN]="";"";BUSCARV([@SBAN];Cronograma_Maestro!$A:$M;5;FALSO))</f>
        <v/>
      </c>
      <c r="F262" s="12" t="inlineStr">
        <is>
          <t>Holmes Arley Astudillo Fajardo</t>
        </is>
      </c>
      <c r="G262" s="12" t="inlineStr">
        <is>
          <t>PMU COLSOF</t>
        </is>
      </c>
      <c r="H262" s="13" t="n">
        <v>46279</v>
      </c>
      <c r="I262" s="13" t="n">
        <v>46279</v>
      </c>
      <c r="J262" s="13" t="n"/>
      <c r="K262" s="13" t="n"/>
      <c r="L262" s="12" t="inlineStr">
        <is>
          <t>Programada</t>
        </is>
      </c>
      <c r="M262" s="13" t="n"/>
      <c r="N262" s="14">
        <f>SI(O([@[Fecha_Programada_Inicio]]="";[@[Fecha_Inicio_Real]]="");"";SI([@[Fecha_Inicio_Real]]&lt;=[@[Fecha_Programada_Inicio]];"SÍ";"NO"))</f>
        <v/>
      </c>
      <c r="O262" s="14">
        <f>SI(O([@[Fecha_Programada_Fin]]="";[@[Fecha_Cierre_Operativo]]="");"";SI([@[Fecha_Cierre_Operativo]]&lt;=SI([@[Fecha_Nueva_Programada]]&lt;&gt;"";[@[Fecha_Nueva_Programada]];[@[Fecha_Programada_Fin]]);"SÍ";"NO"))</f>
        <v/>
      </c>
      <c r="P262" s="14">
        <f>SI(O([@[Cumpli_Ingreso]]="";[@[Cumpli_Salida]]="");"";SI(Y([@[Cumpli_Ingreso]]="SÍ";[@[Cumpli_Salida]]="SÍ");"SÍ";"NO"))</f>
        <v/>
      </c>
      <c r="Q262" s="15">
        <f>SI(O([@[Fecha_Programada_Fin]]="";[@[Fecha_Cierre_Operativo]]="");"";MAX(0;ENTERO([@[Fecha_Cierre_Operativo]])-ENTERO(SI([@[Fecha_Nueva_Programada]]&lt;&gt;"";[@[Fecha_Nueva_Programada]];[@[Fecha_Programada_Fin]])))</f>
        <v/>
      </c>
      <c r="R262" s="12" t="n"/>
      <c r="S262" s="12" t="n"/>
      <c r="T262" s="13" t="n"/>
      <c r="U262" s="12" t="n">
        <v>16</v>
      </c>
      <c r="V262" s="12" t="n"/>
      <c r="W26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62" s="14">
        <f>SI([@SBAN]="";"";BUSCARV([@SBAN];Cronograma_Maestro!$A:$M;6;FALSO))</f>
        <v/>
      </c>
    </row>
    <row r="263">
      <c r="A263" s="11" t="inlineStr">
        <is>
          <t>2114</t>
        </is>
      </c>
      <c r="B263" s="12">
        <f>SI([@SBAN]="";"";BUSCARV([@SBAN];Cronograma_Maestro!$A:$M;2;FALSO))</f>
        <v/>
      </c>
      <c r="C263" s="12">
        <f>SI([@SBAN]="";"";BUSCARV([@SBAN];Cronograma_Maestro!$A:$M;3;FALSO))</f>
        <v/>
      </c>
      <c r="D263" s="12">
        <f>SI([@SBAN]="";"";BUSCARV([@SBAN];Cronograma_Maestro!$A:$M;4;FALSO))</f>
        <v/>
      </c>
      <c r="E263" s="12">
        <f>SI([@SBAN]="";"";BUSCARV([@SBAN];Cronograma_Maestro!$A:$M;5;FALSO))</f>
        <v/>
      </c>
      <c r="F263" s="12" t="inlineStr">
        <is>
          <t>Holmes Arley Astudillo Fajardo</t>
        </is>
      </c>
      <c r="G263" s="12" t="inlineStr">
        <is>
          <t>PMU COLSOF</t>
        </is>
      </c>
      <c r="H263" s="13" t="n">
        <v>46308</v>
      </c>
      <c r="I263" s="13" t="n">
        <v>46308</v>
      </c>
      <c r="J263" s="13" t="n"/>
      <c r="K263" s="13" t="n"/>
      <c r="L263" s="12" t="inlineStr">
        <is>
          <t>Programada</t>
        </is>
      </c>
      <c r="M263" s="13" t="n"/>
      <c r="N263" s="14">
        <f>SI(O([@[Fecha_Programada_Inicio]]="";[@[Fecha_Inicio_Real]]="");"";SI([@[Fecha_Inicio_Real]]&lt;=[@[Fecha_Programada_Inicio]];"SÍ";"NO"))</f>
        <v/>
      </c>
      <c r="O263" s="14">
        <f>SI(O([@[Fecha_Programada_Fin]]="";[@[Fecha_Cierre_Operativo]]="");"";SI([@[Fecha_Cierre_Operativo]]&lt;=SI([@[Fecha_Nueva_Programada]]&lt;&gt;"";[@[Fecha_Nueva_Programada]];[@[Fecha_Programada_Fin]]);"SÍ";"NO"))</f>
        <v/>
      </c>
      <c r="P263" s="14">
        <f>SI(O([@[Cumpli_Ingreso]]="";[@[Cumpli_Salida]]="");"";SI(Y([@[Cumpli_Ingreso]]="SÍ";[@[Cumpli_Salida]]="SÍ");"SÍ";"NO"))</f>
        <v/>
      </c>
      <c r="Q263" s="15">
        <f>SI(O([@[Fecha_Programada_Fin]]="";[@[Fecha_Cierre_Operativo]]="");"";MAX(0;ENTERO([@[Fecha_Cierre_Operativo]])-ENTERO(SI([@[Fecha_Nueva_Programada]]&lt;&gt;"";[@[Fecha_Nueva_Programada]];[@[Fecha_Programada_Fin]])))</f>
        <v/>
      </c>
      <c r="R263" s="12" t="n"/>
      <c r="S263" s="12" t="n"/>
      <c r="T263" s="13" t="n"/>
      <c r="U263" s="12" t="n">
        <v>21</v>
      </c>
      <c r="V263" s="12" t="n"/>
      <c r="W26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63" s="14">
        <f>SI([@SBAN]="";"";BUSCARV([@SBAN];Cronograma_Maestro!$A:$M;6;FALSO))</f>
        <v/>
      </c>
    </row>
    <row r="264">
      <c r="A264" s="11" t="inlineStr">
        <is>
          <t>2115</t>
        </is>
      </c>
      <c r="B264" s="12">
        <f>SI([@SBAN]="";"";BUSCARV([@SBAN];Cronograma_Maestro!$A:$M;2;FALSO))</f>
        <v/>
      </c>
      <c r="C264" s="12">
        <f>SI([@SBAN]="";"";BUSCARV([@SBAN];Cronograma_Maestro!$A:$M;3;FALSO))</f>
        <v/>
      </c>
      <c r="D264" s="12">
        <f>SI([@SBAN]="";"";BUSCARV([@SBAN];Cronograma_Maestro!$A:$M;4;FALSO))</f>
        <v/>
      </c>
      <c r="E264" s="12">
        <f>SI([@SBAN]="";"";BUSCARV([@SBAN];Cronograma_Maestro!$A:$M;5;FALSO))</f>
        <v/>
      </c>
      <c r="F264" s="12" t="inlineStr">
        <is>
          <t>Holmes Arley Astudillo Fajardo</t>
        </is>
      </c>
      <c r="G264" s="12" t="inlineStr">
        <is>
          <t>PMU COLSOF</t>
        </is>
      </c>
      <c r="H264" s="13" t="n">
        <v>46290</v>
      </c>
      <c r="I264" s="13" t="n">
        <v>46290</v>
      </c>
      <c r="J264" s="13" t="n"/>
      <c r="K264" s="13" t="n"/>
      <c r="L264" s="12" t="inlineStr">
        <is>
          <t>Programada</t>
        </is>
      </c>
      <c r="M264" s="13" t="n"/>
      <c r="N264" s="14">
        <f>SI(O([@[Fecha_Programada_Inicio]]="";[@[Fecha_Inicio_Real]]="");"";SI([@[Fecha_Inicio_Real]]&lt;=[@[Fecha_Programada_Inicio]];"SÍ";"NO"))</f>
        <v/>
      </c>
      <c r="O264" s="14">
        <f>SI(O([@[Fecha_Programada_Fin]]="";[@[Fecha_Cierre_Operativo]]="");"";SI([@[Fecha_Cierre_Operativo]]&lt;=SI([@[Fecha_Nueva_Programada]]&lt;&gt;"";[@[Fecha_Nueva_Programada]];[@[Fecha_Programada_Fin]]);"SÍ";"NO"))</f>
        <v/>
      </c>
      <c r="P264" s="14">
        <f>SI(O([@[Cumpli_Ingreso]]="";[@[Cumpli_Salida]]="");"";SI(Y([@[Cumpli_Ingreso]]="SÍ";[@[Cumpli_Salida]]="SÍ");"SÍ";"NO"))</f>
        <v/>
      </c>
      <c r="Q264" s="15">
        <f>SI(O([@[Fecha_Programada_Fin]]="";[@[Fecha_Cierre_Operativo]]="");"";MAX(0;ENTERO([@[Fecha_Cierre_Operativo]])-ENTERO(SI([@[Fecha_Nueva_Programada]]&lt;&gt;"";[@[Fecha_Nueva_Programada]];[@[Fecha_Programada_Fin]])))</f>
        <v/>
      </c>
      <c r="R264" s="12" t="n"/>
      <c r="S264" s="12" t="n"/>
      <c r="T264" s="13" t="n"/>
      <c r="U264" s="12" t="n">
        <v>14</v>
      </c>
      <c r="V264" s="12" t="n"/>
      <c r="W26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64" s="14">
        <f>SI([@SBAN]="";"";BUSCARV([@SBAN];Cronograma_Maestro!$A:$M;6;FALSO))</f>
        <v/>
      </c>
    </row>
    <row r="265">
      <c r="A265" s="11" t="inlineStr">
        <is>
          <t>2116</t>
        </is>
      </c>
      <c r="B265" s="12">
        <f>SI([@SBAN]="";"";BUSCARV([@SBAN];Cronograma_Maestro!$A:$M;2;FALSO))</f>
        <v/>
      </c>
      <c r="C265" s="12">
        <f>SI([@SBAN]="";"";BUSCARV([@SBAN];Cronograma_Maestro!$A:$M;3;FALSO))</f>
        <v/>
      </c>
      <c r="D265" s="12">
        <f>SI([@SBAN]="";"";BUSCARV([@SBAN];Cronograma_Maestro!$A:$M;4;FALSO))</f>
        <v/>
      </c>
      <c r="E265" s="12">
        <f>SI([@SBAN]="";"";BUSCARV([@SBAN];Cronograma_Maestro!$A:$M;5;FALSO))</f>
        <v/>
      </c>
      <c r="F265" s="12" t="inlineStr">
        <is>
          <t>Holmes Arley Astudillo Fajardo</t>
        </is>
      </c>
      <c r="G265" s="12" t="inlineStr">
        <is>
          <t>PMU COLSOF</t>
        </is>
      </c>
      <c r="H265" s="13" t="n">
        <v>46303</v>
      </c>
      <c r="I265" s="13" t="n">
        <v>46303</v>
      </c>
      <c r="J265" s="13" t="n"/>
      <c r="K265" s="13" t="n"/>
      <c r="L265" s="12" t="inlineStr">
        <is>
          <t>Programada</t>
        </is>
      </c>
      <c r="M265" s="13" t="n"/>
      <c r="N265" s="14">
        <f>SI(O([@[Fecha_Programada_Inicio]]="";[@[Fecha_Inicio_Real]]="");"";SI([@[Fecha_Inicio_Real]]&lt;=[@[Fecha_Programada_Inicio]];"SÍ";"NO"))</f>
        <v/>
      </c>
      <c r="O265" s="14">
        <f>SI(O([@[Fecha_Programada_Fin]]="";[@[Fecha_Cierre_Operativo]]="");"";SI([@[Fecha_Cierre_Operativo]]&lt;=SI([@[Fecha_Nueva_Programada]]&lt;&gt;"";[@[Fecha_Nueva_Programada]];[@[Fecha_Programada_Fin]]);"SÍ";"NO"))</f>
        <v/>
      </c>
      <c r="P265" s="14">
        <f>SI(O([@[Cumpli_Ingreso]]="";[@[Cumpli_Salida]]="");"";SI(Y([@[Cumpli_Ingreso]]="SÍ";[@[Cumpli_Salida]]="SÍ");"SÍ";"NO"))</f>
        <v/>
      </c>
      <c r="Q265" s="15">
        <f>SI(O([@[Fecha_Programada_Fin]]="";[@[Fecha_Cierre_Operativo]]="");"";MAX(0;ENTERO([@[Fecha_Cierre_Operativo]])-ENTERO(SI([@[Fecha_Nueva_Programada]]&lt;&gt;"";[@[Fecha_Nueva_Programada]];[@[Fecha_Programada_Fin]])))</f>
        <v/>
      </c>
      <c r="R265" s="12" t="n"/>
      <c r="S265" s="12" t="n"/>
      <c r="T265" s="13" t="n"/>
      <c r="U265" s="12" t="n">
        <v>15</v>
      </c>
      <c r="V265" s="12" t="n"/>
      <c r="W26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65" s="14">
        <f>SI([@SBAN]="";"";BUSCARV([@SBAN];Cronograma_Maestro!$A:$M;6;FALSO))</f>
        <v/>
      </c>
    </row>
    <row r="266">
      <c r="A266" s="11" t="inlineStr">
        <is>
          <t>2118</t>
        </is>
      </c>
      <c r="B266" s="12">
        <f>SI([@SBAN]="";"";BUSCARV([@SBAN];Cronograma_Maestro!$A:$M;2;FALSO))</f>
        <v/>
      </c>
      <c r="C266" s="12">
        <f>SI([@SBAN]="";"";BUSCARV([@SBAN];Cronograma_Maestro!$A:$M;3;FALSO))</f>
        <v/>
      </c>
      <c r="D266" s="12">
        <f>SI([@SBAN]="";"";BUSCARV([@SBAN];Cronograma_Maestro!$A:$M;4;FALSO))</f>
        <v/>
      </c>
      <c r="E266" s="12">
        <f>SI([@SBAN]="";"";BUSCARV([@SBAN];Cronograma_Maestro!$A:$M;5;FALSO))</f>
        <v/>
      </c>
      <c r="F266" s="12" t="inlineStr">
        <is>
          <t>Holmes Arley Astudillo Fajardo</t>
        </is>
      </c>
      <c r="G266" s="12" t="inlineStr">
        <is>
          <t>PMU COLSOF</t>
        </is>
      </c>
      <c r="H266" s="13" t="n">
        <v>46280</v>
      </c>
      <c r="I266" s="13" t="n">
        <v>46280</v>
      </c>
      <c r="J266" s="13" t="n"/>
      <c r="K266" s="13" t="n"/>
      <c r="L266" s="12" t="inlineStr">
        <is>
          <t>Programada</t>
        </is>
      </c>
      <c r="M266" s="13" t="n"/>
      <c r="N266" s="14">
        <f>SI(O([@[Fecha_Programada_Inicio]]="";[@[Fecha_Inicio_Real]]="");"";SI([@[Fecha_Inicio_Real]]&lt;=[@[Fecha_Programada_Inicio]];"SÍ";"NO"))</f>
        <v/>
      </c>
      <c r="O266" s="14">
        <f>SI(O([@[Fecha_Programada_Fin]]="";[@[Fecha_Cierre_Operativo]]="");"";SI([@[Fecha_Cierre_Operativo]]&lt;=SI([@[Fecha_Nueva_Programada]]&lt;&gt;"";[@[Fecha_Nueva_Programada]];[@[Fecha_Programada_Fin]]);"SÍ";"NO"))</f>
        <v/>
      </c>
      <c r="P266" s="14">
        <f>SI(O([@[Cumpli_Ingreso]]="";[@[Cumpli_Salida]]="");"";SI(Y([@[Cumpli_Ingreso]]="SÍ";[@[Cumpli_Salida]]="SÍ");"SÍ";"NO"))</f>
        <v/>
      </c>
      <c r="Q266" s="15">
        <f>SI(O([@[Fecha_Programada_Fin]]="";[@[Fecha_Cierre_Operativo]]="");"";MAX(0;ENTERO([@[Fecha_Cierre_Operativo]])-ENTERO(SI([@[Fecha_Nueva_Programada]]&lt;&gt;"";[@[Fecha_Nueva_Programada]];[@[Fecha_Programada_Fin]])))</f>
        <v/>
      </c>
      <c r="R266" s="12" t="n"/>
      <c r="S266" s="12" t="n"/>
      <c r="T266" s="13" t="n"/>
      <c r="U266" s="12" t="n">
        <v>19</v>
      </c>
      <c r="V266" s="12" t="n"/>
      <c r="W26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66" s="14">
        <f>SI([@SBAN]="";"";BUSCARV([@SBAN];Cronograma_Maestro!$A:$M;6;FALSO))</f>
        <v/>
      </c>
    </row>
    <row r="267">
      <c r="A267" s="11" t="inlineStr">
        <is>
          <t>2120</t>
        </is>
      </c>
      <c r="B267" s="12">
        <f>SI([@SBAN]="";"";BUSCARV([@SBAN];Cronograma_Maestro!$A:$M;2;FALSO))</f>
        <v/>
      </c>
      <c r="C267" s="12">
        <f>SI([@SBAN]="";"";BUSCARV([@SBAN];Cronograma_Maestro!$A:$M;3;FALSO))</f>
        <v/>
      </c>
      <c r="D267" s="12">
        <f>SI([@SBAN]="";"";BUSCARV([@SBAN];Cronograma_Maestro!$A:$M;4;FALSO))</f>
        <v/>
      </c>
      <c r="E267" s="12">
        <f>SI([@SBAN]="";"";BUSCARV([@SBAN];Cronograma_Maestro!$A:$M;5;FALSO))</f>
        <v/>
      </c>
      <c r="F267" s="12" t="inlineStr">
        <is>
          <t>Holmes Arley Astudillo Fajardo</t>
        </is>
      </c>
      <c r="G267" s="12" t="inlineStr">
        <is>
          <t>PMU COLSOF</t>
        </is>
      </c>
      <c r="H267" s="13" t="n">
        <v>46295</v>
      </c>
      <c r="I267" s="13" t="n">
        <v>46295</v>
      </c>
      <c r="J267" s="13" t="n"/>
      <c r="K267" s="13" t="n"/>
      <c r="L267" s="12" t="inlineStr">
        <is>
          <t>Programada</t>
        </is>
      </c>
      <c r="M267" s="13" t="n"/>
      <c r="N267" s="14">
        <f>SI(O([@[Fecha_Programada_Inicio]]="";[@[Fecha_Inicio_Real]]="");"";SI([@[Fecha_Inicio_Real]]&lt;=[@[Fecha_Programada_Inicio]];"SÍ";"NO"))</f>
        <v/>
      </c>
      <c r="O267" s="14">
        <f>SI(O([@[Fecha_Programada_Fin]]="";[@[Fecha_Cierre_Operativo]]="");"";SI([@[Fecha_Cierre_Operativo]]&lt;=SI([@[Fecha_Nueva_Programada]]&lt;&gt;"";[@[Fecha_Nueva_Programada]];[@[Fecha_Programada_Fin]]);"SÍ";"NO"))</f>
        <v/>
      </c>
      <c r="P267" s="14">
        <f>SI(O([@[Cumpli_Ingreso]]="";[@[Cumpli_Salida]]="");"";SI(Y([@[Cumpli_Ingreso]]="SÍ";[@[Cumpli_Salida]]="SÍ");"SÍ";"NO"))</f>
        <v/>
      </c>
      <c r="Q267" s="15">
        <f>SI(O([@[Fecha_Programada_Fin]]="";[@[Fecha_Cierre_Operativo]]="");"";MAX(0;ENTERO([@[Fecha_Cierre_Operativo]])-ENTERO(SI([@[Fecha_Nueva_Programada]]&lt;&gt;"";[@[Fecha_Nueva_Programada]];[@[Fecha_Programada_Fin]])))</f>
        <v/>
      </c>
      <c r="R267" s="12" t="n"/>
      <c r="S267" s="12" t="n"/>
      <c r="T267" s="13" t="n"/>
      <c r="U267" s="12" t="n">
        <v>12</v>
      </c>
      <c r="V267" s="12" t="n"/>
      <c r="W26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67" s="14">
        <f>SI([@SBAN]="";"";BUSCARV([@SBAN];Cronograma_Maestro!$A:$M;6;FALSO))</f>
        <v/>
      </c>
    </row>
    <row r="268">
      <c r="A268" s="11" t="inlineStr">
        <is>
          <t>2125</t>
        </is>
      </c>
      <c r="B268" s="12">
        <f>SI([@SBAN]="";"";BUSCARV([@SBAN];Cronograma_Maestro!$A:$M;2;FALSO))</f>
        <v/>
      </c>
      <c r="C268" s="12">
        <f>SI([@SBAN]="";"";BUSCARV([@SBAN];Cronograma_Maestro!$A:$M;3;FALSO))</f>
        <v/>
      </c>
      <c r="D268" s="12">
        <f>SI([@SBAN]="";"";BUSCARV([@SBAN];Cronograma_Maestro!$A:$M;4;FALSO))</f>
        <v/>
      </c>
      <c r="E268" s="12">
        <f>SI([@SBAN]="";"";BUSCARV([@SBAN];Cronograma_Maestro!$A:$M;5;FALSO))</f>
        <v/>
      </c>
      <c r="F268" s="12" t="inlineStr">
        <is>
          <t>Holmes Arley Astudillo Fajardo</t>
        </is>
      </c>
      <c r="G268" s="12" t="inlineStr">
        <is>
          <t>PMU COLSOF</t>
        </is>
      </c>
      <c r="H268" s="13" t="n">
        <v>46315</v>
      </c>
      <c r="I268" s="13" t="n">
        <v>46315</v>
      </c>
      <c r="J268" s="13" t="n"/>
      <c r="K268" s="13" t="n"/>
      <c r="L268" s="12" t="inlineStr">
        <is>
          <t>Programada</t>
        </is>
      </c>
      <c r="M268" s="13" t="n"/>
      <c r="N268" s="14">
        <f>SI(O([@[Fecha_Programada_Inicio]]="";[@[Fecha_Inicio_Real]]="");"";SI([@[Fecha_Inicio_Real]]&lt;=[@[Fecha_Programada_Inicio]];"SÍ";"NO"))</f>
        <v/>
      </c>
      <c r="O268" s="14">
        <f>SI(O([@[Fecha_Programada_Fin]]="";[@[Fecha_Cierre_Operativo]]="");"";SI([@[Fecha_Cierre_Operativo]]&lt;=SI([@[Fecha_Nueva_Programada]]&lt;&gt;"";[@[Fecha_Nueva_Programada]];[@[Fecha_Programada_Fin]]);"SÍ";"NO"))</f>
        <v/>
      </c>
      <c r="P268" s="14">
        <f>SI(O([@[Cumpli_Ingreso]]="";[@[Cumpli_Salida]]="");"";SI(Y([@[Cumpli_Ingreso]]="SÍ";[@[Cumpli_Salida]]="SÍ");"SÍ";"NO"))</f>
        <v/>
      </c>
      <c r="Q268" s="15">
        <f>SI(O([@[Fecha_Programada_Fin]]="";[@[Fecha_Cierre_Operativo]]="");"";MAX(0;ENTERO([@[Fecha_Cierre_Operativo]])-ENTERO(SI([@[Fecha_Nueva_Programada]]&lt;&gt;"";[@[Fecha_Nueva_Programada]];[@[Fecha_Programada_Fin]])))</f>
        <v/>
      </c>
      <c r="R268" s="12" t="n"/>
      <c r="S268" s="12" t="n"/>
      <c r="T268" s="13" t="n"/>
      <c r="U268" s="12" t="n">
        <v>23</v>
      </c>
      <c r="V268" s="12" t="n"/>
      <c r="W26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68" s="14">
        <f>SI([@SBAN]="";"";BUSCARV([@SBAN];Cronograma_Maestro!$A:$M;6;FALSO))</f>
        <v/>
      </c>
    </row>
    <row r="269">
      <c r="A269" s="11" t="inlineStr">
        <is>
          <t>2126</t>
        </is>
      </c>
      <c r="B269" s="12">
        <f>SI([@SBAN]="";"";BUSCARV([@SBAN];Cronograma_Maestro!$A:$M;2;FALSO))</f>
        <v/>
      </c>
      <c r="C269" s="12">
        <f>SI([@SBAN]="";"";BUSCARV([@SBAN];Cronograma_Maestro!$A:$M;3;FALSO))</f>
        <v/>
      </c>
      <c r="D269" s="12">
        <f>SI([@SBAN]="";"";BUSCARV([@SBAN];Cronograma_Maestro!$A:$M;4;FALSO))</f>
        <v/>
      </c>
      <c r="E269" s="12">
        <f>SI([@SBAN]="";"";BUSCARV([@SBAN];Cronograma_Maestro!$A:$M;5;FALSO))</f>
        <v/>
      </c>
      <c r="F269" s="12" t="inlineStr">
        <is>
          <t>Holmes Arley Astudillo Fajardo</t>
        </is>
      </c>
      <c r="G269" s="12" t="inlineStr">
        <is>
          <t>PMU COLSOF</t>
        </is>
      </c>
      <c r="H269" s="13" t="n">
        <v>46279</v>
      </c>
      <c r="I269" s="13" t="n">
        <v>46279</v>
      </c>
      <c r="J269" s="13" t="n"/>
      <c r="K269" s="13" t="n"/>
      <c r="L269" s="12" t="inlineStr">
        <is>
          <t>Programada</t>
        </is>
      </c>
      <c r="M269" s="13" t="n"/>
      <c r="N269" s="14">
        <f>SI(O([@[Fecha_Programada_Inicio]]="";[@[Fecha_Inicio_Real]]="");"";SI([@[Fecha_Inicio_Real]]&lt;=[@[Fecha_Programada_Inicio]];"SÍ";"NO"))</f>
        <v/>
      </c>
      <c r="O269" s="14">
        <f>SI(O([@[Fecha_Programada_Fin]]="";[@[Fecha_Cierre_Operativo]]="");"";SI([@[Fecha_Cierre_Operativo]]&lt;=SI([@[Fecha_Nueva_Programada]]&lt;&gt;"";[@[Fecha_Nueva_Programada]];[@[Fecha_Programada_Fin]]);"SÍ";"NO"))</f>
        <v/>
      </c>
      <c r="P269" s="14">
        <f>SI(O([@[Cumpli_Ingreso]]="";[@[Cumpli_Salida]]="");"";SI(Y([@[Cumpli_Ingreso]]="SÍ";[@[Cumpli_Salida]]="SÍ");"SÍ";"NO"))</f>
        <v/>
      </c>
      <c r="Q269" s="15">
        <f>SI(O([@[Fecha_Programada_Fin]]="";[@[Fecha_Cierre_Operativo]]="");"";MAX(0;ENTERO([@[Fecha_Cierre_Operativo]])-ENTERO(SI([@[Fecha_Nueva_Programada]]&lt;&gt;"";[@[Fecha_Nueva_Programada]];[@[Fecha_Programada_Fin]])))</f>
        <v/>
      </c>
      <c r="R269" s="12" t="n"/>
      <c r="S269" s="12" t="n"/>
      <c r="T269" s="13" t="n"/>
      <c r="U269" s="12" t="n">
        <v>12</v>
      </c>
      <c r="V269" s="12" t="n"/>
      <c r="W26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69" s="14">
        <f>SI([@SBAN]="";"";BUSCARV([@SBAN];Cronograma_Maestro!$A:$M;6;FALSO))</f>
        <v/>
      </c>
    </row>
    <row r="270">
      <c r="A270" s="11" t="inlineStr">
        <is>
          <t>2128</t>
        </is>
      </c>
      <c r="B270" s="12">
        <f>SI([@SBAN]="";"";BUSCARV([@SBAN];Cronograma_Maestro!$A:$M;2;FALSO))</f>
        <v/>
      </c>
      <c r="C270" s="12">
        <f>SI([@SBAN]="";"";BUSCARV([@SBAN];Cronograma_Maestro!$A:$M;3;FALSO))</f>
        <v/>
      </c>
      <c r="D270" s="12">
        <f>SI([@SBAN]="";"";BUSCARV([@SBAN];Cronograma_Maestro!$A:$M;4;FALSO))</f>
        <v/>
      </c>
      <c r="E270" s="12">
        <f>SI([@SBAN]="";"";BUSCARV([@SBAN];Cronograma_Maestro!$A:$M;5;FALSO))</f>
        <v/>
      </c>
      <c r="F270" s="12" t="inlineStr">
        <is>
          <t>Holmes Arley Astudillo Fajardo</t>
        </is>
      </c>
      <c r="G270" s="12" t="inlineStr">
        <is>
          <t>PMU COLSOF</t>
        </is>
      </c>
      <c r="H270" s="13" t="n">
        <v>46294</v>
      </c>
      <c r="I270" s="13" t="n">
        <v>46294</v>
      </c>
      <c r="J270" s="13" t="n"/>
      <c r="K270" s="13" t="n"/>
      <c r="L270" s="12" t="inlineStr">
        <is>
          <t>Programada</t>
        </is>
      </c>
      <c r="M270" s="13" t="n"/>
      <c r="N270" s="14">
        <f>SI(O([@[Fecha_Programada_Inicio]]="";[@[Fecha_Inicio_Real]]="");"";SI([@[Fecha_Inicio_Real]]&lt;=[@[Fecha_Programada_Inicio]];"SÍ";"NO"))</f>
        <v/>
      </c>
      <c r="O270" s="14">
        <f>SI(O([@[Fecha_Programada_Fin]]="";[@[Fecha_Cierre_Operativo]]="");"";SI([@[Fecha_Cierre_Operativo]]&lt;=SI([@[Fecha_Nueva_Programada]]&lt;&gt;"";[@[Fecha_Nueva_Programada]];[@[Fecha_Programada_Fin]]);"SÍ";"NO"))</f>
        <v/>
      </c>
      <c r="P270" s="14">
        <f>SI(O([@[Cumpli_Ingreso]]="";[@[Cumpli_Salida]]="");"";SI(Y([@[Cumpli_Ingreso]]="SÍ";[@[Cumpli_Salida]]="SÍ");"SÍ";"NO"))</f>
        <v/>
      </c>
      <c r="Q270" s="15">
        <f>SI(O([@[Fecha_Programada_Fin]]="";[@[Fecha_Cierre_Operativo]]="");"";MAX(0;ENTERO([@[Fecha_Cierre_Operativo]])-ENTERO(SI([@[Fecha_Nueva_Programada]]&lt;&gt;"";[@[Fecha_Nueva_Programada]];[@[Fecha_Programada_Fin]])))</f>
        <v/>
      </c>
      <c r="R270" s="12" t="n"/>
      <c r="S270" s="12" t="n"/>
      <c r="T270" s="13" t="n"/>
      <c r="U270" s="12" t="n">
        <v>15</v>
      </c>
      <c r="V270" s="12" t="n"/>
      <c r="W27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70" s="14">
        <f>SI([@SBAN]="";"";BUSCARV([@SBAN];Cronograma_Maestro!$A:$M;6;FALSO))</f>
        <v/>
      </c>
    </row>
    <row r="271">
      <c r="A271" s="11" t="inlineStr">
        <is>
          <t>2132</t>
        </is>
      </c>
      <c r="B271" s="12">
        <f>SI([@SBAN]="";"";BUSCARV([@SBAN];Cronograma_Maestro!$A:$M;2;FALSO))</f>
        <v/>
      </c>
      <c r="C271" s="12">
        <f>SI([@SBAN]="";"";BUSCARV([@SBAN];Cronograma_Maestro!$A:$M;3;FALSO))</f>
        <v/>
      </c>
      <c r="D271" s="12">
        <f>SI([@SBAN]="";"";BUSCARV([@SBAN];Cronograma_Maestro!$A:$M;4;FALSO))</f>
        <v/>
      </c>
      <c r="E271" s="12">
        <f>SI([@SBAN]="";"";BUSCARV([@SBAN];Cronograma_Maestro!$A:$M;5;FALSO))</f>
        <v/>
      </c>
      <c r="F271" s="12" t="inlineStr">
        <is>
          <t>Holmes Arley Astudillo Fajardo</t>
        </is>
      </c>
      <c r="G271" s="12" t="inlineStr">
        <is>
          <t>PMU COLSOF</t>
        </is>
      </c>
      <c r="H271" s="13" t="n">
        <v>46286</v>
      </c>
      <c r="I271" s="13" t="n">
        <v>46286</v>
      </c>
      <c r="J271" s="13" t="n"/>
      <c r="K271" s="13" t="n"/>
      <c r="L271" s="12" t="inlineStr">
        <is>
          <t>Programada</t>
        </is>
      </c>
      <c r="M271" s="13" t="n"/>
      <c r="N271" s="14">
        <f>SI(O([@[Fecha_Programada_Inicio]]="";[@[Fecha_Inicio_Real]]="");"";SI([@[Fecha_Inicio_Real]]&lt;=[@[Fecha_Programada_Inicio]];"SÍ";"NO"))</f>
        <v/>
      </c>
      <c r="O271" s="14">
        <f>SI(O([@[Fecha_Programada_Fin]]="";[@[Fecha_Cierre_Operativo]]="");"";SI([@[Fecha_Cierre_Operativo]]&lt;=SI([@[Fecha_Nueva_Programada]]&lt;&gt;"";[@[Fecha_Nueva_Programada]];[@[Fecha_Programada_Fin]]);"SÍ";"NO"))</f>
        <v/>
      </c>
      <c r="P271" s="14">
        <f>SI(O([@[Cumpli_Ingreso]]="";[@[Cumpli_Salida]]="");"";SI(Y([@[Cumpli_Ingreso]]="SÍ";[@[Cumpli_Salida]]="SÍ");"SÍ";"NO"))</f>
        <v/>
      </c>
      <c r="Q271" s="15">
        <f>SI(O([@[Fecha_Programada_Fin]]="";[@[Fecha_Cierre_Operativo]]="");"";MAX(0;ENTERO([@[Fecha_Cierre_Operativo]])-ENTERO(SI([@[Fecha_Nueva_Programada]]&lt;&gt;"";[@[Fecha_Nueva_Programada]];[@[Fecha_Programada_Fin]])))</f>
        <v/>
      </c>
      <c r="R271" s="12" t="n"/>
      <c r="S271" s="12" t="n"/>
      <c r="T271" s="13" t="n"/>
      <c r="U271" s="12" t="n">
        <v>12</v>
      </c>
      <c r="V271" s="12" t="n"/>
      <c r="W27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71" s="14">
        <f>SI([@SBAN]="";"";BUSCARV([@SBAN];Cronograma_Maestro!$A:$M;6;FALSO))</f>
        <v/>
      </c>
    </row>
    <row r="272">
      <c r="A272" s="11" t="inlineStr">
        <is>
          <t>2134</t>
        </is>
      </c>
      <c r="B272" s="12">
        <f>SI([@SBAN]="";"";BUSCARV([@SBAN];Cronograma_Maestro!$A:$M;2;FALSO))</f>
        <v/>
      </c>
      <c r="C272" s="12">
        <f>SI([@SBAN]="";"";BUSCARV([@SBAN];Cronograma_Maestro!$A:$M;3;FALSO))</f>
        <v/>
      </c>
      <c r="D272" s="12">
        <f>SI([@SBAN]="";"";BUSCARV([@SBAN];Cronograma_Maestro!$A:$M;4;FALSO))</f>
        <v/>
      </c>
      <c r="E272" s="12">
        <f>SI([@SBAN]="";"";BUSCARV([@SBAN];Cronograma_Maestro!$A:$M;5;FALSO))</f>
        <v/>
      </c>
      <c r="F272" s="12" t="inlineStr">
        <is>
          <t>Holmes Arley Astudillo Fajardo</t>
        </is>
      </c>
      <c r="G272" s="12" t="inlineStr">
        <is>
          <t>PMU COLSOF</t>
        </is>
      </c>
      <c r="H272" s="13" t="n">
        <v>46273</v>
      </c>
      <c r="I272" s="13" t="n">
        <v>46273</v>
      </c>
      <c r="J272" s="13" t="n"/>
      <c r="K272" s="13" t="n"/>
      <c r="L272" s="12" t="inlineStr">
        <is>
          <t>Programada</t>
        </is>
      </c>
      <c r="M272" s="13" t="n"/>
      <c r="N272" s="14">
        <f>SI(O([@[Fecha_Programada_Inicio]]="";[@[Fecha_Inicio_Real]]="");"";SI([@[Fecha_Inicio_Real]]&lt;=[@[Fecha_Programada_Inicio]];"SÍ";"NO"))</f>
        <v/>
      </c>
      <c r="O272" s="14">
        <f>SI(O([@[Fecha_Programada_Fin]]="";[@[Fecha_Cierre_Operativo]]="");"";SI([@[Fecha_Cierre_Operativo]]&lt;=SI([@[Fecha_Nueva_Programada]]&lt;&gt;"";[@[Fecha_Nueva_Programada]];[@[Fecha_Programada_Fin]]);"SÍ";"NO"))</f>
        <v/>
      </c>
      <c r="P272" s="14">
        <f>SI(O([@[Cumpli_Ingreso]]="";[@[Cumpli_Salida]]="");"";SI(Y([@[Cumpli_Ingreso]]="SÍ";[@[Cumpli_Salida]]="SÍ");"SÍ";"NO"))</f>
        <v/>
      </c>
      <c r="Q272" s="15">
        <f>SI(O([@[Fecha_Programada_Fin]]="";[@[Fecha_Cierre_Operativo]]="");"";MAX(0;ENTERO([@[Fecha_Cierre_Operativo]])-ENTERO(SI([@[Fecha_Nueva_Programada]]&lt;&gt;"";[@[Fecha_Nueva_Programada]];[@[Fecha_Programada_Fin]])))</f>
        <v/>
      </c>
      <c r="R272" s="12" t="n"/>
      <c r="S272" s="12" t="n"/>
      <c r="T272" s="13" t="n"/>
      <c r="U272" s="12" t="n">
        <v>12</v>
      </c>
      <c r="V272" s="12" t="n"/>
      <c r="W27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72" s="14">
        <f>SI([@SBAN]="";"";BUSCARV([@SBAN];Cronograma_Maestro!$A:$M;6;FALSO))</f>
        <v/>
      </c>
    </row>
    <row r="273">
      <c r="A273" s="11" t="inlineStr">
        <is>
          <t>2139</t>
        </is>
      </c>
      <c r="B273" s="12">
        <f>SI([@SBAN]="";"";BUSCARV([@SBAN];Cronograma_Maestro!$A:$M;2;FALSO))</f>
        <v/>
      </c>
      <c r="C273" s="12">
        <f>SI([@SBAN]="";"";BUSCARV([@SBAN];Cronograma_Maestro!$A:$M;3;FALSO))</f>
        <v/>
      </c>
      <c r="D273" s="12">
        <f>SI([@SBAN]="";"";BUSCARV([@SBAN];Cronograma_Maestro!$A:$M;4;FALSO))</f>
        <v/>
      </c>
      <c r="E273" s="12">
        <f>SI([@SBAN]="";"";BUSCARV([@SBAN];Cronograma_Maestro!$A:$M;5;FALSO))</f>
        <v/>
      </c>
      <c r="F273" s="12" t="inlineStr">
        <is>
          <t>Holmes Arley Astudillo Fajardo</t>
        </is>
      </c>
      <c r="G273" s="12" t="inlineStr">
        <is>
          <t>PMU COLSOF</t>
        </is>
      </c>
      <c r="H273" s="13" t="n">
        <v>46310</v>
      </c>
      <c r="I273" s="13" t="n">
        <v>46310</v>
      </c>
      <c r="J273" s="13" t="n"/>
      <c r="K273" s="13" t="n"/>
      <c r="L273" s="12" t="inlineStr">
        <is>
          <t>Programada</t>
        </is>
      </c>
      <c r="M273" s="13" t="n"/>
      <c r="N273" s="14">
        <f>SI(O([@[Fecha_Programada_Inicio]]="";[@[Fecha_Inicio_Real]]="");"";SI([@[Fecha_Inicio_Real]]&lt;=[@[Fecha_Programada_Inicio]];"SÍ";"NO"))</f>
        <v/>
      </c>
      <c r="O273" s="14">
        <f>SI(O([@[Fecha_Programada_Fin]]="";[@[Fecha_Cierre_Operativo]]="");"";SI([@[Fecha_Cierre_Operativo]]&lt;=SI([@[Fecha_Nueva_Programada]]&lt;&gt;"";[@[Fecha_Nueva_Programada]];[@[Fecha_Programada_Fin]]);"SÍ";"NO"))</f>
        <v/>
      </c>
      <c r="P273" s="14">
        <f>SI(O([@[Cumpli_Ingreso]]="";[@[Cumpli_Salida]]="");"";SI(Y([@[Cumpli_Ingreso]]="SÍ";[@[Cumpli_Salida]]="SÍ");"SÍ";"NO"))</f>
        <v/>
      </c>
      <c r="Q273" s="15">
        <f>SI(O([@[Fecha_Programada_Fin]]="";[@[Fecha_Cierre_Operativo]]="");"";MAX(0;ENTERO([@[Fecha_Cierre_Operativo]])-ENTERO(SI([@[Fecha_Nueva_Programada]]&lt;&gt;"";[@[Fecha_Nueva_Programada]];[@[Fecha_Programada_Fin]])))</f>
        <v/>
      </c>
      <c r="R273" s="12" t="n"/>
      <c r="S273" s="12" t="n"/>
      <c r="T273" s="13" t="n"/>
      <c r="U273" s="12" t="n">
        <v>12</v>
      </c>
      <c r="V273" s="12" t="n"/>
      <c r="W27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73" s="14">
        <f>SI([@SBAN]="";"";BUSCARV([@SBAN];Cronograma_Maestro!$A:$M;6;FALSO))</f>
        <v/>
      </c>
    </row>
    <row r="274">
      <c r="A274" s="11" t="inlineStr">
        <is>
          <t>2140</t>
        </is>
      </c>
      <c r="B274" s="12">
        <f>SI([@SBAN]="";"";BUSCARV([@SBAN];Cronograma_Maestro!$A:$M;2;FALSO))</f>
        <v/>
      </c>
      <c r="C274" s="12">
        <f>SI([@SBAN]="";"";BUSCARV([@SBAN];Cronograma_Maestro!$A:$M;3;FALSO))</f>
        <v/>
      </c>
      <c r="D274" s="12">
        <f>SI([@SBAN]="";"";BUSCARV([@SBAN];Cronograma_Maestro!$A:$M;4;FALSO))</f>
        <v/>
      </c>
      <c r="E274" s="12">
        <f>SI([@SBAN]="";"";BUSCARV([@SBAN];Cronograma_Maestro!$A:$M;5;FALSO))</f>
        <v/>
      </c>
      <c r="F274" s="12" t="inlineStr">
        <is>
          <t>Holmes Arley Astudillo Fajardo</t>
        </is>
      </c>
      <c r="G274" s="12" t="inlineStr">
        <is>
          <t>PMU COLSOF</t>
        </is>
      </c>
      <c r="H274" s="13" t="n">
        <v>46295</v>
      </c>
      <c r="I274" s="13" t="n">
        <v>46295</v>
      </c>
      <c r="J274" s="13" t="n"/>
      <c r="K274" s="13" t="n"/>
      <c r="L274" s="12" t="inlineStr">
        <is>
          <t>Programada</t>
        </is>
      </c>
      <c r="M274" s="13" t="n"/>
      <c r="N274" s="14">
        <f>SI(O([@[Fecha_Programada_Inicio]]="";[@[Fecha_Inicio_Real]]="");"";SI([@[Fecha_Inicio_Real]]&lt;=[@[Fecha_Programada_Inicio]];"SÍ";"NO"))</f>
        <v/>
      </c>
      <c r="O274" s="14">
        <f>SI(O([@[Fecha_Programada_Fin]]="";[@[Fecha_Cierre_Operativo]]="");"";SI([@[Fecha_Cierre_Operativo]]&lt;=SI([@[Fecha_Nueva_Programada]]&lt;&gt;"";[@[Fecha_Nueva_Programada]];[@[Fecha_Programada_Fin]]);"SÍ";"NO"))</f>
        <v/>
      </c>
      <c r="P274" s="14">
        <f>SI(O([@[Cumpli_Ingreso]]="";[@[Cumpli_Salida]]="");"";SI(Y([@[Cumpli_Ingreso]]="SÍ";[@[Cumpli_Salida]]="SÍ");"SÍ";"NO"))</f>
        <v/>
      </c>
      <c r="Q274" s="15">
        <f>SI(O([@[Fecha_Programada_Fin]]="";[@[Fecha_Cierre_Operativo]]="");"";MAX(0;ENTERO([@[Fecha_Cierre_Operativo]])-ENTERO(SI([@[Fecha_Nueva_Programada]]&lt;&gt;"";[@[Fecha_Nueva_Programada]];[@[Fecha_Programada_Fin]])))</f>
        <v/>
      </c>
      <c r="R274" s="12" t="n"/>
      <c r="S274" s="12" t="n"/>
      <c r="T274" s="13" t="n"/>
      <c r="U274" s="12" t="n">
        <v>13</v>
      </c>
      <c r="V274" s="12" t="n"/>
      <c r="W27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74" s="14">
        <f>SI([@SBAN]="";"";BUSCARV([@SBAN];Cronograma_Maestro!$A:$M;6;FALSO))</f>
        <v/>
      </c>
    </row>
    <row r="275">
      <c r="A275" s="11" t="inlineStr">
        <is>
          <t>2165</t>
        </is>
      </c>
      <c r="B275" s="12">
        <f>SI([@SBAN]="";"";BUSCARV([@SBAN];Cronograma_Maestro!$A:$M;2;FALSO))</f>
        <v/>
      </c>
      <c r="C275" s="12">
        <f>SI([@SBAN]="";"";BUSCARV([@SBAN];Cronograma_Maestro!$A:$M;3;FALSO))</f>
        <v/>
      </c>
      <c r="D275" s="12">
        <f>SI([@SBAN]="";"";BUSCARV([@SBAN];Cronograma_Maestro!$A:$M;4;FALSO))</f>
        <v/>
      </c>
      <c r="E275" s="12">
        <f>SI([@SBAN]="";"";BUSCARV([@SBAN];Cronograma_Maestro!$A:$M;5;FALSO))</f>
        <v/>
      </c>
      <c r="F275" s="12" t="inlineStr">
        <is>
          <t>Holmes Arley Astudillo Fajardo</t>
        </is>
      </c>
      <c r="G275" s="12" t="inlineStr">
        <is>
          <t>PMU COLSOF</t>
        </is>
      </c>
      <c r="H275" s="13" t="n">
        <v>46276</v>
      </c>
      <c r="I275" s="13" t="n">
        <v>46276</v>
      </c>
      <c r="J275" s="13" t="n"/>
      <c r="K275" s="13" t="n"/>
      <c r="L275" s="12" t="inlineStr">
        <is>
          <t>Programada</t>
        </is>
      </c>
      <c r="M275" s="13" t="n"/>
      <c r="N275" s="14">
        <f>SI(O([@[Fecha_Programada_Inicio]]="";[@[Fecha_Inicio_Real]]="");"";SI([@[Fecha_Inicio_Real]]&lt;=[@[Fecha_Programada_Inicio]];"SÍ";"NO"))</f>
        <v/>
      </c>
      <c r="O275" s="14">
        <f>SI(O([@[Fecha_Programada_Fin]]="";[@[Fecha_Cierre_Operativo]]="");"";SI([@[Fecha_Cierre_Operativo]]&lt;=SI([@[Fecha_Nueva_Programada]]&lt;&gt;"";[@[Fecha_Nueva_Programada]];[@[Fecha_Programada_Fin]]);"SÍ";"NO"))</f>
        <v/>
      </c>
      <c r="P275" s="14">
        <f>SI(O([@[Cumpli_Ingreso]]="";[@[Cumpli_Salida]]="");"";SI(Y([@[Cumpli_Ingreso]]="SÍ";[@[Cumpli_Salida]]="SÍ");"SÍ";"NO"))</f>
        <v/>
      </c>
      <c r="Q275" s="15">
        <f>SI(O([@[Fecha_Programada_Fin]]="";[@[Fecha_Cierre_Operativo]]="");"";MAX(0;ENTERO([@[Fecha_Cierre_Operativo]])-ENTERO(SI([@[Fecha_Nueva_Programada]]&lt;&gt;"";[@[Fecha_Nueva_Programada]];[@[Fecha_Programada_Fin]])))</f>
        <v/>
      </c>
      <c r="R275" s="12" t="n"/>
      <c r="S275" s="12" t="n"/>
      <c r="T275" s="13" t="n"/>
      <c r="U275" s="12" t="n">
        <v>13</v>
      </c>
      <c r="V275" s="12" t="n"/>
      <c r="W27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75" s="14">
        <f>SI([@SBAN]="";"";BUSCARV([@SBAN];Cronograma_Maestro!$A:$M;6;FALSO))</f>
        <v/>
      </c>
    </row>
    <row r="276">
      <c r="A276" s="11" t="inlineStr">
        <is>
          <t>2171</t>
        </is>
      </c>
      <c r="B276" s="12">
        <f>SI([@SBAN]="";"";BUSCARV([@SBAN];Cronograma_Maestro!$A:$M;2;FALSO))</f>
        <v/>
      </c>
      <c r="C276" s="12">
        <f>SI([@SBAN]="";"";BUSCARV([@SBAN];Cronograma_Maestro!$A:$M;3;FALSO))</f>
        <v/>
      </c>
      <c r="D276" s="12">
        <f>SI([@SBAN]="";"";BUSCARV([@SBAN];Cronograma_Maestro!$A:$M;4;FALSO))</f>
        <v/>
      </c>
      <c r="E276" s="12">
        <f>SI([@SBAN]="";"";BUSCARV([@SBAN];Cronograma_Maestro!$A:$M;5;FALSO))</f>
        <v/>
      </c>
      <c r="F276" s="12" t="inlineStr">
        <is>
          <t>Holmes Arley Astudillo Fajardo</t>
        </is>
      </c>
      <c r="G276" s="12" t="inlineStr">
        <is>
          <t>PMU COLSOF</t>
        </is>
      </c>
      <c r="H276" s="13" t="n">
        <v>46275</v>
      </c>
      <c r="I276" s="13" t="n">
        <v>46275</v>
      </c>
      <c r="J276" s="13" t="n"/>
      <c r="K276" s="13" t="n"/>
      <c r="L276" s="12" t="inlineStr">
        <is>
          <t>Programada</t>
        </is>
      </c>
      <c r="M276" s="13" t="n"/>
      <c r="N276" s="14">
        <f>SI(O([@[Fecha_Programada_Inicio]]="";[@[Fecha_Inicio_Real]]="");"";SI([@[Fecha_Inicio_Real]]&lt;=[@[Fecha_Programada_Inicio]];"SÍ";"NO"))</f>
        <v/>
      </c>
      <c r="O276" s="14">
        <f>SI(O([@[Fecha_Programada_Fin]]="";[@[Fecha_Cierre_Operativo]]="");"";SI([@[Fecha_Cierre_Operativo]]&lt;=SI([@[Fecha_Nueva_Programada]]&lt;&gt;"";[@[Fecha_Nueva_Programada]];[@[Fecha_Programada_Fin]]);"SÍ";"NO"))</f>
        <v/>
      </c>
      <c r="P276" s="14">
        <f>SI(O([@[Cumpli_Ingreso]]="";[@[Cumpli_Salida]]="");"";SI(Y([@[Cumpli_Ingreso]]="SÍ";[@[Cumpli_Salida]]="SÍ");"SÍ";"NO"))</f>
        <v/>
      </c>
      <c r="Q276" s="15">
        <f>SI(O([@[Fecha_Programada_Fin]]="";[@[Fecha_Cierre_Operativo]]="");"";MAX(0;ENTERO([@[Fecha_Cierre_Operativo]])-ENTERO(SI([@[Fecha_Nueva_Programada]]&lt;&gt;"";[@[Fecha_Nueva_Programada]];[@[Fecha_Programada_Fin]])))</f>
        <v/>
      </c>
      <c r="R276" s="12" t="n"/>
      <c r="S276" s="12" t="n"/>
      <c r="T276" s="13" t="n"/>
      <c r="U276" s="12" t="n">
        <v>12</v>
      </c>
      <c r="V276" s="12" t="n"/>
      <c r="W27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76" s="14">
        <f>SI([@SBAN]="";"";BUSCARV([@SBAN];Cronograma_Maestro!$A:$M;6;FALSO))</f>
        <v/>
      </c>
    </row>
    <row r="277">
      <c r="A277" s="11" t="inlineStr">
        <is>
          <t>2172</t>
        </is>
      </c>
      <c r="B277" s="12">
        <f>SI([@SBAN]="";"";BUSCARV([@SBAN];Cronograma_Maestro!$A:$M;2;FALSO))</f>
        <v/>
      </c>
      <c r="C277" s="12">
        <f>SI([@SBAN]="";"";BUSCARV([@SBAN];Cronograma_Maestro!$A:$M;3;FALSO))</f>
        <v/>
      </c>
      <c r="D277" s="12">
        <f>SI([@SBAN]="";"";BUSCARV([@SBAN];Cronograma_Maestro!$A:$M;4;FALSO))</f>
        <v/>
      </c>
      <c r="E277" s="12">
        <f>SI([@SBAN]="";"";BUSCARV([@SBAN];Cronograma_Maestro!$A:$M;5;FALSO))</f>
        <v/>
      </c>
      <c r="F277" s="12" t="inlineStr">
        <is>
          <t>Holmes Arley Astudillo Fajardo</t>
        </is>
      </c>
      <c r="G277" s="12" t="inlineStr">
        <is>
          <t>PMU COLSOF</t>
        </is>
      </c>
      <c r="H277" s="13" t="n">
        <v>46275</v>
      </c>
      <c r="I277" s="13" t="n">
        <v>46275</v>
      </c>
      <c r="J277" s="13" t="n"/>
      <c r="K277" s="13" t="n"/>
      <c r="L277" s="12" t="inlineStr">
        <is>
          <t>Programada</t>
        </is>
      </c>
      <c r="M277" s="13" t="n"/>
      <c r="N277" s="14">
        <f>SI(O([@[Fecha_Programada_Inicio]]="";[@[Fecha_Inicio_Real]]="");"";SI([@[Fecha_Inicio_Real]]&lt;=[@[Fecha_Programada_Inicio]];"SÍ";"NO"))</f>
        <v/>
      </c>
      <c r="O277" s="14">
        <f>SI(O([@[Fecha_Programada_Fin]]="";[@[Fecha_Cierre_Operativo]]="");"";SI([@[Fecha_Cierre_Operativo]]&lt;=SI([@[Fecha_Nueva_Programada]]&lt;&gt;"";[@[Fecha_Nueva_Programada]];[@[Fecha_Programada_Fin]]);"SÍ";"NO"))</f>
        <v/>
      </c>
      <c r="P277" s="14">
        <f>SI(O([@[Cumpli_Ingreso]]="";[@[Cumpli_Salida]]="");"";SI(Y([@[Cumpli_Ingreso]]="SÍ";[@[Cumpli_Salida]]="SÍ");"SÍ";"NO"))</f>
        <v/>
      </c>
      <c r="Q277" s="15">
        <f>SI(O([@[Fecha_Programada_Fin]]="";[@[Fecha_Cierre_Operativo]]="");"";MAX(0;ENTERO([@[Fecha_Cierre_Operativo]])-ENTERO(SI([@[Fecha_Nueva_Programada]]&lt;&gt;"";[@[Fecha_Nueva_Programada]];[@[Fecha_Programada_Fin]])))</f>
        <v/>
      </c>
      <c r="R277" s="12" t="n"/>
      <c r="S277" s="12" t="n"/>
      <c r="T277" s="13" t="n"/>
      <c r="U277" s="12" t="n">
        <v>13</v>
      </c>
      <c r="V277" s="12" t="n"/>
      <c r="W27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77" s="14">
        <f>SI([@SBAN]="";"";BUSCARV([@SBAN];Cronograma_Maestro!$A:$M;6;FALSO))</f>
        <v/>
      </c>
    </row>
    <row r="278">
      <c r="A278" s="11" t="inlineStr">
        <is>
          <t>2174</t>
        </is>
      </c>
      <c r="B278" s="12">
        <f>SI([@SBAN]="";"";BUSCARV([@SBAN];Cronograma_Maestro!$A:$M;2;FALSO))</f>
        <v/>
      </c>
      <c r="C278" s="12">
        <f>SI([@SBAN]="";"";BUSCARV([@SBAN];Cronograma_Maestro!$A:$M;3;FALSO))</f>
        <v/>
      </c>
      <c r="D278" s="12">
        <f>SI([@SBAN]="";"";BUSCARV([@SBAN];Cronograma_Maestro!$A:$M;4;FALSO))</f>
        <v/>
      </c>
      <c r="E278" s="12">
        <f>SI([@SBAN]="";"";BUSCARV([@SBAN];Cronograma_Maestro!$A:$M;5;FALSO))</f>
        <v/>
      </c>
      <c r="F278" s="12" t="inlineStr">
        <is>
          <t>Holmes Arley Astudillo Fajardo</t>
        </is>
      </c>
      <c r="G278" s="12" t="inlineStr">
        <is>
          <t>PMU COLSOF</t>
        </is>
      </c>
      <c r="H278" s="13" t="n">
        <v>46300</v>
      </c>
      <c r="I278" s="13" t="n">
        <v>46300</v>
      </c>
      <c r="J278" s="13" t="n"/>
      <c r="K278" s="13" t="n"/>
      <c r="L278" s="12" t="inlineStr">
        <is>
          <t>Programada</t>
        </is>
      </c>
      <c r="M278" s="13" t="n"/>
      <c r="N278" s="14">
        <f>SI(O([@[Fecha_Programada_Inicio]]="";[@[Fecha_Inicio_Real]]="");"";SI([@[Fecha_Inicio_Real]]&lt;=[@[Fecha_Programada_Inicio]];"SÍ";"NO"))</f>
        <v/>
      </c>
      <c r="O278" s="14">
        <f>SI(O([@[Fecha_Programada_Fin]]="";[@[Fecha_Cierre_Operativo]]="");"";SI([@[Fecha_Cierre_Operativo]]&lt;=SI([@[Fecha_Nueva_Programada]]&lt;&gt;"";[@[Fecha_Nueva_Programada]];[@[Fecha_Programada_Fin]]);"SÍ";"NO"))</f>
        <v/>
      </c>
      <c r="P278" s="14">
        <f>SI(O([@[Cumpli_Ingreso]]="";[@[Cumpli_Salida]]="");"";SI(Y([@[Cumpli_Ingreso]]="SÍ";[@[Cumpli_Salida]]="SÍ");"SÍ";"NO"))</f>
        <v/>
      </c>
      <c r="Q278" s="15">
        <f>SI(O([@[Fecha_Programada_Fin]]="";[@[Fecha_Cierre_Operativo]]="");"";MAX(0;ENTERO([@[Fecha_Cierre_Operativo]])-ENTERO(SI([@[Fecha_Nueva_Programada]]&lt;&gt;"";[@[Fecha_Nueva_Programada]];[@[Fecha_Programada_Fin]])))</f>
        <v/>
      </c>
      <c r="R278" s="12" t="n"/>
      <c r="S278" s="12" t="n"/>
      <c r="T278" s="13" t="n"/>
      <c r="U278" s="12" t="n">
        <v>13</v>
      </c>
      <c r="V278" s="12" t="n"/>
      <c r="W27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78" s="14">
        <f>SI([@SBAN]="";"";BUSCARV([@SBAN];Cronograma_Maestro!$A:$M;6;FALSO))</f>
        <v/>
      </c>
    </row>
    <row r="279">
      <c r="A279" s="11" t="inlineStr">
        <is>
          <t>2175</t>
        </is>
      </c>
      <c r="B279" s="12">
        <f>SI([@SBAN]="";"";BUSCARV([@SBAN];Cronograma_Maestro!$A:$M;2;FALSO))</f>
        <v/>
      </c>
      <c r="C279" s="12">
        <f>SI([@SBAN]="";"";BUSCARV([@SBAN];Cronograma_Maestro!$A:$M;3;FALSO))</f>
        <v/>
      </c>
      <c r="D279" s="12">
        <f>SI([@SBAN]="";"";BUSCARV([@SBAN];Cronograma_Maestro!$A:$M;4;FALSO))</f>
        <v/>
      </c>
      <c r="E279" s="12">
        <f>SI([@SBAN]="";"";BUSCARV([@SBAN];Cronograma_Maestro!$A:$M;5;FALSO))</f>
        <v/>
      </c>
      <c r="F279" s="12" t="inlineStr">
        <is>
          <t>Holmes Arley Astudillo Fajardo</t>
        </is>
      </c>
      <c r="G279" s="12" t="inlineStr">
        <is>
          <t>PMU COLSOF</t>
        </is>
      </c>
      <c r="H279" s="13" t="n">
        <v>46281</v>
      </c>
      <c r="I279" s="13" t="n">
        <v>46281</v>
      </c>
      <c r="J279" s="13" t="n"/>
      <c r="K279" s="13" t="n"/>
      <c r="L279" s="12" t="inlineStr">
        <is>
          <t>Programada</t>
        </is>
      </c>
      <c r="M279" s="13" t="n"/>
      <c r="N279" s="14">
        <f>SI(O([@[Fecha_Programada_Inicio]]="";[@[Fecha_Inicio_Real]]="");"";SI([@[Fecha_Inicio_Real]]&lt;=[@[Fecha_Programada_Inicio]];"SÍ";"NO"))</f>
        <v/>
      </c>
      <c r="O279" s="14">
        <f>SI(O([@[Fecha_Programada_Fin]]="";[@[Fecha_Cierre_Operativo]]="");"";SI([@[Fecha_Cierre_Operativo]]&lt;=SI([@[Fecha_Nueva_Programada]]&lt;&gt;"";[@[Fecha_Nueva_Programada]];[@[Fecha_Programada_Fin]]);"SÍ";"NO"))</f>
        <v/>
      </c>
      <c r="P279" s="14">
        <f>SI(O([@[Cumpli_Ingreso]]="";[@[Cumpli_Salida]]="");"";SI(Y([@[Cumpli_Ingreso]]="SÍ";[@[Cumpli_Salida]]="SÍ");"SÍ";"NO"))</f>
        <v/>
      </c>
      <c r="Q279" s="15">
        <f>SI(O([@[Fecha_Programada_Fin]]="";[@[Fecha_Cierre_Operativo]]="");"";MAX(0;ENTERO([@[Fecha_Cierre_Operativo]])-ENTERO(SI([@[Fecha_Nueva_Programada]]&lt;&gt;"";[@[Fecha_Nueva_Programada]];[@[Fecha_Programada_Fin]])))</f>
        <v/>
      </c>
      <c r="R279" s="12" t="n"/>
      <c r="S279" s="12" t="n"/>
      <c r="T279" s="13" t="n"/>
      <c r="U279" s="12" t="n">
        <v>14</v>
      </c>
      <c r="V279" s="12" t="n"/>
      <c r="W27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79" s="14">
        <f>SI([@SBAN]="";"";BUSCARV([@SBAN];Cronograma_Maestro!$A:$M;6;FALSO))</f>
        <v/>
      </c>
    </row>
    <row r="280">
      <c r="A280" s="11" t="inlineStr">
        <is>
          <t>2180</t>
        </is>
      </c>
      <c r="B280" s="12">
        <f>SI([@SBAN]="";"";BUSCARV([@SBAN];Cronograma_Maestro!$A:$M;2;FALSO))</f>
        <v/>
      </c>
      <c r="C280" s="12">
        <f>SI([@SBAN]="";"";BUSCARV([@SBAN];Cronograma_Maestro!$A:$M;3;FALSO))</f>
        <v/>
      </c>
      <c r="D280" s="12">
        <f>SI([@SBAN]="";"";BUSCARV([@SBAN];Cronograma_Maestro!$A:$M;4;FALSO))</f>
        <v/>
      </c>
      <c r="E280" s="12">
        <f>SI([@SBAN]="";"";BUSCARV([@SBAN];Cronograma_Maestro!$A:$M;5;FALSO))</f>
        <v/>
      </c>
      <c r="F280" s="12" t="inlineStr">
        <is>
          <t>Holmes Arley Astudillo Fajardo</t>
        </is>
      </c>
      <c r="G280" s="12" t="inlineStr">
        <is>
          <t>PMU COLSOF</t>
        </is>
      </c>
      <c r="H280" s="13" t="n">
        <v>46322</v>
      </c>
      <c r="I280" s="13" t="n">
        <v>46322</v>
      </c>
      <c r="J280" s="13" t="n"/>
      <c r="K280" s="13" t="n"/>
      <c r="L280" s="12" t="inlineStr">
        <is>
          <t>Programada</t>
        </is>
      </c>
      <c r="M280" s="13" t="n"/>
      <c r="N280" s="14">
        <f>SI(O([@[Fecha_Programada_Inicio]]="";[@[Fecha_Inicio_Real]]="");"";SI([@[Fecha_Inicio_Real]]&lt;=[@[Fecha_Programada_Inicio]];"SÍ";"NO"))</f>
        <v/>
      </c>
      <c r="O280" s="14">
        <f>SI(O([@[Fecha_Programada_Fin]]="";[@[Fecha_Cierre_Operativo]]="");"";SI([@[Fecha_Cierre_Operativo]]&lt;=SI([@[Fecha_Nueva_Programada]]&lt;&gt;"";[@[Fecha_Nueva_Programada]];[@[Fecha_Programada_Fin]]);"SÍ";"NO"))</f>
        <v/>
      </c>
      <c r="P280" s="14">
        <f>SI(O([@[Cumpli_Ingreso]]="";[@[Cumpli_Salida]]="");"";SI(Y([@[Cumpli_Ingreso]]="SÍ";[@[Cumpli_Salida]]="SÍ");"SÍ";"NO"))</f>
        <v/>
      </c>
      <c r="Q280" s="15">
        <f>SI(O([@[Fecha_Programada_Fin]]="";[@[Fecha_Cierre_Operativo]]="");"";MAX(0;ENTERO([@[Fecha_Cierre_Operativo]])-ENTERO(SI([@[Fecha_Nueva_Programada]]&lt;&gt;"";[@[Fecha_Nueva_Programada]];[@[Fecha_Programada_Fin]])))</f>
        <v/>
      </c>
      <c r="R280" s="12" t="n"/>
      <c r="S280" s="12" t="n"/>
      <c r="T280" s="13" t="n"/>
      <c r="U280" s="12" t="n">
        <v>12</v>
      </c>
      <c r="V280" s="12" t="n"/>
      <c r="W28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80" s="14">
        <f>SI([@SBAN]="";"";BUSCARV([@SBAN];Cronograma_Maestro!$A:$M;6;FALSO))</f>
        <v/>
      </c>
    </row>
    <row r="281">
      <c r="A281" s="11" t="inlineStr">
        <is>
          <t>2401</t>
        </is>
      </c>
      <c r="B281" s="12">
        <f>SI([@SBAN]="";"";BUSCARV([@SBAN];Cronograma_Maestro!$A:$M;2;FALSO))</f>
        <v/>
      </c>
      <c r="C281" s="12">
        <f>SI([@SBAN]="";"";BUSCARV([@SBAN];Cronograma_Maestro!$A:$M;3;FALSO))</f>
        <v/>
      </c>
      <c r="D281" s="12">
        <f>SI([@SBAN]="";"";BUSCARV([@SBAN];Cronograma_Maestro!$A:$M;4;FALSO))</f>
        <v/>
      </c>
      <c r="E281" s="12">
        <f>SI([@SBAN]="";"";BUSCARV([@SBAN];Cronograma_Maestro!$A:$M;5;FALSO))</f>
        <v/>
      </c>
      <c r="F281" s="12" t="inlineStr">
        <is>
          <t>Jerson Gregorio Rodriguez Ramirez</t>
        </is>
      </c>
      <c r="G281" s="12" t="inlineStr">
        <is>
          <t>PMU COLSOF</t>
        </is>
      </c>
      <c r="H281" s="13" t="n">
        <v>46268</v>
      </c>
      <c r="I281" s="13" t="n">
        <v>46268</v>
      </c>
      <c r="J281" s="13" t="n"/>
      <c r="K281" s="13" t="n"/>
      <c r="L281" s="12" t="inlineStr">
        <is>
          <t>Programada</t>
        </is>
      </c>
      <c r="M281" s="13" t="n"/>
      <c r="N281" s="14">
        <f>SI(O([@[Fecha_Programada_Inicio]]="";[@[Fecha_Inicio_Real]]="");"";SI([@[Fecha_Inicio_Real]]&lt;=[@[Fecha_Programada_Inicio]];"SÍ";"NO"))</f>
        <v/>
      </c>
      <c r="O281" s="14">
        <f>SI(O([@[Fecha_Programada_Fin]]="";[@[Fecha_Cierre_Operativo]]="");"";SI([@[Fecha_Cierre_Operativo]]&lt;=SI([@[Fecha_Nueva_Programada]]&lt;&gt;"";[@[Fecha_Nueva_Programada]];[@[Fecha_Programada_Fin]]);"SÍ";"NO"))</f>
        <v/>
      </c>
      <c r="P281" s="14">
        <f>SI(O([@[Cumpli_Ingreso]]="";[@[Cumpli_Salida]]="");"";SI(Y([@[Cumpli_Ingreso]]="SÍ";[@[Cumpli_Salida]]="SÍ");"SÍ";"NO"))</f>
        <v/>
      </c>
      <c r="Q281" s="15">
        <f>SI(O([@[Fecha_Programada_Fin]]="";[@[Fecha_Cierre_Operativo]]="");"";MAX(0;ENTERO([@[Fecha_Cierre_Operativo]])-ENTERO(SI([@[Fecha_Nueva_Programada]]&lt;&gt;"";[@[Fecha_Nueva_Programada]];[@[Fecha_Programada_Fin]])))</f>
        <v/>
      </c>
      <c r="R281" s="12" t="n"/>
      <c r="S281" s="12" t="n"/>
      <c r="T281" s="13" t="n"/>
      <c r="U281" s="12" t="n">
        <v>37</v>
      </c>
      <c r="V281" s="12" t="n"/>
      <c r="W28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81" s="14">
        <f>SI([@SBAN]="";"";BUSCARV([@SBAN];Cronograma_Maestro!$A:$M;6;FALSO))</f>
        <v/>
      </c>
    </row>
    <row r="282">
      <c r="A282" s="11" t="inlineStr">
        <is>
          <t>2402</t>
        </is>
      </c>
      <c r="B282" s="12">
        <f>SI([@SBAN]="";"";BUSCARV([@SBAN];Cronograma_Maestro!$A:$M;2;FALSO))</f>
        <v/>
      </c>
      <c r="C282" s="12">
        <f>SI([@SBAN]="";"";BUSCARV([@SBAN];Cronograma_Maestro!$A:$M;3;FALSO))</f>
        <v/>
      </c>
      <c r="D282" s="12">
        <f>SI([@SBAN]="";"";BUSCARV([@SBAN];Cronograma_Maestro!$A:$M;4;FALSO))</f>
        <v/>
      </c>
      <c r="E282" s="12">
        <f>SI([@SBAN]="";"";BUSCARV([@SBAN];Cronograma_Maestro!$A:$M;5;FALSO))</f>
        <v/>
      </c>
      <c r="F282" s="12" t="inlineStr">
        <is>
          <t>María Fernanda Mendoza Martinez</t>
        </is>
      </c>
      <c r="G282" s="12" t="inlineStr">
        <is>
          <t>PMU COLSOF</t>
        </is>
      </c>
      <c r="H282" s="13" t="n">
        <v>46296</v>
      </c>
      <c r="I282" s="13" t="n">
        <v>46296</v>
      </c>
      <c r="J282" s="13" t="n"/>
      <c r="K282" s="13" t="n"/>
      <c r="L282" s="12" t="inlineStr">
        <is>
          <t>Programada</t>
        </is>
      </c>
      <c r="M282" s="13" t="n"/>
      <c r="N282" s="14">
        <f>SI(O([@[Fecha_Programada_Inicio]]="";[@[Fecha_Inicio_Real]]="");"";SI([@[Fecha_Inicio_Real]]&lt;=[@[Fecha_Programada_Inicio]];"SÍ";"NO"))</f>
        <v/>
      </c>
      <c r="O282" s="14">
        <f>SI(O([@[Fecha_Programada_Fin]]="";[@[Fecha_Cierre_Operativo]]="");"";SI([@[Fecha_Cierre_Operativo]]&lt;=SI([@[Fecha_Nueva_Programada]]&lt;&gt;"";[@[Fecha_Nueva_Programada]];[@[Fecha_Programada_Fin]]);"SÍ";"NO"))</f>
        <v/>
      </c>
      <c r="P282" s="14">
        <f>SI(O([@[Cumpli_Ingreso]]="";[@[Cumpli_Salida]]="");"";SI(Y([@[Cumpli_Ingreso]]="SÍ";[@[Cumpli_Salida]]="SÍ");"SÍ";"NO"))</f>
        <v/>
      </c>
      <c r="Q282" s="15">
        <f>SI(O([@[Fecha_Programada_Fin]]="";[@[Fecha_Cierre_Operativo]]="");"";MAX(0;ENTERO([@[Fecha_Cierre_Operativo]])-ENTERO(SI([@[Fecha_Nueva_Programada]]&lt;&gt;"";[@[Fecha_Nueva_Programada]];[@[Fecha_Programada_Fin]])))</f>
        <v/>
      </c>
      <c r="R282" s="12" t="n"/>
      <c r="S282" s="12" t="n"/>
      <c r="T282" s="13" t="n"/>
      <c r="U282" s="12" t="n">
        <v>15</v>
      </c>
      <c r="V282" s="12" t="n"/>
      <c r="W28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82" s="14">
        <f>SI([@SBAN]="";"";BUSCARV([@SBAN];Cronograma_Maestro!$A:$M;6;FALSO))</f>
        <v/>
      </c>
    </row>
    <row r="283">
      <c r="A283" s="11" t="inlineStr">
        <is>
          <t>2403</t>
        </is>
      </c>
      <c r="B283" s="12">
        <f>SI([@SBAN]="";"";BUSCARV([@SBAN];Cronograma_Maestro!$A:$M;2;FALSO))</f>
        <v/>
      </c>
      <c r="C283" s="12">
        <f>SI([@SBAN]="";"";BUSCARV([@SBAN];Cronograma_Maestro!$A:$M;3;FALSO))</f>
        <v/>
      </c>
      <c r="D283" s="12">
        <f>SI([@SBAN]="";"";BUSCARV([@SBAN];Cronograma_Maestro!$A:$M;4;FALSO))</f>
        <v/>
      </c>
      <c r="E283" s="12">
        <f>SI([@SBAN]="";"";BUSCARV([@SBAN];Cronograma_Maestro!$A:$M;5;FALSO))</f>
        <v/>
      </c>
      <c r="F283" s="12" t="inlineStr">
        <is>
          <t>ANDREY TIMOTHY RODRIGUEZ MARTINEZ</t>
        </is>
      </c>
      <c r="G283" s="12" t="inlineStr">
        <is>
          <t>PMU COLSOF</t>
        </is>
      </c>
      <c r="H283" s="13" t="n">
        <v>46301</v>
      </c>
      <c r="I283" s="13" t="n">
        <v>46311</v>
      </c>
      <c r="J283" s="13" t="n"/>
      <c r="K283" s="13" t="n"/>
      <c r="L283" s="12" t="inlineStr">
        <is>
          <t>Programada</t>
        </is>
      </c>
      <c r="M283" s="13" t="n"/>
      <c r="N283" s="14">
        <f>SI(O([@[Fecha_Programada_Inicio]]="";[@[Fecha_Inicio_Real]]="");"";SI([@[Fecha_Inicio_Real]]&lt;=[@[Fecha_Programada_Inicio]];"SÍ";"NO"))</f>
        <v/>
      </c>
      <c r="O283" s="14">
        <f>SI(O([@[Fecha_Programada_Fin]]="";[@[Fecha_Cierre_Operativo]]="");"";SI([@[Fecha_Cierre_Operativo]]&lt;=SI([@[Fecha_Nueva_Programada]]&lt;&gt;"";[@[Fecha_Nueva_Programada]];[@[Fecha_Programada_Fin]]);"SÍ";"NO"))</f>
        <v/>
      </c>
      <c r="P283" s="14">
        <f>SI(O([@[Cumpli_Ingreso]]="";[@[Cumpli_Salida]]="");"";SI(Y([@[Cumpli_Ingreso]]="SÍ";[@[Cumpli_Salida]]="SÍ");"SÍ";"NO"))</f>
        <v/>
      </c>
      <c r="Q283" s="15">
        <f>SI(O([@[Fecha_Programada_Fin]]="";[@[Fecha_Cierre_Operativo]]="");"";MAX(0;ENTERO([@[Fecha_Cierre_Operativo]])-ENTERO(SI([@[Fecha_Nueva_Programada]]&lt;&gt;"";[@[Fecha_Nueva_Programada]];[@[Fecha_Programada_Fin]])))</f>
        <v/>
      </c>
      <c r="R283" s="12" t="n"/>
      <c r="S283" s="12" t="n"/>
      <c r="T283" s="13" t="n"/>
      <c r="U283" s="12" t="n">
        <v>45</v>
      </c>
      <c r="V283" s="12" t="n"/>
      <c r="W28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83" s="14">
        <f>SI([@SBAN]="";"";BUSCARV([@SBAN];Cronograma_Maestro!$A:$M;6;FALSO))</f>
        <v/>
      </c>
    </row>
    <row r="284">
      <c r="A284" s="11" t="inlineStr">
        <is>
          <t>2405</t>
        </is>
      </c>
      <c r="B284" s="12">
        <f>SI([@SBAN]="";"";BUSCARV([@SBAN];Cronograma_Maestro!$A:$M;2;FALSO))</f>
        <v/>
      </c>
      <c r="C284" s="12">
        <f>SI([@SBAN]="";"";BUSCARV([@SBAN];Cronograma_Maestro!$A:$M;3;FALSO))</f>
        <v/>
      </c>
      <c r="D284" s="12">
        <f>SI([@SBAN]="";"";BUSCARV([@SBAN];Cronograma_Maestro!$A:$M;4;FALSO))</f>
        <v/>
      </c>
      <c r="E284" s="12">
        <f>SI([@SBAN]="";"";BUSCARV([@SBAN];Cronograma_Maestro!$A:$M;5;FALSO))</f>
        <v/>
      </c>
      <c r="F284" s="12" t="inlineStr">
        <is>
          <t>Luis Alfonso Lozano Cervantes</t>
        </is>
      </c>
      <c r="G284" s="12" t="inlineStr">
        <is>
          <t>PMU COLSOF</t>
        </is>
      </c>
      <c r="H284" s="13" t="n">
        <v>46276</v>
      </c>
      <c r="I284" s="13" t="n">
        <v>46276</v>
      </c>
      <c r="J284" s="13" t="n"/>
      <c r="K284" s="13" t="n"/>
      <c r="L284" s="12" t="inlineStr">
        <is>
          <t>Programada</t>
        </is>
      </c>
      <c r="M284" s="13" t="n"/>
      <c r="N284" s="14">
        <f>SI(O([@[Fecha_Programada_Inicio]]="";[@[Fecha_Inicio_Real]]="");"";SI([@[Fecha_Inicio_Real]]&lt;=[@[Fecha_Programada_Inicio]];"SÍ";"NO"))</f>
        <v/>
      </c>
      <c r="O284" s="14">
        <f>SI(O([@[Fecha_Programada_Fin]]="";[@[Fecha_Cierre_Operativo]]="");"";SI([@[Fecha_Cierre_Operativo]]&lt;=SI([@[Fecha_Nueva_Programada]]&lt;&gt;"";[@[Fecha_Nueva_Programada]];[@[Fecha_Programada_Fin]]);"SÍ";"NO"))</f>
        <v/>
      </c>
      <c r="P284" s="14">
        <f>SI(O([@[Cumpli_Ingreso]]="";[@[Cumpli_Salida]]="");"";SI(Y([@[Cumpli_Ingreso]]="SÍ";[@[Cumpli_Salida]]="SÍ");"SÍ";"NO"))</f>
        <v/>
      </c>
      <c r="Q284" s="15">
        <f>SI(O([@[Fecha_Programada_Fin]]="";[@[Fecha_Cierre_Operativo]]="");"";MAX(0;ENTERO([@[Fecha_Cierre_Operativo]])-ENTERO(SI([@[Fecha_Nueva_Programada]]&lt;&gt;"";[@[Fecha_Nueva_Programada]];[@[Fecha_Programada_Fin]])))</f>
        <v/>
      </c>
      <c r="R284" s="12" t="n"/>
      <c r="S284" s="12" t="n"/>
      <c r="T284" s="13" t="n"/>
      <c r="U284" s="12" t="n">
        <v>12</v>
      </c>
      <c r="V284" s="12" t="n"/>
      <c r="W28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84" s="14">
        <f>SI([@SBAN]="";"";BUSCARV([@SBAN];Cronograma_Maestro!$A:$M;6;FALSO))</f>
        <v/>
      </c>
    </row>
    <row r="285">
      <c r="A285" s="11" t="inlineStr">
        <is>
          <t>2408</t>
        </is>
      </c>
      <c r="B285" s="12">
        <f>SI([@SBAN]="";"";BUSCARV([@SBAN];Cronograma_Maestro!$A:$M;2;FALSO))</f>
        <v/>
      </c>
      <c r="C285" s="12">
        <f>SI([@SBAN]="";"";BUSCARV([@SBAN];Cronograma_Maestro!$A:$M;3;FALSO))</f>
        <v/>
      </c>
      <c r="D285" s="12">
        <f>SI([@SBAN]="";"";BUSCARV([@SBAN];Cronograma_Maestro!$A:$M;4;FALSO))</f>
        <v/>
      </c>
      <c r="E285" s="12">
        <f>SI([@SBAN]="";"";BUSCARV([@SBAN];Cronograma_Maestro!$A:$M;5;FALSO))</f>
        <v/>
      </c>
      <c r="F285" s="12" t="inlineStr">
        <is>
          <t>Antonio Martinez Charris</t>
        </is>
      </c>
      <c r="G285" s="12" t="inlineStr">
        <is>
          <t>PMU COLSOF</t>
        </is>
      </c>
      <c r="H285" s="13" t="n">
        <v>46275</v>
      </c>
      <c r="I285" s="13" t="n">
        <v>46275</v>
      </c>
      <c r="J285" s="13" t="n"/>
      <c r="K285" s="13" t="n"/>
      <c r="L285" s="12" t="inlineStr">
        <is>
          <t>Programada</t>
        </is>
      </c>
      <c r="M285" s="13" t="n"/>
      <c r="N285" s="14">
        <f>SI(O([@[Fecha_Programada_Inicio]]="";[@[Fecha_Inicio_Real]]="");"";SI([@[Fecha_Inicio_Real]]&lt;=[@[Fecha_Programada_Inicio]];"SÍ";"NO"))</f>
        <v/>
      </c>
      <c r="O285" s="14">
        <f>SI(O([@[Fecha_Programada_Fin]]="";[@[Fecha_Cierre_Operativo]]="");"";SI([@[Fecha_Cierre_Operativo]]&lt;=SI([@[Fecha_Nueva_Programada]]&lt;&gt;"";[@[Fecha_Nueva_Programada]];[@[Fecha_Programada_Fin]]);"SÍ";"NO"))</f>
        <v/>
      </c>
      <c r="P285" s="14">
        <f>SI(O([@[Cumpli_Ingreso]]="";[@[Cumpli_Salida]]="");"";SI(Y([@[Cumpli_Ingreso]]="SÍ";[@[Cumpli_Salida]]="SÍ");"SÍ";"NO"))</f>
        <v/>
      </c>
      <c r="Q285" s="15">
        <f>SI(O([@[Fecha_Programada_Fin]]="";[@[Fecha_Cierre_Operativo]]="");"";MAX(0;ENTERO([@[Fecha_Cierre_Operativo]])-ENTERO(SI([@[Fecha_Nueva_Programada]]&lt;&gt;"";[@[Fecha_Nueva_Programada]];[@[Fecha_Programada_Fin]])))</f>
        <v/>
      </c>
      <c r="R285" s="12" t="n"/>
      <c r="S285" s="12" t="n"/>
      <c r="T285" s="13" t="n"/>
      <c r="U285" s="12" t="n">
        <v>25</v>
      </c>
      <c r="V285" s="12" t="n"/>
      <c r="W28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85" s="14">
        <f>SI([@SBAN]="";"";BUSCARV([@SBAN];Cronograma_Maestro!$A:$M;6;FALSO))</f>
        <v/>
      </c>
    </row>
    <row r="286">
      <c r="A286" s="11" t="inlineStr">
        <is>
          <t>2410</t>
        </is>
      </c>
      <c r="B286" s="12">
        <f>SI([@SBAN]="";"";BUSCARV([@SBAN];Cronograma_Maestro!$A:$M;2;FALSO))</f>
        <v/>
      </c>
      <c r="C286" s="12">
        <f>SI([@SBAN]="";"";BUSCARV([@SBAN];Cronograma_Maestro!$A:$M;3;FALSO))</f>
        <v/>
      </c>
      <c r="D286" s="12">
        <f>SI([@SBAN]="";"";BUSCARV([@SBAN];Cronograma_Maestro!$A:$M;4;FALSO))</f>
        <v/>
      </c>
      <c r="E286" s="12">
        <f>SI([@SBAN]="";"";BUSCARV([@SBAN];Cronograma_Maestro!$A:$M;5;FALSO))</f>
        <v/>
      </c>
      <c r="F286" s="12" t="inlineStr">
        <is>
          <t>Antonio Martinez Charris</t>
        </is>
      </c>
      <c r="G286" s="12" t="inlineStr">
        <is>
          <t>PMU COLSOF</t>
        </is>
      </c>
      <c r="H286" s="13" t="n">
        <v>46279</v>
      </c>
      <c r="I286" s="13" t="n">
        <v>46279</v>
      </c>
      <c r="J286" s="13" t="n"/>
      <c r="K286" s="13" t="n"/>
      <c r="L286" s="12" t="inlineStr">
        <is>
          <t>Programada</t>
        </is>
      </c>
      <c r="M286" s="13" t="n"/>
      <c r="N286" s="14">
        <f>SI(O([@[Fecha_Programada_Inicio]]="";[@[Fecha_Inicio_Real]]="");"";SI([@[Fecha_Inicio_Real]]&lt;=[@[Fecha_Programada_Inicio]];"SÍ";"NO"))</f>
        <v/>
      </c>
      <c r="O286" s="14">
        <f>SI(O([@[Fecha_Programada_Fin]]="";[@[Fecha_Cierre_Operativo]]="");"";SI([@[Fecha_Cierre_Operativo]]&lt;=SI([@[Fecha_Nueva_Programada]]&lt;&gt;"";[@[Fecha_Nueva_Programada]];[@[Fecha_Programada_Fin]]);"SÍ";"NO"))</f>
        <v/>
      </c>
      <c r="P286" s="14">
        <f>SI(O([@[Cumpli_Ingreso]]="";[@[Cumpli_Salida]]="");"";SI(Y([@[Cumpli_Ingreso]]="SÍ";[@[Cumpli_Salida]]="SÍ");"SÍ";"NO"))</f>
        <v/>
      </c>
      <c r="Q286" s="15">
        <f>SI(O([@[Fecha_Programada_Fin]]="";[@[Fecha_Cierre_Operativo]]="");"";MAX(0;ENTERO([@[Fecha_Cierre_Operativo]])-ENTERO(SI([@[Fecha_Nueva_Programada]]&lt;&gt;"";[@[Fecha_Nueva_Programada]];[@[Fecha_Programada_Fin]])))</f>
        <v/>
      </c>
      <c r="R286" s="12" t="n"/>
      <c r="S286" s="12" t="n"/>
      <c r="T286" s="13" t="n"/>
      <c r="U286" s="12" t="n">
        <v>14</v>
      </c>
      <c r="V286" s="12" t="n"/>
      <c r="W28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86" s="14">
        <f>SI([@SBAN]="";"";BUSCARV([@SBAN];Cronograma_Maestro!$A:$M;6;FALSO))</f>
        <v/>
      </c>
    </row>
    <row r="287">
      <c r="A287" s="11" t="inlineStr">
        <is>
          <t>2412</t>
        </is>
      </c>
      <c r="B287" s="12">
        <f>SI([@SBAN]="";"";BUSCARV([@SBAN];Cronograma_Maestro!$A:$M;2;FALSO))</f>
        <v/>
      </c>
      <c r="C287" s="12">
        <f>SI([@SBAN]="";"";BUSCARV([@SBAN];Cronograma_Maestro!$A:$M;3;FALSO))</f>
        <v/>
      </c>
      <c r="D287" s="12">
        <f>SI([@SBAN]="";"";BUSCARV([@SBAN];Cronograma_Maestro!$A:$M;4;FALSO))</f>
        <v/>
      </c>
      <c r="E287" s="12">
        <f>SI([@SBAN]="";"";BUSCARV([@SBAN];Cronograma_Maestro!$A:$M;5;FALSO))</f>
        <v/>
      </c>
      <c r="F287" s="12" t="inlineStr">
        <is>
          <t>Antonio Martinez Charris</t>
        </is>
      </c>
      <c r="G287" s="12" t="inlineStr">
        <is>
          <t>PMU COLSOF</t>
        </is>
      </c>
      <c r="H287" s="13" t="n">
        <v>46273</v>
      </c>
      <c r="I287" s="13" t="n">
        <v>46273</v>
      </c>
      <c r="J287" s="13" t="n"/>
      <c r="K287" s="13" t="n"/>
      <c r="L287" s="12" t="inlineStr">
        <is>
          <t>Programada</t>
        </is>
      </c>
      <c r="M287" s="13" t="n"/>
      <c r="N287" s="14">
        <f>SI(O([@[Fecha_Programada_Inicio]]="";[@[Fecha_Inicio_Real]]="");"";SI([@[Fecha_Inicio_Real]]&lt;=[@[Fecha_Programada_Inicio]];"SÍ";"NO"))</f>
        <v/>
      </c>
      <c r="O287" s="14">
        <f>SI(O([@[Fecha_Programada_Fin]]="";[@[Fecha_Cierre_Operativo]]="");"";SI([@[Fecha_Cierre_Operativo]]&lt;=SI([@[Fecha_Nueva_Programada]]&lt;&gt;"";[@[Fecha_Nueva_Programada]];[@[Fecha_Programada_Fin]]);"SÍ";"NO"))</f>
        <v/>
      </c>
      <c r="P287" s="14">
        <f>SI(O([@[Cumpli_Ingreso]]="";[@[Cumpli_Salida]]="");"";SI(Y([@[Cumpli_Ingreso]]="SÍ";[@[Cumpli_Salida]]="SÍ");"SÍ";"NO"))</f>
        <v/>
      </c>
      <c r="Q287" s="15">
        <f>SI(O([@[Fecha_Programada_Fin]]="";[@[Fecha_Cierre_Operativo]]="");"";MAX(0;ENTERO([@[Fecha_Cierre_Operativo]])-ENTERO(SI([@[Fecha_Nueva_Programada]]&lt;&gt;"";[@[Fecha_Nueva_Programada]];[@[Fecha_Programada_Fin]])))</f>
        <v/>
      </c>
      <c r="R287" s="12" t="n"/>
      <c r="S287" s="12" t="n"/>
      <c r="T287" s="13" t="n"/>
      <c r="U287" s="12" t="n">
        <v>14</v>
      </c>
      <c r="V287" s="12" t="n"/>
      <c r="W28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87" s="14">
        <f>SI([@SBAN]="";"";BUSCARV([@SBAN];Cronograma_Maestro!$A:$M;6;FALSO))</f>
        <v/>
      </c>
    </row>
    <row r="288">
      <c r="A288" s="11" t="inlineStr">
        <is>
          <t>2413</t>
        </is>
      </c>
      <c r="B288" s="12">
        <f>SI([@SBAN]="";"";BUSCARV([@SBAN];Cronograma_Maestro!$A:$M;2;FALSO))</f>
        <v/>
      </c>
      <c r="C288" s="12">
        <f>SI([@SBAN]="";"";BUSCARV([@SBAN];Cronograma_Maestro!$A:$M;3;FALSO))</f>
        <v/>
      </c>
      <c r="D288" s="12">
        <f>SI([@SBAN]="";"";BUSCARV([@SBAN];Cronograma_Maestro!$A:$M;4;FALSO))</f>
        <v/>
      </c>
      <c r="E288" s="12">
        <f>SI([@SBAN]="";"";BUSCARV([@SBAN];Cronograma_Maestro!$A:$M;5;FALSO))</f>
        <v/>
      </c>
      <c r="F288" s="12" t="inlineStr">
        <is>
          <t>Joaquin Alberto Lozano Puche</t>
        </is>
      </c>
      <c r="G288" s="12" t="inlineStr">
        <is>
          <t>PMU COLSOF</t>
        </is>
      </c>
      <c r="H288" s="13" t="n">
        <v>46267</v>
      </c>
      <c r="I288" s="13" t="n">
        <v>46267</v>
      </c>
      <c r="J288" s="13" t="n"/>
      <c r="K288" s="13" t="n"/>
      <c r="L288" s="12" t="inlineStr">
        <is>
          <t>Programada</t>
        </is>
      </c>
      <c r="M288" s="13" t="n"/>
      <c r="N288" s="14">
        <f>SI(O([@[Fecha_Programada_Inicio]]="";[@[Fecha_Inicio_Real]]="");"";SI([@[Fecha_Inicio_Real]]&lt;=[@[Fecha_Programada_Inicio]];"SÍ";"NO"))</f>
        <v/>
      </c>
      <c r="O288" s="14">
        <f>SI(O([@[Fecha_Programada_Fin]]="";[@[Fecha_Cierre_Operativo]]="");"";SI([@[Fecha_Cierre_Operativo]]&lt;=SI([@[Fecha_Nueva_Programada]]&lt;&gt;"";[@[Fecha_Nueva_Programada]];[@[Fecha_Programada_Fin]]);"SÍ";"NO"))</f>
        <v/>
      </c>
      <c r="P288" s="14">
        <f>SI(O([@[Cumpli_Ingreso]]="";[@[Cumpli_Salida]]="");"";SI(Y([@[Cumpli_Ingreso]]="SÍ";[@[Cumpli_Salida]]="SÍ");"SÍ";"NO"))</f>
        <v/>
      </c>
      <c r="Q288" s="15">
        <f>SI(O([@[Fecha_Programada_Fin]]="";[@[Fecha_Cierre_Operativo]]="");"";MAX(0;ENTERO([@[Fecha_Cierre_Operativo]])-ENTERO(SI([@[Fecha_Nueva_Programada]]&lt;&gt;"";[@[Fecha_Nueva_Programada]];[@[Fecha_Programada_Fin]])))</f>
        <v/>
      </c>
      <c r="R288" s="12" t="n"/>
      <c r="S288" s="12" t="n"/>
      <c r="T288" s="13" t="n"/>
      <c r="U288" s="12" t="n">
        <v>19</v>
      </c>
      <c r="V288" s="12" t="n"/>
      <c r="W28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88" s="14">
        <f>SI([@SBAN]="";"";BUSCARV([@SBAN];Cronograma_Maestro!$A:$M;6;FALSO))</f>
        <v/>
      </c>
    </row>
    <row r="289">
      <c r="A289" s="11" t="inlineStr">
        <is>
          <t>2414</t>
        </is>
      </c>
      <c r="B289" s="12">
        <f>SI([@SBAN]="";"";BUSCARV([@SBAN];Cronograma_Maestro!$A:$M;2;FALSO))</f>
        <v/>
      </c>
      <c r="C289" s="12">
        <f>SI([@SBAN]="";"";BUSCARV([@SBAN];Cronograma_Maestro!$A:$M;3;FALSO))</f>
        <v/>
      </c>
      <c r="D289" s="12">
        <f>SI([@SBAN]="";"";BUSCARV([@SBAN];Cronograma_Maestro!$A:$M;4;FALSO))</f>
        <v/>
      </c>
      <c r="E289" s="12">
        <f>SI([@SBAN]="";"";BUSCARV([@SBAN];Cronograma_Maestro!$A:$M;5;FALSO))</f>
        <v/>
      </c>
      <c r="F289" s="12" t="inlineStr">
        <is>
          <t>Joaquin Alberto Lozano Puche</t>
        </is>
      </c>
      <c r="G289" s="12" t="inlineStr">
        <is>
          <t>PMU COLSOF</t>
        </is>
      </c>
      <c r="H289" s="13" t="n">
        <v>46269</v>
      </c>
      <c r="I289" s="13" t="n">
        <v>46269</v>
      </c>
      <c r="J289" s="13" t="n"/>
      <c r="K289" s="13" t="n"/>
      <c r="L289" s="12" t="inlineStr">
        <is>
          <t>Programada</t>
        </is>
      </c>
      <c r="M289" s="13" t="n"/>
      <c r="N289" s="14">
        <f>SI(O([@[Fecha_Programada_Inicio]]="";[@[Fecha_Inicio_Real]]="");"";SI([@[Fecha_Inicio_Real]]&lt;=[@[Fecha_Programada_Inicio]];"SÍ";"NO"))</f>
        <v/>
      </c>
      <c r="O289" s="14">
        <f>SI(O([@[Fecha_Programada_Fin]]="";[@[Fecha_Cierre_Operativo]]="");"";SI([@[Fecha_Cierre_Operativo]]&lt;=SI([@[Fecha_Nueva_Programada]]&lt;&gt;"";[@[Fecha_Nueva_Programada]];[@[Fecha_Programada_Fin]]);"SÍ";"NO"))</f>
        <v/>
      </c>
      <c r="P289" s="14">
        <f>SI(O([@[Cumpli_Ingreso]]="";[@[Cumpli_Salida]]="");"";SI(Y([@[Cumpli_Ingreso]]="SÍ";[@[Cumpli_Salida]]="SÍ");"SÍ";"NO"))</f>
        <v/>
      </c>
      <c r="Q289" s="15">
        <f>SI(O([@[Fecha_Programada_Fin]]="";[@[Fecha_Cierre_Operativo]]="");"";MAX(0;ENTERO([@[Fecha_Cierre_Operativo]])-ENTERO(SI([@[Fecha_Nueva_Programada]]&lt;&gt;"";[@[Fecha_Nueva_Programada]];[@[Fecha_Programada_Fin]])))</f>
        <v/>
      </c>
      <c r="R289" s="12" t="n"/>
      <c r="S289" s="12" t="n"/>
      <c r="T289" s="13" t="n"/>
      <c r="U289" s="12" t="n">
        <v>20</v>
      </c>
      <c r="V289" s="12" t="n"/>
      <c r="W28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89" s="14">
        <f>SI([@SBAN]="";"";BUSCARV([@SBAN];Cronograma_Maestro!$A:$M;6;FALSO))</f>
        <v/>
      </c>
    </row>
    <row r="290">
      <c r="A290" s="11" t="inlineStr">
        <is>
          <t>2416</t>
        </is>
      </c>
      <c r="B290" s="12">
        <f>SI([@SBAN]="";"";BUSCARV([@SBAN];Cronograma_Maestro!$A:$M;2;FALSO))</f>
        <v/>
      </c>
      <c r="C290" s="12">
        <f>SI([@SBAN]="";"";BUSCARV([@SBAN];Cronograma_Maestro!$A:$M;3;FALSO))</f>
        <v/>
      </c>
      <c r="D290" s="12">
        <f>SI([@SBAN]="";"";BUSCARV([@SBAN];Cronograma_Maestro!$A:$M;4;FALSO))</f>
        <v/>
      </c>
      <c r="E290" s="12">
        <f>SI([@SBAN]="";"";BUSCARV([@SBAN];Cronograma_Maestro!$A:$M;5;FALSO))</f>
        <v/>
      </c>
      <c r="F290" s="12" t="inlineStr">
        <is>
          <t>María Fernanda Mendoza Martinez</t>
        </is>
      </c>
      <c r="G290" s="12" t="inlineStr">
        <is>
          <t>PMU COLSOF</t>
        </is>
      </c>
      <c r="H290" s="13" t="n">
        <v>46297</v>
      </c>
      <c r="I290" s="13" t="n">
        <v>46297</v>
      </c>
      <c r="J290" s="13" t="n"/>
      <c r="K290" s="13" t="n"/>
      <c r="L290" s="12" t="inlineStr">
        <is>
          <t>Programada</t>
        </is>
      </c>
      <c r="M290" s="13" t="n"/>
      <c r="N290" s="14">
        <f>SI(O([@[Fecha_Programada_Inicio]]="";[@[Fecha_Inicio_Real]]="");"";SI([@[Fecha_Inicio_Real]]&lt;=[@[Fecha_Programada_Inicio]];"SÍ";"NO"))</f>
        <v/>
      </c>
      <c r="O290" s="14">
        <f>SI(O([@[Fecha_Programada_Fin]]="";[@[Fecha_Cierre_Operativo]]="");"";SI([@[Fecha_Cierre_Operativo]]&lt;=SI([@[Fecha_Nueva_Programada]]&lt;&gt;"";[@[Fecha_Nueva_Programada]];[@[Fecha_Programada_Fin]]);"SÍ";"NO"))</f>
        <v/>
      </c>
      <c r="P290" s="14">
        <f>SI(O([@[Cumpli_Ingreso]]="";[@[Cumpli_Salida]]="");"";SI(Y([@[Cumpli_Ingreso]]="SÍ";[@[Cumpli_Salida]]="SÍ");"SÍ";"NO"))</f>
        <v/>
      </c>
      <c r="Q290" s="15">
        <f>SI(O([@[Fecha_Programada_Fin]]="";[@[Fecha_Cierre_Operativo]]="");"";MAX(0;ENTERO([@[Fecha_Cierre_Operativo]])-ENTERO(SI([@[Fecha_Nueva_Programada]]&lt;&gt;"";[@[Fecha_Nueva_Programada]];[@[Fecha_Programada_Fin]])))</f>
        <v/>
      </c>
      <c r="R290" s="12" t="n"/>
      <c r="S290" s="12" t="n"/>
      <c r="T290" s="13" t="n"/>
      <c r="U290" s="12" t="n">
        <v>18</v>
      </c>
      <c r="V290" s="12" t="n"/>
      <c r="W29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90" s="14">
        <f>SI([@SBAN]="";"";BUSCARV([@SBAN];Cronograma_Maestro!$A:$M;6;FALSO))</f>
        <v/>
      </c>
    </row>
    <row r="291">
      <c r="A291" s="11" t="inlineStr">
        <is>
          <t>2420</t>
        </is>
      </c>
      <c r="B291" s="12">
        <f>SI([@SBAN]="";"";BUSCARV([@SBAN];Cronograma_Maestro!$A:$M;2;FALSO))</f>
        <v/>
      </c>
      <c r="C291" s="12">
        <f>SI([@SBAN]="";"";BUSCARV([@SBAN];Cronograma_Maestro!$A:$M;3;FALSO))</f>
        <v/>
      </c>
      <c r="D291" s="12">
        <f>SI([@SBAN]="";"";BUSCARV([@SBAN];Cronograma_Maestro!$A:$M;4;FALSO))</f>
        <v/>
      </c>
      <c r="E291" s="12">
        <f>SI([@SBAN]="";"";BUSCARV([@SBAN];Cronograma_Maestro!$A:$M;5;FALSO))</f>
        <v/>
      </c>
      <c r="F291" s="12" t="inlineStr">
        <is>
          <t>Antonio Martinez Charris</t>
        </is>
      </c>
      <c r="G291" s="12" t="inlineStr">
        <is>
          <t>PMU COLSOF</t>
        </is>
      </c>
      <c r="H291" s="13" t="n">
        <v>46274</v>
      </c>
      <c r="I291" s="13" t="n">
        <v>46274</v>
      </c>
      <c r="J291" s="13" t="n"/>
      <c r="K291" s="13" t="n"/>
      <c r="L291" s="12" t="inlineStr">
        <is>
          <t>Programada</t>
        </is>
      </c>
      <c r="M291" s="13" t="n"/>
      <c r="N291" s="14">
        <f>SI(O([@[Fecha_Programada_Inicio]]="";[@[Fecha_Inicio_Real]]="");"";SI([@[Fecha_Inicio_Real]]&lt;=[@[Fecha_Programada_Inicio]];"SÍ";"NO"))</f>
        <v/>
      </c>
      <c r="O291" s="14">
        <f>SI(O([@[Fecha_Programada_Fin]]="";[@[Fecha_Cierre_Operativo]]="");"";SI([@[Fecha_Cierre_Operativo]]&lt;=SI([@[Fecha_Nueva_Programada]]&lt;&gt;"";[@[Fecha_Nueva_Programada]];[@[Fecha_Programada_Fin]]);"SÍ";"NO"))</f>
        <v/>
      </c>
      <c r="P291" s="14">
        <f>SI(O([@[Cumpli_Ingreso]]="";[@[Cumpli_Salida]]="");"";SI(Y([@[Cumpli_Ingreso]]="SÍ";[@[Cumpli_Salida]]="SÍ");"SÍ";"NO"))</f>
        <v/>
      </c>
      <c r="Q291" s="15">
        <f>SI(O([@[Fecha_Programada_Fin]]="";[@[Fecha_Cierre_Operativo]]="");"";MAX(0;ENTERO([@[Fecha_Cierre_Operativo]])-ENTERO(SI([@[Fecha_Nueva_Programada]]&lt;&gt;"";[@[Fecha_Nueva_Programada]];[@[Fecha_Programada_Fin]])))</f>
        <v/>
      </c>
      <c r="R291" s="12" t="n"/>
      <c r="S291" s="12" t="n"/>
      <c r="T291" s="13" t="n"/>
      <c r="U291" s="12" t="n">
        <v>12</v>
      </c>
      <c r="V291" s="12" t="n"/>
      <c r="W29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91" s="14">
        <f>SI([@SBAN]="";"";BUSCARV([@SBAN];Cronograma_Maestro!$A:$M;6;FALSO))</f>
        <v/>
      </c>
    </row>
    <row r="292">
      <c r="A292" s="11" t="inlineStr">
        <is>
          <t>2422</t>
        </is>
      </c>
      <c r="B292" s="12">
        <f>SI([@SBAN]="";"";BUSCARV([@SBAN];Cronograma_Maestro!$A:$M;2;FALSO))</f>
        <v/>
      </c>
      <c r="C292" s="12">
        <f>SI([@SBAN]="";"";BUSCARV([@SBAN];Cronograma_Maestro!$A:$M;3;FALSO))</f>
        <v/>
      </c>
      <c r="D292" s="12">
        <f>SI([@SBAN]="";"";BUSCARV([@SBAN];Cronograma_Maestro!$A:$M;4;FALSO))</f>
        <v/>
      </c>
      <c r="E292" s="12">
        <f>SI([@SBAN]="";"";BUSCARV([@SBAN];Cronograma_Maestro!$A:$M;5;FALSO))</f>
        <v/>
      </c>
      <c r="F292" s="12" t="inlineStr">
        <is>
          <t>Eliana Julieth Castellanos Diaz</t>
        </is>
      </c>
      <c r="G292" s="12" t="inlineStr">
        <is>
          <t>PMU COLSOF</t>
        </is>
      </c>
      <c r="H292" s="13" t="n">
        <v>46281</v>
      </c>
      <c r="I292" s="13" t="n">
        <v>46281</v>
      </c>
      <c r="J292" s="13" t="n"/>
      <c r="K292" s="13" t="n"/>
      <c r="L292" s="12" t="inlineStr">
        <is>
          <t>Programada</t>
        </is>
      </c>
      <c r="M292" s="13" t="n"/>
      <c r="N292" s="14">
        <f>SI(O([@[Fecha_Programada_Inicio]]="";[@[Fecha_Inicio_Real]]="");"";SI([@[Fecha_Inicio_Real]]&lt;=[@[Fecha_Programada_Inicio]];"SÍ";"NO"))</f>
        <v/>
      </c>
      <c r="O292" s="14">
        <f>SI(O([@[Fecha_Programada_Fin]]="";[@[Fecha_Cierre_Operativo]]="");"";SI([@[Fecha_Cierre_Operativo]]&lt;=SI([@[Fecha_Nueva_Programada]]&lt;&gt;"";[@[Fecha_Nueva_Programada]];[@[Fecha_Programada_Fin]]);"SÍ";"NO"))</f>
        <v/>
      </c>
      <c r="P292" s="14">
        <f>SI(O([@[Cumpli_Ingreso]]="";[@[Cumpli_Salida]]="");"";SI(Y([@[Cumpli_Ingreso]]="SÍ";[@[Cumpli_Salida]]="SÍ");"SÍ";"NO"))</f>
        <v/>
      </c>
      <c r="Q292" s="15">
        <f>SI(O([@[Fecha_Programada_Fin]]="";[@[Fecha_Cierre_Operativo]]="");"";MAX(0;ENTERO([@[Fecha_Cierre_Operativo]])-ENTERO(SI([@[Fecha_Nueva_Programada]]&lt;&gt;"";[@[Fecha_Nueva_Programada]];[@[Fecha_Programada_Fin]])))</f>
        <v/>
      </c>
      <c r="R292" s="12" t="n"/>
      <c r="S292" s="12" t="n"/>
      <c r="T292" s="13" t="n"/>
      <c r="U292" s="12" t="n">
        <v>25</v>
      </c>
      <c r="V292" s="12" t="n"/>
      <c r="W29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92" s="14">
        <f>SI([@SBAN]="";"";BUSCARV([@SBAN];Cronograma_Maestro!$A:$M;6;FALSO))</f>
        <v/>
      </c>
    </row>
    <row r="293">
      <c r="A293" s="11" t="inlineStr">
        <is>
          <t>2427</t>
        </is>
      </c>
      <c r="B293" s="12">
        <f>SI([@SBAN]="";"";BUSCARV([@SBAN];Cronograma_Maestro!$A:$M;2;FALSO))</f>
        <v/>
      </c>
      <c r="C293" s="12">
        <f>SI([@SBAN]="";"";BUSCARV([@SBAN];Cronograma_Maestro!$A:$M;3;FALSO))</f>
        <v/>
      </c>
      <c r="D293" s="12">
        <f>SI([@SBAN]="";"";BUSCARV([@SBAN];Cronograma_Maestro!$A:$M;4;FALSO))</f>
        <v/>
      </c>
      <c r="E293" s="12">
        <f>SI([@SBAN]="";"";BUSCARV([@SBAN];Cronograma_Maestro!$A:$M;5;FALSO))</f>
        <v/>
      </c>
      <c r="F293" s="12" t="inlineStr">
        <is>
          <t>Jorge Mario Rocha Cabarca</t>
        </is>
      </c>
      <c r="G293" s="12" t="inlineStr">
        <is>
          <t>PMU COLSOF</t>
        </is>
      </c>
      <c r="H293" s="13" t="n">
        <v>46268</v>
      </c>
      <c r="I293" s="13" t="n">
        <v>46268</v>
      </c>
      <c r="J293" s="13" t="n"/>
      <c r="K293" s="13" t="n"/>
      <c r="L293" s="12" t="inlineStr">
        <is>
          <t>Programada</t>
        </is>
      </c>
      <c r="M293" s="13" t="n"/>
      <c r="N293" s="14">
        <f>SI(O([@[Fecha_Programada_Inicio]]="";[@[Fecha_Inicio_Real]]="");"";SI([@[Fecha_Inicio_Real]]&lt;=[@[Fecha_Programada_Inicio]];"SÍ";"NO"))</f>
        <v/>
      </c>
      <c r="O293" s="14">
        <f>SI(O([@[Fecha_Programada_Fin]]="";[@[Fecha_Cierre_Operativo]]="");"";SI([@[Fecha_Cierre_Operativo]]&lt;=SI([@[Fecha_Nueva_Programada]]&lt;&gt;"";[@[Fecha_Nueva_Programada]];[@[Fecha_Programada_Fin]]);"SÍ";"NO"))</f>
        <v/>
      </c>
      <c r="P293" s="14">
        <f>SI(O([@[Cumpli_Ingreso]]="";[@[Cumpli_Salida]]="");"";SI(Y([@[Cumpli_Ingreso]]="SÍ";[@[Cumpli_Salida]]="SÍ");"SÍ";"NO"))</f>
        <v/>
      </c>
      <c r="Q293" s="15">
        <f>SI(O([@[Fecha_Programada_Fin]]="";[@[Fecha_Cierre_Operativo]]="");"";MAX(0;ENTERO([@[Fecha_Cierre_Operativo]])-ENTERO(SI([@[Fecha_Nueva_Programada]]&lt;&gt;"";[@[Fecha_Nueva_Programada]];[@[Fecha_Programada_Fin]])))</f>
        <v/>
      </c>
      <c r="R293" s="12" t="n"/>
      <c r="S293" s="12" t="n"/>
      <c r="T293" s="13" t="n"/>
      <c r="U293" s="12" t="n">
        <v>22</v>
      </c>
      <c r="V293" s="12" t="n"/>
      <c r="W29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93" s="14">
        <f>SI([@SBAN]="";"";BUSCARV([@SBAN];Cronograma_Maestro!$A:$M;6;FALSO))</f>
        <v/>
      </c>
    </row>
    <row r="294">
      <c r="A294" s="11" t="inlineStr">
        <is>
          <t>2435</t>
        </is>
      </c>
      <c r="B294" s="12">
        <f>SI([@SBAN]="";"";BUSCARV([@SBAN];Cronograma_Maestro!$A:$M;2;FALSO))</f>
        <v/>
      </c>
      <c r="C294" s="12">
        <f>SI([@SBAN]="";"";BUSCARV([@SBAN];Cronograma_Maestro!$A:$M;3;FALSO))</f>
        <v/>
      </c>
      <c r="D294" s="12">
        <f>SI([@SBAN]="";"";BUSCARV([@SBAN];Cronograma_Maestro!$A:$M;4;FALSO))</f>
        <v/>
      </c>
      <c r="E294" s="12">
        <f>SI([@SBAN]="";"";BUSCARV([@SBAN];Cronograma_Maestro!$A:$M;5;FALSO))</f>
        <v/>
      </c>
      <c r="F294" s="12" t="inlineStr">
        <is>
          <t>Juan Diego Mariño Rivera</t>
        </is>
      </c>
      <c r="G294" s="12" t="inlineStr">
        <is>
          <t>PMU COLSOF</t>
        </is>
      </c>
      <c r="H294" s="13" t="n">
        <v>46289</v>
      </c>
      <c r="I294" s="13" t="n">
        <v>46289</v>
      </c>
      <c r="J294" s="13" t="n"/>
      <c r="K294" s="13" t="n"/>
      <c r="L294" s="12" t="inlineStr">
        <is>
          <t>Programada</t>
        </is>
      </c>
      <c r="M294" s="13" t="n"/>
      <c r="N294" s="14">
        <f>SI(O([@[Fecha_Programada_Inicio]]="";[@[Fecha_Inicio_Real]]="");"";SI([@[Fecha_Inicio_Real]]&lt;=[@[Fecha_Programada_Inicio]];"SÍ";"NO"))</f>
        <v/>
      </c>
      <c r="O294" s="14">
        <f>SI(O([@[Fecha_Programada_Fin]]="";[@[Fecha_Cierre_Operativo]]="");"";SI([@[Fecha_Cierre_Operativo]]&lt;=SI([@[Fecha_Nueva_Programada]]&lt;&gt;"";[@[Fecha_Nueva_Programada]];[@[Fecha_Programada_Fin]]);"SÍ";"NO"))</f>
        <v/>
      </c>
      <c r="P294" s="14">
        <f>SI(O([@[Cumpli_Ingreso]]="";[@[Cumpli_Salida]]="");"";SI(Y([@[Cumpli_Ingreso]]="SÍ";[@[Cumpli_Salida]]="SÍ");"SÍ";"NO"))</f>
        <v/>
      </c>
      <c r="Q294" s="15">
        <f>SI(O([@[Fecha_Programada_Fin]]="";[@[Fecha_Cierre_Operativo]]="");"";MAX(0;ENTERO([@[Fecha_Cierre_Operativo]])-ENTERO(SI([@[Fecha_Nueva_Programada]]&lt;&gt;"";[@[Fecha_Nueva_Programada]];[@[Fecha_Programada_Fin]])))</f>
        <v/>
      </c>
      <c r="R294" s="12" t="n"/>
      <c r="S294" s="12" t="n"/>
      <c r="T294" s="13" t="n"/>
      <c r="U294" s="12" t="n">
        <v>30</v>
      </c>
      <c r="V294" s="12" t="n"/>
      <c r="W29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94" s="14">
        <f>SI([@SBAN]="";"";BUSCARV([@SBAN];Cronograma_Maestro!$A:$M;6;FALSO))</f>
        <v/>
      </c>
    </row>
    <row r="295">
      <c r="A295" s="11" t="inlineStr">
        <is>
          <t>2437</t>
        </is>
      </c>
      <c r="B295" s="12">
        <f>SI([@SBAN]="";"";BUSCARV([@SBAN];Cronograma_Maestro!$A:$M;2;FALSO))</f>
        <v/>
      </c>
      <c r="C295" s="12">
        <f>SI([@SBAN]="";"";BUSCARV([@SBAN];Cronograma_Maestro!$A:$M;3;FALSO))</f>
        <v/>
      </c>
      <c r="D295" s="12">
        <f>SI([@SBAN]="";"";BUSCARV([@SBAN];Cronograma_Maestro!$A:$M;4;FALSO))</f>
        <v/>
      </c>
      <c r="E295" s="12">
        <f>SI([@SBAN]="";"";BUSCARV([@SBAN];Cronograma_Maestro!$A:$M;5;FALSO))</f>
        <v/>
      </c>
      <c r="F295" s="12" t="inlineStr">
        <is>
          <t>Jerson Julian Portillo Anteliz</t>
        </is>
      </c>
      <c r="G295" s="12" t="inlineStr">
        <is>
          <t>PMU COLSOF</t>
        </is>
      </c>
      <c r="H295" s="13" t="n">
        <v>46286</v>
      </c>
      <c r="I295" s="13" t="n">
        <v>46286</v>
      </c>
      <c r="J295" s="13" t="n"/>
      <c r="K295" s="13" t="n"/>
      <c r="L295" s="12" t="inlineStr">
        <is>
          <t>Programada</t>
        </is>
      </c>
      <c r="M295" s="13" t="n"/>
      <c r="N295" s="14">
        <f>SI(O([@[Fecha_Programada_Inicio]]="";[@[Fecha_Inicio_Real]]="");"";SI([@[Fecha_Inicio_Real]]&lt;=[@[Fecha_Programada_Inicio]];"SÍ";"NO"))</f>
        <v/>
      </c>
      <c r="O295" s="14">
        <f>SI(O([@[Fecha_Programada_Fin]]="";[@[Fecha_Cierre_Operativo]]="");"";SI([@[Fecha_Cierre_Operativo]]&lt;=SI([@[Fecha_Nueva_Programada]]&lt;&gt;"";[@[Fecha_Nueva_Programada]];[@[Fecha_Programada_Fin]]);"SÍ";"NO"))</f>
        <v/>
      </c>
      <c r="P295" s="14">
        <f>SI(O([@[Cumpli_Ingreso]]="";[@[Cumpli_Salida]]="");"";SI(Y([@[Cumpli_Ingreso]]="SÍ";[@[Cumpli_Salida]]="SÍ");"SÍ";"NO"))</f>
        <v/>
      </c>
      <c r="Q295" s="15">
        <f>SI(O([@[Fecha_Programada_Fin]]="";[@[Fecha_Cierre_Operativo]]="");"";MAX(0;ENTERO([@[Fecha_Cierre_Operativo]])-ENTERO(SI([@[Fecha_Nueva_Programada]]&lt;&gt;"";[@[Fecha_Nueva_Programada]];[@[Fecha_Programada_Fin]])))</f>
        <v/>
      </c>
      <c r="R295" s="12" t="n"/>
      <c r="S295" s="12" t="n"/>
      <c r="T295" s="13" t="n"/>
      <c r="U295" s="12" t="n">
        <v>12</v>
      </c>
      <c r="V295" s="12" t="n"/>
      <c r="W29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95" s="14">
        <f>SI([@SBAN]="";"";BUSCARV([@SBAN];Cronograma_Maestro!$A:$M;6;FALSO))</f>
        <v/>
      </c>
    </row>
    <row r="296">
      <c r="A296" s="11" t="inlineStr">
        <is>
          <t>2440</t>
        </is>
      </c>
      <c r="B296" s="12">
        <f>SI([@SBAN]="";"";BUSCARV([@SBAN];Cronograma_Maestro!$A:$M;2;FALSO))</f>
        <v/>
      </c>
      <c r="C296" s="12">
        <f>SI([@SBAN]="";"";BUSCARV([@SBAN];Cronograma_Maestro!$A:$M;3;FALSO))</f>
        <v/>
      </c>
      <c r="D296" s="12">
        <f>SI([@SBAN]="";"";BUSCARV([@SBAN];Cronograma_Maestro!$A:$M;4;FALSO))</f>
        <v/>
      </c>
      <c r="E296" s="12">
        <f>SI([@SBAN]="";"";BUSCARV([@SBAN];Cronograma_Maestro!$A:$M;5;FALSO))</f>
        <v/>
      </c>
      <c r="F296" s="12" t="inlineStr">
        <is>
          <t>Antonio Martinez Charris</t>
        </is>
      </c>
      <c r="G296" s="12" t="inlineStr">
        <is>
          <t>PMU COLSOF</t>
        </is>
      </c>
      <c r="H296" s="13" t="n">
        <v>46272</v>
      </c>
      <c r="I296" s="13" t="n">
        <v>46272</v>
      </c>
      <c r="J296" s="13" t="n"/>
      <c r="K296" s="13" t="n"/>
      <c r="L296" s="12" t="inlineStr">
        <is>
          <t>Programada</t>
        </is>
      </c>
      <c r="M296" s="13" t="n"/>
      <c r="N296" s="14">
        <f>SI(O([@[Fecha_Programada_Inicio]]="";[@[Fecha_Inicio_Real]]="");"";SI([@[Fecha_Inicio_Real]]&lt;=[@[Fecha_Programada_Inicio]];"SÍ";"NO"))</f>
        <v/>
      </c>
      <c r="O296" s="14">
        <f>SI(O([@[Fecha_Programada_Fin]]="";[@[Fecha_Cierre_Operativo]]="");"";SI([@[Fecha_Cierre_Operativo]]&lt;=SI([@[Fecha_Nueva_Programada]]&lt;&gt;"";[@[Fecha_Nueva_Programada]];[@[Fecha_Programada_Fin]]);"SÍ";"NO"))</f>
        <v/>
      </c>
      <c r="P296" s="14">
        <f>SI(O([@[Cumpli_Ingreso]]="";[@[Cumpli_Salida]]="");"";SI(Y([@[Cumpli_Ingreso]]="SÍ";[@[Cumpli_Salida]]="SÍ");"SÍ";"NO"))</f>
        <v/>
      </c>
      <c r="Q296" s="15">
        <f>SI(O([@[Fecha_Programada_Fin]]="";[@[Fecha_Cierre_Operativo]]="");"";MAX(0;ENTERO([@[Fecha_Cierre_Operativo]])-ENTERO(SI([@[Fecha_Nueva_Programada]]&lt;&gt;"";[@[Fecha_Nueva_Programada]];[@[Fecha_Programada_Fin]])))</f>
        <v/>
      </c>
      <c r="R296" s="12" t="n"/>
      <c r="S296" s="12" t="n"/>
      <c r="T296" s="13" t="n"/>
      <c r="U296" s="12" t="n">
        <v>12</v>
      </c>
      <c r="V296" s="12" t="n"/>
      <c r="W29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96" s="14">
        <f>SI([@SBAN]="";"";BUSCARV([@SBAN];Cronograma_Maestro!$A:$M;6;FALSO))</f>
        <v/>
      </c>
    </row>
    <row r="297">
      <c r="A297" s="11" t="inlineStr">
        <is>
          <t>2442</t>
        </is>
      </c>
      <c r="B297" s="12">
        <f>SI([@SBAN]="";"";BUSCARV([@SBAN];Cronograma_Maestro!$A:$M;2;FALSO))</f>
        <v/>
      </c>
      <c r="C297" s="12">
        <f>SI([@SBAN]="";"";BUSCARV([@SBAN];Cronograma_Maestro!$A:$M;3;FALSO))</f>
        <v/>
      </c>
      <c r="D297" s="12">
        <f>SI([@SBAN]="";"";BUSCARV([@SBAN];Cronograma_Maestro!$A:$M;4;FALSO))</f>
        <v/>
      </c>
      <c r="E297" s="12">
        <f>SI([@SBAN]="";"";BUSCARV([@SBAN];Cronograma_Maestro!$A:$M;5;FALSO))</f>
        <v/>
      </c>
      <c r="F297" s="12" t="inlineStr">
        <is>
          <t>Eliana Julieth Castellanos Diaz</t>
        </is>
      </c>
      <c r="G297" s="12" t="inlineStr">
        <is>
          <t>PMU COLSOF</t>
        </is>
      </c>
      <c r="H297" s="13" t="n">
        <v>46283</v>
      </c>
      <c r="I297" s="13" t="n">
        <v>46283</v>
      </c>
      <c r="J297" s="13" t="n"/>
      <c r="K297" s="13" t="n"/>
      <c r="L297" s="12" t="inlineStr">
        <is>
          <t>Programada</t>
        </is>
      </c>
      <c r="M297" s="13" t="n"/>
      <c r="N297" s="14">
        <f>SI(O([@[Fecha_Programada_Inicio]]="";[@[Fecha_Inicio_Real]]="");"";SI([@[Fecha_Inicio_Real]]&lt;=[@[Fecha_Programada_Inicio]];"SÍ";"NO"))</f>
        <v/>
      </c>
      <c r="O297" s="14">
        <f>SI(O([@[Fecha_Programada_Fin]]="";[@[Fecha_Cierre_Operativo]]="");"";SI([@[Fecha_Cierre_Operativo]]&lt;=SI([@[Fecha_Nueva_Programada]]&lt;&gt;"";[@[Fecha_Nueva_Programada]];[@[Fecha_Programada_Fin]]);"SÍ";"NO"))</f>
        <v/>
      </c>
      <c r="P297" s="14">
        <f>SI(O([@[Cumpli_Ingreso]]="";[@[Cumpli_Salida]]="");"";SI(Y([@[Cumpli_Ingreso]]="SÍ";[@[Cumpli_Salida]]="SÍ");"SÍ";"NO"))</f>
        <v/>
      </c>
      <c r="Q297" s="15">
        <f>SI(O([@[Fecha_Programada_Fin]]="";[@[Fecha_Cierre_Operativo]]="");"";MAX(0;ENTERO([@[Fecha_Cierre_Operativo]])-ENTERO(SI([@[Fecha_Nueva_Programada]]&lt;&gt;"";[@[Fecha_Nueva_Programada]];[@[Fecha_Programada_Fin]])))</f>
        <v/>
      </c>
      <c r="R297" s="12" t="n"/>
      <c r="S297" s="12" t="n"/>
      <c r="T297" s="13" t="n"/>
      <c r="U297" s="12" t="n">
        <v>22</v>
      </c>
      <c r="V297" s="12" t="n"/>
      <c r="W29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97" s="14">
        <f>SI([@SBAN]="";"";BUSCARV([@SBAN];Cronograma_Maestro!$A:$M;6;FALSO))</f>
        <v/>
      </c>
    </row>
    <row r="298">
      <c r="A298" s="11" t="inlineStr">
        <is>
          <t>2445</t>
        </is>
      </c>
      <c r="B298" s="12">
        <f>SI([@SBAN]="";"";BUSCARV([@SBAN];Cronograma_Maestro!$A:$M;2;FALSO))</f>
        <v/>
      </c>
      <c r="C298" s="12">
        <f>SI([@SBAN]="";"";BUSCARV([@SBAN];Cronograma_Maestro!$A:$M;3;FALSO))</f>
        <v/>
      </c>
      <c r="D298" s="12">
        <f>SI([@SBAN]="";"";BUSCARV([@SBAN];Cronograma_Maestro!$A:$M;4;FALSO))</f>
        <v/>
      </c>
      <c r="E298" s="12">
        <f>SI([@SBAN]="";"";BUSCARV([@SBAN];Cronograma_Maestro!$A:$M;5;FALSO))</f>
        <v/>
      </c>
      <c r="F298" s="12" t="inlineStr">
        <is>
          <t>Ruben Dario Bertel Hugues</t>
        </is>
      </c>
      <c r="G298" s="12" t="inlineStr">
        <is>
          <t>PMU COLSOF</t>
        </is>
      </c>
      <c r="H298" s="13" t="n">
        <v>46276</v>
      </c>
      <c r="I298" s="13" t="n">
        <v>46276</v>
      </c>
      <c r="J298" s="13" t="n"/>
      <c r="K298" s="13" t="n"/>
      <c r="L298" s="12" t="inlineStr">
        <is>
          <t>Programada</t>
        </is>
      </c>
      <c r="M298" s="13" t="n"/>
      <c r="N298" s="14">
        <f>SI(O([@[Fecha_Programada_Inicio]]="";[@[Fecha_Inicio_Real]]="");"";SI([@[Fecha_Inicio_Real]]&lt;=[@[Fecha_Programada_Inicio]];"SÍ";"NO"))</f>
        <v/>
      </c>
      <c r="O298" s="14">
        <f>SI(O([@[Fecha_Programada_Fin]]="";[@[Fecha_Cierre_Operativo]]="");"";SI([@[Fecha_Cierre_Operativo]]&lt;=SI([@[Fecha_Nueva_Programada]]&lt;&gt;"";[@[Fecha_Nueva_Programada]];[@[Fecha_Programada_Fin]]);"SÍ";"NO"))</f>
        <v/>
      </c>
      <c r="P298" s="14">
        <f>SI(O([@[Cumpli_Ingreso]]="";[@[Cumpli_Salida]]="");"";SI(Y([@[Cumpli_Ingreso]]="SÍ";[@[Cumpli_Salida]]="SÍ");"SÍ";"NO"))</f>
        <v/>
      </c>
      <c r="Q298" s="15">
        <f>SI(O([@[Fecha_Programada_Fin]]="";[@[Fecha_Cierre_Operativo]]="");"";MAX(0;ENTERO([@[Fecha_Cierre_Operativo]])-ENTERO(SI([@[Fecha_Nueva_Programada]]&lt;&gt;"";[@[Fecha_Nueva_Programada]];[@[Fecha_Programada_Fin]])))</f>
        <v/>
      </c>
      <c r="R298" s="12" t="n"/>
      <c r="S298" s="12" t="n"/>
      <c r="T298" s="13" t="n"/>
      <c r="U298" s="12" t="n">
        <v>12</v>
      </c>
      <c r="V298" s="12" t="n"/>
      <c r="W29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98" s="14">
        <f>SI([@SBAN]="";"";BUSCARV([@SBAN];Cronograma_Maestro!$A:$M;6;FALSO))</f>
        <v/>
      </c>
    </row>
    <row r="299">
      <c r="A299" s="11" t="inlineStr">
        <is>
          <t>2455</t>
        </is>
      </c>
      <c r="B299" s="12">
        <f>SI([@SBAN]="";"";BUSCARV([@SBAN];Cronograma_Maestro!$A:$M;2;FALSO))</f>
        <v/>
      </c>
      <c r="C299" s="12">
        <f>SI([@SBAN]="";"";BUSCARV([@SBAN];Cronograma_Maestro!$A:$M;3;FALSO))</f>
        <v/>
      </c>
      <c r="D299" s="12">
        <f>SI([@SBAN]="";"";BUSCARV([@SBAN];Cronograma_Maestro!$A:$M;4;FALSO))</f>
        <v/>
      </c>
      <c r="E299" s="12">
        <f>SI([@SBAN]="";"";BUSCARV([@SBAN];Cronograma_Maestro!$A:$M;5;FALSO))</f>
        <v/>
      </c>
      <c r="F299" s="12" t="inlineStr">
        <is>
          <t>Santiago Pupo Cogollo</t>
        </is>
      </c>
      <c r="G299" s="12" t="inlineStr">
        <is>
          <t>PMU COLSOF</t>
        </is>
      </c>
      <c r="H299" s="13" t="n">
        <v>46272</v>
      </c>
      <c r="I299" s="13" t="n">
        <v>46272</v>
      </c>
      <c r="J299" s="13" t="n"/>
      <c r="K299" s="13" t="n"/>
      <c r="L299" s="12" t="inlineStr">
        <is>
          <t>Programada</t>
        </is>
      </c>
      <c r="M299" s="13" t="n"/>
      <c r="N299" s="14">
        <f>SI(O([@[Fecha_Programada_Inicio]]="";[@[Fecha_Inicio_Real]]="");"";SI([@[Fecha_Inicio_Real]]&lt;=[@[Fecha_Programada_Inicio]];"SÍ";"NO"))</f>
        <v/>
      </c>
      <c r="O299" s="14">
        <f>SI(O([@[Fecha_Programada_Fin]]="";[@[Fecha_Cierre_Operativo]]="");"";SI([@[Fecha_Cierre_Operativo]]&lt;=SI([@[Fecha_Nueva_Programada]]&lt;&gt;"";[@[Fecha_Nueva_Programada]];[@[Fecha_Programada_Fin]]);"SÍ";"NO"))</f>
        <v/>
      </c>
      <c r="P299" s="14">
        <f>SI(O([@[Cumpli_Ingreso]]="";[@[Cumpli_Salida]]="");"";SI(Y([@[Cumpli_Ingreso]]="SÍ";[@[Cumpli_Salida]]="SÍ");"SÍ";"NO"))</f>
        <v/>
      </c>
      <c r="Q299" s="15">
        <f>SI(O([@[Fecha_Programada_Fin]]="";[@[Fecha_Cierre_Operativo]]="");"";MAX(0;ENTERO([@[Fecha_Cierre_Operativo]])-ENTERO(SI([@[Fecha_Nueva_Programada]]&lt;&gt;"";[@[Fecha_Nueva_Programada]];[@[Fecha_Programada_Fin]])))</f>
        <v/>
      </c>
      <c r="R299" s="12" t="n"/>
      <c r="S299" s="12" t="n"/>
      <c r="T299" s="13" t="n"/>
      <c r="U299" s="12" t="n">
        <v>16</v>
      </c>
      <c r="V299" s="12" t="n"/>
      <c r="W29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299" s="14">
        <f>SI([@SBAN]="";"";BUSCARV([@SBAN];Cronograma_Maestro!$A:$M;6;FALSO))</f>
        <v/>
      </c>
    </row>
    <row r="300">
      <c r="A300" s="11" t="inlineStr">
        <is>
          <t>2460</t>
        </is>
      </c>
      <c r="B300" s="12">
        <f>SI([@SBAN]="";"";BUSCARV([@SBAN];Cronograma_Maestro!$A:$M;2;FALSO))</f>
        <v/>
      </c>
      <c r="C300" s="12">
        <f>SI([@SBAN]="";"";BUSCARV([@SBAN];Cronograma_Maestro!$A:$M;3;FALSO))</f>
        <v/>
      </c>
      <c r="D300" s="12">
        <f>SI([@SBAN]="";"";BUSCARV([@SBAN];Cronograma_Maestro!$A:$M;4;FALSO))</f>
        <v/>
      </c>
      <c r="E300" s="12">
        <f>SI([@SBAN]="";"";BUSCARV([@SBAN];Cronograma_Maestro!$A:$M;5;FALSO))</f>
        <v/>
      </c>
      <c r="F300" s="12" t="inlineStr">
        <is>
          <t>Jerson Julian Portillo Anteliz</t>
        </is>
      </c>
      <c r="G300" s="12" t="inlineStr">
        <is>
          <t>PMU COLSOF</t>
        </is>
      </c>
      <c r="H300" s="13" t="n">
        <v>46283</v>
      </c>
      <c r="I300" s="13" t="n">
        <v>46283</v>
      </c>
      <c r="J300" s="13" t="n"/>
      <c r="K300" s="13" t="n"/>
      <c r="L300" s="12" t="inlineStr">
        <is>
          <t>Programada</t>
        </is>
      </c>
      <c r="M300" s="13" t="n"/>
      <c r="N300" s="14">
        <f>SI(O([@[Fecha_Programada_Inicio]]="";[@[Fecha_Inicio_Real]]="");"";SI([@[Fecha_Inicio_Real]]&lt;=[@[Fecha_Programada_Inicio]];"SÍ";"NO"))</f>
        <v/>
      </c>
      <c r="O300" s="14">
        <f>SI(O([@[Fecha_Programada_Fin]]="";[@[Fecha_Cierre_Operativo]]="");"";SI([@[Fecha_Cierre_Operativo]]&lt;=SI([@[Fecha_Nueva_Programada]]&lt;&gt;"";[@[Fecha_Nueva_Programada]];[@[Fecha_Programada_Fin]]);"SÍ";"NO"))</f>
        <v/>
      </c>
      <c r="P300" s="14">
        <f>SI(O([@[Cumpli_Ingreso]]="";[@[Cumpli_Salida]]="");"";SI(Y([@[Cumpli_Ingreso]]="SÍ";[@[Cumpli_Salida]]="SÍ");"SÍ";"NO"))</f>
        <v/>
      </c>
      <c r="Q300" s="15">
        <f>SI(O([@[Fecha_Programada_Fin]]="";[@[Fecha_Cierre_Operativo]]="");"";MAX(0;ENTERO([@[Fecha_Cierre_Operativo]])-ENTERO(SI([@[Fecha_Nueva_Programada]]&lt;&gt;"";[@[Fecha_Nueva_Programada]];[@[Fecha_Programada_Fin]])))</f>
        <v/>
      </c>
      <c r="R300" s="12" t="n"/>
      <c r="S300" s="12" t="n"/>
      <c r="T300" s="13" t="n"/>
      <c r="U300" s="12" t="n">
        <v>20</v>
      </c>
      <c r="V300" s="12" t="n"/>
      <c r="W30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00" s="14">
        <f>SI([@SBAN]="";"";BUSCARV([@SBAN];Cronograma_Maestro!$A:$M;6;FALSO))</f>
        <v/>
      </c>
    </row>
    <row r="301">
      <c r="A301" s="11" t="inlineStr">
        <is>
          <t>2465</t>
        </is>
      </c>
      <c r="B301" s="12">
        <f>SI([@SBAN]="";"";BUSCARV([@SBAN];Cronograma_Maestro!$A:$M;2;FALSO))</f>
        <v/>
      </c>
      <c r="C301" s="12">
        <f>SI([@SBAN]="";"";BUSCARV([@SBAN];Cronograma_Maestro!$A:$M;3;FALSO))</f>
        <v/>
      </c>
      <c r="D301" s="12">
        <f>SI([@SBAN]="";"";BUSCARV([@SBAN];Cronograma_Maestro!$A:$M;4;FALSO))</f>
        <v/>
      </c>
      <c r="E301" s="12">
        <f>SI([@SBAN]="";"";BUSCARV([@SBAN];Cronograma_Maestro!$A:$M;5;FALSO))</f>
        <v/>
      </c>
      <c r="F301" s="12" t="inlineStr">
        <is>
          <t>Yojan Alexis Pava Duarte</t>
        </is>
      </c>
      <c r="G301" s="12" t="inlineStr">
        <is>
          <t>PMU COLSOF</t>
        </is>
      </c>
      <c r="H301" s="13" t="n">
        <v>46283</v>
      </c>
      <c r="I301" s="13" t="n">
        <v>46283</v>
      </c>
      <c r="J301" s="13" t="n"/>
      <c r="K301" s="13" t="n"/>
      <c r="L301" s="12" t="inlineStr">
        <is>
          <t>Programada</t>
        </is>
      </c>
      <c r="M301" s="13" t="n"/>
      <c r="N301" s="14">
        <f>SI(O([@[Fecha_Programada_Inicio]]="";[@[Fecha_Inicio_Real]]="");"";SI([@[Fecha_Inicio_Real]]&lt;=[@[Fecha_Programada_Inicio]];"SÍ";"NO"))</f>
        <v/>
      </c>
      <c r="O301" s="14">
        <f>SI(O([@[Fecha_Programada_Fin]]="";[@[Fecha_Cierre_Operativo]]="");"";SI([@[Fecha_Cierre_Operativo]]&lt;=SI([@[Fecha_Nueva_Programada]]&lt;&gt;"";[@[Fecha_Nueva_Programada]];[@[Fecha_Programada_Fin]]);"SÍ";"NO"))</f>
        <v/>
      </c>
      <c r="P301" s="14">
        <f>SI(O([@[Cumpli_Ingreso]]="";[@[Cumpli_Salida]]="");"";SI(Y([@[Cumpli_Ingreso]]="SÍ";[@[Cumpli_Salida]]="SÍ");"SÍ";"NO"))</f>
        <v/>
      </c>
      <c r="Q301" s="15">
        <f>SI(O([@[Fecha_Programada_Fin]]="";[@[Fecha_Cierre_Operativo]]="");"";MAX(0;ENTERO([@[Fecha_Cierre_Operativo]])-ENTERO(SI([@[Fecha_Nueva_Programada]]&lt;&gt;"";[@[Fecha_Nueva_Programada]];[@[Fecha_Programada_Fin]])))</f>
        <v/>
      </c>
      <c r="R301" s="12" t="n"/>
      <c r="S301" s="12" t="n"/>
      <c r="T301" s="13" t="n"/>
      <c r="U301" s="12" t="n">
        <v>15</v>
      </c>
      <c r="V301" s="12" t="n"/>
      <c r="W30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01" s="14">
        <f>SI([@SBAN]="";"";BUSCARV([@SBAN];Cronograma_Maestro!$A:$M;6;FALSO))</f>
        <v/>
      </c>
    </row>
    <row r="302">
      <c r="A302" s="11" t="inlineStr">
        <is>
          <t>2470</t>
        </is>
      </c>
      <c r="B302" s="12">
        <f>SI([@SBAN]="";"";BUSCARV([@SBAN];Cronograma_Maestro!$A:$M;2;FALSO))</f>
        <v/>
      </c>
      <c r="C302" s="12">
        <f>SI([@SBAN]="";"";BUSCARV([@SBAN];Cronograma_Maestro!$A:$M;3;FALSO))</f>
        <v/>
      </c>
      <c r="D302" s="12">
        <f>SI([@SBAN]="";"";BUSCARV([@SBAN];Cronograma_Maestro!$A:$M;4;FALSO))</f>
        <v/>
      </c>
      <c r="E302" s="12">
        <f>SI([@SBAN]="";"";BUSCARV([@SBAN];Cronograma_Maestro!$A:$M;5;FALSO))</f>
        <v/>
      </c>
      <c r="F302" s="12" t="inlineStr">
        <is>
          <t>Santiago Pupo Cogollo</t>
        </is>
      </c>
      <c r="G302" s="12" t="inlineStr">
        <is>
          <t>PMU COLSOF</t>
        </is>
      </c>
      <c r="H302" s="13" t="n">
        <v>46269</v>
      </c>
      <c r="I302" s="13" t="n">
        <v>46269</v>
      </c>
      <c r="J302" s="13" t="n"/>
      <c r="K302" s="13" t="n"/>
      <c r="L302" s="12" t="inlineStr">
        <is>
          <t>Programada</t>
        </is>
      </c>
      <c r="M302" s="13" t="n"/>
      <c r="N302" s="14">
        <f>SI(O([@[Fecha_Programada_Inicio]]="";[@[Fecha_Inicio_Real]]="");"";SI([@[Fecha_Inicio_Real]]&lt;=[@[Fecha_Programada_Inicio]];"SÍ";"NO"))</f>
        <v/>
      </c>
      <c r="O302" s="14">
        <f>SI(O([@[Fecha_Programada_Fin]]="";[@[Fecha_Cierre_Operativo]]="");"";SI([@[Fecha_Cierre_Operativo]]&lt;=SI([@[Fecha_Nueva_Programada]]&lt;&gt;"";[@[Fecha_Nueva_Programada]];[@[Fecha_Programada_Fin]]);"SÍ";"NO"))</f>
        <v/>
      </c>
      <c r="P302" s="14">
        <f>SI(O([@[Cumpli_Ingreso]]="";[@[Cumpli_Salida]]="");"";SI(Y([@[Cumpli_Ingreso]]="SÍ";[@[Cumpli_Salida]]="SÍ");"SÍ";"NO"))</f>
        <v/>
      </c>
      <c r="Q302" s="15">
        <f>SI(O([@[Fecha_Programada_Fin]]="";[@[Fecha_Cierre_Operativo]]="");"";MAX(0;ENTERO([@[Fecha_Cierre_Operativo]])-ENTERO(SI([@[Fecha_Nueva_Programada]]&lt;&gt;"";[@[Fecha_Nueva_Programada]];[@[Fecha_Programada_Fin]])))</f>
        <v/>
      </c>
      <c r="R302" s="12" t="n"/>
      <c r="S302" s="12" t="n"/>
      <c r="T302" s="13" t="n"/>
      <c r="U302" s="12" t="n">
        <v>12</v>
      </c>
      <c r="V302" s="12" t="n"/>
      <c r="W30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02" s="14">
        <f>SI([@SBAN]="";"";BUSCARV([@SBAN];Cronograma_Maestro!$A:$M;6;FALSO))</f>
        <v/>
      </c>
    </row>
    <row r="303">
      <c r="A303" s="11" t="inlineStr">
        <is>
          <t>2701</t>
        </is>
      </c>
      <c r="B303" s="12">
        <f>SI([@SBAN]="";"";BUSCARV([@SBAN];Cronograma_Maestro!$A:$M;2;FALSO))</f>
        <v/>
      </c>
      <c r="C303" s="12">
        <f>SI([@SBAN]="";"";BUSCARV([@SBAN];Cronograma_Maestro!$A:$M;3;FALSO))</f>
        <v/>
      </c>
      <c r="D303" s="12">
        <f>SI([@SBAN]="";"";BUSCARV([@SBAN];Cronograma_Maestro!$A:$M;4;FALSO))</f>
        <v/>
      </c>
      <c r="E303" s="12">
        <f>SI([@SBAN]="";"";BUSCARV([@SBAN];Cronograma_Maestro!$A:$M;5;FALSO))</f>
        <v/>
      </c>
      <c r="F303" s="12" t="inlineStr">
        <is>
          <t>Jhon Jairo Vergara Pelaez</t>
        </is>
      </c>
      <c r="G303" s="12" t="inlineStr">
        <is>
          <t>PMU COLSOF</t>
        </is>
      </c>
      <c r="H303" s="13" t="n">
        <v>46279</v>
      </c>
      <c r="I303" s="13" t="n">
        <v>46279</v>
      </c>
      <c r="J303" s="13" t="n"/>
      <c r="K303" s="13" t="n"/>
      <c r="L303" s="12" t="inlineStr">
        <is>
          <t>Programada</t>
        </is>
      </c>
      <c r="M303" s="13" t="n"/>
      <c r="N303" s="14">
        <f>SI(O([@[Fecha_Programada_Inicio]]="";[@[Fecha_Inicio_Real]]="");"";SI([@[Fecha_Inicio_Real]]&lt;=[@[Fecha_Programada_Inicio]];"SÍ";"NO"))</f>
        <v/>
      </c>
      <c r="O303" s="14">
        <f>SI(O([@[Fecha_Programada_Fin]]="";[@[Fecha_Cierre_Operativo]]="");"";SI([@[Fecha_Cierre_Operativo]]&lt;=SI([@[Fecha_Nueva_Programada]]&lt;&gt;"";[@[Fecha_Nueva_Programada]];[@[Fecha_Programada_Fin]]);"SÍ";"NO"))</f>
        <v/>
      </c>
      <c r="P303" s="14">
        <f>SI(O([@[Cumpli_Ingreso]]="";[@[Cumpli_Salida]]="");"";SI(Y([@[Cumpli_Ingreso]]="SÍ";[@[Cumpli_Salida]]="SÍ");"SÍ";"NO"))</f>
        <v/>
      </c>
      <c r="Q303" s="15">
        <f>SI(O([@[Fecha_Programada_Fin]]="";[@[Fecha_Cierre_Operativo]]="");"";MAX(0;ENTERO([@[Fecha_Cierre_Operativo]])-ENTERO(SI([@[Fecha_Nueva_Programada]]&lt;&gt;"";[@[Fecha_Nueva_Programada]];[@[Fecha_Programada_Fin]])))</f>
        <v/>
      </c>
      <c r="R303" s="12" t="n"/>
      <c r="S303" s="12" t="n"/>
      <c r="T303" s="13" t="n"/>
      <c r="U303" s="12" t="n">
        <v>15</v>
      </c>
      <c r="V303" s="12" t="n"/>
      <c r="W30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03" s="14">
        <f>SI([@SBAN]="";"";BUSCARV([@SBAN];Cronograma_Maestro!$A:$M;6;FALSO))</f>
        <v/>
      </c>
    </row>
    <row r="304">
      <c r="A304" s="11" t="inlineStr">
        <is>
          <t>2703</t>
        </is>
      </c>
      <c r="B304" s="12">
        <f>SI([@SBAN]="";"";BUSCARV([@SBAN];Cronograma_Maestro!$A:$M;2;FALSO))</f>
        <v/>
      </c>
      <c r="C304" s="12">
        <f>SI([@SBAN]="";"";BUSCARV([@SBAN];Cronograma_Maestro!$A:$M;3;FALSO))</f>
        <v/>
      </c>
      <c r="D304" s="12">
        <f>SI([@SBAN]="";"";BUSCARV([@SBAN];Cronograma_Maestro!$A:$M;4;FALSO))</f>
        <v/>
      </c>
      <c r="E304" s="12">
        <f>SI([@SBAN]="";"";BUSCARV([@SBAN];Cronograma_Maestro!$A:$M;5;FALSO))</f>
        <v/>
      </c>
      <c r="F304" s="12" t="inlineStr">
        <is>
          <t>MIGUEL ANGEL VEGA ARRIETA</t>
        </is>
      </c>
      <c r="G304" s="12" t="inlineStr">
        <is>
          <t>PMU COLSOF</t>
        </is>
      </c>
      <c r="H304" s="13" t="n">
        <v>46301</v>
      </c>
      <c r="I304" s="13" t="n">
        <v>46311</v>
      </c>
      <c r="J304" s="13" t="n"/>
      <c r="K304" s="13" t="n"/>
      <c r="L304" s="12" t="inlineStr">
        <is>
          <t>Programada</t>
        </is>
      </c>
      <c r="M304" s="13" t="n"/>
      <c r="N304" s="14">
        <f>SI(O([@[Fecha_Programada_Inicio]]="";[@[Fecha_Inicio_Real]]="");"";SI([@[Fecha_Inicio_Real]]&lt;=[@[Fecha_Programada_Inicio]];"SÍ";"NO"))</f>
        <v/>
      </c>
      <c r="O304" s="14">
        <f>SI(O([@[Fecha_Programada_Fin]]="";[@[Fecha_Cierre_Operativo]]="");"";SI([@[Fecha_Cierre_Operativo]]&lt;=SI([@[Fecha_Nueva_Programada]]&lt;&gt;"";[@[Fecha_Nueva_Programada]];[@[Fecha_Programada_Fin]]);"SÍ";"NO"))</f>
        <v/>
      </c>
      <c r="P304" s="14">
        <f>SI(O([@[Cumpli_Ingreso]]="";[@[Cumpli_Salida]]="");"";SI(Y([@[Cumpli_Ingreso]]="SÍ";[@[Cumpli_Salida]]="SÍ");"SÍ";"NO"))</f>
        <v/>
      </c>
      <c r="Q304" s="15">
        <f>SI(O([@[Fecha_Programada_Fin]]="";[@[Fecha_Cierre_Operativo]]="");"";MAX(0;ENTERO([@[Fecha_Cierre_Operativo]])-ENTERO(SI([@[Fecha_Nueva_Programada]]&lt;&gt;"";[@[Fecha_Nueva_Programada]];[@[Fecha_Programada_Fin]])))</f>
        <v/>
      </c>
      <c r="R304" s="12" t="n"/>
      <c r="S304" s="12" t="n"/>
      <c r="T304" s="13" t="n"/>
      <c r="U304" s="12" t="n">
        <v>52</v>
      </c>
      <c r="V304" s="12" t="n"/>
      <c r="W30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04" s="14">
        <f>SI([@SBAN]="";"";BUSCARV([@SBAN];Cronograma_Maestro!$A:$M;6;FALSO))</f>
        <v/>
      </c>
    </row>
    <row r="305">
      <c r="A305" s="11" t="inlineStr">
        <is>
          <t>2712</t>
        </is>
      </c>
      <c r="B305" s="12">
        <f>SI([@SBAN]="";"";BUSCARV([@SBAN];Cronograma_Maestro!$A:$M;2;FALSO))</f>
        <v/>
      </c>
      <c r="C305" s="12">
        <f>SI([@SBAN]="";"";BUSCARV([@SBAN];Cronograma_Maestro!$A:$M;3;FALSO))</f>
        <v/>
      </c>
      <c r="D305" s="12">
        <f>SI([@SBAN]="";"";BUSCARV([@SBAN];Cronograma_Maestro!$A:$M;4;FALSO))</f>
        <v/>
      </c>
      <c r="E305" s="12">
        <f>SI([@SBAN]="";"";BUSCARV([@SBAN];Cronograma_Maestro!$A:$M;5;FALSO))</f>
        <v/>
      </c>
      <c r="F305" s="12" t="inlineStr">
        <is>
          <t>Jorge Felipe Munive Medina</t>
        </is>
      </c>
      <c r="G305" s="12" t="inlineStr">
        <is>
          <t>PMU COLSOF</t>
        </is>
      </c>
      <c r="H305" s="13" t="n">
        <v>46266</v>
      </c>
      <c r="I305" s="13" t="n">
        <v>46266</v>
      </c>
      <c r="J305" s="13" t="n">
        <v>46266</v>
      </c>
      <c r="K305" s="13" t="n">
        <v>46266</v>
      </c>
      <c r="L305" s="12" t="inlineStr">
        <is>
          <t>Finalizada</t>
        </is>
      </c>
      <c r="M305" s="13" t="n"/>
      <c r="N305" s="14">
        <f>SI(O([@[Fecha_Programada_Inicio]]="";[@[Fecha_Inicio_Real]]="");"";SI([@[Fecha_Inicio_Real]]&lt;=[@[Fecha_Programada_Inicio]];"SÍ";"NO"))</f>
        <v/>
      </c>
      <c r="O305" s="14">
        <f>SI(O([@[Fecha_Programada_Fin]]="";[@[Fecha_Cierre_Operativo]]="");"";SI([@[Fecha_Cierre_Operativo]]&lt;=SI([@[Fecha_Nueva_Programada]]&lt;&gt;"";[@[Fecha_Nueva_Programada]];[@[Fecha_Programada_Fin]]);"SÍ";"NO"))</f>
        <v/>
      </c>
      <c r="P305" s="14">
        <f>SI(O([@[Cumpli_Ingreso]]="";[@[Cumpli_Salida]]="");"";SI(Y([@[Cumpli_Ingreso]]="SÍ";[@[Cumpli_Salida]]="SÍ");"SÍ";"NO"))</f>
        <v/>
      </c>
      <c r="Q305" s="15">
        <f>SI(O([@[Fecha_Programada_Fin]]="";[@[Fecha_Cierre_Operativo]]="");"";MAX(0;ENTERO([@[Fecha_Cierre_Operativo]])-ENTERO(SI([@[Fecha_Nueva_Programada]]&lt;&gt;"";[@[Fecha_Nueva_Programada]];[@[Fecha_Programada_Fin]])))</f>
        <v/>
      </c>
      <c r="R305" s="12" t="inlineStr">
        <is>
          <t>N/A - A Tiempo</t>
        </is>
      </c>
      <c r="S305" s="12" t="inlineStr">
        <is>
          <t>Pendiente Firma</t>
        </is>
      </c>
      <c r="T305" s="13" t="n"/>
      <c r="U305" s="12" t="n">
        <v>14</v>
      </c>
      <c r="V305" s="12" t="n"/>
      <c r="W30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05" s="14">
        <f>SI([@SBAN]="";"";BUSCARV([@SBAN];Cronograma_Maestro!$A:$M;6;FALSO))</f>
        <v/>
      </c>
    </row>
    <row r="306">
      <c r="A306" s="11" t="inlineStr">
        <is>
          <t>2715</t>
        </is>
      </c>
      <c r="B306" s="12">
        <f>SI([@SBAN]="";"";BUSCARV([@SBAN];Cronograma_Maestro!$A:$M;2;FALSO))</f>
        <v/>
      </c>
      <c r="C306" s="12">
        <f>SI([@SBAN]="";"";BUSCARV([@SBAN];Cronograma_Maestro!$A:$M;3;FALSO))</f>
        <v/>
      </c>
      <c r="D306" s="12">
        <f>SI([@SBAN]="";"";BUSCARV([@SBAN];Cronograma_Maestro!$A:$M;4;FALSO))</f>
        <v/>
      </c>
      <c r="E306" s="12">
        <f>SI([@SBAN]="";"";BUSCARV([@SBAN];Cronograma_Maestro!$A:$M;5;FALSO))</f>
        <v/>
      </c>
      <c r="F306" s="12" t="inlineStr">
        <is>
          <t>Jorge Felipe Munive Medina</t>
        </is>
      </c>
      <c r="G306" s="12" t="inlineStr">
        <is>
          <t>PMU COLSOF</t>
        </is>
      </c>
      <c r="H306" s="13" t="n">
        <v>46275</v>
      </c>
      <c r="I306" s="13" t="n">
        <v>46275</v>
      </c>
      <c r="J306" s="13" t="n"/>
      <c r="K306" s="13" t="n"/>
      <c r="L306" s="12" t="inlineStr">
        <is>
          <t>Programada</t>
        </is>
      </c>
      <c r="M306" s="13" t="n"/>
      <c r="N306" s="14">
        <f>SI(O([@[Fecha_Programada_Inicio]]="";[@[Fecha_Inicio_Real]]="");"";SI([@[Fecha_Inicio_Real]]&lt;=[@[Fecha_Programada_Inicio]];"SÍ";"NO"))</f>
        <v/>
      </c>
      <c r="O306" s="14">
        <f>SI(O([@[Fecha_Programada_Fin]]="";[@[Fecha_Cierre_Operativo]]="");"";SI([@[Fecha_Cierre_Operativo]]&lt;=SI([@[Fecha_Nueva_Programada]]&lt;&gt;"";[@[Fecha_Nueva_Programada]];[@[Fecha_Programada_Fin]]);"SÍ";"NO"))</f>
        <v/>
      </c>
      <c r="P306" s="14">
        <f>SI(O([@[Cumpli_Ingreso]]="";[@[Cumpli_Salida]]="");"";SI(Y([@[Cumpli_Ingreso]]="SÍ";[@[Cumpli_Salida]]="SÍ");"SÍ";"NO"))</f>
        <v/>
      </c>
      <c r="Q306" s="15">
        <f>SI(O([@[Fecha_Programada_Fin]]="";[@[Fecha_Cierre_Operativo]]="");"";MAX(0;ENTERO([@[Fecha_Cierre_Operativo]])-ENTERO(SI([@[Fecha_Nueva_Programada]]&lt;&gt;"";[@[Fecha_Nueva_Programada]];[@[Fecha_Programada_Fin]])))</f>
        <v/>
      </c>
      <c r="R306" s="12" t="n"/>
      <c r="S306" s="12" t="n"/>
      <c r="T306" s="13" t="n"/>
      <c r="U306" s="12" t="n">
        <v>25</v>
      </c>
      <c r="V306" s="12" t="n"/>
      <c r="W30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06" s="14">
        <f>SI([@SBAN]="";"";BUSCARV([@SBAN];Cronograma_Maestro!$A:$M;6;FALSO))</f>
        <v/>
      </c>
    </row>
    <row r="307">
      <c r="A307" s="11" t="inlineStr">
        <is>
          <t>2717</t>
        </is>
      </c>
      <c r="B307" s="12">
        <f>SI([@SBAN]="";"";BUSCARV([@SBAN];Cronograma_Maestro!$A:$M;2;FALSO))</f>
        <v/>
      </c>
      <c r="C307" s="12">
        <f>SI([@SBAN]="";"";BUSCARV([@SBAN];Cronograma_Maestro!$A:$M;3;FALSO))</f>
        <v/>
      </c>
      <c r="D307" s="12">
        <f>SI([@SBAN]="";"";BUSCARV([@SBAN];Cronograma_Maestro!$A:$M;4;FALSO))</f>
        <v/>
      </c>
      <c r="E307" s="12">
        <f>SI([@SBAN]="";"";BUSCARV([@SBAN];Cronograma_Maestro!$A:$M;5;FALSO))</f>
        <v/>
      </c>
      <c r="F307" s="12" t="inlineStr">
        <is>
          <t>Jhon Jairo Vergara Pelaez</t>
        </is>
      </c>
      <c r="G307" s="12" t="inlineStr">
        <is>
          <t>PMU COLSOF</t>
        </is>
      </c>
      <c r="H307" s="13" t="n">
        <v>46286</v>
      </c>
      <c r="I307" s="13" t="n">
        <v>46286</v>
      </c>
      <c r="J307" s="13" t="n"/>
      <c r="K307" s="13" t="n"/>
      <c r="L307" s="12" t="inlineStr">
        <is>
          <t>Programada</t>
        </is>
      </c>
      <c r="M307" s="13" t="n"/>
      <c r="N307" s="14">
        <f>SI(O([@[Fecha_Programada_Inicio]]="";[@[Fecha_Inicio_Real]]="");"";SI([@[Fecha_Inicio_Real]]&lt;=[@[Fecha_Programada_Inicio]];"SÍ";"NO"))</f>
        <v/>
      </c>
      <c r="O307" s="14">
        <f>SI(O([@[Fecha_Programada_Fin]]="";[@[Fecha_Cierre_Operativo]]="");"";SI([@[Fecha_Cierre_Operativo]]&lt;=SI([@[Fecha_Nueva_Programada]]&lt;&gt;"";[@[Fecha_Nueva_Programada]];[@[Fecha_Programada_Fin]]);"SÍ";"NO"))</f>
        <v/>
      </c>
      <c r="P307" s="14">
        <f>SI(O([@[Cumpli_Ingreso]]="";[@[Cumpli_Salida]]="");"";SI(Y([@[Cumpli_Ingreso]]="SÍ";[@[Cumpli_Salida]]="SÍ");"SÍ";"NO"))</f>
        <v/>
      </c>
      <c r="Q307" s="15">
        <f>SI(O([@[Fecha_Programada_Fin]]="";[@[Fecha_Cierre_Operativo]]="");"";MAX(0;ENTERO([@[Fecha_Cierre_Operativo]])-ENTERO(SI([@[Fecha_Nueva_Programada]]&lt;&gt;"";[@[Fecha_Nueva_Programada]];[@[Fecha_Programada_Fin]])))</f>
        <v/>
      </c>
      <c r="R307" s="12" t="n"/>
      <c r="S307" s="12" t="n"/>
      <c r="T307" s="13" t="n"/>
      <c r="U307" s="12" t="n">
        <v>12</v>
      </c>
      <c r="V307" s="12" t="n"/>
      <c r="W30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07" s="14">
        <f>SI([@SBAN]="";"";BUSCARV([@SBAN];Cronograma_Maestro!$A:$M;6;FALSO))</f>
        <v/>
      </c>
    </row>
    <row r="308">
      <c r="A308" s="11" t="inlineStr">
        <is>
          <t>2719</t>
        </is>
      </c>
      <c r="B308" s="12">
        <f>SI([@SBAN]="";"";BUSCARV([@SBAN];Cronograma_Maestro!$A:$M;2;FALSO))</f>
        <v/>
      </c>
      <c r="C308" s="12">
        <f>SI([@SBAN]="";"";BUSCARV([@SBAN];Cronograma_Maestro!$A:$M;3;FALSO))</f>
        <v/>
      </c>
      <c r="D308" s="12">
        <f>SI([@SBAN]="";"";BUSCARV([@SBAN];Cronograma_Maestro!$A:$M;4;FALSO))</f>
        <v/>
      </c>
      <c r="E308" s="12">
        <f>SI([@SBAN]="";"";BUSCARV([@SBAN];Cronograma_Maestro!$A:$M;5;FALSO))</f>
        <v/>
      </c>
      <c r="F308" s="12" t="inlineStr">
        <is>
          <t>Jorge Felipe Munive Medina</t>
        </is>
      </c>
      <c r="G308" s="12" t="inlineStr">
        <is>
          <t>PMU COLSOF</t>
        </is>
      </c>
      <c r="H308" s="13" t="n">
        <v>46272</v>
      </c>
      <c r="I308" s="13" t="n">
        <v>46272</v>
      </c>
      <c r="J308" s="13" t="n"/>
      <c r="K308" s="13" t="n"/>
      <c r="L308" s="12" t="inlineStr">
        <is>
          <t>Programada</t>
        </is>
      </c>
      <c r="M308" s="13" t="n"/>
      <c r="N308" s="14">
        <f>SI(O([@[Fecha_Programada_Inicio]]="";[@[Fecha_Inicio_Real]]="");"";SI([@[Fecha_Inicio_Real]]&lt;=[@[Fecha_Programada_Inicio]];"SÍ";"NO"))</f>
        <v/>
      </c>
      <c r="O308" s="14">
        <f>SI(O([@[Fecha_Programada_Fin]]="";[@[Fecha_Cierre_Operativo]]="");"";SI([@[Fecha_Cierre_Operativo]]&lt;=SI([@[Fecha_Nueva_Programada]]&lt;&gt;"";[@[Fecha_Nueva_Programada]];[@[Fecha_Programada_Fin]]);"SÍ";"NO"))</f>
        <v/>
      </c>
      <c r="P308" s="14">
        <f>SI(O([@[Cumpli_Ingreso]]="";[@[Cumpli_Salida]]="");"";SI(Y([@[Cumpli_Ingreso]]="SÍ";[@[Cumpli_Salida]]="SÍ");"SÍ";"NO"))</f>
        <v/>
      </c>
      <c r="Q308" s="15">
        <f>SI(O([@[Fecha_Programada_Fin]]="";[@[Fecha_Cierre_Operativo]]="");"";MAX(0;ENTERO([@[Fecha_Cierre_Operativo]])-ENTERO(SI([@[Fecha_Nueva_Programada]]&lt;&gt;"";[@[Fecha_Nueva_Programada]];[@[Fecha_Programada_Fin]])))</f>
        <v/>
      </c>
      <c r="R308" s="12" t="n"/>
      <c r="S308" s="12" t="n"/>
      <c r="T308" s="13" t="n"/>
      <c r="U308" s="12" t="n">
        <v>18</v>
      </c>
      <c r="V308" s="12" t="n"/>
      <c r="W30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08" s="14">
        <f>SI([@SBAN]="";"";BUSCARV([@SBAN];Cronograma_Maestro!$A:$M;6;FALSO))</f>
        <v/>
      </c>
    </row>
    <row r="309">
      <c r="A309" s="11" t="inlineStr">
        <is>
          <t>2721</t>
        </is>
      </c>
      <c r="B309" s="12">
        <f>SI([@SBAN]="";"";BUSCARV([@SBAN];Cronograma_Maestro!$A:$M;2;FALSO))</f>
        <v/>
      </c>
      <c r="C309" s="12">
        <f>SI([@SBAN]="";"";BUSCARV([@SBAN];Cronograma_Maestro!$A:$M;3;FALSO))</f>
        <v/>
      </c>
      <c r="D309" s="12">
        <f>SI([@SBAN]="";"";BUSCARV([@SBAN];Cronograma_Maestro!$A:$M;4;FALSO))</f>
        <v/>
      </c>
      <c r="E309" s="12">
        <f>SI([@SBAN]="";"";BUSCARV([@SBAN];Cronograma_Maestro!$A:$M;5;FALSO))</f>
        <v/>
      </c>
      <c r="F309" s="12" t="inlineStr">
        <is>
          <t>Dimar Jose Morelo Cardona</t>
        </is>
      </c>
      <c r="G309" s="12" t="inlineStr">
        <is>
          <t>PMU COLSOF</t>
        </is>
      </c>
      <c r="H309" s="13" t="n">
        <v>46275</v>
      </c>
      <c r="I309" s="13" t="n">
        <v>46275</v>
      </c>
      <c r="J309" s="13" t="n"/>
      <c r="K309" s="13" t="n"/>
      <c r="L309" s="12" t="inlineStr">
        <is>
          <t>Programada</t>
        </is>
      </c>
      <c r="M309" s="13" t="n"/>
      <c r="N309" s="14">
        <f>SI(O([@[Fecha_Programada_Inicio]]="";[@[Fecha_Inicio_Real]]="");"";SI([@[Fecha_Inicio_Real]]&lt;=[@[Fecha_Programada_Inicio]];"SÍ";"NO"))</f>
        <v/>
      </c>
      <c r="O309" s="14">
        <f>SI(O([@[Fecha_Programada_Fin]]="";[@[Fecha_Cierre_Operativo]]="");"";SI([@[Fecha_Cierre_Operativo]]&lt;=SI([@[Fecha_Nueva_Programada]]&lt;&gt;"";[@[Fecha_Nueva_Programada]];[@[Fecha_Programada_Fin]]);"SÍ";"NO"))</f>
        <v/>
      </c>
      <c r="P309" s="14">
        <f>SI(O([@[Cumpli_Ingreso]]="";[@[Cumpli_Salida]]="");"";SI(Y([@[Cumpli_Ingreso]]="SÍ";[@[Cumpli_Salida]]="SÍ");"SÍ";"NO"))</f>
        <v/>
      </c>
      <c r="Q309" s="15">
        <f>SI(O([@[Fecha_Programada_Fin]]="";[@[Fecha_Cierre_Operativo]]="");"";MAX(0;ENTERO([@[Fecha_Cierre_Operativo]])-ENTERO(SI([@[Fecha_Nueva_Programada]]&lt;&gt;"";[@[Fecha_Nueva_Programada]];[@[Fecha_Programada_Fin]])))</f>
        <v/>
      </c>
      <c r="R309" s="12" t="n"/>
      <c r="S309" s="12" t="n"/>
      <c r="T309" s="13" t="n"/>
      <c r="U309" s="12" t="n">
        <v>13</v>
      </c>
      <c r="V309" s="12" t="n"/>
      <c r="W30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09" s="14">
        <f>SI([@SBAN]="";"";BUSCARV([@SBAN];Cronograma_Maestro!$A:$M;6;FALSO))</f>
        <v/>
      </c>
    </row>
    <row r="310">
      <c r="A310" s="11" t="inlineStr">
        <is>
          <t>2730</t>
        </is>
      </c>
      <c r="B310" s="12">
        <f>SI([@SBAN]="";"";BUSCARV([@SBAN];Cronograma_Maestro!$A:$M;2;FALSO))</f>
        <v/>
      </c>
      <c r="C310" s="12">
        <f>SI([@SBAN]="";"";BUSCARV([@SBAN];Cronograma_Maestro!$A:$M;3;FALSO))</f>
        <v/>
      </c>
      <c r="D310" s="12">
        <f>SI([@SBAN]="";"";BUSCARV([@SBAN];Cronograma_Maestro!$A:$M;4;FALSO))</f>
        <v/>
      </c>
      <c r="E310" s="12">
        <f>SI([@SBAN]="";"";BUSCARV([@SBAN];Cronograma_Maestro!$A:$M;5;FALSO))</f>
        <v/>
      </c>
      <c r="F310" s="12" t="inlineStr">
        <is>
          <t>Jorge Felipe Munive Medina</t>
        </is>
      </c>
      <c r="G310" s="12" t="inlineStr">
        <is>
          <t>PMU COLSOF</t>
        </is>
      </c>
      <c r="H310" s="13" t="n">
        <v>46274</v>
      </c>
      <c r="I310" s="13" t="n">
        <v>46274</v>
      </c>
      <c r="J310" s="13" t="n"/>
      <c r="K310" s="13" t="n"/>
      <c r="L310" s="12" t="inlineStr">
        <is>
          <t>Programada</t>
        </is>
      </c>
      <c r="M310" s="13" t="n"/>
      <c r="N310" s="14">
        <f>SI(O([@[Fecha_Programada_Inicio]]="";[@[Fecha_Inicio_Real]]="");"";SI([@[Fecha_Inicio_Real]]&lt;=[@[Fecha_Programada_Inicio]];"SÍ";"NO"))</f>
        <v/>
      </c>
      <c r="O310" s="14">
        <f>SI(O([@[Fecha_Programada_Fin]]="";[@[Fecha_Cierre_Operativo]]="");"";SI([@[Fecha_Cierre_Operativo]]&lt;=SI([@[Fecha_Nueva_Programada]]&lt;&gt;"";[@[Fecha_Nueva_Programada]];[@[Fecha_Programada_Fin]]);"SÍ";"NO"))</f>
        <v/>
      </c>
      <c r="P310" s="14">
        <f>SI(O([@[Cumpli_Ingreso]]="";[@[Cumpli_Salida]]="");"";SI(Y([@[Cumpli_Ingreso]]="SÍ";[@[Cumpli_Salida]]="SÍ");"SÍ";"NO"))</f>
        <v/>
      </c>
      <c r="Q310" s="15">
        <f>SI(O([@[Fecha_Programada_Fin]]="";[@[Fecha_Cierre_Operativo]]="");"";MAX(0;ENTERO([@[Fecha_Cierre_Operativo]])-ENTERO(SI([@[Fecha_Nueva_Programada]]&lt;&gt;"";[@[Fecha_Nueva_Programada]];[@[Fecha_Programada_Fin]])))</f>
        <v/>
      </c>
      <c r="R310" s="12" t="n"/>
      <c r="S310" s="12" t="n"/>
      <c r="T310" s="13" t="n"/>
      <c r="U310" s="12" t="n">
        <v>12</v>
      </c>
      <c r="V310" s="12" t="n"/>
      <c r="W31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10" s="14">
        <f>SI([@SBAN]="";"";BUSCARV([@SBAN];Cronograma_Maestro!$A:$M;6;FALSO))</f>
        <v/>
      </c>
    </row>
    <row r="311">
      <c r="A311" s="11" t="inlineStr">
        <is>
          <t>2745</t>
        </is>
      </c>
      <c r="B311" s="12">
        <f>SI([@SBAN]="";"";BUSCARV([@SBAN];Cronograma_Maestro!$A:$M;2;FALSO))</f>
        <v/>
      </c>
      <c r="C311" s="12">
        <f>SI([@SBAN]="";"";BUSCARV([@SBAN];Cronograma_Maestro!$A:$M;3;FALSO))</f>
        <v/>
      </c>
      <c r="D311" s="12">
        <f>SI([@SBAN]="";"";BUSCARV([@SBAN];Cronograma_Maestro!$A:$M;4;FALSO))</f>
        <v/>
      </c>
      <c r="E311" s="12">
        <f>SI([@SBAN]="";"";BUSCARV([@SBAN];Cronograma_Maestro!$A:$M;5;FALSO))</f>
        <v/>
      </c>
      <c r="F311" s="12" t="inlineStr">
        <is>
          <t>Dimar Jose Morelo Cardona</t>
        </is>
      </c>
      <c r="G311" s="12" t="inlineStr">
        <is>
          <t>PMU COLSOF</t>
        </is>
      </c>
      <c r="H311" s="13" t="n">
        <v>46267</v>
      </c>
      <c r="I311" s="13" t="n">
        <v>46267</v>
      </c>
      <c r="J311" s="13" t="n"/>
      <c r="K311" s="13" t="n"/>
      <c r="L311" s="12" t="inlineStr">
        <is>
          <t>Programada</t>
        </is>
      </c>
      <c r="M311" s="13" t="n"/>
      <c r="N311" s="14">
        <f>SI(O([@[Fecha_Programada_Inicio]]="";[@[Fecha_Inicio_Real]]="");"";SI([@[Fecha_Inicio_Real]]&lt;=[@[Fecha_Programada_Inicio]];"SÍ";"NO"))</f>
        <v/>
      </c>
      <c r="O311" s="14">
        <f>SI(O([@[Fecha_Programada_Fin]]="";[@[Fecha_Cierre_Operativo]]="");"";SI([@[Fecha_Cierre_Operativo]]&lt;=SI([@[Fecha_Nueva_Programada]]&lt;&gt;"";[@[Fecha_Nueva_Programada]];[@[Fecha_Programada_Fin]]);"SÍ";"NO"))</f>
        <v/>
      </c>
      <c r="P311" s="14">
        <f>SI(O([@[Cumpli_Ingreso]]="";[@[Cumpli_Salida]]="");"";SI(Y([@[Cumpli_Ingreso]]="SÍ";[@[Cumpli_Salida]]="SÍ");"SÍ";"NO"))</f>
        <v/>
      </c>
      <c r="Q311" s="15">
        <f>SI(O([@[Fecha_Programada_Fin]]="";[@[Fecha_Cierre_Operativo]]="");"";MAX(0;ENTERO([@[Fecha_Cierre_Operativo]])-ENTERO(SI([@[Fecha_Nueva_Programada]]&lt;&gt;"";[@[Fecha_Nueva_Programada]];[@[Fecha_Programada_Fin]])))</f>
        <v/>
      </c>
      <c r="R311" s="12" t="n"/>
      <c r="S311" s="12" t="n"/>
      <c r="T311" s="13" t="n"/>
      <c r="U311" s="12" t="n">
        <v>24</v>
      </c>
      <c r="V311" s="12" t="n"/>
      <c r="W31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11" s="14">
        <f>SI([@SBAN]="";"";BUSCARV([@SBAN];Cronograma_Maestro!$A:$M;6;FALSO))</f>
        <v/>
      </c>
    </row>
    <row r="312">
      <c r="A312" s="11" t="inlineStr">
        <is>
          <t>2747</t>
        </is>
      </c>
      <c r="B312" s="12">
        <f>SI([@SBAN]="";"";BUSCARV([@SBAN];Cronograma_Maestro!$A:$M;2;FALSO))</f>
        <v/>
      </c>
      <c r="C312" s="12">
        <f>SI([@SBAN]="";"";BUSCARV([@SBAN];Cronograma_Maestro!$A:$M;3;FALSO))</f>
        <v/>
      </c>
      <c r="D312" s="12">
        <f>SI([@SBAN]="";"";BUSCARV([@SBAN];Cronograma_Maestro!$A:$M;4;FALSO))</f>
        <v/>
      </c>
      <c r="E312" s="12">
        <f>SI([@SBAN]="";"";BUSCARV([@SBAN];Cronograma_Maestro!$A:$M;5;FALSO))</f>
        <v/>
      </c>
      <c r="F312" s="12" t="inlineStr">
        <is>
          <t>Jhon Jairo Vergara Pelaez</t>
        </is>
      </c>
      <c r="G312" s="12" t="inlineStr">
        <is>
          <t>PMU COLSOF</t>
        </is>
      </c>
      <c r="H312" s="13" t="n">
        <v>46287</v>
      </c>
      <c r="I312" s="13" t="n">
        <v>46287</v>
      </c>
      <c r="J312" s="13" t="n"/>
      <c r="K312" s="13" t="n"/>
      <c r="L312" s="12" t="inlineStr">
        <is>
          <t>Programada</t>
        </is>
      </c>
      <c r="M312" s="13" t="n"/>
      <c r="N312" s="14">
        <f>SI(O([@[Fecha_Programada_Inicio]]="";[@[Fecha_Inicio_Real]]="");"";SI([@[Fecha_Inicio_Real]]&lt;=[@[Fecha_Programada_Inicio]];"SÍ";"NO"))</f>
        <v/>
      </c>
      <c r="O312" s="14">
        <f>SI(O([@[Fecha_Programada_Fin]]="";[@[Fecha_Cierre_Operativo]]="");"";SI([@[Fecha_Cierre_Operativo]]&lt;=SI([@[Fecha_Nueva_Programada]]&lt;&gt;"";[@[Fecha_Nueva_Programada]];[@[Fecha_Programada_Fin]]);"SÍ";"NO"))</f>
        <v/>
      </c>
      <c r="P312" s="14">
        <f>SI(O([@[Cumpli_Ingreso]]="";[@[Cumpli_Salida]]="");"";SI(Y([@[Cumpli_Ingreso]]="SÍ";[@[Cumpli_Salida]]="SÍ");"SÍ";"NO"))</f>
        <v/>
      </c>
      <c r="Q312" s="15">
        <f>SI(O([@[Fecha_Programada_Fin]]="";[@[Fecha_Cierre_Operativo]]="");"";MAX(0;ENTERO([@[Fecha_Cierre_Operativo]])-ENTERO(SI([@[Fecha_Nueva_Programada]]&lt;&gt;"";[@[Fecha_Nueva_Programada]];[@[Fecha_Programada_Fin]])))</f>
        <v/>
      </c>
      <c r="R312" s="12" t="n"/>
      <c r="S312" s="12" t="n"/>
      <c r="T312" s="13" t="n"/>
      <c r="U312" s="12" t="n">
        <v>12</v>
      </c>
      <c r="V312" s="12" t="n"/>
      <c r="W31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12" s="14">
        <f>SI([@SBAN]="";"";BUSCARV([@SBAN];Cronograma_Maestro!$A:$M;6;FALSO))</f>
        <v/>
      </c>
    </row>
    <row r="313">
      <c r="A313" s="11" t="inlineStr">
        <is>
          <t>2750</t>
        </is>
      </c>
      <c r="B313" s="12">
        <f>SI([@SBAN]="";"";BUSCARV([@SBAN];Cronograma_Maestro!$A:$M;2;FALSO))</f>
        <v/>
      </c>
      <c r="C313" s="12">
        <f>SI([@SBAN]="";"";BUSCARV([@SBAN];Cronograma_Maestro!$A:$M;3;FALSO))</f>
        <v/>
      </c>
      <c r="D313" s="12">
        <f>SI([@SBAN]="";"";BUSCARV([@SBAN];Cronograma_Maestro!$A:$M;4;FALSO))</f>
        <v/>
      </c>
      <c r="E313" s="12">
        <f>SI([@SBAN]="";"";BUSCARV([@SBAN];Cronograma_Maestro!$A:$M;5;FALSO))</f>
        <v/>
      </c>
      <c r="F313" s="12" t="inlineStr">
        <is>
          <t>Dimar Jose Morelo Cardona</t>
        </is>
      </c>
      <c r="G313" s="12" t="inlineStr">
        <is>
          <t>PMU COLSOF</t>
        </is>
      </c>
      <c r="H313" s="13" t="n">
        <v>46274</v>
      </c>
      <c r="I313" s="13" t="n">
        <v>46274</v>
      </c>
      <c r="J313" s="13" t="n"/>
      <c r="K313" s="13" t="n"/>
      <c r="L313" s="12" t="inlineStr">
        <is>
          <t>Programada</t>
        </is>
      </c>
      <c r="M313" s="13" t="n"/>
      <c r="N313" s="14">
        <f>SI(O([@[Fecha_Programada_Inicio]]="";[@[Fecha_Inicio_Real]]="");"";SI([@[Fecha_Inicio_Real]]&lt;=[@[Fecha_Programada_Inicio]];"SÍ";"NO"))</f>
        <v/>
      </c>
      <c r="O313" s="14">
        <f>SI(O([@[Fecha_Programada_Fin]]="";[@[Fecha_Cierre_Operativo]]="");"";SI([@[Fecha_Cierre_Operativo]]&lt;=SI([@[Fecha_Nueva_Programada]]&lt;&gt;"";[@[Fecha_Nueva_Programada]];[@[Fecha_Programada_Fin]]);"SÍ";"NO"))</f>
        <v/>
      </c>
      <c r="P313" s="14">
        <f>SI(O([@[Cumpli_Ingreso]]="";[@[Cumpli_Salida]]="");"";SI(Y([@[Cumpli_Ingreso]]="SÍ";[@[Cumpli_Salida]]="SÍ");"SÍ";"NO"))</f>
        <v/>
      </c>
      <c r="Q313" s="15">
        <f>SI(O([@[Fecha_Programada_Fin]]="";[@[Fecha_Cierre_Operativo]]="");"";MAX(0;ENTERO([@[Fecha_Cierre_Operativo]])-ENTERO(SI([@[Fecha_Nueva_Programada]]&lt;&gt;"";[@[Fecha_Nueva_Programada]];[@[Fecha_Programada_Fin]])))</f>
        <v/>
      </c>
      <c r="R313" s="12" t="n"/>
      <c r="S313" s="12" t="n"/>
      <c r="T313" s="13" t="n"/>
      <c r="U313" s="12" t="n">
        <v>12</v>
      </c>
      <c r="V313" s="12" t="n"/>
      <c r="W31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13" s="14">
        <f>SI([@SBAN]="";"";BUSCARV([@SBAN];Cronograma_Maestro!$A:$M;6;FALSO))</f>
        <v/>
      </c>
    </row>
    <row r="314">
      <c r="A314" s="11" t="inlineStr">
        <is>
          <t>2752</t>
        </is>
      </c>
      <c r="B314" s="12">
        <f>SI([@SBAN]="";"";BUSCARV([@SBAN];Cronograma_Maestro!$A:$M;2;FALSO))</f>
        <v/>
      </c>
      <c r="C314" s="12">
        <f>SI([@SBAN]="";"";BUSCARV([@SBAN];Cronograma_Maestro!$A:$M;3;FALSO))</f>
        <v/>
      </c>
      <c r="D314" s="12">
        <f>SI([@SBAN]="";"";BUSCARV([@SBAN];Cronograma_Maestro!$A:$M;4;FALSO))</f>
        <v/>
      </c>
      <c r="E314" s="12">
        <f>SI([@SBAN]="";"";BUSCARV([@SBAN];Cronograma_Maestro!$A:$M;5;FALSO))</f>
        <v/>
      </c>
      <c r="F314" s="12" t="inlineStr">
        <is>
          <t>Jhon Jairo Vergara Pelaez</t>
        </is>
      </c>
      <c r="G314" s="12" t="inlineStr">
        <is>
          <t>PMU COLSOF</t>
        </is>
      </c>
      <c r="H314" s="13" t="n">
        <v>46280</v>
      </c>
      <c r="I314" s="13" t="n">
        <v>46280</v>
      </c>
      <c r="J314" s="13" t="n"/>
      <c r="K314" s="13" t="n"/>
      <c r="L314" s="12" t="inlineStr">
        <is>
          <t>Programada</t>
        </is>
      </c>
      <c r="M314" s="13" t="n"/>
      <c r="N314" s="14">
        <f>SI(O([@[Fecha_Programada_Inicio]]="";[@[Fecha_Inicio_Real]]="");"";SI([@[Fecha_Inicio_Real]]&lt;=[@[Fecha_Programada_Inicio]];"SÍ";"NO"))</f>
        <v/>
      </c>
      <c r="O314" s="14">
        <f>SI(O([@[Fecha_Programada_Fin]]="";[@[Fecha_Cierre_Operativo]]="");"";SI([@[Fecha_Cierre_Operativo]]&lt;=SI([@[Fecha_Nueva_Programada]]&lt;&gt;"";[@[Fecha_Nueva_Programada]];[@[Fecha_Programada_Fin]]);"SÍ";"NO"))</f>
        <v/>
      </c>
      <c r="P314" s="14">
        <f>SI(O([@[Cumpli_Ingreso]]="";[@[Cumpli_Salida]]="");"";SI(Y([@[Cumpli_Ingreso]]="SÍ";[@[Cumpli_Salida]]="SÍ");"SÍ";"NO"))</f>
        <v/>
      </c>
      <c r="Q314" s="15">
        <f>SI(O([@[Fecha_Programada_Fin]]="";[@[Fecha_Cierre_Operativo]]="");"";MAX(0;ENTERO([@[Fecha_Cierre_Operativo]])-ENTERO(SI([@[Fecha_Nueva_Programada]]&lt;&gt;"";[@[Fecha_Nueva_Programada]];[@[Fecha_Programada_Fin]])))</f>
        <v/>
      </c>
      <c r="R314" s="12" t="n"/>
      <c r="S314" s="12" t="n"/>
      <c r="T314" s="13" t="n"/>
      <c r="U314" s="12" t="n">
        <v>30</v>
      </c>
      <c r="V314" s="12" t="n"/>
      <c r="W31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14" s="14">
        <f>SI([@SBAN]="";"";BUSCARV([@SBAN];Cronograma_Maestro!$A:$M;6;FALSO))</f>
        <v/>
      </c>
    </row>
    <row r="315">
      <c r="A315" s="11" t="inlineStr">
        <is>
          <t>2754</t>
        </is>
      </c>
      <c r="B315" s="12">
        <f>SI([@SBAN]="";"";BUSCARV([@SBAN];Cronograma_Maestro!$A:$M;2;FALSO))</f>
        <v/>
      </c>
      <c r="C315" s="12">
        <f>SI([@SBAN]="";"";BUSCARV([@SBAN];Cronograma_Maestro!$A:$M;3;FALSO))</f>
        <v/>
      </c>
      <c r="D315" s="12">
        <f>SI([@SBAN]="";"";BUSCARV([@SBAN];Cronograma_Maestro!$A:$M;4;FALSO))</f>
        <v/>
      </c>
      <c r="E315" s="12">
        <f>SI([@SBAN]="";"";BUSCARV([@SBAN];Cronograma_Maestro!$A:$M;5;FALSO))</f>
        <v/>
      </c>
      <c r="F315" s="12" t="inlineStr">
        <is>
          <t>Dimar Jose Morelo Cardona</t>
        </is>
      </c>
      <c r="G315" s="12" t="inlineStr">
        <is>
          <t>PMU COLSOF</t>
        </is>
      </c>
      <c r="H315" s="13" t="n">
        <v>46273</v>
      </c>
      <c r="I315" s="13" t="n">
        <v>46273</v>
      </c>
      <c r="J315" s="13" t="n"/>
      <c r="K315" s="13" t="n"/>
      <c r="L315" s="12" t="inlineStr">
        <is>
          <t>Programada</t>
        </is>
      </c>
      <c r="M315" s="13" t="n"/>
      <c r="N315" s="14">
        <f>SI(O([@[Fecha_Programada_Inicio]]="";[@[Fecha_Inicio_Real]]="");"";SI([@[Fecha_Inicio_Real]]&lt;=[@[Fecha_Programada_Inicio]];"SÍ";"NO"))</f>
        <v/>
      </c>
      <c r="O315" s="14">
        <f>SI(O([@[Fecha_Programada_Fin]]="";[@[Fecha_Cierre_Operativo]]="");"";SI([@[Fecha_Cierre_Operativo]]&lt;=SI([@[Fecha_Nueva_Programada]]&lt;&gt;"";[@[Fecha_Nueva_Programada]];[@[Fecha_Programada_Fin]]);"SÍ";"NO"))</f>
        <v/>
      </c>
      <c r="P315" s="14">
        <f>SI(O([@[Cumpli_Ingreso]]="";[@[Cumpli_Salida]]="");"";SI(Y([@[Cumpli_Ingreso]]="SÍ";[@[Cumpli_Salida]]="SÍ");"SÍ";"NO"))</f>
        <v/>
      </c>
      <c r="Q315" s="15">
        <f>SI(O([@[Fecha_Programada_Fin]]="";[@[Fecha_Cierre_Operativo]]="");"";MAX(0;ENTERO([@[Fecha_Cierre_Operativo]])-ENTERO(SI([@[Fecha_Nueva_Programada]]&lt;&gt;"";[@[Fecha_Nueva_Programada]];[@[Fecha_Programada_Fin]])))</f>
        <v/>
      </c>
      <c r="R315" s="12" t="n"/>
      <c r="S315" s="12" t="n"/>
      <c r="T315" s="13" t="n"/>
      <c r="U315" s="12" t="n">
        <v>12</v>
      </c>
      <c r="V315" s="12" t="n"/>
      <c r="W31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15" s="14">
        <f>SI([@SBAN]="";"";BUSCARV([@SBAN];Cronograma_Maestro!$A:$M;6;FALSO))</f>
        <v/>
      </c>
    </row>
    <row r="316">
      <c r="A316" s="11" t="inlineStr">
        <is>
          <t>2757</t>
        </is>
      </c>
      <c r="B316" s="12">
        <f>SI([@SBAN]="";"";BUSCARV([@SBAN];Cronograma_Maestro!$A:$M;2;FALSO))</f>
        <v/>
      </c>
      <c r="C316" s="12">
        <f>SI([@SBAN]="";"";BUSCARV([@SBAN];Cronograma_Maestro!$A:$M;3;FALSO))</f>
        <v/>
      </c>
      <c r="D316" s="12">
        <f>SI([@SBAN]="";"";BUSCARV([@SBAN];Cronograma_Maestro!$A:$M;4;FALSO))</f>
        <v/>
      </c>
      <c r="E316" s="12">
        <f>SI([@SBAN]="";"";BUSCARV([@SBAN];Cronograma_Maestro!$A:$M;5;FALSO))</f>
        <v/>
      </c>
      <c r="F316" s="12" t="inlineStr">
        <is>
          <t>Jhon Jairo Vergara Pelaez</t>
        </is>
      </c>
      <c r="G316" s="12" t="inlineStr">
        <is>
          <t>PMU COLSOF</t>
        </is>
      </c>
      <c r="H316" s="13" t="n">
        <v>46289</v>
      </c>
      <c r="I316" s="13" t="n">
        <v>46289</v>
      </c>
      <c r="J316" s="13" t="n"/>
      <c r="K316" s="13" t="n"/>
      <c r="L316" s="12" t="inlineStr">
        <is>
          <t>Programada</t>
        </is>
      </c>
      <c r="M316" s="13" t="n"/>
      <c r="N316" s="14">
        <f>SI(O([@[Fecha_Programada_Inicio]]="";[@[Fecha_Inicio_Real]]="");"";SI([@[Fecha_Inicio_Real]]&lt;=[@[Fecha_Programada_Inicio]];"SÍ";"NO"))</f>
        <v/>
      </c>
      <c r="O316" s="14">
        <f>SI(O([@[Fecha_Programada_Fin]]="";[@[Fecha_Cierre_Operativo]]="");"";SI([@[Fecha_Cierre_Operativo]]&lt;=SI([@[Fecha_Nueva_Programada]]&lt;&gt;"";[@[Fecha_Nueva_Programada]];[@[Fecha_Programada_Fin]]);"SÍ";"NO"))</f>
        <v/>
      </c>
      <c r="P316" s="14">
        <f>SI(O([@[Cumpli_Ingreso]]="";[@[Cumpli_Salida]]="");"";SI(Y([@[Cumpli_Ingreso]]="SÍ";[@[Cumpli_Salida]]="SÍ");"SÍ";"NO"))</f>
        <v/>
      </c>
      <c r="Q316" s="15">
        <f>SI(O([@[Fecha_Programada_Fin]]="";[@[Fecha_Cierre_Operativo]]="");"";MAX(0;ENTERO([@[Fecha_Cierre_Operativo]])-ENTERO(SI([@[Fecha_Nueva_Programada]]&lt;&gt;"";[@[Fecha_Nueva_Programada]];[@[Fecha_Programada_Fin]])))</f>
        <v/>
      </c>
      <c r="R316" s="12" t="n"/>
      <c r="S316" s="12" t="n"/>
      <c r="T316" s="13" t="n"/>
      <c r="U316" s="12" t="n">
        <v>14</v>
      </c>
      <c r="V316" s="12" t="n"/>
      <c r="W31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16" s="14">
        <f>SI([@SBAN]="";"";BUSCARV([@SBAN];Cronograma_Maestro!$A:$M;6;FALSO))</f>
        <v/>
      </c>
    </row>
    <row r="317">
      <c r="A317" s="11" t="inlineStr">
        <is>
          <t>2765</t>
        </is>
      </c>
      <c r="B317" s="12">
        <f>SI([@SBAN]="";"";BUSCARV([@SBAN];Cronograma_Maestro!$A:$M;2;FALSO))</f>
        <v/>
      </c>
      <c r="C317" s="12">
        <f>SI([@SBAN]="";"";BUSCARV([@SBAN];Cronograma_Maestro!$A:$M;3;FALSO))</f>
        <v/>
      </c>
      <c r="D317" s="12">
        <f>SI([@SBAN]="";"";BUSCARV([@SBAN];Cronograma_Maestro!$A:$M;4;FALSO))</f>
        <v/>
      </c>
      <c r="E317" s="12">
        <f>SI([@SBAN]="";"";BUSCARV([@SBAN];Cronograma_Maestro!$A:$M;5;FALSO))</f>
        <v/>
      </c>
      <c r="F317" s="12" t="inlineStr">
        <is>
          <t>Jorge Felipe Munive Medina</t>
        </is>
      </c>
      <c r="G317" s="12" t="inlineStr">
        <is>
          <t>PMU COLSOF</t>
        </is>
      </c>
      <c r="H317" s="13" t="n">
        <v>46267</v>
      </c>
      <c r="I317" s="13" t="n">
        <v>46267</v>
      </c>
      <c r="J317" s="13" t="n"/>
      <c r="K317" s="13" t="n"/>
      <c r="L317" s="12" t="inlineStr">
        <is>
          <t>Programada</t>
        </is>
      </c>
      <c r="M317" s="13" t="n"/>
      <c r="N317" s="14">
        <f>SI(O([@[Fecha_Programada_Inicio]]="";[@[Fecha_Inicio_Real]]="");"";SI([@[Fecha_Inicio_Real]]&lt;=[@[Fecha_Programada_Inicio]];"SÍ";"NO"))</f>
        <v/>
      </c>
      <c r="O317" s="14">
        <f>SI(O([@[Fecha_Programada_Fin]]="";[@[Fecha_Cierre_Operativo]]="");"";SI([@[Fecha_Cierre_Operativo]]&lt;=SI([@[Fecha_Nueva_Programada]]&lt;&gt;"";[@[Fecha_Nueva_Programada]];[@[Fecha_Programada_Fin]]);"SÍ";"NO"))</f>
        <v/>
      </c>
      <c r="P317" s="14">
        <f>SI(O([@[Cumpli_Ingreso]]="";[@[Cumpli_Salida]]="");"";SI(Y([@[Cumpli_Ingreso]]="SÍ";[@[Cumpli_Salida]]="SÍ");"SÍ";"NO"))</f>
        <v/>
      </c>
      <c r="Q317" s="15">
        <f>SI(O([@[Fecha_Programada_Fin]]="";[@[Fecha_Cierre_Operativo]]="");"";MAX(0;ENTERO([@[Fecha_Cierre_Operativo]])-ENTERO(SI([@[Fecha_Nueva_Programada]]&lt;&gt;"";[@[Fecha_Nueva_Programada]];[@[Fecha_Programada_Fin]])))</f>
        <v/>
      </c>
      <c r="R317" s="12" t="n"/>
      <c r="S317" s="12" t="n"/>
      <c r="T317" s="13" t="n"/>
      <c r="U317" s="12" t="n">
        <v>28</v>
      </c>
      <c r="V317" s="12" t="n"/>
      <c r="W31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17" s="14">
        <f>SI([@SBAN]="";"";BUSCARV([@SBAN];Cronograma_Maestro!$A:$M;6;FALSO))</f>
        <v/>
      </c>
    </row>
    <row r="318">
      <c r="A318" s="11" t="inlineStr">
        <is>
          <t>2767</t>
        </is>
      </c>
      <c r="B318" s="12">
        <f>SI([@SBAN]="";"";BUSCARV([@SBAN];Cronograma_Maestro!$A:$M;2;FALSO))</f>
        <v/>
      </c>
      <c r="C318" s="12">
        <f>SI([@SBAN]="";"";BUSCARV([@SBAN];Cronograma_Maestro!$A:$M;3;FALSO))</f>
        <v/>
      </c>
      <c r="D318" s="12">
        <f>SI([@SBAN]="";"";BUSCARV([@SBAN];Cronograma_Maestro!$A:$M;4;FALSO))</f>
        <v/>
      </c>
      <c r="E318" s="12">
        <f>SI([@SBAN]="";"";BUSCARV([@SBAN];Cronograma_Maestro!$A:$M;5;FALSO))</f>
        <v/>
      </c>
      <c r="F318" s="12" t="inlineStr">
        <is>
          <t>Jorge Felipe Munive Medina</t>
        </is>
      </c>
      <c r="G318" s="12" t="inlineStr">
        <is>
          <t>PMU COLSOF</t>
        </is>
      </c>
      <c r="H318" s="13" t="n">
        <v>46268</v>
      </c>
      <c r="I318" s="13" t="n">
        <v>46268</v>
      </c>
      <c r="J318" s="13" t="n"/>
      <c r="K318" s="13" t="n"/>
      <c r="L318" s="12" t="inlineStr">
        <is>
          <t>Programada</t>
        </is>
      </c>
      <c r="M318" s="13" t="n"/>
      <c r="N318" s="14">
        <f>SI(O([@[Fecha_Programada_Inicio]]="";[@[Fecha_Inicio_Real]]="");"";SI([@[Fecha_Inicio_Real]]&lt;=[@[Fecha_Programada_Inicio]];"SÍ";"NO"))</f>
        <v/>
      </c>
      <c r="O318" s="14">
        <f>SI(O([@[Fecha_Programada_Fin]]="";[@[Fecha_Cierre_Operativo]]="");"";SI([@[Fecha_Cierre_Operativo]]&lt;=SI([@[Fecha_Nueva_Programada]]&lt;&gt;"";[@[Fecha_Nueva_Programada]];[@[Fecha_Programada_Fin]]);"SÍ";"NO"))</f>
        <v/>
      </c>
      <c r="P318" s="14">
        <f>SI(O([@[Cumpli_Ingreso]]="";[@[Cumpli_Salida]]="");"";SI(Y([@[Cumpli_Ingreso]]="SÍ";[@[Cumpli_Salida]]="SÍ");"SÍ";"NO"))</f>
        <v/>
      </c>
      <c r="Q318" s="15">
        <f>SI(O([@[Fecha_Programada_Fin]]="";[@[Fecha_Cierre_Operativo]]="");"";MAX(0;ENTERO([@[Fecha_Cierre_Operativo]])-ENTERO(SI([@[Fecha_Nueva_Programada]]&lt;&gt;"";[@[Fecha_Nueva_Programada]];[@[Fecha_Programada_Fin]])))</f>
        <v/>
      </c>
      <c r="R318" s="12" t="n"/>
      <c r="S318" s="12" t="n"/>
      <c r="T318" s="13" t="n"/>
      <c r="U318" s="12" t="n">
        <v>14</v>
      </c>
      <c r="V318" s="12" t="n"/>
      <c r="W31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18" s="14">
        <f>SI([@SBAN]="";"";BUSCARV([@SBAN];Cronograma_Maestro!$A:$M;6;FALSO))</f>
        <v/>
      </c>
    </row>
    <row r="319">
      <c r="A319" s="11" t="inlineStr">
        <is>
          <t>2769</t>
        </is>
      </c>
      <c r="B319" s="12">
        <f>SI([@SBAN]="";"";BUSCARV([@SBAN];Cronograma_Maestro!$A:$M;2;FALSO))</f>
        <v/>
      </c>
      <c r="C319" s="12">
        <f>SI([@SBAN]="";"";BUSCARV([@SBAN];Cronograma_Maestro!$A:$M;3;FALSO))</f>
        <v/>
      </c>
      <c r="D319" s="12">
        <f>SI([@SBAN]="";"";BUSCARV([@SBAN];Cronograma_Maestro!$A:$M;4;FALSO))</f>
        <v/>
      </c>
      <c r="E319" s="12">
        <f>SI([@SBAN]="";"";BUSCARV([@SBAN];Cronograma_Maestro!$A:$M;5;FALSO))</f>
        <v/>
      </c>
      <c r="F319" s="12" t="inlineStr">
        <is>
          <t>Jhon Jairo Vergara Pelaez</t>
        </is>
      </c>
      <c r="G319" s="12" t="inlineStr">
        <is>
          <t>PMU COLSOF</t>
        </is>
      </c>
      <c r="H319" s="13" t="n">
        <v>46288</v>
      </c>
      <c r="I319" s="13" t="n">
        <v>46288</v>
      </c>
      <c r="J319" s="13" t="n"/>
      <c r="K319" s="13" t="n"/>
      <c r="L319" s="12" t="inlineStr">
        <is>
          <t>Programada</t>
        </is>
      </c>
      <c r="M319" s="13" t="n"/>
      <c r="N319" s="14">
        <f>SI(O([@[Fecha_Programada_Inicio]]="";[@[Fecha_Inicio_Real]]="");"";SI([@[Fecha_Inicio_Real]]&lt;=[@[Fecha_Programada_Inicio]];"SÍ";"NO"))</f>
        <v/>
      </c>
      <c r="O319" s="14">
        <f>SI(O([@[Fecha_Programada_Fin]]="";[@[Fecha_Cierre_Operativo]]="");"";SI([@[Fecha_Cierre_Operativo]]&lt;=SI([@[Fecha_Nueva_Programada]]&lt;&gt;"";[@[Fecha_Nueva_Programada]];[@[Fecha_Programada_Fin]]);"SÍ";"NO"))</f>
        <v/>
      </c>
      <c r="P319" s="14">
        <f>SI(O([@[Cumpli_Ingreso]]="";[@[Cumpli_Salida]]="");"";SI(Y([@[Cumpli_Ingreso]]="SÍ";[@[Cumpli_Salida]]="SÍ");"SÍ";"NO"))</f>
        <v/>
      </c>
      <c r="Q319" s="15">
        <f>SI(O([@[Fecha_Programada_Fin]]="";[@[Fecha_Cierre_Operativo]]="");"";MAX(0;ENTERO([@[Fecha_Cierre_Operativo]])-ENTERO(SI([@[Fecha_Nueva_Programada]]&lt;&gt;"";[@[Fecha_Nueva_Programada]];[@[Fecha_Programada_Fin]])))</f>
        <v/>
      </c>
      <c r="R319" s="12" t="n"/>
      <c r="S319" s="12" t="n"/>
      <c r="T319" s="13" t="n"/>
      <c r="U319" s="12" t="n">
        <v>12</v>
      </c>
      <c r="V319" s="12" t="n"/>
      <c r="W31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19" s="14">
        <f>SI([@SBAN]="";"";BUSCARV([@SBAN];Cronograma_Maestro!$A:$M;6;FALSO))</f>
        <v/>
      </c>
    </row>
    <row r="320">
      <c r="A320" s="11" t="inlineStr">
        <is>
          <t>2770</t>
        </is>
      </c>
      <c r="B320" s="12">
        <f>SI([@SBAN]="";"";BUSCARV([@SBAN];Cronograma_Maestro!$A:$M;2;FALSO))</f>
        <v/>
      </c>
      <c r="C320" s="12">
        <f>SI([@SBAN]="";"";BUSCARV([@SBAN];Cronograma_Maestro!$A:$M;3;FALSO))</f>
        <v/>
      </c>
      <c r="D320" s="12">
        <f>SI([@SBAN]="";"";BUSCARV([@SBAN];Cronograma_Maestro!$A:$M;4;FALSO))</f>
        <v/>
      </c>
      <c r="E320" s="12">
        <f>SI([@SBAN]="";"";BUSCARV([@SBAN];Cronograma_Maestro!$A:$M;5;FALSO))</f>
        <v/>
      </c>
      <c r="F320" s="12" t="inlineStr">
        <is>
          <t>Laura Camila Ospino Taborda</t>
        </is>
      </c>
      <c r="G320" s="12" t="inlineStr">
        <is>
          <t>PMU COLSOF</t>
        </is>
      </c>
      <c r="H320" s="13" t="n">
        <v>46293</v>
      </c>
      <c r="I320" s="13" t="n">
        <v>46293</v>
      </c>
      <c r="J320" s="13" t="n"/>
      <c r="K320" s="13" t="n"/>
      <c r="L320" s="12" t="inlineStr">
        <is>
          <t>Programada</t>
        </is>
      </c>
      <c r="M320" s="13" t="n"/>
      <c r="N320" s="14">
        <f>SI(O([@[Fecha_Programada_Inicio]]="";[@[Fecha_Inicio_Real]]="");"";SI([@[Fecha_Inicio_Real]]&lt;=[@[Fecha_Programada_Inicio]];"SÍ";"NO"))</f>
        <v/>
      </c>
      <c r="O320" s="14">
        <f>SI(O([@[Fecha_Programada_Fin]]="";[@[Fecha_Cierre_Operativo]]="");"";SI([@[Fecha_Cierre_Operativo]]&lt;=SI([@[Fecha_Nueva_Programada]]&lt;&gt;"";[@[Fecha_Nueva_Programada]];[@[Fecha_Programada_Fin]]);"SÍ";"NO"))</f>
        <v/>
      </c>
      <c r="P320" s="14">
        <f>SI(O([@[Cumpli_Ingreso]]="";[@[Cumpli_Salida]]="");"";SI(Y([@[Cumpli_Ingreso]]="SÍ";[@[Cumpli_Salida]]="SÍ");"SÍ";"NO"))</f>
        <v/>
      </c>
      <c r="Q320" s="15">
        <f>SI(O([@[Fecha_Programada_Fin]]="";[@[Fecha_Cierre_Operativo]]="");"";MAX(0;ENTERO([@[Fecha_Cierre_Operativo]])-ENTERO(SI([@[Fecha_Nueva_Programada]]&lt;&gt;"";[@[Fecha_Nueva_Programada]];[@[Fecha_Programada_Fin]])))</f>
        <v/>
      </c>
      <c r="R320" s="12" t="n"/>
      <c r="S320" s="12" t="n"/>
      <c r="T320" s="13" t="n"/>
      <c r="U320" s="12" t="n">
        <v>30</v>
      </c>
      <c r="V320" s="12" t="n"/>
      <c r="W32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20" s="14">
        <f>SI([@SBAN]="";"";BUSCARV([@SBAN];Cronograma_Maestro!$A:$M;6;FALSO))</f>
        <v/>
      </c>
    </row>
    <row r="321">
      <c r="A321" s="11" t="inlineStr">
        <is>
          <t>2771</t>
        </is>
      </c>
      <c r="B321" s="12">
        <f>SI([@SBAN]="";"";BUSCARV([@SBAN];Cronograma_Maestro!$A:$M;2;FALSO))</f>
        <v/>
      </c>
      <c r="C321" s="12">
        <f>SI([@SBAN]="";"";BUSCARV([@SBAN];Cronograma_Maestro!$A:$M;3;FALSO))</f>
        <v/>
      </c>
      <c r="D321" s="12">
        <f>SI([@SBAN]="";"";BUSCARV([@SBAN];Cronograma_Maestro!$A:$M;4;FALSO))</f>
        <v/>
      </c>
      <c r="E321" s="12">
        <f>SI([@SBAN]="";"";BUSCARV([@SBAN];Cronograma_Maestro!$A:$M;5;FALSO))</f>
        <v/>
      </c>
      <c r="F321" s="12" t="inlineStr">
        <is>
          <t>Jhon Jairo Vergara Pelaez</t>
        </is>
      </c>
      <c r="G321" s="12" t="inlineStr">
        <is>
          <t>PMU COLSOF</t>
        </is>
      </c>
      <c r="H321" s="13" t="n">
        <v>46281</v>
      </c>
      <c r="I321" s="13" t="n">
        <v>46281</v>
      </c>
      <c r="J321" s="13" t="n"/>
      <c r="K321" s="13" t="n"/>
      <c r="L321" s="12" t="inlineStr">
        <is>
          <t>Programada</t>
        </is>
      </c>
      <c r="M321" s="13" t="n"/>
      <c r="N321" s="14">
        <f>SI(O([@[Fecha_Programada_Inicio]]="";[@[Fecha_Inicio_Real]]="");"";SI([@[Fecha_Inicio_Real]]&lt;=[@[Fecha_Programada_Inicio]];"SÍ";"NO"))</f>
        <v/>
      </c>
      <c r="O321" s="14">
        <f>SI(O([@[Fecha_Programada_Fin]]="";[@[Fecha_Cierre_Operativo]]="");"";SI([@[Fecha_Cierre_Operativo]]&lt;=SI([@[Fecha_Nueva_Programada]]&lt;&gt;"";[@[Fecha_Nueva_Programada]];[@[Fecha_Programada_Fin]]);"SÍ";"NO"))</f>
        <v/>
      </c>
      <c r="P321" s="14">
        <f>SI(O([@[Cumpli_Ingreso]]="";[@[Cumpli_Salida]]="");"";SI(Y([@[Cumpli_Ingreso]]="SÍ";[@[Cumpli_Salida]]="SÍ");"SÍ";"NO"))</f>
        <v/>
      </c>
      <c r="Q321" s="15">
        <f>SI(O([@[Fecha_Programada_Fin]]="";[@[Fecha_Cierre_Operativo]]="");"";MAX(0;ENTERO([@[Fecha_Cierre_Operativo]])-ENTERO(SI([@[Fecha_Nueva_Programada]]&lt;&gt;"";[@[Fecha_Nueva_Programada]];[@[Fecha_Programada_Fin]])))</f>
        <v/>
      </c>
      <c r="R321" s="12" t="n"/>
      <c r="S321" s="12" t="n"/>
      <c r="T321" s="13" t="n"/>
      <c r="U321" s="12" t="n">
        <v>14</v>
      </c>
      <c r="V321" s="12" t="n"/>
      <c r="W32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21" s="14">
        <f>SI([@SBAN]="";"";BUSCARV([@SBAN];Cronograma_Maestro!$A:$M;6;FALSO))</f>
        <v/>
      </c>
    </row>
    <row r="322">
      <c r="A322" s="11" t="inlineStr">
        <is>
          <t>2772</t>
        </is>
      </c>
      <c r="B322" s="12">
        <f>SI([@SBAN]="";"";BUSCARV([@SBAN];Cronograma_Maestro!$A:$M;2;FALSO))</f>
        <v/>
      </c>
      <c r="C322" s="12">
        <f>SI([@SBAN]="";"";BUSCARV([@SBAN];Cronograma_Maestro!$A:$M;3;FALSO))</f>
        <v/>
      </c>
      <c r="D322" s="12">
        <f>SI([@SBAN]="";"";BUSCARV([@SBAN];Cronograma_Maestro!$A:$M;4;FALSO))</f>
        <v/>
      </c>
      <c r="E322" s="12">
        <f>SI([@SBAN]="";"";BUSCARV([@SBAN];Cronograma_Maestro!$A:$M;5;FALSO))</f>
        <v/>
      </c>
      <c r="F322" s="12" t="inlineStr">
        <is>
          <t>Jorge Felipe Munive Medina</t>
        </is>
      </c>
      <c r="G322" s="12" t="inlineStr">
        <is>
          <t>PMU COLSOF</t>
        </is>
      </c>
      <c r="H322" s="13" t="n">
        <v>46273</v>
      </c>
      <c r="I322" s="13" t="n">
        <v>46273</v>
      </c>
      <c r="J322" s="13" t="n"/>
      <c r="K322" s="13" t="n"/>
      <c r="L322" s="12" t="inlineStr">
        <is>
          <t>Programada</t>
        </is>
      </c>
      <c r="M322" s="13" t="n"/>
      <c r="N322" s="14">
        <f>SI(O([@[Fecha_Programada_Inicio]]="";[@[Fecha_Inicio_Real]]="");"";SI([@[Fecha_Inicio_Real]]&lt;=[@[Fecha_Programada_Inicio]];"SÍ";"NO"))</f>
        <v/>
      </c>
      <c r="O322" s="14">
        <f>SI(O([@[Fecha_Programada_Fin]]="";[@[Fecha_Cierre_Operativo]]="");"";SI([@[Fecha_Cierre_Operativo]]&lt;=SI([@[Fecha_Nueva_Programada]]&lt;&gt;"";[@[Fecha_Nueva_Programada]];[@[Fecha_Programada_Fin]]);"SÍ";"NO"))</f>
        <v/>
      </c>
      <c r="P322" s="14">
        <f>SI(O([@[Cumpli_Ingreso]]="";[@[Cumpli_Salida]]="");"";SI(Y([@[Cumpli_Ingreso]]="SÍ";[@[Cumpli_Salida]]="SÍ");"SÍ";"NO"))</f>
        <v/>
      </c>
      <c r="Q322" s="15">
        <f>SI(O([@[Fecha_Programada_Fin]]="";[@[Fecha_Cierre_Operativo]]="");"";MAX(0;ENTERO([@[Fecha_Cierre_Operativo]])-ENTERO(SI([@[Fecha_Nueva_Programada]]&lt;&gt;"";[@[Fecha_Nueva_Programada]];[@[Fecha_Programada_Fin]])))</f>
        <v/>
      </c>
      <c r="R322" s="12" t="n"/>
      <c r="S322" s="12" t="n"/>
      <c r="T322" s="13" t="n"/>
      <c r="U322" s="12" t="n">
        <v>18</v>
      </c>
      <c r="V322" s="12" t="n"/>
      <c r="W32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22" s="14">
        <f>SI([@SBAN]="";"";BUSCARV([@SBAN];Cronograma_Maestro!$A:$M;6;FALSO))</f>
        <v/>
      </c>
    </row>
    <row r="323">
      <c r="A323" s="11" t="inlineStr">
        <is>
          <t>2773</t>
        </is>
      </c>
      <c r="B323" s="12">
        <f>SI([@SBAN]="";"";BUSCARV([@SBAN];Cronograma_Maestro!$A:$M;2;FALSO))</f>
        <v/>
      </c>
      <c r="C323" s="12">
        <f>SI([@SBAN]="";"";BUSCARV([@SBAN];Cronograma_Maestro!$A:$M;3;FALSO))</f>
        <v/>
      </c>
      <c r="D323" s="12">
        <f>SI([@SBAN]="";"";BUSCARV([@SBAN];Cronograma_Maestro!$A:$M;4;FALSO))</f>
        <v/>
      </c>
      <c r="E323" s="12">
        <f>SI([@SBAN]="";"";BUSCARV([@SBAN];Cronograma_Maestro!$A:$M;5;FALSO))</f>
        <v/>
      </c>
      <c r="F323" s="12" t="inlineStr">
        <is>
          <t>Jhon Jairo Vergara Pelaez</t>
        </is>
      </c>
      <c r="G323" s="12" t="inlineStr">
        <is>
          <t>PMU COLSOF</t>
        </is>
      </c>
      <c r="H323" s="13" t="n">
        <v>46290</v>
      </c>
      <c r="I323" s="13" t="n">
        <v>46290</v>
      </c>
      <c r="J323" s="13" t="n"/>
      <c r="K323" s="13" t="n"/>
      <c r="L323" s="12" t="inlineStr">
        <is>
          <t>Programada</t>
        </is>
      </c>
      <c r="M323" s="13" t="n"/>
      <c r="N323" s="14">
        <f>SI(O([@[Fecha_Programada_Inicio]]="";[@[Fecha_Inicio_Real]]="");"";SI([@[Fecha_Inicio_Real]]&lt;=[@[Fecha_Programada_Inicio]];"SÍ";"NO"))</f>
        <v/>
      </c>
      <c r="O323" s="14">
        <f>SI(O([@[Fecha_Programada_Fin]]="";[@[Fecha_Cierre_Operativo]]="");"";SI([@[Fecha_Cierre_Operativo]]&lt;=SI([@[Fecha_Nueva_Programada]]&lt;&gt;"";[@[Fecha_Nueva_Programada]];[@[Fecha_Programada_Fin]]);"SÍ";"NO"))</f>
        <v/>
      </c>
      <c r="P323" s="14">
        <f>SI(O([@[Cumpli_Ingreso]]="";[@[Cumpli_Salida]]="");"";SI(Y([@[Cumpli_Ingreso]]="SÍ";[@[Cumpli_Salida]]="SÍ");"SÍ";"NO"))</f>
        <v/>
      </c>
      <c r="Q323" s="15">
        <f>SI(O([@[Fecha_Programada_Fin]]="";[@[Fecha_Cierre_Operativo]]="");"";MAX(0;ENTERO([@[Fecha_Cierre_Operativo]])-ENTERO(SI([@[Fecha_Nueva_Programada]]&lt;&gt;"";[@[Fecha_Nueva_Programada]];[@[Fecha_Programada_Fin]])))</f>
        <v/>
      </c>
      <c r="R323" s="12" t="n"/>
      <c r="S323" s="12" t="n"/>
      <c r="T323" s="13" t="n"/>
      <c r="U323" s="12" t="n">
        <v>12</v>
      </c>
      <c r="V323" s="12" t="n"/>
      <c r="W32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23" s="14">
        <f>SI([@SBAN]="";"";BUSCARV([@SBAN];Cronograma_Maestro!$A:$M;6;FALSO))</f>
        <v/>
      </c>
    </row>
    <row r="324">
      <c r="A324" s="11" t="inlineStr">
        <is>
          <t>2775</t>
        </is>
      </c>
      <c r="B324" s="12">
        <f>SI([@SBAN]="";"";BUSCARV([@SBAN];Cronograma_Maestro!$A:$M;2;FALSO))</f>
        <v/>
      </c>
      <c r="C324" s="12">
        <f>SI([@SBAN]="";"";BUSCARV([@SBAN];Cronograma_Maestro!$A:$M;3;FALSO))</f>
        <v/>
      </c>
      <c r="D324" s="12">
        <f>SI([@SBAN]="";"";BUSCARV([@SBAN];Cronograma_Maestro!$A:$M;4;FALSO))</f>
        <v/>
      </c>
      <c r="E324" s="12">
        <f>SI([@SBAN]="";"";BUSCARV([@SBAN];Cronograma_Maestro!$A:$M;5;FALSO))</f>
        <v/>
      </c>
      <c r="F324" s="12" t="inlineStr">
        <is>
          <t>Laura Camila Ospino Taborda</t>
        </is>
      </c>
      <c r="G324" s="12" t="inlineStr">
        <is>
          <t>PMU COLSOF</t>
        </is>
      </c>
      <c r="H324" s="13" t="n">
        <v>46289</v>
      </c>
      <c r="I324" s="13" t="n">
        <v>46289</v>
      </c>
      <c r="J324" s="13" t="n"/>
      <c r="K324" s="13" t="n"/>
      <c r="L324" s="12" t="inlineStr">
        <is>
          <t>Programada</t>
        </is>
      </c>
      <c r="M324" s="13" t="n"/>
      <c r="N324" s="14">
        <f>SI(O([@[Fecha_Programada_Inicio]]="";[@[Fecha_Inicio_Real]]="");"";SI([@[Fecha_Inicio_Real]]&lt;=[@[Fecha_Programada_Inicio]];"SÍ";"NO"))</f>
        <v/>
      </c>
      <c r="O324" s="14">
        <f>SI(O([@[Fecha_Programada_Fin]]="";[@[Fecha_Cierre_Operativo]]="");"";SI([@[Fecha_Cierre_Operativo]]&lt;=SI([@[Fecha_Nueva_Programada]]&lt;&gt;"";[@[Fecha_Nueva_Programada]];[@[Fecha_Programada_Fin]]);"SÍ";"NO"))</f>
        <v/>
      </c>
      <c r="P324" s="14">
        <f>SI(O([@[Cumpli_Ingreso]]="";[@[Cumpli_Salida]]="");"";SI(Y([@[Cumpli_Ingreso]]="SÍ";[@[Cumpli_Salida]]="SÍ");"SÍ";"NO"))</f>
        <v/>
      </c>
      <c r="Q324" s="15">
        <f>SI(O([@[Fecha_Programada_Fin]]="";[@[Fecha_Cierre_Operativo]]="");"";MAX(0;ENTERO([@[Fecha_Cierre_Operativo]])-ENTERO(SI([@[Fecha_Nueva_Programada]]&lt;&gt;"";[@[Fecha_Nueva_Programada]];[@[Fecha_Programada_Fin]])))</f>
        <v/>
      </c>
      <c r="R324" s="12" t="n"/>
      <c r="S324" s="12" t="n"/>
      <c r="T324" s="13" t="n"/>
      <c r="U324" s="12" t="n">
        <v>14</v>
      </c>
      <c r="V324" s="12" t="n"/>
      <c r="W32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24" s="14">
        <f>SI([@SBAN]="";"";BUSCARV([@SBAN];Cronograma_Maestro!$A:$M;6;FALSO))</f>
        <v/>
      </c>
    </row>
    <row r="325">
      <c r="A325" s="11" t="inlineStr">
        <is>
          <t>2777</t>
        </is>
      </c>
      <c r="B325" s="12">
        <f>SI([@SBAN]="";"";BUSCARV([@SBAN];Cronograma_Maestro!$A:$M;2;FALSO))</f>
        <v/>
      </c>
      <c r="C325" s="12">
        <f>SI([@SBAN]="";"";BUSCARV([@SBAN];Cronograma_Maestro!$A:$M;3;FALSO))</f>
        <v/>
      </c>
      <c r="D325" s="12">
        <f>SI([@SBAN]="";"";BUSCARV([@SBAN];Cronograma_Maestro!$A:$M;4;FALSO))</f>
        <v/>
      </c>
      <c r="E325" s="12">
        <f>SI([@SBAN]="";"";BUSCARV([@SBAN];Cronograma_Maestro!$A:$M;5;FALSO))</f>
        <v/>
      </c>
      <c r="F325" s="12" t="inlineStr">
        <is>
          <t>Dimar Jose Morelo Cardona</t>
        </is>
      </c>
      <c r="G325" s="12" t="inlineStr">
        <is>
          <t>PMU COLSOF</t>
        </is>
      </c>
      <c r="H325" s="13" t="n">
        <v>46266</v>
      </c>
      <c r="I325" s="13" t="n">
        <v>46266</v>
      </c>
      <c r="J325" s="13" t="n">
        <v>46266</v>
      </c>
      <c r="K325" s="13" t="n">
        <v>46266</v>
      </c>
      <c r="L325" s="12" t="inlineStr">
        <is>
          <t>Finalizada</t>
        </is>
      </c>
      <c r="M325" s="13" t="n"/>
      <c r="N325" s="14">
        <f>SI(O([@[Fecha_Programada_Inicio]]="";[@[Fecha_Inicio_Real]]="");"";SI([@[Fecha_Inicio_Real]]&lt;=[@[Fecha_Programada_Inicio]];"SÍ";"NO"))</f>
        <v/>
      </c>
      <c r="O325" s="14">
        <f>SI(O([@[Fecha_Programada_Fin]]="";[@[Fecha_Cierre_Operativo]]="");"";SI([@[Fecha_Cierre_Operativo]]&lt;=SI([@[Fecha_Nueva_Programada]]&lt;&gt;"";[@[Fecha_Nueva_Programada]];[@[Fecha_Programada_Fin]]);"SÍ";"NO"))</f>
        <v/>
      </c>
      <c r="P325" s="14">
        <f>SI(O([@[Cumpli_Ingreso]]="";[@[Cumpli_Salida]]="");"";SI(Y([@[Cumpli_Ingreso]]="SÍ";[@[Cumpli_Salida]]="SÍ");"SÍ";"NO"))</f>
        <v/>
      </c>
      <c r="Q325" s="15">
        <f>SI(O([@[Fecha_Programada_Fin]]="";[@[Fecha_Cierre_Operativo]]="");"";MAX(0;ENTERO([@[Fecha_Cierre_Operativo]])-ENTERO(SI([@[Fecha_Nueva_Programada]]&lt;&gt;"";[@[Fecha_Nueva_Programada]];[@[Fecha_Programada_Fin]])))</f>
        <v/>
      </c>
      <c r="R325" s="12" t="inlineStr">
        <is>
          <t>N/A - A Tiempo</t>
        </is>
      </c>
      <c r="S325" s="12" t="inlineStr">
        <is>
          <t>Pendiente Firma</t>
        </is>
      </c>
      <c r="T325" s="13" t="n"/>
      <c r="U325" s="12" t="n">
        <v>16</v>
      </c>
      <c r="V325" s="12" t="n"/>
      <c r="W32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25" s="14">
        <f>SI([@SBAN]="";"";BUSCARV([@SBAN];Cronograma_Maestro!$A:$M;6;FALSO))</f>
        <v/>
      </c>
    </row>
    <row r="326">
      <c r="A326" s="11" t="inlineStr">
        <is>
          <t>2780</t>
        </is>
      </c>
      <c r="B326" s="12">
        <f>SI([@SBAN]="";"";BUSCARV([@SBAN];Cronograma_Maestro!$A:$M;2;FALSO))</f>
        <v/>
      </c>
      <c r="C326" s="12">
        <f>SI([@SBAN]="";"";BUSCARV([@SBAN];Cronograma_Maestro!$A:$M;3;FALSO))</f>
        <v/>
      </c>
      <c r="D326" s="12">
        <f>SI([@SBAN]="";"";BUSCARV([@SBAN];Cronograma_Maestro!$A:$M;4;FALSO))</f>
        <v/>
      </c>
      <c r="E326" s="12">
        <f>SI([@SBAN]="";"";BUSCARV([@SBAN];Cronograma_Maestro!$A:$M;5;FALSO))</f>
        <v/>
      </c>
      <c r="F326" s="12" t="inlineStr">
        <is>
          <t>Jhon Jairo Vergara Pelaez</t>
        </is>
      </c>
      <c r="G326" s="12" t="inlineStr">
        <is>
          <t>PMU COLSOF</t>
        </is>
      </c>
      <c r="H326" s="13" t="n">
        <v>46282</v>
      </c>
      <c r="I326" s="13" t="n">
        <v>46282</v>
      </c>
      <c r="J326" s="13" t="n"/>
      <c r="K326" s="13" t="n"/>
      <c r="L326" s="12" t="inlineStr">
        <is>
          <t>Programada</t>
        </is>
      </c>
      <c r="M326" s="13" t="n"/>
      <c r="N326" s="14">
        <f>SI(O([@[Fecha_Programada_Inicio]]="";[@[Fecha_Inicio_Real]]="");"";SI([@[Fecha_Inicio_Real]]&lt;=[@[Fecha_Programada_Inicio]];"SÍ";"NO"))</f>
        <v/>
      </c>
      <c r="O326" s="14">
        <f>SI(O([@[Fecha_Programada_Fin]]="";[@[Fecha_Cierre_Operativo]]="");"";SI([@[Fecha_Cierre_Operativo]]&lt;=SI([@[Fecha_Nueva_Programada]]&lt;&gt;"";[@[Fecha_Nueva_Programada]];[@[Fecha_Programada_Fin]]);"SÍ";"NO"))</f>
        <v/>
      </c>
      <c r="P326" s="14">
        <f>SI(O([@[Cumpli_Ingreso]]="";[@[Cumpli_Salida]]="");"";SI(Y([@[Cumpli_Ingreso]]="SÍ";[@[Cumpli_Salida]]="SÍ");"SÍ";"NO"))</f>
        <v/>
      </c>
      <c r="Q326" s="15">
        <f>SI(O([@[Fecha_Programada_Fin]]="";[@[Fecha_Cierre_Operativo]]="");"";MAX(0;ENTERO([@[Fecha_Cierre_Operativo]])-ENTERO(SI([@[Fecha_Nueva_Programada]]&lt;&gt;"";[@[Fecha_Nueva_Programada]];[@[Fecha_Programada_Fin]])))</f>
        <v/>
      </c>
      <c r="R326" s="12" t="n"/>
      <c r="S326" s="12" t="n"/>
      <c r="T326" s="13" t="n"/>
      <c r="U326" s="12" t="n">
        <v>24</v>
      </c>
      <c r="V326" s="12" t="n"/>
      <c r="W32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26" s="14">
        <f>SI([@SBAN]="";"";BUSCARV([@SBAN];Cronograma_Maestro!$A:$M;6;FALSO))</f>
        <v/>
      </c>
    </row>
    <row r="327">
      <c r="A327" s="11" t="inlineStr">
        <is>
          <t>2786</t>
        </is>
      </c>
      <c r="B327" s="12">
        <f>SI([@SBAN]="";"";BUSCARV([@SBAN];Cronograma_Maestro!$A:$M;2;FALSO))</f>
        <v/>
      </c>
      <c r="C327" s="12">
        <f>SI([@SBAN]="";"";BUSCARV([@SBAN];Cronograma_Maestro!$A:$M;3;FALSO))</f>
        <v/>
      </c>
      <c r="D327" s="12">
        <f>SI([@SBAN]="";"";BUSCARV([@SBAN];Cronograma_Maestro!$A:$M;4;FALSO))</f>
        <v/>
      </c>
      <c r="E327" s="12">
        <f>SI([@SBAN]="";"";BUSCARV([@SBAN];Cronograma_Maestro!$A:$M;5;FALSO))</f>
        <v/>
      </c>
      <c r="F327" s="12" t="inlineStr">
        <is>
          <t>Jhon Jairo Vergara Pelaez</t>
        </is>
      </c>
      <c r="G327" s="12" t="inlineStr">
        <is>
          <t>PMU COLSOF</t>
        </is>
      </c>
      <c r="H327" s="13" t="n">
        <v>46283</v>
      </c>
      <c r="I327" s="13" t="n">
        <v>46283</v>
      </c>
      <c r="J327" s="13" t="n"/>
      <c r="K327" s="13" t="n"/>
      <c r="L327" s="12" t="inlineStr">
        <is>
          <t>Programada</t>
        </is>
      </c>
      <c r="M327" s="13" t="n"/>
      <c r="N327" s="14">
        <f>SI(O([@[Fecha_Programada_Inicio]]="";[@[Fecha_Inicio_Real]]="");"";SI([@[Fecha_Inicio_Real]]&lt;=[@[Fecha_Programada_Inicio]];"SÍ";"NO"))</f>
        <v/>
      </c>
      <c r="O327" s="14">
        <f>SI(O([@[Fecha_Programada_Fin]]="";[@[Fecha_Cierre_Operativo]]="");"";SI([@[Fecha_Cierre_Operativo]]&lt;=SI([@[Fecha_Nueva_Programada]]&lt;&gt;"";[@[Fecha_Nueva_Programada]];[@[Fecha_Programada_Fin]]);"SÍ";"NO"))</f>
        <v/>
      </c>
      <c r="P327" s="14">
        <f>SI(O([@[Cumpli_Ingreso]]="";[@[Cumpli_Salida]]="");"";SI(Y([@[Cumpli_Ingreso]]="SÍ";[@[Cumpli_Salida]]="SÍ");"SÍ";"NO"))</f>
        <v/>
      </c>
      <c r="Q327" s="15">
        <f>SI(O([@[Fecha_Programada_Fin]]="";[@[Fecha_Cierre_Operativo]]="");"";MAX(0;ENTERO([@[Fecha_Cierre_Operativo]])-ENTERO(SI([@[Fecha_Nueva_Programada]]&lt;&gt;"";[@[Fecha_Nueva_Programada]];[@[Fecha_Programada_Fin]])))</f>
        <v/>
      </c>
      <c r="R327" s="12" t="n"/>
      <c r="S327" s="12" t="n"/>
      <c r="T327" s="13" t="n"/>
      <c r="U327" s="12" t="n">
        <v>15</v>
      </c>
      <c r="V327" s="12" t="n"/>
      <c r="W32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27" s="14">
        <f>SI([@SBAN]="";"";BUSCARV([@SBAN];Cronograma_Maestro!$A:$M;6;FALSO))</f>
        <v/>
      </c>
    </row>
    <row r="328">
      <c r="A328" s="11" t="inlineStr">
        <is>
          <t>2790</t>
        </is>
      </c>
      <c r="B328" s="12">
        <f>SI([@SBAN]="";"";BUSCARV([@SBAN];Cronograma_Maestro!$A:$M;2;FALSO))</f>
        <v/>
      </c>
      <c r="C328" s="12">
        <f>SI([@SBAN]="";"";BUSCARV([@SBAN];Cronograma_Maestro!$A:$M;3;FALSO))</f>
        <v/>
      </c>
      <c r="D328" s="12">
        <f>SI([@SBAN]="";"";BUSCARV([@SBAN];Cronograma_Maestro!$A:$M;4;FALSO))</f>
        <v/>
      </c>
      <c r="E328" s="12">
        <f>SI([@SBAN]="";"";BUSCARV([@SBAN];Cronograma_Maestro!$A:$M;5;FALSO))</f>
        <v/>
      </c>
      <c r="F328" s="12" t="inlineStr">
        <is>
          <t>Laura Camila Ospino Taborda</t>
        </is>
      </c>
      <c r="G328" s="12" t="inlineStr">
        <is>
          <t>PMU COLSOF</t>
        </is>
      </c>
      <c r="H328" s="13" t="n">
        <v>46290</v>
      </c>
      <c r="I328" s="13" t="n">
        <v>46290</v>
      </c>
      <c r="J328" s="13" t="n"/>
      <c r="K328" s="13" t="n"/>
      <c r="L328" s="12" t="inlineStr">
        <is>
          <t>Programada</t>
        </is>
      </c>
      <c r="M328" s="13" t="n"/>
      <c r="N328" s="14">
        <f>SI(O([@[Fecha_Programada_Inicio]]="";[@[Fecha_Inicio_Real]]="");"";SI([@[Fecha_Inicio_Real]]&lt;=[@[Fecha_Programada_Inicio]];"SÍ";"NO"))</f>
        <v/>
      </c>
      <c r="O328" s="14">
        <f>SI(O([@[Fecha_Programada_Fin]]="";[@[Fecha_Cierre_Operativo]]="");"";SI([@[Fecha_Cierre_Operativo]]&lt;=SI([@[Fecha_Nueva_Programada]]&lt;&gt;"";[@[Fecha_Nueva_Programada]];[@[Fecha_Programada_Fin]]);"SÍ";"NO"))</f>
        <v/>
      </c>
      <c r="P328" s="14">
        <f>SI(O([@[Cumpli_Ingreso]]="";[@[Cumpli_Salida]]="");"";SI(Y([@[Cumpli_Ingreso]]="SÍ";[@[Cumpli_Salida]]="SÍ");"SÍ";"NO"))</f>
        <v/>
      </c>
      <c r="Q328" s="15">
        <f>SI(O([@[Fecha_Programada_Fin]]="";[@[Fecha_Cierre_Operativo]]="");"";MAX(0;ENTERO([@[Fecha_Cierre_Operativo]])-ENTERO(SI([@[Fecha_Nueva_Programada]]&lt;&gt;"";[@[Fecha_Nueva_Programada]];[@[Fecha_Programada_Fin]])))</f>
        <v/>
      </c>
      <c r="R328" s="12" t="n"/>
      <c r="S328" s="12" t="n"/>
      <c r="T328" s="13" t="n"/>
      <c r="U328" s="12" t="n">
        <v>14</v>
      </c>
      <c r="V328" s="12" t="n"/>
      <c r="W32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28" s="14">
        <f>SI([@SBAN]="";"";BUSCARV([@SBAN];Cronograma_Maestro!$A:$M;6;FALSO))</f>
        <v/>
      </c>
    </row>
    <row r="329">
      <c r="A329" s="11" t="inlineStr">
        <is>
          <t>3101</t>
        </is>
      </c>
      <c r="B329" s="12">
        <f>SI([@SBAN]="";"";BUSCARV([@SBAN];Cronograma_Maestro!$A:$M;2;FALSO))</f>
        <v/>
      </c>
      <c r="C329" s="12">
        <f>SI([@SBAN]="";"";BUSCARV([@SBAN];Cronograma_Maestro!$A:$M;3;FALSO))</f>
        <v/>
      </c>
      <c r="D329" s="12">
        <f>SI([@SBAN]="";"";BUSCARV([@SBAN];Cronograma_Maestro!$A:$M;4;FALSO))</f>
        <v/>
      </c>
      <c r="E329" s="12">
        <f>SI([@SBAN]="";"";BUSCARV([@SBAN];Cronograma_Maestro!$A:$M;5;FALSO))</f>
        <v/>
      </c>
      <c r="F329" s="12" t="inlineStr">
        <is>
          <t>Carlos Andres Cuchivaguen Diaz</t>
        </is>
      </c>
      <c r="G329" s="12" t="inlineStr">
        <is>
          <t>PMU COLSOF</t>
        </is>
      </c>
      <c r="H329" s="13" t="n">
        <v>46296</v>
      </c>
      <c r="I329" s="13" t="n">
        <v>46296</v>
      </c>
      <c r="J329" s="13" t="n"/>
      <c r="K329" s="13" t="n"/>
      <c r="L329" s="12" t="inlineStr">
        <is>
          <t>Programada</t>
        </is>
      </c>
      <c r="M329" s="13" t="n"/>
      <c r="N329" s="14">
        <f>SI(O([@[Fecha_Programada_Inicio]]="";[@[Fecha_Inicio_Real]]="");"";SI([@[Fecha_Inicio_Real]]&lt;=[@[Fecha_Programada_Inicio]];"SÍ";"NO"))</f>
        <v/>
      </c>
      <c r="O329" s="14">
        <f>SI(O([@[Fecha_Programada_Fin]]="";[@[Fecha_Cierre_Operativo]]="");"";SI([@[Fecha_Cierre_Operativo]]&lt;=SI([@[Fecha_Nueva_Programada]]&lt;&gt;"";[@[Fecha_Nueva_Programada]];[@[Fecha_Programada_Fin]]);"SÍ";"NO"))</f>
        <v/>
      </c>
      <c r="P329" s="14">
        <f>SI(O([@[Cumpli_Ingreso]]="";[@[Cumpli_Salida]]="");"";SI(Y([@[Cumpli_Ingreso]]="SÍ";[@[Cumpli_Salida]]="SÍ");"SÍ";"NO"))</f>
        <v/>
      </c>
      <c r="Q329" s="15">
        <f>SI(O([@[Fecha_Programada_Fin]]="";[@[Fecha_Cierre_Operativo]]="");"";MAX(0;ENTERO([@[Fecha_Cierre_Operativo]])-ENTERO(SI([@[Fecha_Nueva_Programada]]&lt;&gt;"";[@[Fecha_Nueva_Programada]];[@[Fecha_Programada_Fin]])))</f>
        <v/>
      </c>
      <c r="R329" s="12" t="n"/>
      <c r="S329" s="12" t="n"/>
      <c r="T329" s="13" t="n"/>
      <c r="U329" s="12" t="n">
        <v>12</v>
      </c>
      <c r="V329" s="12" t="n"/>
      <c r="W32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29" s="14">
        <f>SI([@SBAN]="";"";BUSCARV([@SBAN];Cronograma_Maestro!$A:$M;6;FALSO))</f>
        <v/>
      </c>
    </row>
    <row r="330">
      <c r="A330" s="11" t="inlineStr">
        <is>
          <t>3105</t>
        </is>
      </c>
      <c r="B330" s="12">
        <f>SI([@SBAN]="";"";BUSCARV([@SBAN];Cronograma_Maestro!$A:$M;2;FALSO))</f>
        <v/>
      </c>
      <c r="C330" s="12">
        <f>SI([@SBAN]="";"";BUSCARV([@SBAN];Cronograma_Maestro!$A:$M;3;FALSO))</f>
        <v/>
      </c>
      <c r="D330" s="12">
        <f>SI([@SBAN]="";"";BUSCARV([@SBAN];Cronograma_Maestro!$A:$M;4;FALSO))</f>
        <v/>
      </c>
      <c r="E330" s="12">
        <f>SI([@SBAN]="";"";BUSCARV([@SBAN];Cronograma_Maestro!$A:$M;5;FALSO))</f>
        <v/>
      </c>
      <c r="F330" s="12" t="inlineStr">
        <is>
          <t>Jhonatan Felipe Hernandez Gamboa</t>
        </is>
      </c>
      <c r="G330" s="12" t="inlineStr">
        <is>
          <t>PMU COLSOF</t>
        </is>
      </c>
      <c r="H330" s="13" t="n">
        <v>46276</v>
      </c>
      <c r="I330" s="13" t="n">
        <v>46276</v>
      </c>
      <c r="J330" s="13" t="n"/>
      <c r="K330" s="13" t="n"/>
      <c r="L330" s="12" t="inlineStr">
        <is>
          <t>Programada</t>
        </is>
      </c>
      <c r="M330" s="13" t="n"/>
      <c r="N330" s="14">
        <f>SI(O([@[Fecha_Programada_Inicio]]="";[@[Fecha_Inicio_Real]]="");"";SI([@[Fecha_Inicio_Real]]&lt;=[@[Fecha_Programada_Inicio]];"SÍ";"NO"))</f>
        <v/>
      </c>
      <c r="O330" s="14">
        <f>SI(O([@[Fecha_Programada_Fin]]="";[@[Fecha_Cierre_Operativo]]="");"";SI([@[Fecha_Cierre_Operativo]]&lt;=SI([@[Fecha_Nueva_Programada]]&lt;&gt;"";[@[Fecha_Nueva_Programada]];[@[Fecha_Programada_Fin]]);"SÍ";"NO"))</f>
        <v/>
      </c>
      <c r="P330" s="14">
        <f>SI(O([@[Cumpli_Ingreso]]="";[@[Cumpli_Salida]]="");"";SI(Y([@[Cumpli_Ingreso]]="SÍ";[@[Cumpli_Salida]]="SÍ");"SÍ";"NO"))</f>
        <v/>
      </c>
      <c r="Q330" s="15">
        <f>SI(O([@[Fecha_Programada_Fin]]="";[@[Fecha_Cierre_Operativo]]="");"";MAX(0;ENTERO([@[Fecha_Cierre_Operativo]])-ENTERO(SI([@[Fecha_Nueva_Programada]]&lt;&gt;"";[@[Fecha_Nueva_Programada]];[@[Fecha_Programada_Fin]])))</f>
        <v/>
      </c>
      <c r="R330" s="12" t="n"/>
      <c r="S330" s="12" t="n"/>
      <c r="T330" s="13" t="n"/>
      <c r="U330" s="12" t="n">
        <v>12</v>
      </c>
      <c r="V330" s="12" t="n"/>
      <c r="W33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30" s="14">
        <f>SI([@SBAN]="";"";BUSCARV([@SBAN];Cronograma_Maestro!$A:$M;6;FALSO))</f>
        <v/>
      </c>
    </row>
    <row r="331">
      <c r="A331" s="11" t="inlineStr">
        <is>
          <t>3106</t>
        </is>
      </c>
      <c r="B331" s="12">
        <f>SI([@SBAN]="";"";BUSCARV([@SBAN];Cronograma_Maestro!$A:$M;2;FALSO))</f>
        <v/>
      </c>
      <c r="C331" s="12">
        <f>SI([@SBAN]="";"";BUSCARV([@SBAN];Cronograma_Maestro!$A:$M;3;FALSO))</f>
        <v/>
      </c>
      <c r="D331" s="12">
        <f>SI([@SBAN]="";"";BUSCARV([@SBAN];Cronograma_Maestro!$A:$M;4;FALSO))</f>
        <v/>
      </c>
      <c r="E331" s="12">
        <f>SI([@SBAN]="";"";BUSCARV([@SBAN];Cronograma_Maestro!$A:$M;5;FALSO))</f>
        <v/>
      </c>
      <c r="F331" s="12" t="inlineStr">
        <is>
          <t>Nelson Leonardo Paez Suarez</t>
        </is>
      </c>
      <c r="G331" s="12" t="inlineStr">
        <is>
          <t>PMU COLSOF</t>
        </is>
      </c>
      <c r="H331" s="13" t="n">
        <v>46290</v>
      </c>
      <c r="I331" s="13" t="n">
        <v>46290</v>
      </c>
      <c r="J331" s="13" t="n"/>
      <c r="K331" s="13" t="n"/>
      <c r="L331" s="12" t="inlineStr">
        <is>
          <t>Programada</t>
        </is>
      </c>
      <c r="M331" s="13" t="n"/>
      <c r="N331" s="14">
        <f>SI(O([@[Fecha_Programada_Inicio]]="";[@[Fecha_Inicio_Real]]="");"";SI([@[Fecha_Inicio_Real]]&lt;=[@[Fecha_Programada_Inicio]];"SÍ";"NO"))</f>
        <v/>
      </c>
      <c r="O331" s="14">
        <f>SI(O([@[Fecha_Programada_Fin]]="";[@[Fecha_Cierre_Operativo]]="");"";SI([@[Fecha_Cierre_Operativo]]&lt;=SI([@[Fecha_Nueva_Programada]]&lt;&gt;"";[@[Fecha_Nueva_Programada]];[@[Fecha_Programada_Fin]]);"SÍ";"NO"))</f>
        <v/>
      </c>
      <c r="P331" s="14">
        <f>SI(O([@[Cumpli_Ingreso]]="";[@[Cumpli_Salida]]="");"";SI(Y([@[Cumpli_Ingreso]]="SÍ";[@[Cumpli_Salida]]="SÍ");"SÍ";"NO"))</f>
        <v/>
      </c>
      <c r="Q331" s="15">
        <f>SI(O([@[Fecha_Programada_Fin]]="";[@[Fecha_Cierre_Operativo]]="");"";MAX(0;ENTERO([@[Fecha_Cierre_Operativo]])-ENTERO(SI([@[Fecha_Nueva_Programada]]&lt;&gt;"";[@[Fecha_Nueva_Programada]];[@[Fecha_Programada_Fin]])))</f>
        <v/>
      </c>
      <c r="R331" s="12" t="n"/>
      <c r="S331" s="12" t="n"/>
      <c r="T331" s="13" t="n"/>
      <c r="U331" s="12" t="n">
        <v>14</v>
      </c>
      <c r="V331" s="12" t="n"/>
      <c r="W33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31" s="14">
        <f>SI([@SBAN]="";"";BUSCARV([@SBAN];Cronograma_Maestro!$A:$M;6;FALSO))</f>
        <v/>
      </c>
    </row>
    <row r="332">
      <c r="A332" s="11" t="inlineStr">
        <is>
          <t>3107</t>
        </is>
      </c>
      <c r="B332" s="12">
        <f>SI([@SBAN]="";"";BUSCARV([@SBAN];Cronograma_Maestro!$A:$M;2;FALSO))</f>
        <v/>
      </c>
      <c r="C332" s="12">
        <f>SI([@SBAN]="";"";BUSCARV([@SBAN];Cronograma_Maestro!$A:$M;3;FALSO))</f>
        <v/>
      </c>
      <c r="D332" s="12">
        <f>SI([@SBAN]="";"";BUSCARV([@SBAN];Cronograma_Maestro!$A:$M;4;FALSO))</f>
        <v/>
      </c>
      <c r="E332" s="12">
        <f>SI([@SBAN]="";"";BUSCARV([@SBAN];Cronograma_Maestro!$A:$M;5;FALSO))</f>
        <v/>
      </c>
      <c r="F332" s="12" t="inlineStr">
        <is>
          <t>Nelson Leonardo Paez Suarez</t>
        </is>
      </c>
      <c r="G332" s="12" t="inlineStr">
        <is>
          <t>PMU COLSOF</t>
        </is>
      </c>
      <c r="H332" s="13" t="n">
        <v>46297</v>
      </c>
      <c r="I332" s="13" t="n">
        <v>46297</v>
      </c>
      <c r="J332" s="13" t="n"/>
      <c r="K332" s="13" t="n"/>
      <c r="L332" s="12" t="inlineStr">
        <is>
          <t>Programada</t>
        </is>
      </c>
      <c r="M332" s="13" t="n"/>
      <c r="N332" s="14">
        <f>SI(O([@[Fecha_Programada_Inicio]]="";[@[Fecha_Inicio_Real]]="");"";SI([@[Fecha_Inicio_Real]]&lt;=[@[Fecha_Programada_Inicio]];"SÍ";"NO"))</f>
        <v/>
      </c>
      <c r="O332" s="14">
        <f>SI(O([@[Fecha_Programada_Fin]]="";[@[Fecha_Cierre_Operativo]]="");"";SI([@[Fecha_Cierre_Operativo]]&lt;=SI([@[Fecha_Nueva_Programada]]&lt;&gt;"";[@[Fecha_Nueva_Programada]];[@[Fecha_Programada_Fin]]);"SÍ";"NO"))</f>
        <v/>
      </c>
      <c r="P332" s="14">
        <f>SI(O([@[Cumpli_Ingreso]]="";[@[Cumpli_Salida]]="");"";SI(Y([@[Cumpli_Ingreso]]="SÍ";[@[Cumpli_Salida]]="SÍ");"SÍ";"NO"))</f>
        <v/>
      </c>
      <c r="Q332" s="15">
        <f>SI(O([@[Fecha_Programada_Fin]]="";[@[Fecha_Cierre_Operativo]]="");"";MAX(0;ENTERO([@[Fecha_Cierre_Operativo]])-ENTERO(SI([@[Fecha_Nueva_Programada]]&lt;&gt;"";[@[Fecha_Nueva_Programada]];[@[Fecha_Programada_Fin]])))</f>
        <v/>
      </c>
      <c r="R332" s="12" t="n"/>
      <c r="S332" s="12" t="n"/>
      <c r="T332" s="13" t="n"/>
      <c r="U332" s="12" t="n">
        <v>17</v>
      </c>
      <c r="V332" s="12" t="n"/>
      <c r="W33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32" s="14">
        <f>SI([@SBAN]="";"";BUSCARV([@SBAN];Cronograma_Maestro!$A:$M;6;FALSO))</f>
        <v/>
      </c>
    </row>
    <row r="333">
      <c r="A333" s="11" t="inlineStr">
        <is>
          <t>3109</t>
        </is>
      </c>
      <c r="B333" s="12">
        <f>SI([@SBAN]="";"";BUSCARV([@SBAN];Cronograma_Maestro!$A:$M;2;FALSO))</f>
        <v/>
      </c>
      <c r="C333" s="12">
        <f>SI([@SBAN]="";"";BUSCARV([@SBAN];Cronograma_Maestro!$A:$M;3;FALSO))</f>
        <v/>
      </c>
      <c r="D333" s="12">
        <f>SI([@SBAN]="";"";BUSCARV([@SBAN];Cronograma_Maestro!$A:$M;4;FALSO))</f>
        <v/>
      </c>
      <c r="E333" s="12">
        <f>SI([@SBAN]="";"";BUSCARV([@SBAN];Cronograma_Maestro!$A:$M;5;FALSO))</f>
        <v/>
      </c>
      <c r="F333" s="12" t="inlineStr">
        <is>
          <t>Nelson Leonardo Paez Suarez</t>
        </is>
      </c>
      <c r="G333" s="12" t="inlineStr">
        <is>
          <t>PMU COLSOF</t>
        </is>
      </c>
      <c r="H333" s="13" t="n">
        <v>46289</v>
      </c>
      <c r="I333" s="13" t="n">
        <v>46289</v>
      </c>
      <c r="J333" s="13" t="n"/>
      <c r="K333" s="13" t="n"/>
      <c r="L333" s="12" t="inlineStr">
        <is>
          <t>Programada</t>
        </is>
      </c>
      <c r="M333" s="13" t="n"/>
      <c r="N333" s="14">
        <f>SI(O([@[Fecha_Programada_Inicio]]="";[@[Fecha_Inicio_Real]]="");"";SI([@[Fecha_Inicio_Real]]&lt;=[@[Fecha_Programada_Inicio]];"SÍ";"NO"))</f>
        <v/>
      </c>
      <c r="O333" s="14">
        <f>SI(O([@[Fecha_Programada_Fin]]="";[@[Fecha_Cierre_Operativo]]="");"";SI([@[Fecha_Cierre_Operativo]]&lt;=SI([@[Fecha_Nueva_Programada]]&lt;&gt;"";[@[Fecha_Nueva_Programada]];[@[Fecha_Programada_Fin]]);"SÍ";"NO"))</f>
        <v/>
      </c>
      <c r="P333" s="14">
        <f>SI(O([@[Cumpli_Ingreso]]="";[@[Cumpli_Salida]]="");"";SI(Y([@[Cumpli_Ingreso]]="SÍ";[@[Cumpli_Salida]]="SÍ");"SÍ";"NO"))</f>
        <v/>
      </c>
      <c r="Q333" s="15">
        <f>SI(O([@[Fecha_Programada_Fin]]="";[@[Fecha_Cierre_Operativo]]="");"";MAX(0;ENTERO([@[Fecha_Cierre_Operativo]])-ENTERO(SI([@[Fecha_Nueva_Programada]]&lt;&gt;"";[@[Fecha_Nueva_Programada]];[@[Fecha_Programada_Fin]])))</f>
        <v/>
      </c>
      <c r="R333" s="12" t="n"/>
      <c r="S333" s="12" t="n"/>
      <c r="T333" s="13" t="n"/>
      <c r="U333" s="12" t="n">
        <v>14</v>
      </c>
      <c r="V333" s="12" t="n"/>
      <c r="W33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33" s="14">
        <f>SI([@SBAN]="";"";BUSCARV([@SBAN];Cronograma_Maestro!$A:$M;6;FALSO))</f>
        <v/>
      </c>
    </row>
    <row r="334">
      <c r="A334" s="11" t="inlineStr">
        <is>
          <t>3110</t>
        </is>
      </c>
      <c r="B334" s="12">
        <f>SI([@SBAN]="";"";BUSCARV([@SBAN];Cronograma_Maestro!$A:$M;2;FALSO))</f>
        <v/>
      </c>
      <c r="C334" s="12">
        <f>SI([@SBAN]="";"";BUSCARV([@SBAN];Cronograma_Maestro!$A:$M;3;FALSO))</f>
        <v/>
      </c>
      <c r="D334" s="12">
        <f>SI([@SBAN]="";"";BUSCARV([@SBAN];Cronograma_Maestro!$A:$M;4;FALSO))</f>
        <v/>
      </c>
      <c r="E334" s="12">
        <f>SI([@SBAN]="";"";BUSCARV([@SBAN];Cronograma_Maestro!$A:$M;5;FALSO))</f>
        <v/>
      </c>
      <c r="F334" s="12" t="inlineStr">
        <is>
          <t>Nelson Leonardo Paez Suarez</t>
        </is>
      </c>
      <c r="G334" s="12" t="inlineStr">
        <is>
          <t>PMU COLSOF</t>
        </is>
      </c>
      <c r="H334" s="13" t="n">
        <v>46287</v>
      </c>
      <c r="I334" s="13" t="n">
        <v>46287</v>
      </c>
      <c r="J334" s="13" t="n"/>
      <c r="K334" s="13" t="n"/>
      <c r="L334" s="12" t="inlineStr">
        <is>
          <t>Programada</t>
        </is>
      </c>
      <c r="M334" s="13" t="n"/>
      <c r="N334" s="14">
        <f>SI(O([@[Fecha_Programada_Inicio]]="";[@[Fecha_Inicio_Real]]="");"";SI([@[Fecha_Inicio_Real]]&lt;=[@[Fecha_Programada_Inicio]];"SÍ";"NO"))</f>
        <v/>
      </c>
      <c r="O334" s="14">
        <f>SI(O([@[Fecha_Programada_Fin]]="";[@[Fecha_Cierre_Operativo]]="");"";SI([@[Fecha_Cierre_Operativo]]&lt;=SI([@[Fecha_Nueva_Programada]]&lt;&gt;"";[@[Fecha_Nueva_Programada]];[@[Fecha_Programada_Fin]]);"SÍ";"NO"))</f>
        <v/>
      </c>
      <c r="P334" s="14">
        <f>SI(O([@[Cumpli_Ingreso]]="";[@[Cumpli_Salida]]="");"";SI(Y([@[Cumpli_Ingreso]]="SÍ";[@[Cumpli_Salida]]="SÍ");"SÍ";"NO"))</f>
        <v/>
      </c>
      <c r="Q334" s="15">
        <f>SI(O([@[Fecha_Programada_Fin]]="";[@[Fecha_Cierre_Operativo]]="");"";MAX(0;ENTERO([@[Fecha_Cierre_Operativo]])-ENTERO(SI([@[Fecha_Nueva_Programada]]&lt;&gt;"";[@[Fecha_Nueva_Programada]];[@[Fecha_Programada_Fin]])))</f>
        <v/>
      </c>
      <c r="R334" s="12" t="n"/>
      <c r="S334" s="12" t="n"/>
      <c r="T334" s="13" t="n"/>
      <c r="U334" s="12" t="n">
        <v>16</v>
      </c>
      <c r="V334" s="12" t="n"/>
      <c r="W33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34" s="14">
        <f>SI([@SBAN]="";"";BUSCARV([@SBAN];Cronograma_Maestro!$A:$M;6;FALSO))</f>
        <v/>
      </c>
    </row>
    <row r="335">
      <c r="A335" s="11" t="inlineStr">
        <is>
          <t>3111</t>
        </is>
      </c>
      <c r="B335" s="12">
        <f>SI([@SBAN]="";"";BUSCARV([@SBAN];Cronograma_Maestro!$A:$M;2;FALSO))</f>
        <v/>
      </c>
      <c r="C335" s="12">
        <f>SI([@SBAN]="";"";BUSCARV([@SBAN];Cronograma_Maestro!$A:$M;3;FALSO))</f>
        <v/>
      </c>
      <c r="D335" s="12">
        <f>SI([@SBAN]="";"";BUSCARV([@SBAN];Cronograma_Maestro!$A:$M;4;FALSO))</f>
        <v/>
      </c>
      <c r="E335" s="12">
        <f>SI([@SBAN]="";"";BUSCARV([@SBAN];Cronograma_Maestro!$A:$M;5;FALSO))</f>
        <v/>
      </c>
      <c r="F335" s="12" t="inlineStr">
        <is>
          <t>Edwin Santiago Cuchivaguen Diaz</t>
        </is>
      </c>
      <c r="G335" s="12" t="inlineStr">
        <is>
          <t>PMU COLSOF</t>
        </is>
      </c>
      <c r="H335" s="13" t="n">
        <v>46286</v>
      </c>
      <c r="I335" s="13" t="n">
        <v>46286</v>
      </c>
      <c r="J335" s="13" t="n"/>
      <c r="K335" s="13" t="n"/>
      <c r="L335" s="12" t="inlineStr">
        <is>
          <t>Programada</t>
        </is>
      </c>
      <c r="M335" s="13" t="n"/>
      <c r="N335" s="14">
        <f>SI(O([@[Fecha_Programada_Inicio]]="";[@[Fecha_Inicio_Real]]="");"";SI([@[Fecha_Inicio_Real]]&lt;=[@[Fecha_Programada_Inicio]];"SÍ";"NO"))</f>
        <v/>
      </c>
      <c r="O335" s="14">
        <f>SI(O([@[Fecha_Programada_Fin]]="";[@[Fecha_Cierre_Operativo]]="");"";SI([@[Fecha_Cierre_Operativo]]&lt;=SI([@[Fecha_Nueva_Programada]]&lt;&gt;"";[@[Fecha_Nueva_Programada]];[@[Fecha_Programada_Fin]]);"SÍ";"NO"))</f>
        <v/>
      </c>
      <c r="P335" s="14">
        <f>SI(O([@[Cumpli_Ingreso]]="";[@[Cumpli_Salida]]="");"";SI(Y([@[Cumpli_Ingreso]]="SÍ";[@[Cumpli_Salida]]="SÍ");"SÍ";"NO"))</f>
        <v/>
      </c>
      <c r="Q335" s="15">
        <f>SI(O([@[Fecha_Programada_Fin]]="";[@[Fecha_Cierre_Operativo]]="");"";MAX(0;ENTERO([@[Fecha_Cierre_Operativo]])-ENTERO(SI([@[Fecha_Nueva_Programada]]&lt;&gt;"";[@[Fecha_Nueva_Programada]];[@[Fecha_Programada_Fin]])))</f>
        <v/>
      </c>
      <c r="R335" s="12" t="n"/>
      <c r="S335" s="12" t="n"/>
      <c r="T335" s="13" t="n"/>
      <c r="U335" s="12" t="n">
        <v>14</v>
      </c>
      <c r="V335" s="12" t="n"/>
      <c r="W33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35" s="14">
        <f>SI([@SBAN]="";"";BUSCARV([@SBAN];Cronograma_Maestro!$A:$M;6;FALSO))</f>
        <v/>
      </c>
    </row>
    <row r="336">
      <c r="A336" s="11" t="inlineStr">
        <is>
          <t>3113</t>
        </is>
      </c>
      <c r="B336" s="12">
        <f>SI([@SBAN]="";"";BUSCARV([@SBAN];Cronograma_Maestro!$A:$M;2;FALSO))</f>
        <v/>
      </c>
      <c r="C336" s="12">
        <f>SI([@SBAN]="";"";BUSCARV([@SBAN];Cronograma_Maestro!$A:$M;3;FALSO))</f>
        <v/>
      </c>
      <c r="D336" s="12">
        <f>SI([@SBAN]="";"";BUSCARV([@SBAN];Cronograma_Maestro!$A:$M;4;FALSO))</f>
        <v/>
      </c>
      <c r="E336" s="12">
        <f>SI([@SBAN]="";"";BUSCARV([@SBAN];Cronograma_Maestro!$A:$M;5;FALSO))</f>
        <v/>
      </c>
      <c r="F336" s="12" t="inlineStr">
        <is>
          <t>Edwin Santiago Cuchivaguen Diaz</t>
        </is>
      </c>
      <c r="G336" s="12" t="inlineStr">
        <is>
          <t>PMU COLSOF</t>
        </is>
      </c>
      <c r="H336" s="13" t="n">
        <v>46293</v>
      </c>
      <c r="I336" s="13" t="n">
        <v>46293</v>
      </c>
      <c r="J336" s="13" t="n"/>
      <c r="K336" s="13" t="n"/>
      <c r="L336" s="12" t="inlineStr">
        <is>
          <t>Programada</t>
        </is>
      </c>
      <c r="M336" s="13" t="n"/>
      <c r="N336" s="14">
        <f>SI(O([@[Fecha_Programada_Inicio]]="";[@[Fecha_Inicio_Real]]="");"";SI([@[Fecha_Inicio_Real]]&lt;=[@[Fecha_Programada_Inicio]];"SÍ";"NO"))</f>
        <v/>
      </c>
      <c r="O336" s="14">
        <f>SI(O([@[Fecha_Programada_Fin]]="";[@[Fecha_Cierre_Operativo]]="");"";SI([@[Fecha_Cierre_Operativo]]&lt;=SI([@[Fecha_Nueva_Programada]]&lt;&gt;"";[@[Fecha_Nueva_Programada]];[@[Fecha_Programada_Fin]]);"SÍ";"NO"))</f>
        <v/>
      </c>
      <c r="P336" s="14">
        <f>SI(O([@[Cumpli_Ingreso]]="";[@[Cumpli_Salida]]="");"";SI(Y([@[Cumpli_Ingreso]]="SÍ";[@[Cumpli_Salida]]="SÍ");"SÍ";"NO"))</f>
        <v/>
      </c>
      <c r="Q336" s="15">
        <f>SI(O([@[Fecha_Programada_Fin]]="";[@[Fecha_Cierre_Operativo]]="");"";MAX(0;ENTERO([@[Fecha_Cierre_Operativo]])-ENTERO(SI([@[Fecha_Nueva_Programada]]&lt;&gt;"";[@[Fecha_Nueva_Programada]];[@[Fecha_Programada_Fin]])))</f>
        <v/>
      </c>
      <c r="R336" s="12" t="n"/>
      <c r="S336" s="12" t="n"/>
      <c r="T336" s="13" t="n"/>
      <c r="U336" s="12" t="n">
        <v>17</v>
      </c>
      <c r="V336" s="12" t="n"/>
      <c r="W33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36" s="14">
        <f>SI([@SBAN]="";"";BUSCARV([@SBAN];Cronograma_Maestro!$A:$M;6;FALSO))</f>
        <v/>
      </c>
    </row>
    <row r="337">
      <c r="A337" s="11" t="inlineStr">
        <is>
          <t>3114</t>
        </is>
      </c>
      <c r="B337" s="12">
        <f>SI([@SBAN]="";"";BUSCARV([@SBAN];Cronograma_Maestro!$A:$M;2;FALSO))</f>
        <v/>
      </c>
      <c r="C337" s="12">
        <f>SI([@SBAN]="";"";BUSCARV([@SBAN];Cronograma_Maestro!$A:$M;3;FALSO))</f>
        <v/>
      </c>
      <c r="D337" s="12">
        <f>SI([@SBAN]="";"";BUSCARV([@SBAN];Cronograma_Maestro!$A:$M;4;FALSO))</f>
        <v/>
      </c>
      <c r="E337" s="12">
        <f>SI([@SBAN]="";"";BUSCARV([@SBAN];Cronograma_Maestro!$A:$M;5;FALSO))</f>
        <v/>
      </c>
      <c r="F337" s="12" t="inlineStr">
        <is>
          <t>Nelson Leonardo Paez Suarez</t>
        </is>
      </c>
      <c r="G337" s="12" t="inlineStr">
        <is>
          <t>PMU COLSOF</t>
        </is>
      </c>
      <c r="H337" s="13" t="n">
        <v>46283</v>
      </c>
      <c r="I337" s="13" t="n">
        <v>46283</v>
      </c>
      <c r="J337" s="13" t="n"/>
      <c r="K337" s="13" t="n"/>
      <c r="L337" s="12" t="inlineStr">
        <is>
          <t>Programada</t>
        </is>
      </c>
      <c r="M337" s="13" t="n"/>
      <c r="N337" s="14">
        <f>SI(O([@[Fecha_Programada_Inicio]]="";[@[Fecha_Inicio_Real]]="");"";SI([@[Fecha_Inicio_Real]]&lt;=[@[Fecha_Programada_Inicio]];"SÍ";"NO"))</f>
        <v/>
      </c>
      <c r="O337" s="14">
        <f>SI(O([@[Fecha_Programada_Fin]]="";[@[Fecha_Cierre_Operativo]]="");"";SI([@[Fecha_Cierre_Operativo]]&lt;=SI([@[Fecha_Nueva_Programada]]&lt;&gt;"";[@[Fecha_Nueva_Programada]];[@[Fecha_Programada_Fin]]);"SÍ";"NO"))</f>
        <v/>
      </c>
      <c r="P337" s="14">
        <f>SI(O([@[Cumpli_Ingreso]]="";[@[Cumpli_Salida]]="");"";SI(Y([@[Cumpli_Ingreso]]="SÍ";[@[Cumpli_Salida]]="SÍ");"SÍ";"NO"))</f>
        <v/>
      </c>
      <c r="Q337" s="15">
        <f>SI(O([@[Fecha_Programada_Fin]]="";[@[Fecha_Cierre_Operativo]]="");"";MAX(0;ENTERO([@[Fecha_Cierre_Operativo]])-ENTERO(SI([@[Fecha_Nueva_Programada]]&lt;&gt;"";[@[Fecha_Nueva_Programada]];[@[Fecha_Programada_Fin]])))</f>
        <v/>
      </c>
      <c r="R337" s="12" t="n"/>
      <c r="S337" s="12" t="n"/>
      <c r="T337" s="13" t="n"/>
      <c r="U337" s="12" t="n">
        <v>20</v>
      </c>
      <c r="V337" s="12" t="n"/>
      <c r="W33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37" s="14">
        <f>SI([@SBAN]="";"";BUSCARV([@SBAN];Cronograma_Maestro!$A:$M;6;FALSO))</f>
        <v/>
      </c>
    </row>
    <row r="338">
      <c r="A338" s="11" t="inlineStr">
        <is>
          <t>3115</t>
        </is>
      </c>
      <c r="B338" s="12">
        <f>SI([@SBAN]="";"";BUSCARV([@SBAN];Cronograma_Maestro!$A:$M;2;FALSO))</f>
        <v/>
      </c>
      <c r="C338" s="12">
        <f>SI([@SBAN]="";"";BUSCARV([@SBAN];Cronograma_Maestro!$A:$M;3;FALSO))</f>
        <v/>
      </c>
      <c r="D338" s="12">
        <f>SI([@SBAN]="";"";BUSCARV([@SBAN];Cronograma_Maestro!$A:$M;4;FALSO))</f>
        <v/>
      </c>
      <c r="E338" s="12">
        <f>SI([@SBAN]="";"";BUSCARV([@SBAN];Cronograma_Maestro!$A:$M;5;FALSO))</f>
        <v/>
      </c>
      <c r="F338" s="12" t="inlineStr">
        <is>
          <t>Nelson Leonardo Paez Suarez</t>
        </is>
      </c>
      <c r="G338" s="12" t="inlineStr">
        <is>
          <t>PMU COLSOF</t>
        </is>
      </c>
      <c r="H338" s="13" t="n">
        <v>46296</v>
      </c>
      <c r="I338" s="13" t="n">
        <v>46296</v>
      </c>
      <c r="J338" s="13" t="n"/>
      <c r="K338" s="13" t="n"/>
      <c r="L338" s="12" t="inlineStr">
        <is>
          <t>Programada</t>
        </is>
      </c>
      <c r="M338" s="13" t="n"/>
      <c r="N338" s="14">
        <f>SI(O([@[Fecha_Programada_Inicio]]="";[@[Fecha_Inicio_Real]]="");"";SI([@[Fecha_Inicio_Real]]&lt;=[@[Fecha_Programada_Inicio]];"SÍ";"NO"))</f>
        <v/>
      </c>
      <c r="O338" s="14">
        <f>SI(O([@[Fecha_Programada_Fin]]="";[@[Fecha_Cierre_Operativo]]="");"";SI([@[Fecha_Cierre_Operativo]]&lt;=SI([@[Fecha_Nueva_Programada]]&lt;&gt;"";[@[Fecha_Nueva_Programada]];[@[Fecha_Programada_Fin]]);"SÍ";"NO"))</f>
        <v/>
      </c>
      <c r="P338" s="14">
        <f>SI(O([@[Cumpli_Ingreso]]="";[@[Cumpli_Salida]]="");"";SI(Y([@[Cumpli_Ingreso]]="SÍ";[@[Cumpli_Salida]]="SÍ");"SÍ";"NO"))</f>
        <v/>
      </c>
      <c r="Q338" s="15">
        <f>SI(O([@[Fecha_Programada_Fin]]="";[@[Fecha_Cierre_Operativo]]="");"";MAX(0;ENTERO([@[Fecha_Cierre_Operativo]])-ENTERO(SI([@[Fecha_Nueva_Programada]]&lt;&gt;"";[@[Fecha_Nueva_Programada]];[@[Fecha_Programada_Fin]])))</f>
        <v/>
      </c>
      <c r="R338" s="12" t="n"/>
      <c r="S338" s="12" t="n"/>
      <c r="T338" s="13" t="n"/>
      <c r="U338" s="12" t="n">
        <v>14</v>
      </c>
      <c r="V338" s="12" t="n"/>
      <c r="W33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38" s="14">
        <f>SI([@SBAN]="";"";BUSCARV([@SBAN];Cronograma_Maestro!$A:$M;6;FALSO))</f>
        <v/>
      </c>
    </row>
    <row r="339">
      <c r="A339" s="11" t="inlineStr">
        <is>
          <t>3116</t>
        </is>
      </c>
      <c r="B339" s="12">
        <f>SI([@SBAN]="";"";BUSCARV([@SBAN];Cronograma_Maestro!$A:$M;2;FALSO))</f>
        <v/>
      </c>
      <c r="C339" s="12">
        <f>SI([@SBAN]="";"";BUSCARV([@SBAN];Cronograma_Maestro!$A:$M;3;FALSO))</f>
        <v/>
      </c>
      <c r="D339" s="12">
        <f>SI([@SBAN]="";"";BUSCARV([@SBAN];Cronograma_Maestro!$A:$M;4;FALSO))</f>
        <v/>
      </c>
      <c r="E339" s="12">
        <f>SI([@SBAN]="";"";BUSCARV([@SBAN];Cronograma_Maestro!$A:$M;5;FALSO))</f>
        <v/>
      </c>
      <c r="F339" s="12" t="inlineStr">
        <is>
          <t>Nelson Leonardo Paez Suarez</t>
        </is>
      </c>
      <c r="G339" s="12" t="inlineStr">
        <is>
          <t>PMU COLSOF</t>
        </is>
      </c>
      <c r="H339" s="13" t="n">
        <v>46276</v>
      </c>
      <c r="I339" s="13" t="n">
        <v>46276</v>
      </c>
      <c r="J339" s="13" t="n"/>
      <c r="K339" s="13" t="n"/>
      <c r="L339" s="12" t="inlineStr">
        <is>
          <t>Programada</t>
        </is>
      </c>
      <c r="M339" s="13" t="n"/>
      <c r="N339" s="14">
        <f>SI(O([@[Fecha_Programada_Inicio]]="";[@[Fecha_Inicio_Real]]="");"";SI([@[Fecha_Inicio_Real]]&lt;=[@[Fecha_Programada_Inicio]];"SÍ";"NO"))</f>
        <v/>
      </c>
      <c r="O339" s="14">
        <f>SI(O([@[Fecha_Programada_Fin]]="";[@[Fecha_Cierre_Operativo]]="");"";SI([@[Fecha_Cierre_Operativo]]&lt;=SI([@[Fecha_Nueva_Programada]]&lt;&gt;"";[@[Fecha_Nueva_Programada]];[@[Fecha_Programada_Fin]]);"SÍ";"NO"))</f>
        <v/>
      </c>
      <c r="P339" s="14">
        <f>SI(O([@[Cumpli_Ingreso]]="";[@[Cumpli_Salida]]="");"";SI(Y([@[Cumpli_Ingreso]]="SÍ";[@[Cumpli_Salida]]="SÍ");"SÍ";"NO"))</f>
        <v/>
      </c>
      <c r="Q339" s="15">
        <f>SI(O([@[Fecha_Programada_Fin]]="";[@[Fecha_Cierre_Operativo]]="");"";MAX(0;ENTERO([@[Fecha_Cierre_Operativo]])-ENTERO(SI([@[Fecha_Nueva_Programada]]&lt;&gt;"";[@[Fecha_Nueva_Programada]];[@[Fecha_Programada_Fin]])))</f>
        <v/>
      </c>
      <c r="R339" s="12" t="n"/>
      <c r="S339" s="12" t="n"/>
      <c r="T339" s="13" t="n"/>
      <c r="U339" s="12" t="n">
        <v>20</v>
      </c>
      <c r="V339" s="12" t="n"/>
      <c r="W33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39" s="14">
        <f>SI([@SBAN]="";"";BUSCARV([@SBAN];Cronograma_Maestro!$A:$M;6;FALSO))</f>
        <v/>
      </c>
    </row>
    <row r="340">
      <c r="A340" s="11" t="inlineStr">
        <is>
          <t>3117</t>
        </is>
      </c>
      <c r="B340" s="12">
        <f>SI([@SBAN]="";"";BUSCARV([@SBAN];Cronograma_Maestro!$A:$M;2;FALSO))</f>
        <v/>
      </c>
      <c r="C340" s="12">
        <f>SI([@SBAN]="";"";BUSCARV([@SBAN];Cronograma_Maestro!$A:$M;3;FALSO))</f>
        <v/>
      </c>
      <c r="D340" s="12">
        <f>SI([@SBAN]="";"";BUSCARV([@SBAN];Cronograma_Maestro!$A:$M;4;FALSO))</f>
        <v/>
      </c>
      <c r="E340" s="12">
        <f>SI([@SBAN]="";"";BUSCARV([@SBAN];Cronograma_Maestro!$A:$M;5;FALSO))</f>
        <v/>
      </c>
      <c r="F340" s="12" t="inlineStr">
        <is>
          <t>Jhonatan Felipe Hernandez Gamboa</t>
        </is>
      </c>
      <c r="G340" s="12" t="inlineStr">
        <is>
          <t>PMU COLSOF</t>
        </is>
      </c>
      <c r="H340" s="13" t="n">
        <v>46287</v>
      </c>
      <c r="I340" s="13" t="n">
        <v>46287</v>
      </c>
      <c r="J340" s="13" t="n"/>
      <c r="K340" s="13" t="n"/>
      <c r="L340" s="12" t="inlineStr">
        <is>
          <t>Programada</t>
        </is>
      </c>
      <c r="M340" s="13" t="n"/>
      <c r="N340" s="14">
        <f>SI(O([@[Fecha_Programada_Inicio]]="";[@[Fecha_Inicio_Real]]="");"";SI([@[Fecha_Inicio_Real]]&lt;=[@[Fecha_Programada_Inicio]];"SÍ";"NO"))</f>
        <v/>
      </c>
      <c r="O340" s="14">
        <f>SI(O([@[Fecha_Programada_Fin]]="";[@[Fecha_Cierre_Operativo]]="");"";SI([@[Fecha_Cierre_Operativo]]&lt;=SI([@[Fecha_Nueva_Programada]]&lt;&gt;"";[@[Fecha_Nueva_Programada]];[@[Fecha_Programada_Fin]]);"SÍ";"NO"))</f>
        <v/>
      </c>
      <c r="P340" s="14">
        <f>SI(O([@[Cumpli_Ingreso]]="";[@[Cumpli_Salida]]="");"";SI(Y([@[Cumpli_Ingreso]]="SÍ";[@[Cumpli_Salida]]="SÍ");"SÍ";"NO"))</f>
        <v/>
      </c>
      <c r="Q340" s="15">
        <f>SI(O([@[Fecha_Programada_Fin]]="";[@[Fecha_Cierre_Operativo]]="");"";MAX(0;ENTERO([@[Fecha_Cierre_Operativo]])-ENTERO(SI([@[Fecha_Nueva_Programada]]&lt;&gt;"";[@[Fecha_Nueva_Programada]];[@[Fecha_Programada_Fin]])))</f>
        <v/>
      </c>
      <c r="R340" s="12" t="n"/>
      <c r="S340" s="12" t="n"/>
      <c r="T340" s="13" t="n"/>
      <c r="U340" s="12" t="n">
        <v>19</v>
      </c>
      <c r="V340" s="12" t="n"/>
      <c r="W34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40" s="14">
        <f>SI([@SBAN]="";"";BUSCARV([@SBAN];Cronograma_Maestro!$A:$M;6;FALSO))</f>
        <v/>
      </c>
    </row>
    <row r="341">
      <c r="A341" s="11" t="inlineStr">
        <is>
          <t>3118</t>
        </is>
      </c>
      <c r="B341" s="12">
        <f>SI([@SBAN]="";"";BUSCARV([@SBAN];Cronograma_Maestro!$A:$M;2;FALSO))</f>
        <v/>
      </c>
      <c r="C341" s="12">
        <f>SI([@SBAN]="";"";BUSCARV([@SBAN];Cronograma_Maestro!$A:$M;3;FALSO))</f>
        <v/>
      </c>
      <c r="D341" s="12">
        <f>SI([@SBAN]="";"";BUSCARV([@SBAN];Cronograma_Maestro!$A:$M;4;FALSO))</f>
        <v/>
      </c>
      <c r="E341" s="12">
        <f>SI([@SBAN]="";"";BUSCARV([@SBAN];Cronograma_Maestro!$A:$M;5;FALSO))</f>
        <v/>
      </c>
      <c r="F341" s="12" t="inlineStr">
        <is>
          <t>Carlos Andres Cuchivaguen Diaz</t>
        </is>
      </c>
      <c r="G341" s="12" t="inlineStr">
        <is>
          <t>PMU COLSOF</t>
        </is>
      </c>
      <c r="H341" s="13" t="n">
        <v>46274</v>
      </c>
      <c r="I341" s="13" t="n">
        <v>46275</v>
      </c>
      <c r="J341" s="13" t="n"/>
      <c r="K341" s="13" t="n"/>
      <c r="L341" s="12" t="inlineStr">
        <is>
          <t>Programada</t>
        </is>
      </c>
      <c r="M341" s="13" t="n"/>
      <c r="N341" s="14">
        <f>SI(O([@[Fecha_Programada_Inicio]]="";[@[Fecha_Inicio_Real]]="");"";SI([@[Fecha_Inicio_Real]]&lt;=[@[Fecha_Programada_Inicio]];"SÍ";"NO"))</f>
        <v/>
      </c>
      <c r="O341" s="14">
        <f>SI(O([@[Fecha_Programada_Fin]]="";[@[Fecha_Cierre_Operativo]]="");"";SI([@[Fecha_Cierre_Operativo]]&lt;=SI([@[Fecha_Nueva_Programada]]&lt;&gt;"";[@[Fecha_Nueva_Programada]];[@[Fecha_Programada_Fin]]);"SÍ";"NO"))</f>
        <v/>
      </c>
      <c r="P341" s="14">
        <f>SI(O([@[Cumpli_Ingreso]]="";[@[Cumpli_Salida]]="");"";SI(Y([@[Cumpli_Ingreso]]="SÍ";[@[Cumpli_Salida]]="SÍ");"SÍ";"NO"))</f>
        <v/>
      </c>
      <c r="Q341" s="15">
        <f>SI(O([@[Fecha_Programada_Fin]]="";[@[Fecha_Cierre_Operativo]]="");"";MAX(0;ENTERO([@[Fecha_Cierre_Operativo]])-ENTERO(SI([@[Fecha_Nueva_Programada]]&lt;&gt;"";[@[Fecha_Nueva_Programada]];[@[Fecha_Programada_Fin]])))</f>
        <v/>
      </c>
      <c r="R341" s="12" t="n"/>
      <c r="S341" s="12" t="n"/>
      <c r="T341" s="13" t="n"/>
      <c r="U341" s="12" t="n">
        <v>30</v>
      </c>
      <c r="V341" s="12" t="n"/>
      <c r="W34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41" s="14">
        <f>SI([@SBAN]="";"";BUSCARV([@SBAN];Cronograma_Maestro!$A:$M;6;FALSO))</f>
        <v/>
      </c>
    </row>
    <row r="342">
      <c r="A342" s="11" t="inlineStr">
        <is>
          <t>3120</t>
        </is>
      </c>
      <c r="B342" s="12">
        <f>SI([@SBAN]="";"";BUSCARV([@SBAN];Cronograma_Maestro!$A:$M;2;FALSO))</f>
        <v/>
      </c>
      <c r="C342" s="12">
        <f>SI([@SBAN]="";"";BUSCARV([@SBAN];Cronograma_Maestro!$A:$M;3;FALSO))</f>
        <v/>
      </c>
      <c r="D342" s="12">
        <f>SI([@SBAN]="";"";BUSCARV([@SBAN];Cronograma_Maestro!$A:$M;4;FALSO))</f>
        <v/>
      </c>
      <c r="E342" s="12">
        <f>SI([@SBAN]="";"";BUSCARV([@SBAN];Cronograma_Maestro!$A:$M;5;FALSO))</f>
        <v/>
      </c>
      <c r="F342" s="12" t="inlineStr">
        <is>
          <t>Jhonatan Felipe Hernandez Gamboa</t>
        </is>
      </c>
      <c r="G342" s="12" t="inlineStr">
        <is>
          <t>PMU COLSOF</t>
        </is>
      </c>
      <c r="H342" s="13" t="n">
        <v>46293</v>
      </c>
      <c r="I342" s="13" t="n">
        <v>46293</v>
      </c>
      <c r="J342" s="13" t="n"/>
      <c r="K342" s="13" t="n"/>
      <c r="L342" s="12" t="inlineStr">
        <is>
          <t>Programada</t>
        </is>
      </c>
      <c r="M342" s="13" t="n"/>
      <c r="N342" s="14">
        <f>SI(O([@[Fecha_Programada_Inicio]]="";[@[Fecha_Inicio_Real]]="");"";SI([@[Fecha_Inicio_Real]]&lt;=[@[Fecha_Programada_Inicio]];"SÍ";"NO"))</f>
        <v/>
      </c>
      <c r="O342" s="14">
        <f>SI(O([@[Fecha_Programada_Fin]]="";[@[Fecha_Cierre_Operativo]]="");"";SI([@[Fecha_Cierre_Operativo]]&lt;=SI([@[Fecha_Nueva_Programada]]&lt;&gt;"";[@[Fecha_Nueva_Programada]];[@[Fecha_Programada_Fin]]);"SÍ";"NO"))</f>
        <v/>
      </c>
      <c r="P342" s="14">
        <f>SI(O([@[Cumpli_Ingreso]]="";[@[Cumpli_Salida]]="");"";SI(Y([@[Cumpli_Ingreso]]="SÍ";[@[Cumpli_Salida]]="SÍ");"SÍ";"NO"))</f>
        <v/>
      </c>
      <c r="Q342" s="15">
        <f>SI(O([@[Fecha_Programada_Fin]]="";[@[Fecha_Cierre_Operativo]]="");"";MAX(0;ENTERO([@[Fecha_Cierre_Operativo]])-ENTERO(SI([@[Fecha_Nueva_Programada]]&lt;&gt;"";[@[Fecha_Nueva_Programada]];[@[Fecha_Programada_Fin]])))</f>
        <v/>
      </c>
      <c r="R342" s="12" t="n"/>
      <c r="S342" s="12" t="n"/>
      <c r="T342" s="13" t="n"/>
      <c r="U342" s="12" t="n">
        <v>12</v>
      </c>
      <c r="V342" s="12" t="n"/>
      <c r="W34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42" s="14">
        <f>SI([@SBAN]="";"";BUSCARV([@SBAN];Cronograma_Maestro!$A:$M;6;FALSO))</f>
        <v/>
      </c>
    </row>
    <row r="343">
      <c r="A343" s="11" t="inlineStr">
        <is>
          <t>3121</t>
        </is>
      </c>
      <c r="B343" s="12">
        <f>SI([@SBAN]="";"";BUSCARV([@SBAN];Cronograma_Maestro!$A:$M;2;FALSO))</f>
        <v/>
      </c>
      <c r="C343" s="12">
        <f>SI([@SBAN]="";"";BUSCARV([@SBAN];Cronograma_Maestro!$A:$M;3;FALSO))</f>
        <v/>
      </c>
      <c r="D343" s="12">
        <f>SI([@SBAN]="";"";BUSCARV([@SBAN];Cronograma_Maestro!$A:$M;4;FALSO))</f>
        <v/>
      </c>
      <c r="E343" s="12">
        <f>SI([@SBAN]="";"";BUSCARV([@SBAN];Cronograma_Maestro!$A:$M;5;FALSO))</f>
        <v/>
      </c>
      <c r="F343" s="12" t="inlineStr">
        <is>
          <t>Carlos Andres Cuchivaguen Diaz</t>
        </is>
      </c>
      <c r="G343" s="12" t="inlineStr">
        <is>
          <t>PMU COLSOF</t>
        </is>
      </c>
      <c r="H343" s="13" t="n">
        <v>46293</v>
      </c>
      <c r="I343" s="13" t="n">
        <v>46293</v>
      </c>
      <c r="J343" s="13" t="n"/>
      <c r="K343" s="13" t="n"/>
      <c r="L343" s="12" t="inlineStr">
        <is>
          <t>Programada</t>
        </is>
      </c>
      <c r="M343" s="13" t="n"/>
      <c r="N343" s="14">
        <f>SI(O([@[Fecha_Programada_Inicio]]="";[@[Fecha_Inicio_Real]]="");"";SI([@[Fecha_Inicio_Real]]&lt;=[@[Fecha_Programada_Inicio]];"SÍ";"NO"))</f>
        <v/>
      </c>
      <c r="O343" s="14">
        <f>SI(O([@[Fecha_Programada_Fin]]="";[@[Fecha_Cierre_Operativo]]="");"";SI([@[Fecha_Cierre_Operativo]]&lt;=SI([@[Fecha_Nueva_Programada]]&lt;&gt;"";[@[Fecha_Nueva_Programada]];[@[Fecha_Programada_Fin]]);"SÍ";"NO"))</f>
        <v/>
      </c>
      <c r="P343" s="14">
        <f>SI(O([@[Cumpli_Ingreso]]="";[@[Cumpli_Salida]]="");"";SI(Y([@[Cumpli_Ingreso]]="SÍ";[@[Cumpli_Salida]]="SÍ");"SÍ";"NO"))</f>
        <v/>
      </c>
      <c r="Q343" s="15">
        <f>SI(O([@[Fecha_Programada_Fin]]="";[@[Fecha_Cierre_Operativo]]="");"";MAX(0;ENTERO([@[Fecha_Cierre_Operativo]])-ENTERO(SI([@[Fecha_Nueva_Programada]]&lt;&gt;"";[@[Fecha_Nueva_Programada]];[@[Fecha_Programada_Fin]])))</f>
        <v/>
      </c>
      <c r="R343" s="12" t="n"/>
      <c r="S343" s="12" t="n"/>
      <c r="T343" s="13" t="n"/>
      <c r="U343" s="12" t="n">
        <v>19</v>
      </c>
      <c r="V343" s="12" t="n"/>
      <c r="W34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43" s="14">
        <f>SI([@SBAN]="";"";BUSCARV([@SBAN];Cronograma_Maestro!$A:$M;6;FALSO))</f>
        <v/>
      </c>
    </row>
    <row r="344">
      <c r="A344" s="11" t="inlineStr">
        <is>
          <t>3122</t>
        </is>
      </c>
      <c r="B344" s="12">
        <f>SI([@SBAN]="";"";BUSCARV([@SBAN];Cronograma_Maestro!$A:$M;2;FALSO))</f>
        <v/>
      </c>
      <c r="C344" s="12">
        <f>SI([@SBAN]="";"";BUSCARV([@SBAN];Cronograma_Maestro!$A:$M;3;FALSO))</f>
        <v/>
      </c>
      <c r="D344" s="12">
        <f>SI([@SBAN]="";"";BUSCARV([@SBAN];Cronograma_Maestro!$A:$M;4;FALSO))</f>
        <v/>
      </c>
      <c r="E344" s="12">
        <f>SI([@SBAN]="";"";BUSCARV([@SBAN];Cronograma_Maestro!$A:$M;5;FALSO))</f>
        <v/>
      </c>
      <c r="F344" s="12" t="inlineStr">
        <is>
          <t>Nelson Leonardo Paez Suarez</t>
        </is>
      </c>
      <c r="G344" s="12" t="inlineStr">
        <is>
          <t>PMU COLSOF</t>
        </is>
      </c>
      <c r="H344" s="13" t="n">
        <v>46286</v>
      </c>
      <c r="I344" s="13" t="n">
        <v>46286</v>
      </c>
      <c r="J344" s="13" t="n"/>
      <c r="K344" s="13" t="n"/>
      <c r="L344" s="12" t="inlineStr">
        <is>
          <t>Programada</t>
        </is>
      </c>
      <c r="M344" s="13" t="n"/>
      <c r="N344" s="14">
        <f>SI(O([@[Fecha_Programada_Inicio]]="";[@[Fecha_Inicio_Real]]="");"";SI([@[Fecha_Inicio_Real]]&lt;=[@[Fecha_Programada_Inicio]];"SÍ";"NO"))</f>
        <v/>
      </c>
      <c r="O344" s="14">
        <f>SI(O([@[Fecha_Programada_Fin]]="";[@[Fecha_Cierre_Operativo]]="");"";SI([@[Fecha_Cierre_Operativo]]&lt;=SI([@[Fecha_Nueva_Programada]]&lt;&gt;"";[@[Fecha_Nueva_Programada]];[@[Fecha_Programada_Fin]]);"SÍ";"NO"))</f>
        <v/>
      </c>
      <c r="P344" s="14">
        <f>SI(O([@[Cumpli_Ingreso]]="";[@[Cumpli_Salida]]="");"";SI(Y([@[Cumpli_Ingreso]]="SÍ";[@[Cumpli_Salida]]="SÍ");"SÍ";"NO"))</f>
        <v/>
      </c>
      <c r="Q344" s="15">
        <f>SI(O([@[Fecha_Programada_Fin]]="";[@[Fecha_Cierre_Operativo]]="");"";MAX(0;ENTERO([@[Fecha_Cierre_Operativo]])-ENTERO(SI([@[Fecha_Nueva_Programada]]&lt;&gt;"";[@[Fecha_Nueva_Programada]];[@[Fecha_Programada_Fin]])))</f>
        <v/>
      </c>
      <c r="R344" s="12" t="n"/>
      <c r="S344" s="12" t="n"/>
      <c r="T344" s="13" t="n"/>
      <c r="U344" s="12" t="n">
        <v>26</v>
      </c>
      <c r="V344" s="12" t="n"/>
      <c r="W34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44" s="14">
        <f>SI([@SBAN]="";"";BUSCARV([@SBAN];Cronograma_Maestro!$A:$M;6;FALSO))</f>
        <v/>
      </c>
    </row>
    <row r="345">
      <c r="A345" s="11" t="inlineStr">
        <is>
          <t>3123</t>
        </is>
      </c>
      <c r="B345" s="12">
        <f>SI([@SBAN]="";"";BUSCARV([@SBAN];Cronograma_Maestro!$A:$M;2;FALSO))</f>
        <v/>
      </c>
      <c r="C345" s="12">
        <f>SI([@SBAN]="";"";BUSCARV([@SBAN];Cronograma_Maestro!$A:$M;3;FALSO))</f>
        <v/>
      </c>
      <c r="D345" s="12">
        <f>SI([@SBAN]="";"";BUSCARV([@SBAN];Cronograma_Maestro!$A:$M;4;FALSO))</f>
        <v/>
      </c>
      <c r="E345" s="12">
        <f>SI([@SBAN]="";"";BUSCARV([@SBAN];Cronograma_Maestro!$A:$M;5;FALSO))</f>
        <v/>
      </c>
      <c r="F345" s="12" t="inlineStr">
        <is>
          <t>Nelson Leonardo Paez Suarez</t>
        </is>
      </c>
      <c r="G345" s="12" t="inlineStr">
        <is>
          <t>PMU COLSOF</t>
        </is>
      </c>
      <c r="H345" s="13" t="n">
        <v>46281</v>
      </c>
      <c r="I345" s="13" t="n">
        <v>46281</v>
      </c>
      <c r="J345" s="13" t="n"/>
      <c r="K345" s="13" t="n"/>
      <c r="L345" s="12" t="inlineStr">
        <is>
          <t>Programada</t>
        </is>
      </c>
      <c r="M345" s="13" t="n"/>
      <c r="N345" s="14">
        <f>SI(O([@[Fecha_Programada_Inicio]]="";[@[Fecha_Inicio_Real]]="");"";SI([@[Fecha_Inicio_Real]]&lt;=[@[Fecha_Programada_Inicio]];"SÍ";"NO"))</f>
        <v/>
      </c>
      <c r="O345" s="14">
        <f>SI(O([@[Fecha_Programada_Fin]]="";[@[Fecha_Cierre_Operativo]]="");"";SI([@[Fecha_Cierre_Operativo]]&lt;=SI([@[Fecha_Nueva_Programada]]&lt;&gt;"";[@[Fecha_Nueva_Programada]];[@[Fecha_Programada_Fin]]);"SÍ";"NO"))</f>
        <v/>
      </c>
      <c r="P345" s="14">
        <f>SI(O([@[Cumpli_Ingreso]]="";[@[Cumpli_Salida]]="");"";SI(Y([@[Cumpli_Ingreso]]="SÍ";[@[Cumpli_Salida]]="SÍ");"SÍ";"NO"))</f>
        <v/>
      </c>
      <c r="Q345" s="15">
        <f>SI(O([@[Fecha_Programada_Fin]]="";[@[Fecha_Cierre_Operativo]]="");"";MAX(0;ENTERO([@[Fecha_Cierre_Operativo]])-ENTERO(SI([@[Fecha_Nueva_Programada]]&lt;&gt;"";[@[Fecha_Nueva_Programada]];[@[Fecha_Programada_Fin]])))</f>
        <v/>
      </c>
      <c r="R345" s="12" t="n"/>
      <c r="S345" s="12" t="n"/>
      <c r="T345" s="13" t="n"/>
      <c r="U345" s="12" t="n">
        <v>12</v>
      </c>
      <c r="V345" s="12" t="n"/>
      <c r="W34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45" s="14">
        <f>SI([@SBAN]="";"";BUSCARV([@SBAN];Cronograma_Maestro!$A:$M;6;FALSO))</f>
        <v/>
      </c>
    </row>
    <row r="346">
      <c r="A346" s="11" t="inlineStr">
        <is>
          <t>3124</t>
        </is>
      </c>
      <c r="B346" s="12">
        <f>SI([@SBAN]="";"";BUSCARV([@SBAN];Cronograma_Maestro!$A:$M;2;FALSO))</f>
        <v/>
      </c>
      <c r="C346" s="12">
        <f>SI([@SBAN]="";"";BUSCARV([@SBAN];Cronograma_Maestro!$A:$M;3;FALSO))</f>
        <v/>
      </c>
      <c r="D346" s="12">
        <f>SI([@SBAN]="";"";BUSCARV([@SBAN];Cronograma_Maestro!$A:$M;4;FALSO))</f>
        <v/>
      </c>
      <c r="E346" s="12">
        <f>SI([@SBAN]="";"";BUSCARV([@SBAN];Cronograma_Maestro!$A:$M;5;FALSO))</f>
        <v/>
      </c>
      <c r="F346" s="12" t="inlineStr">
        <is>
          <t>Nelson Leonardo Paez Suarez</t>
        </is>
      </c>
      <c r="G346" s="12" t="inlineStr">
        <is>
          <t>PMU COLSOF</t>
        </is>
      </c>
      <c r="H346" s="13" t="n">
        <v>46293</v>
      </c>
      <c r="I346" s="13" t="n">
        <v>46293</v>
      </c>
      <c r="J346" s="13" t="n"/>
      <c r="K346" s="13" t="n"/>
      <c r="L346" s="12" t="inlineStr">
        <is>
          <t>Programada</t>
        </is>
      </c>
      <c r="M346" s="13" t="n"/>
      <c r="N346" s="14">
        <f>SI(O([@[Fecha_Programada_Inicio]]="";[@[Fecha_Inicio_Real]]="");"";SI([@[Fecha_Inicio_Real]]&lt;=[@[Fecha_Programada_Inicio]];"SÍ";"NO"))</f>
        <v/>
      </c>
      <c r="O346" s="14">
        <f>SI(O([@[Fecha_Programada_Fin]]="";[@[Fecha_Cierre_Operativo]]="");"";SI([@[Fecha_Cierre_Operativo]]&lt;=SI([@[Fecha_Nueva_Programada]]&lt;&gt;"";[@[Fecha_Nueva_Programada]];[@[Fecha_Programada_Fin]]);"SÍ";"NO"))</f>
        <v/>
      </c>
      <c r="P346" s="14">
        <f>SI(O([@[Cumpli_Ingreso]]="";[@[Cumpli_Salida]]="");"";SI(Y([@[Cumpli_Ingreso]]="SÍ";[@[Cumpli_Salida]]="SÍ");"SÍ";"NO"))</f>
        <v/>
      </c>
      <c r="Q346" s="15">
        <f>SI(O([@[Fecha_Programada_Fin]]="";[@[Fecha_Cierre_Operativo]]="");"";MAX(0;ENTERO([@[Fecha_Cierre_Operativo]])-ENTERO(SI([@[Fecha_Nueva_Programada]]&lt;&gt;"";[@[Fecha_Nueva_Programada]];[@[Fecha_Programada_Fin]])))</f>
        <v/>
      </c>
      <c r="R346" s="12" t="n"/>
      <c r="S346" s="12" t="n"/>
      <c r="T346" s="13" t="n"/>
      <c r="U346" s="12" t="n">
        <v>20</v>
      </c>
      <c r="V346" s="12" t="n"/>
      <c r="W34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46" s="14">
        <f>SI([@SBAN]="";"";BUSCARV([@SBAN];Cronograma_Maestro!$A:$M;6;FALSO))</f>
        <v/>
      </c>
    </row>
    <row r="347">
      <c r="A347" s="11" t="inlineStr">
        <is>
          <t>3126</t>
        </is>
      </c>
      <c r="B347" s="12">
        <f>SI([@SBAN]="";"";BUSCARV([@SBAN];Cronograma_Maestro!$A:$M;2;FALSO))</f>
        <v/>
      </c>
      <c r="C347" s="12">
        <f>SI([@SBAN]="";"";BUSCARV([@SBAN];Cronograma_Maestro!$A:$M;3;FALSO))</f>
        <v/>
      </c>
      <c r="D347" s="12">
        <f>SI([@SBAN]="";"";BUSCARV([@SBAN];Cronograma_Maestro!$A:$M;4;FALSO))</f>
        <v/>
      </c>
      <c r="E347" s="12">
        <f>SI([@SBAN]="";"";BUSCARV([@SBAN];Cronograma_Maestro!$A:$M;5;FALSO))</f>
        <v/>
      </c>
      <c r="F347" s="12" t="inlineStr">
        <is>
          <t>Nelson Leonardo Paez Suarez</t>
        </is>
      </c>
      <c r="G347" s="12" t="inlineStr">
        <is>
          <t>PMU COLSOF</t>
        </is>
      </c>
      <c r="H347" s="13" t="n">
        <v>46273</v>
      </c>
      <c r="I347" s="13" t="n">
        <v>46273</v>
      </c>
      <c r="J347" s="13" t="n"/>
      <c r="K347" s="13" t="n"/>
      <c r="L347" s="12" t="inlineStr">
        <is>
          <t>Programada</t>
        </is>
      </c>
      <c r="M347" s="13" t="n"/>
      <c r="N347" s="14">
        <f>SI(O([@[Fecha_Programada_Inicio]]="";[@[Fecha_Inicio_Real]]="");"";SI([@[Fecha_Inicio_Real]]&lt;=[@[Fecha_Programada_Inicio]];"SÍ";"NO"))</f>
        <v/>
      </c>
      <c r="O347" s="14">
        <f>SI(O([@[Fecha_Programada_Fin]]="";[@[Fecha_Cierre_Operativo]]="");"";SI([@[Fecha_Cierre_Operativo]]&lt;=SI([@[Fecha_Nueva_Programada]]&lt;&gt;"";[@[Fecha_Nueva_Programada]];[@[Fecha_Programada_Fin]]);"SÍ";"NO"))</f>
        <v/>
      </c>
      <c r="P347" s="14">
        <f>SI(O([@[Cumpli_Ingreso]]="";[@[Cumpli_Salida]]="");"";SI(Y([@[Cumpli_Ingreso]]="SÍ";[@[Cumpli_Salida]]="SÍ");"SÍ";"NO"))</f>
        <v/>
      </c>
      <c r="Q347" s="15">
        <f>SI(O([@[Fecha_Programada_Fin]]="";[@[Fecha_Cierre_Operativo]]="");"";MAX(0;ENTERO([@[Fecha_Cierre_Operativo]])-ENTERO(SI([@[Fecha_Nueva_Programada]]&lt;&gt;"";[@[Fecha_Nueva_Programada]];[@[Fecha_Programada_Fin]])))</f>
        <v/>
      </c>
      <c r="R347" s="12" t="n"/>
      <c r="S347" s="12" t="n"/>
      <c r="T347" s="13" t="n"/>
      <c r="U347" s="12" t="n">
        <v>14</v>
      </c>
      <c r="V347" s="12" t="n"/>
      <c r="W34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47" s="14">
        <f>SI([@SBAN]="";"";BUSCARV([@SBAN];Cronograma_Maestro!$A:$M;6;FALSO))</f>
        <v/>
      </c>
    </row>
    <row r="348">
      <c r="A348" s="11" t="inlineStr">
        <is>
          <t>3127</t>
        </is>
      </c>
      <c r="B348" s="12">
        <f>SI([@SBAN]="";"";BUSCARV([@SBAN];Cronograma_Maestro!$A:$M;2;FALSO))</f>
        <v/>
      </c>
      <c r="C348" s="12">
        <f>SI([@SBAN]="";"";BUSCARV([@SBAN];Cronograma_Maestro!$A:$M;3;FALSO))</f>
        <v/>
      </c>
      <c r="D348" s="12">
        <f>SI([@SBAN]="";"";BUSCARV([@SBAN];Cronograma_Maestro!$A:$M;4;FALSO))</f>
        <v/>
      </c>
      <c r="E348" s="12">
        <f>SI([@SBAN]="";"";BUSCARV([@SBAN];Cronograma_Maestro!$A:$M;5;FALSO))</f>
        <v/>
      </c>
      <c r="F348" s="12" t="inlineStr">
        <is>
          <t>Edwin Santiago Cuchivaguen Diaz</t>
        </is>
      </c>
      <c r="G348" s="12" t="inlineStr">
        <is>
          <t>PMU COLSOF</t>
        </is>
      </c>
      <c r="H348" s="13" t="n">
        <v>46274</v>
      </c>
      <c r="I348" s="13" t="n">
        <v>46274</v>
      </c>
      <c r="J348" s="13" t="n"/>
      <c r="K348" s="13" t="n"/>
      <c r="L348" s="12" t="inlineStr">
        <is>
          <t>Programada</t>
        </is>
      </c>
      <c r="M348" s="13" t="n"/>
      <c r="N348" s="14">
        <f>SI(O([@[Fecha_Programada_Inicio]]="";[@[Fecha_Inicio_Real]]="");"";SI([@[Fecha_Inicio_Real]]&lt;=[@[Fecha_Programada_Inicio]];"SÍ";"NO"))</f>
        <v/>
      </c>
      <c r="O348" s="14">
        <f>SI(O([@[Fecha_Programada_Fin]]="";[@[Fecha_Cierre_Operativo]]="");"";SI([@[Fecha_Cierre_Operativo]]&lt;=SI([@[Fecha_Nueva_Programada]]&lt;&gt;"";[@[Fecha_Nueva_Programada]];[@[Fecha_Programada_Fin]]);"SÍ";"NO"))</f>
        <v/>
      </c>
      <c r="P348" s="14">
        <f>SI(O([@[Cumpli_Ingreso]]="";[@[Cumpli_Salida]]="");"";SI(Y([@[Cumpli_Ingreso]]="SÍ";[@[Cumpli_Salida]]="SÍ");"SÍ";"NO"))</f>
        <v/>
      </c>
      <c r="Q348" s="15">
        <f>SI(O([@[Fecha_Programada_Fin]]="";[@[Fecha_Cierre_Operativo]]="");"";MAX(0;ENTERO([@[Fecha_Cierre_Operativo]])-ENTERO(SI([@[Fecha_Nueva_Programada]]&lt;&gt;"";[@[Fecha_Nueva_Programada]];[@[Fecha_Programada_Fin]])))</f>
        <v/>
      </c>
      <c r="R348" s="12" t="n"/>
      <c r="S348" s="12" t="n"/>
      <c r="T348" s="13" t="n"/>
      <c r="U348" s="12" t="n">
        <v>16</v>
      </c>
      <c r="V348" s="12" t="n"/>
      <c r="W34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48" s="14">
        <f>SI([@SBAN]="";"";BUSCARV([@SBAN];Cronograma_Maestro!$A:$M;6;FALSO))</f>
        <v/>
      </c>
    </row>
    <row r="349">
      <c r="A349" s="11" t="inlineStr">
        <is>
          <t>3130</t>
        </is>
      </c>
      <c r="B349" s="12">
        <f>SI([@SBAN]="";"";BUSCARV([@SBAN];Cronograma_Maestro!$A:$M;2;FALSO))</f>
        <v/>
      </c>
      <c r="C349" s="12">
        <f>SI([@SBAN]="";"";BUSCARV([@SBAN];Cronograma_Maestro!$A:$M;3;FALSO))</f>
        <v/>
      </c>
      <c r="D349" s="12">
        <f>SI([@SBAN]="";"";BUSCARV([@SBAN];Cronograma_Maestro!$A:$M;4;FALSO))</f>
        <v/>
      </c>
      <c r="E349" s="12">
        <f>SI([@SBAN]="";"";BUSCARV([@SBAN];Cronograma_Maestro!$A:$M;5;FALSO))</f>
        <v/>
      </c>
      <c r="F349" s="12" t="inlineStr">
        <is>
          <t>Nelson Leonardo Paez Suarez</t>
        </is>
      </c>
      <c r="G349" s="12" t="inlineStr">
        <is>
          <t>PMU COLSOF</t>
        </is>
      </c>
      <c r="H349" s="13" t="n">
        <v>46275</v>
      </c>
      <c r="I349" s="13" t="n">
        <v>46275</v>
      </c>
      <c r="J349" s="13" t="n"/>
      <c r="K349" s="13" t="n"/>
      <c r="L349" s="12" t="inlineStr">
        <is>
          <t>Programada</t>
        </is>
      </c>
      <c r="M349" s="13" t="n"/>
      <c r="N349" s="14">
        <f>SI(O([@[Fecha_Programada_Inicio]]="";[@[Fecha_Inicio_Real]]="");"";SI([@[Fecha_Inicio_Real]]&lt;=[@[Fecha_Programada_Inicio]];"SÍ";"NO"))</f>
        <v/>
      </c>
      <c r="O349" s="14">
        <f>SI(O([@[Fecha_Programada_Fin]]="";[@[Fecha_Cierre_Operativo]]="");"";SI([@[Fecha_Cierre_Operativo]]&lt;=SI([@[Fecha_Nueva_Programada]]&lt;&gt;"";[@[Fecha_Nueva_Programada]];[@[Fecha_Programada_Fin]]);"SÍ";"NO"))</f>
        <v/>
      </c>
      <c r="P349" s="14">
        <f>SI(O([@[Cumpli_Ingreso]]="";[@[Cumpli_Salida]]="");"";SI(Y([@[Cumpli_Ingreso]]="SÍ";[@[Cumpli_Salida]]="SÍ");"SÍ";"NO"))</f>
        <v/>
      </c>
      <c r="Q349" s="15">
        <f>SI(O([@[Fecha_Programada_Fin]]="";[@[Fecha_Cierre_Operativo]]="");"";MAX(0;ENTERO([@[Fecha_Cierre_Operativo]])-ENTERO(SI([@[Fecha_Nueva_Programada]]&lt;&gt;"";[@[Fecha_Nueva_Programada]];[@[Fecha_Programada_Fin]])))</f>
        <v/>
      </c>
      <c r="R349" s="12" t="n"/>
      <c r="S349" s="12" t="n"/>
      <c r="T349" s="13" t="n"/>
      <c r="U349" s="12" t="n">
        <v>20</v>
      </c>
      <c r="V349" s="12" t="n"/>
      <c r="W34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49" s="14">
        <f>SI([@SBAN]="";"";BUSCARV([@SBAN];Cronograma_Maestro!$A:$M;6;FALSO))</f>
        <v/>
      </c>
    </row>
    <row r="350">
      <c r="A350" s="11" t="inlineStr">
        <is>
          <t>3133</t>
        </is>
      </c>
      <c r="B350" s="12">
        <f>SI([@SBAN]="";"";BUSCARV([@SBAN];Cronograma_Maestro!$A:$M;2;FALSO))</f>
        <v/>
      </c>
      <c r="C350" s="12">
        <f>SI([@SBAN]="";"";BUSCARV([@SBAN];Cronograma_Maestro!$A:$M;3;FALSO))</f>
        <v/>
      </c>
      <c r="D350" s="12">
        <f>SI([@SBAN]="";"";BUSCARV([@SBAN];Cronograma_Maestro!$A:$M;4;FALSO))</f>
        <v/>
      </c>
      <c r="E350" s="12">
        <f>SI([@SBAN]="";"";BUSCARV([@SBAN];Cronograma_Maestro!$A:$M;5;FALSO))</f>
        <v/>
      </c>
      <c r="F350" s="12" t="inlineStr">
        <is>
          <t>Jhonatan Felipe Hernandez Gamboa</t>
        </is>
      </c>
      <c r="G350" s="12" t="inlineStr">
        <is>
          <t>PMU COLSOF</t>
        </is>
      </c>
      <c r="H350" s="13" t="n">
        <v>46288</v>
      </c>
      <c r="I350" s="13" t="n">
        <v>46288</v>
      </c>
      <c r="J350" s="13" t="n"/>
      <c r="K350" s="13" t="n"/>
      <c r="L350" s="12" t="inlineStr">
        <is>
          <t>Programada</t>
        </is>
      </c>
      <c r="M350" s="13" t="n"/>
      <c r="N350" s="14">
        <f>SI(O([@[Fecha_Programada_Inicio]]="";[@[Fecha_Inicio_Real]]="");"";SI([@[Fecha_Inicio_Real]]&lt;=[@[Fecha_Programada_Inicio]];"SÍ";"NO"))</f>
        <v/>
      </c>
      <c r="O350" s="14">
        <f>SI(O([@[Fecha_Programada_Fin]]="";[@[Fecha_Cierre_Operativo]]="");"";SI([@[Fecha_Cierre_Operativo]]&lt;=SI([@[Fecha_Nueva_Programada]]&lt;&gt;"";[@[Fecha_Nueva_Programada]];[@[Fecha_Programada_Fin]]);"SÍ";"NO"))</f>
        <v/>
      </c>
      <c r="P350" s="14">
        <f>SI(O([@[Cumpli_Ingreso]]="";[@[Cumpli_Salida]]="");"";SI(Y([@[Cumpli_Ingreso]]="SÍ";[@[Cumpli_Salida]]="SÍ");"SÍ";"NO"))</f>
        <v/>
      </c>
      <c r="Q350" s="15">
        <f>SI(O([@[Fecha_Programada_Fin]]="";[@[Fecha_Cierre_Operativo]]="");"";MAX(0;ENTERO([@[Fecha_Cierre_Operativo]])-ENTERO(SI([@[Fecha_Nueva_Programada]]&lt;&gt;"";[@[Fecha_Nueva_Programada]];[@[Fecha_Programada_Fin]])))</f>
        <v/>
      </c>
      <c r="R350" s="12" t="n"/>
      <c r="S350" s="12" t="n"/>
      <c r="T350" s="13" t="n"/>
      <c r="U350" s="12" t="n">
        <v>19</v>
      </c>
      <c r="V350" s="12" t="n"/>
      <c r="W35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50" s="14">
        <f>SI([@SBAN]="";"";BUSCARV([@SBAN];Cronograma_Maestro!$A:$M;6;FALSO))</f>
        <v/>
      </c>
    </row>
    <row r="351">
      <c r="A351" s="11" t="inlineStr">
        <is>
          <t>3134</t>
        </is>
      </c>
      <c r="B351" s="12">
        <f>SI([@SBAN]="";"";BUSCARV([@SBAN];Cronograma_Maestro!$A:$M;2;FALSO))</f>
        <v/>
      </c>
      <c r="C351" s="12">
        <f>SI([@SBAN]="";"";BUSCARV([@SBAN];Cronograma_Maestro!$A:$M;3;FALSO))</f>
        <v/>
      </c>
      <c r="D351" s="12">
        <f>SI([@SBAN]="";"";BUSCARV([@SBAN];Cronograma_Maestro!$A:$M;4;FALSO))</f>
        <v/>
      </c>
      <c r="E351" s="12">
        <f>SI([@SBAN]="";"";BUSCARV([@SBAN];Cronograma_Maestro!$A:$M;5;FALSO))</f>
        <v/>
      </c>
      <c r="F351" s="12" t="inlineStr">
        <is>
          <t>Carlos Andres Cuchivaguen Diaz</t>
        </is>
      </c>
      <c r="G351" s="12" t="inlineStr">
        <is>
          <t>PMU COLSOF</t>
        </is>
      </c>
      <c r="H351" s="13" t="n">
        <v>46279</v>
      </c>
      <c r="I351" s="13" t="n">
        <v>46279</v>
      </c>
      <c r="J351" s="13" t="n"/>
      <c r="K351" s="13" t="n"/>
      <c r="L351" s="12" t="inlineStr">
        <is>
          <t>Programada</t>
        </is>
      </c>
      <c r="M351" s="13" t="n"/>
      <c r="N351" s="14">
        <f>SI(O([@[Fecha_Programada_Inicio]]="";[@[Fecha_Inicio_Real]]="");"";SI([@[Fecha_Inicio_Real]]&lt;=[@[Fecha_Programada_Inicio]];"SÍ";"NO"))</f>
        <v/>
      </c>
      <c r="O351" s="14">
        <f>SI(O([@[Fecha_Programada_Fin]]="";[@[Fecha_Cierre_Operativo]]="");"";SI([@[Fecha_Cierre_Operativo]]&lt;=SI([@[Fecha_Nueva_Programada]]&lt;&gt;"";[@[Fecha_Nueva_Programada]];[@[Fecha_Programada_Fin]]);"SÍ";"NO"))</f>
        <v/>
      </c>
      <c r="P351" s="14">
        <f>SI(O([@[Cumpli_Ingreso]]="";[@[Cumpli_Salida]]="");"";SI(Y([@[Cumpli_Ingreso]]="SÍ";[@[Cumpli_Salida]]="SÍ");"SÍ";"NO"))</f>
        <v/>
      </c>
      <c r="Q351" s="15">
        <f>SI(O([@[Fecha_Programada_Fin]]="";[@[Fecha_Cierre_Operativo]]="");"";MAX(0;ENTERO([@[Fecha_Cierre_Operativo]])-ENTERO(SI([@[Fecha_Nueva_Programada]]&lt;&gt;"";[@[Fecha_Nueva_Programada]];[@[Fecha_Programada_Fin]])))</f>
        <v/>
      </c>
      <c r="R351" s="12" t="n"/>
      <c r="S351" s="12" t="n"/>
      <c r="T351" s="13" t="n"/>
      <c r="U351" s="12" t="n">
        <v>12</v>
      </c>
      <c r="V351" s="12" t="n"/>
      <c r="W35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51" s="14">
        <f>SI([@SBAN]="";"";BUSCARV([@SBAN];Cronograma_Maestro!$A:$M;6;FALSO))</f>
        <v/>
      </c>
    </row>
    <row r="352">
      <c r="A352" s="11" t="inlineStr">
        <is>
          <t>3135</t>
        </is>
      </c>
      <c r="B352" s="12">
        <f>SI([@SBAN]="";"";BUSCARV([@SBAN];Cronograma_Maestro!$A:$M;2;FALSO))</f>
        <v/>
      </c>
      <c r="C352" s="12">
        <f>SI([@SBAN]="";"";BUSCARV([@SBAN];Cronograma_Maestro!$A:$M;3;FALSO))</f>
        <v/>
      </c>
      <c r="D352" s="12">
        <f>SI([@SBAN]="";"";BUSCARV([@SBAN];Cronograma_Maestro!$A:$M;4;FALSO))</f>
        <v/>
      </c>
      <c r="E352" s="12">
        <f>SI([@SBAN]="";"";BUSCARV([@SBAN];Cronograma_Maestro!$A:$M;5;FALSO))</f>
        <v/>
      </c>
      <c r="F352" s="12" t="inlineStr">
        <is>
          <t>Carlos Andres Cuchivaguen Diaz</t>
        </is>
      </c>
      <c r="G352" s="12" t="inlineStr">
        <is>
          <t>PMU COLSOF</t>
        </is>
      </c>
      <c r="H352" s="13" t="n">
        <v>46281</v>
      </c>
      <c r="I352" s="13" t="n">
        <v>46281</v>
      </c>
      <c r="J352" s="13" t="n"/>
      <c r="K352" s="13" t="n"/>
      <c r="L352" s="12" t="inlineStr">
        <is>
          <t>Programada</t>
        </is>
      </c>
      <c r="M352" s="13" t="n"/>
      <c r="N352" s="14">
        <f>SI(O([@[Fecha_Programada_Inicio]]="";[@[Fecha_Inicio_Real]]="");"";SI([@[Fecha_Inicio_Real]]&lt;=[@[Fecha_Programada_Inicio]];"SÍ";"NO"))</f>
        <v/>
      </c>
      <c r="O352" s="14">
        <f>SI(O([@[Fecha_Programada_Fin]]="";[@[Fecha_Cierre_Operativo]]="");"";SI([@[Fecha_Cierre_Operativo]]&lt;=SI([@[Fecha_Nueva_Programada]]&lt;&gt;"";[@[Fecha_Nueva_Programada]];[@[Fecha_Programada_Fin]]);"SÍ";"NO"))</f>
        <v/>
      </c>
      <c r="P352" s="14">
        <f>SI(O([@[Cumpli_Ingreso]]="";[@[Cumpli_Salida]]="");"";SI(Y([@[Cumpli_Ingreso]]="SÍ";[@[Cumpli_Salida]]="SÍ");"SÍ";"NO"))</f>
        <v/>
      </c>
      <c r="Q352" s="15">
        <f>SI(O([@[Fecha_Programada_Fin]]="";[@[Fecha_Cierre_Operativo]]="");"";MAX(0;ENTERO([@[Fecha_Cierre_Operativo]])-ENTERO(SI([@[Fecha_Nueva_Programada]]&lt;&gt;"";[@[Fecha_Nueva_Programada]];[@[Fecha_Programada_Fin]])))</f>
        <v/>
      </c>
      <c r="R352" s="12" t="n"/>
      <c r="S352" s="12" t="n"/>
      <c r="T352" s="13" t="n"/>
      <c r="U352" s="12" t="n">
        <v>20</v>
      </c>
      <c r="V352" s="12" t="n"/>
      <c r="W35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52" s="14">
        <f>SI([@SBAN]="";"";BUSCARV([@SBAN];Cronograma_Maestro!$A:$M;6;FALSO))</f>
        <v/>
      </c>
    </row>
    <row r="353">
      <c r="A353" s="11" t="inlineStr">
        <is>
          <t>3136</t>
        </is>
      </c>
      <c r="B353" s="12">
        <f>SI([@SBAN]="";"";BUSCARV([@SBAN];Cronograma_Maestro!$A:$M;2;FALSO))</f>
        <v/>
      </c>
      <c r="C353" s="12">
        <f>SI([@SBAN]="";"";BUSCARV([@SBAN];Cronograma_Maestro!$A:$M;3;FALSO))</f>
        <v/>
      </c>
      <c r="D353" s="12">
        <f>SI([@SBAN]="";"";BUSCARV([@SBAN];Cronograma_Maestro!$A:$M;4;FALSO))</f>
        <v/>
      </c>
      <c r="E353" s="12">
        <f>SI([@SBAN]="";"";BUSCARV([@SBAN];Cronograma_Maestro!$A:$M;5;FALSO))</f>
        <v/>
      </c>
      <c r="F353" s="12" t="inlineStr">
        <is>
          <t>Carlos Andres Cuchivaguen Diaz</t>
        </is>
      </c>
      <c r="G353" s="12" t="inlineStr">
        <is>
          <t>PMU COLSOF</t>
        </is>
      </c>
      <c r="H353" s="13" t="n">
        <v>46283</v>
      </c>
      <c r="I353" s="13" t="n">
        <v>46283</v>
      </c>
      <c r="J353" s="13" t="n"/>
      <c r="K353" s="13" t="n"/>
      <c r="L353" s="12" t="inlineStr">
        <is>
          <t>Programada</t>
        </is>
      </c>
      <c r="M353" s="13" t="n"/>
      <c r="N353" s="14">
        <f>SI(O([@[Fecha_Programada_Inicio]]="";[@[Fecha_Inicio_Real]]="");"";SI([@[Fecha_Inicio_Real]]&lt;=[@[Fecha_Programada_Inicio]];"SÍ";"NO"))</f>
        <v/>
      </c>
      <c r="O353" s="14">
        <f>SI(O([@[Fecha_Programada_Fin]]="";[@[Fecha_Cierre_Operativo]]="");"";SI([@[Fecha_Cierre_Operativo]]&lt;=SI([@[Fecha_Nueva_Programada]]&lt;&gt;"";[@[Fecha_Nueva_Programada]];[@[Fecha_Programada_Fin]]);"SÍ";"NO"))</f>
        <v/>
      </c>
      <c r="P353" s="14">
        <f>SI(O([@[Cumpli_Ingreso]]="";[@[Cumpli_Salida]]="");"";SI(Y([@[Cumpli_Ingreso]]="SÍ";[@[Cumpli_Salida]]="SÍ");"SÍ";"NO"))</f>
        <v/>
      </c>
      <c r="Q353" s="15">
        <f>SI(O([@[Fecha_Programada_Fin]]="";[@[Fecha_Cierre_Operativo]]="");"";MAX(0;ENTERO([@[Fecha_Cierre_Operativo]])-ENTERO(SI([@[Fecha_Nueva_Programada]]&lt;&gt;"";[@[Fecha_Nueva_Programada]];[@[Fecha_Programada_Fin]])))</f>
        <v/>
      </c>
      <c r="R353" s="12" t="n"/>
      <c r="S353" s="12" t="n"/>
      <c r="T353" s="13" t="n"/>
      <c r="U353" s="12" t="n">
        <v>16</v>
      </c>
      <c r="V353" s="12" t="n"/>
      <c r="W35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53" s="14">
        <f>SI([@SBAN]="";"";BUSCARV([@SBAN];Cronograma_Maestro!$A:$M;6;FALSO))</f>
        <v/>
      </c>
    </row>
    <row r="354">
      <c r="A354" s="11" t="inlineStr">
        <is>
          <t>3137</t>
        </is>
      </c>
      <c r="B354" s="12">
        <f>SI([@SBAN]="";"";BUSCARV([@SBAN];Cronograma_Maestro!$A:$M;2;FALSO))</f>
        <v/>
      </c>
      <c r="C354" s="12">
        <f>SI([@SBAN]="";"";BUSCARV([@SBAN];Cronograma_Maestro!$A:$M;3;FALSO))</f>
        <v/>
      </c>
      <c r="D354" s="12">
        <f>SI([@SBAN]="";"";BUSCARV([@SBAN];Cronograma_Maestro!$A:$M;4;FALSO))</f>
        <v/>
      </c>
      <c r="E354" s="12">
        <f>SI([@SBAN]="";"";BUSCARV([@SBAN];Cronograma_Maestro!$A:$M;5;FALSO))</f>
        <v/>
      </c>
      <c r="F354" s="12" t="inlineStr">
        <is>
          <t>Edwin Santiago Cuchivaguen Diaz</t>
        </is>
      </c>
      <c r="G354" s="12" t="inlineStr">
        <is>
          <t>PMU COLSOF</t>
        </is>
      </c>
      <c r="H354" s="13" t="n">
        <v>46282</v>
      </c>
      <c r="I354" s="13" t="n">
        <v>46282</v>
      </c>
      <c r="J354" s="13" t="n"/>
      <c r="K354" s="13" t="n"/>
      <c r="L354" s="12" t="inlineStr">
        <is>
          <t>Programada</t>
        </is>
      </c>
      <c r="M354" s="13" t="n"/>
      <c r="N354" s="14">
        <f>SI(O([@[Fecha_Programada_Inicio]]="";[@[Fecha_Inicio_Real]]="");"";SI([@[Fecha_Inicio_Real]]&lt;=[@[Fecha_Programada_Inicio]];"SÍ";"NO"))</f>
        <v/>
      </c>
      <c r="O354" s="14">
        <f>SI(O([@[Fecha_Programada_Fin]]="";[@[Fecha_Cierre_Operativo]]="");"";SI([@[Fecha_Cierre_Operativo]]&lt;=SI([@[Fecha_Nueva_Programada]]&lt;&gt;"";[@[Fecha_Nueva_Programada]];[@[Fecha_Programada_Fin]]);"SÍ";"NO"))</f>
        <v/>
      </c>
      <c r="P354" s="14">
        <f>SI(O([@[Cumpli_Ingreso]]="";[@[Cumpli_Salida]]="");"";SI(Y([@[Cumpli_Ingreso]]="SÍ";[@[Cumpli_Salida]]="SÍ");"SÍ";"NO"))</f>
        <v/>
      </c>
      <c r="Q354" s="15">
        <f>SI(O([@[Fecha_Programada_Fin]]="";[@[Fecha_Cierre_Operativo]]="");"";MAX(0;ENTERO([@[Fecha_Cierre_Operativo]])-ENTERO(SI([@[Fecha_Nueva_Programada]]&lt;&gt;"";[@[Fecha_Nueva_Programada]];[@[Fecha_Programada_Fin]])))</f>
        <v/>
      </c>
      <c r="R354" s="12" t="n"/>
      <c r="S354" s="12" t="n"/>
      <c r="T354" s="13" t="n"/>
      <c r="U354" s="12" t="n">
        <v>18</v>
      </c>
      <c r="V354" s="12" t="n"/>
      <c r="W35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54" s="14">
        <f>SI([@SBAN]="";"";BUSCARV([@SBAN];Cronograma_Maestro!$A:$M;6;FALSO))</f>
        <v/>
      </c>
    </row>
    <row r="355">
      <c r="A355" s="11" t="inlineStr">
        <is>
          <t>3138</t>
        </is>
      </c>
      <c r="B355" s="12">
        <f>SI([@SBAN]="";"";BUSCARV([@SBAN];Cronograma_Maestro!$A:$M;2;FALSO))</f>
        <v/>
      </c>
      <c r="C355" s="12">
        <f>SI([@SBAN]="";"";BUSCARV([@SBAN];Cronograma_Maestro!$A:$M;3;FALSO))</f>
        <v/>
      </c>
      <c r="D355" s="12">
        <f>SI([@SBAN]="";"";BUSCARV([@SBAN];Cronograma_Maestro!$A:$M;4;FALSO))</f>
        <v/>
      </c>
      <c r="E355" s="12">
        <f>SI([@SBAN]="";"";BUSCARV([@SBAN];Cronograma_Maestro!$A:$M;5;FALSO))</f>
        <v/>
      </c>
      <c r="F355" s="12" t="inlineStr">
        <is>
          <t>Jhonatan Felipe Hernandez Gamboa</t>
        </is>
      </c>
      <c r="G355" s="12" t="inlineStr">
        <is>
          <t>PMU COLSOF</t>
        </is>
      </c>
      <c r="H355" s="13" t="n">
        <v>46295</v>
      </c>
      <c r="I355" s="13" t="n">
        <v>46295</v>
      </c>
      <c r="J355" s="13" t="n"/>
      <c r="K355" s="13" t="n"/>
      <c r="L355" s="12" t="inlineStr">
        <is>
          <t>Programada</t>
        </is>
      </c>
      <c r="M355" s="13" t="n"/>
      <c r="N355" s="14">
        <f>SI(O([@[Fecha_Programada_Inicio]]="";[@[Fecha_Inicio_Real]]="");"";SI([@[Fecha_Inicio_Real]]&lt;=[@[Fecha_Programada_Inicio]];"SÍ";"NO"))</f>
        <v/>
      </c>
      <c r="O355" s="14">
        <f>SI(O([@[Fecha_Programada_Fin]]="";[@[Fecha_Cierre_Operativo]]="");"";SI([@[Fecha_Cierre_Operativo]]&lt;=SI([@[Fecha_Nueva_Programada]]&lt;&gt;"";[@[Fecha_Nueva_Programada]];[@[Fecha_Programada_Fin]]);"SÍ";"NO"))</f>
        <v/>
      </c>
      <c r="P355" s="14">
        <f>SI(O([@[Cumpli_Ingreso]]="";[@[Cumpli_Salida]]="");"";SI(Y([@[Cumpli_Ingreso]]="SÍ";[@[Cumpli_Salida]]="SÍ");"SÍ";"NO"))</f>
        <v/>
      </c>
      <c r="Q355" s="15">
        <f>SI(O([@[Fecha_Programada_Fin]]="";[@[Fecha_Cierre_Operativo]]="");"";MAX(0;ENTERO([@[Fecha_Cierre_Operativo]])-ENTERO(SI([@[Fecha_Nueva_Programada]]&lt;&gt;"";[@[Fecha_Nueva_Programada]];[@[Fecha_Programada_Fin]])))</f>
        <v/>
      </c>
      <c r="R355" s="12" t="n"/>
      <c r="S355" s="12" t="n"/>
      <c r="T355" s="13" t="n"/>
      <c r="U355" s="12" t="n">
        <v>12</v>
      </c>
      <c r="V355" s="12" t="n"/>
      <c r="W35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55" s="14">
        <f>SI([@SBAN]="";"";BUSCARV([@SBAN];Cronograma_Maestro!$A:$M;6;FALSO))</f>
        <v/>
      </c>
    </row>
    <row r="356">
      <c r="A356" s="11" t="inlineStr">
        <is>
          <t>3139</t>
        </is>
      </c>
      <c r="B356" s="12">
        <f>SI([@SBAN]="";"";BUSCARV([@SBAN];Cronograma_Maestro!$A:$M;2;FALSO))</f>
        <v/>
      </c>
      <c r="C356" s="12">
        <f>SI([@SBAN]="";"";BUSCARV([@SBAN];Cronograma_Maestro!$A:$M;3;FALSO))</f>
        <v/>
      </c>
      <c r="D356" s="12">
        <f>SI([@SBAN]="";"";BUSCARV([@SBAN];Cronograma_Maestro!$A:$M;4;FALSO))</f>
        <v/>
      </c>
      <c r="E356" s="12">
        <f>SI([@SBAN]="";"";BUSCARV([@SBAN];Cronograma_Maestro!$A:$M;5;FALSO))</f>
        <v/>
      </c>
      <c r="F356" s="12" t="inlineStr">
        <is>
          <t>Nelson Leonardo Paez Suarez</t>
        </is>
      </c>
      <c r="G356" s="12" t="inlineStr">
        <is>
          <t>PMU COLSOF</t>
        </is>
      </c>
      <c r="H356" s="13" t="n">
        <v>46272</v>
      </c>
      <c r="I356" s="13" t="n">
        <v>46272</v>
      </c>
      <c r="J356" s="13" t="n"/>
      <c r="K356" s="13" t="n"/>
      <c r="L356" s="12" t="inlineStr">
        <is>
          <t>Programada</t>
        </is>
      </c>
      <c r="M356" s="13" t="n"/>
      <c r="N356" s="14">
        <f>SI(O([@[Fecha_Programada_Inicio]]="";[@[Fecha_Inicio_Real]]="");"";SI([@[Fecha_Inicio_Real]]&lt;=[@[Fecha_Programada_Inicio]];"SÍ";"NO"))</f>
        <v/>
      </c>
      <c r="O356" s="14">
        <f>SI(O([@[Fecha_Programada_Fin]]="";[@[Fecha_Cierre_Operativo]]="");"";SI([@[Fecha_Cierre_Operativo]]&lt;=SI([@[Fecha_Nueva_Programada]]&lt;&gt;"";[@[Fecha_Nueva_Programada]];[@[Fecha_Programada_Fin]]);"SÍ";"NO"))</f>
        <v/>
      </c>
      <c r="P356" s="14">
        <f>SI(O([@[Cumpli_Ingreso]]="";[@[Cumpli_Salida]]="");"";SI(Y([@[Cumpli_Ingreso]]="SÍ";[@[Cumpli_Salida]]="SÍ");"SÍ";"NO"))</f>
        <v/>
      </c>
      <c r="Q356" s="15">
        <f>SI(O([@[Fecha_Programada_Fin]]="";[@[Fecha_Cierre_Operativo]]="");"";MAX(0;ENTERO([@[Fecha_Cierre_Operativo]])-ENTERO(SI([@[Fecha_Nueva_Programada]]&lt;&gt;"";[@[Fecha_Nueva_Programada]];[@[Fecha_Programada_Fin]])))</f>
        <v/>
      </c>
      <c r="R356" s="12" t="n"/>
      <c r="S356" s="12" t="n"/>
      <c r="T356" s="13" t="n"/>
      <c r="U356" s="12" t="n">
        <v>14</v>
      </c>
      <c r="V356" s="12" t="n"/>
      <c r="W35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56" s="14">
        <f>SI([@SBAN]="";"";BUSCARV([@SBAN];Cronograma_Maestro!$A:$M;6;FALSO))</f>
        <v/>
      </c>
    </row>
    <row r="357">
      <c r="A357" s="11" t="inlineStr">
        <is>
          <t>3140</t>
        </is>
      </c>
      <c r="B357" s="12">
        <f>SI([@SBAN]="";"";BUSCARV([@SBAN];Cronograma_Maestro!$A:$M;2;FALSO))</f>
        <v/>
      </c>
      <c r="C357" s="12">
        <f>SI([@SBAN]="";"";BUSCARV([@SBAN];Cronograma_Maestro!$A:$M;3;FALSO))</f>
        <v/>
      </c>
      <c r="D357" s="12">
        <f>SI([@SBAN]="";"";BUSCARV([@SBAN];Cronograma_Maestro!$A:$M;4;FALSO))</f>
        <v/>
      </c>
      <c r="E357" s="12">
        <f>SI([@SBAN]="";"";BUSCARV([@SBAN];Cronograma_Maestro!$A:$M;5;FALSO))</f>
        <v/>
      </c>
      <c r="F357" s="12" t="inlineStr">
        <is>
          <t>Carlos Andres Cuchivaguen Diaz</t>
        </is>
      </c>
      <c r="G357" s="12" t="inlineStr">
        <is>
          <t>PMU COLSOF</t>
        </is>
      </c>
      <c r="H357" s="13" t="n">
        <v>46282</v>
      </c>
      <c r="I357" s="13" t="n">
        <v>46282</v>
      </c>
      <c r="J357" s="13" t="n"/>
      <c r="K357" s="13" t="n"/>
      <c r="L357" s="12" t="inlineStr">
        <is>
          <t>Programada</t>
        </is>
      </c>
      <c r="M357" s="13" t="n"/>
      <c r="N357" s="14">
        <f>SI(O([@[Fecha_Programada_Inicio]]="";[@[Fecha_Inicio_Real]]="");"";SI([@[Fecha_Inicio_Real]]&lt;=[@[Fecha_Programada_Inicio]];"SÍ";"NO"))</f>
        <v/>
      </c>
      <c r="O357" s="14">
        <f>SI(O([@[Fecha_Programada_Fin]]="";[@[Fecha_Cierre_Operativo]]="");"";SI([@[Fecha_Cierre_Operativo]]&lt;=SI([@[Fecha_Nueva_Programada]]&lt;&gt;"";[@[Fecha_Nueva_Programada]];[@[Fecha_Programada_Fin]]);"SÍ";"NO"))</f>
        <v/>
      </c>
      <c r="P357" s="14">
        <f>SI(O([@[Cumpli_Ingreso]]="";[@[Cumpli_Salida]]="");"";SI(Y([@[Cumpli_Ingreso]]="SÍ";[@[Cumpli_Salida]]="SÍ");"SÍ";"NO"))</f>
        <v/>
      </c>
      <c r="Q357" s="15">
        <f>SI(O([@[Fecha_Programada_Fin]]="";[@[Fecha_Cierre_Operativo]]="");"";MAX(0;ENTERO([@[Fecha_Cierre_Operativo]])-ENTERO(SI([@[Fecha_Nueva_Programada]]&lt;&gt;"";[@[Fecha_Nueva_Programada]];[@[Fecha_Programada_Fin]])))</f>
        <v/>
      </c>
      <c r="R357" s="12" t="n"/>
      <c r="S357" s="12" t="n"/>
      <c r="T357" s="13" t="n"/>
      <c r="U357" s="12" t="n">
        <v>12</v>
      </c>
      <c r="V357" s="12" t="n"/>
      <c r="W35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57" s="14">
        <f>SI([@SBAN]="";"";BUSCARV([@SBAN];Cronograma_Maestro!$A:$M;6;FALSO))</f>
        <v/>
      </c>
    </row>
    <row r="358">
      <c r="A358" s="11" t="inlineStr">
        <is>
          <t>3141</t>
        </is>
      </c>
      <c r="B358" s="12">
        <f>SI([@SBAN]="";"";BUSCARV([@SBAN];Cronograma_Maestro!$A:$M;2;FALSO))</f>
        <v/>
      </c>
      <c r="C358" s="12">
        <f>SI([@SBAN]="";"";BUSCARV([@SBAN];Cronograma_Maestro!$A:$M;3;FALSO))</f>
        <v/>
      </c>
      <c r="D358" s="12">
        <f>SI([@SBAN]="";"";BUSCARV([@SBAN];Cronograma_Maestro!$A:$M;4;FALSO))</f>
        <v/>
      </c>
      <c r="E358" s="12">
        <f>SI([@SBAN]="";"";BUSCARV([@SBAN];Cronograma_Maestro!$A:$M;5;FALSO))</f>
        <v/>
      </c>
      <c r="F358" s="12" t="inlineStr">
        <is>
          <t>Edwin Santiago Cuchivaguen Diaz</t>
        </is>
      </c>
      <c r="G358" s="12" t="inlineStr">
        <is>
          <t>PMU COLSOF</t>
        </is>
      </c>
      <c r="H358" s="13" t="n">
        <v>46272</v>
      </c>
      <c r="I358" s="13" t="n">
        <v>46272</v>
      </c>
      <c r="J358" s="13" t="n"/>
      <c r="K358" s="13" t="n"/>
      <c r="L358" s="12" t="inlineStr">
        <is>
          <t>Programada</t>
        </is>
      </c>
      <c r="M358" s="13" t="n"/>
      <c r="N358" s="14">
        <f>SI(O([@[Fecha_Programada_Inicio]]="";[@[Fecha_Inicio_Real]]="");"";SI([@[Fecha_Inicio_Real]]&lt;=[@[Fecha_Programada_Inicio]];"SÍ";"NO"))</f>
        <v/>
      </c>
      <c r="O358" s="14">
        <f>SI(O([@[Fecha_Programada_Fin]]="";[@[Fecha_Cierre_Operativo]]="");"";SI([@[Fecha_Cierre_Operativo]]&lt;=SI([@[Fecha_Nueva_Programada]]&lt;&gt;"";[@[Fecha_Nueva_Programada]];[@[Fecha_Programada_Fin]]);"SÍ";"NO"))</f>
        <v/>
      </c>
      <c r="P358" s="14">
        <f>SI(O([@[Cumpli_Ingreso]]="";[@[Cumpli_Salida]]="");"";SI(Y([@[Cumpli_Ingreso]]="SÍ";[@[Cumpli_Salida]]="SÍ");"SÍ";"NO"))</f>
        <v/>
      </c>
      <c r="Q358" s="15">
        <f>SI(O([@[Fecha_Programada_Fin]]="";[@[Fecha_Cierre_Operativo]]="");"";MAX(0;ENTERO([@[Fecha_Cierre_Operativo]])-ENTERO(SI([@[Fecha_Nueva_Programada]]&lt;&gt;"";[@[Fecha_Nueva_Programada]];[@[Fecha_Programada_Fin]])))</f>
        <v/>
      </c>
      <c r="R358" s="12" t="n"/>
      <c r="S358" s="12" t="n"/>
      <c r="T358" s="13" t="n"/>
      <c r="U358" s="12" t="n">
        <v>15</v>
      </c>
      <c r="V358" s="12" t="n"/>
      <c r="W35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58" s="14">
        <f>SI([@SBAN]="";"";BUSCARV([@SBAN];Cronograma_Maestro!$A:$M;6;FALSO))</f>
        <v/>
      </c>
    </row>
    <row r="359">
      <c r="A359" s="11" t="inlineStr">
        <is>
          <t>3142</t>
        </is>
      </c>
      <c r="B359" s="12">
        <f>SI([@SBAN]="";"";BUSCARV([@SBAN];Cronograma_Maestro!$A:$M;2;FALSO))</f>
        <v/>
      </c>
      <c r="C359" s="12">
        <f>SI([@SBAN]="";"";BUSCARV([@SBAN];Cronograma_Maestro!$A:$M;3;FALSO))</f>
        <v/>
      </c>
      <c r="D359" s="12">
        <f>SI([@SBAN]="";"";BUSCARV([@SBAN];Cronograma_Maestro!$A:$M;4;FALSO))</f>
        <v/>
      </c>
      <c r="E359" s="12">
        <f>SI([@SBAN]="";"";BUSCARV([@SBAN];Cronograma_Maestro!$A:$M;5;FALSO))</f>
        <v/>
      </c>
      <c r="F359" s="12" t="inlineStr">
        <is>
          <t>Nelson Leonardo Paez Suarez</t>
        </is>
      </c>
      <c r="G359" s="12" t="inlineStr">
        <is>
          <t>PMU COLSOF</t>
        </is>
      </c>
      <c r="H359" s="13" t="n">
        <v>46294</v>
      </c>
      <c r="I359" s="13" t="n">
        <v>46294</v>
      </c>
      <c r="J359" s="13" t="n"/>
      <c r="K359" s="13" t="n"/>
      <c r="L359" s="12" t="inlineStr">
        <is>
          <t>Programada</t>
        </is>
      </c>
      <c r="M359" s="13" t="n"/>
      <c r="N359" s="14">
        <f>SI(O([@[Fecha_Programada_Inicio]]="";[@[Fecha_Inicio_Real]]="");"";SI([@[Fecha_Inicio_Real]]&lt;=[@[Fecha_Programada_Inicio]];"SÍ";"NO"))</f>
        <v/>
      </c>
      <c r="O359" s="14">
        <f>SI(O([@[Fecha_Programada_Fin]]="";[@[Fecha_Cierre_Operativo]]="");"";SI([@[Fecha_Cierre_Operativo]]&lt;=SI([@[Fecha_Nueva_Programada]]&lt;&gt;"";[@[Fecha_Nueva_Programada]];[@[Fecha_Programada_Fin]]);"SÍ";"NO"))</f>
        <v/>
      </c>
      <c r="P359" s="14">
        <f>SI(O([@[Cumpli_Ingreso]]="";[@[Cumpli_Salida]]="");"";SI(Y([@[Cumpli_Ingreso]]="SÍ";[@[Cumpli_Salida]]="SÍ");"SÍ";"NO"))</f>
        <v/>
      </c>
      <c r="Q359" s="15">
        <f>SI(O([@[Fecha_Programada_Fin]]="";[@[Fecha_Cierre_Operativo]]="");"";MAX(0;ENTERO([@[Fecha_Cierre_Operativo]])-ENTERO(SI([@[Fecha_Nueva_Programada]]&lt;&gt;"";[@[Fecha_Nueva_Programada]];[@[Fecha_Programada_Fin]])))</f>
        <v/>
      </c>
      <c r="R359" s="12" t="n"/>
      <c r="S359" s="12" t="n"/>
      <c r="T359" s="13" t="n"/>
      <c r="U359" s="12" t="n">
        <v>23</v>
      </c>
      <c r="V359" s="12" t="n"/>
      <c r="W35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59" s="14">
        <f>SI([@SBAN]="";"";BUSCARV([@SBAN];Cronograma_Maestro!$A:$M;6;FALSO))</f>
        <v/>
      </c>
    </row>
    <row r="360">
      <c r="A360" s="11" t="inlineStr">
        <is>
          <t>3143</t>
        </is>
      </c>
      <c r="B360" s="12">
        <f>SI([@SBAN]="";"";BUSCARV([@SBAN];Cronograma_Maestro!$A:$M;2;FALSO))</f>
        <v/>
      </c>
      <c r="C360" s="12">
        <f>SI([@SBAN]="";"";BUSCARV([@SBAN];Cronograma_Maestro!$A:$M;3;FALSO))</f>
        <v/>
      </c>
      <c r="D360" s="12">
        <f>SI([@SBAN]="";"";BUSCARV([@SBAN];Cronograma_Maestro!$A:$M;4;FALSO))</f>
        <v/>
      </c>
      <c r="E360" s="12">
        <f>SI([@SBAN]="";"";BUSCARV([@SBAN];Cronograma_Maestro!$A:$M;5;FALSO))</f>
        <v/>
      </c>
      <c r="F360" s="12" t="inlineStr">
        <is>
          <t>Jhonatan Felipe Hernandez Gamboa</t>
        </is>
      </c>
      <c r="G360" s="12" t="inlineStr">
        <is>
          <t>PMU COLSOF</t>
        </is>
      </c>
      <c r="H360" s="13" t="n">
        <v>46272</v>
      </c>
      <c r="I360" s="13" t="n">
        <v>46272</v>
      </c>
      <c r="J360" s="13" t="n"/>
      <c r="K360" s="13" t="n"/>
      <c r="L360" s="12" t="inlineStr">
        <is>
          <t>Programada</t>
        </is>
      </c>
      <c r="M360" s="13" t="n"/>
      <c r="N360" s="14">
        <f>SI(O([@[Fecha_Programada_Inicio]]="";[@[Fecha_Inicio_Real]]="");"";SI([@[Fecha_Inicio_Real]]&lt;=[@[Fecha_Programada_Inicio]];"SÍ";"NO"))</f>
        <v/>
      </c>
      <c r="O360" s="14">
        <f>SI(O([@[Fecha_Programada_Fin]]="";[@[Fecha_Cierre_Operativo]]="");"";SI([@[Fecha_Cierre_Operativo]]&lt;=SI([@[Fecha_Nueva_Programada]]&lt;&gt;"";[@[Fecha_Nueva_Programada]];[@[Fecha_Programada_Fin]]);"SÍ";"NO"))</f>
        <v/>
      </c>
      <c r="P360" s="14">
        <f>SI(O([@[Cumpli_Ingreso]]="";[@[Cumpli_Salida]]="");"";SI(Y([@[Cumpli_Ingreso]]="SÍ";[@[Cumpli_Salida]]="SÍ");"SÍ";"NO"))</f>
        <v/>
      </c>
      <c r="Q360" s="15">
        <f>SI(O([@[Fecha_Programada_Fin]]="";[@[Fecha_Cierre_Operativo]]="");"";MAX(0;ENTERO([@[Fecha_Cierre_Operativo]])-ENTERO(SI([@[Fecha_Nueva_Programada]]&lt;&gt;"";[@[Fecha_Nueva_Programada]];[@[Fecha_Programada_Fin]])))</f>
        <v/>
      </c>
      <c r="R360" s="12" t="n"/>
      <c r="S360" s="12" t="n"/>
      <c r="T360" s="13" t="n"/>
      <c r="U360" s="12" t="n">
        <v>16</v>
      </c>
      <c r="V360" s="12" t="n"/>
      <c r="W36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60" s="14">
        <f>SI([@SBAN]="";"";BUSCARV([@SBAN];Cronograma_Maestro!$A:$M;6;FALSO))</f>
        <v/>
      </c>
    </row>
    <row r="361">
      <c r="A361" s="11" t="inlineStr">
        <is>
          <t>3144</t>
        </is>
      </c>
      <c r="B361" s="12">
        <f>SI([@SBAN]="";"";BUSCARV([@SBAN];Cronograma_Maestro!$A:$M;2;FALSO))</f>
        <v/>
      </c>
      <c r="C361" s="12">
        <f>SI([@SBAN]="";"";BUSCARV([@SBAN];Cronograma_Maestro!$A:$M;3;FALSO))</f>
        <v/>
      </c>
      <c r="D361" s="12">
        <f>SI([@SBAN]="";"";BUSCARV([@SBAN];Cronograma_Maestro!$A:$M;4;FALSO))</f>
        <v/>
      </c>
      <c r="E361" s="12">
        <f>SI([@SBAN]="";"";BUSCARV([@SBAN];Cronograma_Maestro!$A:$M;5;FALSO))</f>
        <v/>
      </c>
      <c r="F361" s="12" t="inlineStr">
        <is>
          <t>Jhonatan Felipe Hernandez Gamboa</t>
        </is>
      </c>
      <c r="G361" s="12" t="inlineStr">
        <is>
          <t>PMU COLSOF</t>
        </is>
      </c>
      <c r="H361" s="13" t="n">
        <v>46289</v>
      </c>
      <c r="I361" s="13" t="n">
        <v>46289</v>
      </c>
      <c r="J361" s="13" t="n"/>
      <c r="K361" s="13" t="n"/>
      <c r="L361" s="12" t="inlineStr">
        <is>
          <t>Programada</t>
        </is>
      </c>
      <c r="M361" s="13" t="n"/>
      <c r="N361" s="14">
        <f>SI(O([@[Fecha_Programada_Inicio]]="";[@[Fecha_Inicio_Real]]="");"";SI([@[Fecha_Inicio_Real]]&lt;=[@[Fecha_Programada_Inicio]];"SÍ";"NO"))</f>
        <v/>
      </c>
      <c r="O361" s="14">
        <f>SI(O([@[Fecha_Programada_Fin]]="";[@[Fecha_Cierre_Operativo]]="");"";SI([@[Fecha_Cierre_Operativo]]&lt;=SI([@[Fecha_Nueva_Programada]]&lt;&gt;"";[@[Fecha_Nueva_Programada]];[@[Fecha_Programada_Fin]]);"SÍ";"NO"))</f>
        <v/>
      </c>
      <c r="P361" s="14">
        <f>SI(O([@[Cumpli_Ingreso]]="";[@[Cumpli_Salida]]="");"";SI(Y([@[Cumpli_Ingreso]]="SÍ";[@[Cumpli_Salida]]="SÍ");"SÍ";"NO"))</f>
        <v/>
      </c>
      <c r="Q361" s="15">
        <f>SI(O([@[Fecha_Programada_Fin]]="";[@[Fecha_Cierre_Operativo]]="");"";MAX(0;ENTERO([@[Fecha_Cierre_Operativo]])-ENTERO(SI([@[Fecha_Nueva_Programada]]&lt;&gt;"";[@[Fecha_Nueva_Programada]];[@[Fecha_Programada_Fin]])))</f>
        <v/>
      </c>
      <c r="R361" s="12" t="n"/>
      <c r="S361" s="12" t="n"/>
      <c r="T361" s="13" t="n"/>
      <c r="U361" s="12" t="n">
        <v>13</v>
      </c>
      <c r="V361" s="12" t="n"/>
      <c r="W36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61" s="14">
        <f>SI([@SBAN]="";"";BUSCARV([@SBAN];Cronograma_Maestro!$A:$M;6;FALSO))</f>
        <v/>
      </c>
    </row>
    <row r="362">
      <c r="A362" s="11" t="inlineStr">
        <is>
          <t>3145</t>
        </is>
      </c>
      <c r="B362" s="12">
        <f>SI([@SBAN]="";"";BUSCARV([@SBAN];Cronograma_Maestro!$A:$M;2;FALSO))</f>
        <v/>
      </c>
      <c r="C362" s="12">
        <f>SI([@SBAN]="";"";BUSCARV([@SBAN];Cronograma_Maestro!$A:$M;3;FALSO))</f>
        <v/>
      </c>
      <c r="D362" s="12">
        <f>SI([@SBAN]="";"";BUSCARV([@SBAN];Cronograma_Maestro!$A:$M;4;FALSO))</f>
        <v/>
      </c>
      <c r="E362" s="12">
        <f>SI([@SBAN]="";"";BUSCARV([@SBAN];Cronograma_Maestro!$A:$M;5;FALSO))</f>
        <v/>
      </c>
      <c r="F362" s="12" t="inlineStr">
        <is>
          <t>Carlos Andres Cuchivaguen Diaz</t>
        </is>
      </c>
      <c r="G362" s="12" t="inlineStr">
        <is>
          <t>PMU COLSOF</t>
        </is>
      </c>
      <c r="H362" s="13" t="n">
        <v>46288</v>
      </c>
      <c r="I362" s="13" t="n">
        <v>46288</v>
      </c>
      <c r="J362" s="13" t="n"/>
      <c r="K362" s="13" t="n"/>
      <c r="L362" s="12" t="inlineStr">
        <is>
          <t>Programada</t>
        </is>
      </c>
      <c r="M362" s="13" t="n"/>
      <c r="N362" s="14">
        <f>SI(O([@[Fecha_Programada_Inicio]]="";[@[Fecha_Inicio_Real]]="");"";SI([@[Fecha_Inicio_Real]]&lt;=[@[Fecha_Programada_Inicio]];"SÍ";"NO"))</f>
        <v/>
      </c>
      <c r="O362" s="14">
        <f>SI(O([@[Fecha_Programada_Fin]]="";[@[Fecha_Cierre_Operativo]]="");"";SI([@[Fecha_Cierre_Operativo]]&lt;=SI([@[Fecha_Nueva_Programada]]&lt;&gt;"";[@[Fecha_Nueva_Programada]];[@[Fecha_Programada_Fin]]);"SÍ";"NO"))</f>
        <v/>
      </c>
      <c r="P362" s="14">
        <f>SI(O([@[Cumpli_Ingreso]]="";[@[Cumpli_Salida]]="");"";SI(Y([@[Cumpli_Ingreso]]="SÍ";[@[Cumpli_Salida]]="SÍ");"SÍ";"NO"))</f>
        <v/>
      </c>
      <c r="Q362" s="15">
        <f>SI(O([@[Fecha_Programada_Fin]]="";[@[Fecha_Cierre_Operativo]]="");"";MAX(0;ENTERO([@[Fecha_Cierre_Operativo]])-ENTERO(SI([@[Fecha_Nueva_Programada]]&lt;&gt;"";[@[Fecha_Nueva_Programada]];[@[Fecha_Programada_Fin]])))</f>
        <v/>
      </c>
      <c r="R362" s="12" t="n"/>
      <c r="S362" s="12" t="n"/>
      <c r="T362" s="13" t="n"/>
      <c r="U362" s="12" t="n">
        <v>17</v>
      </c>
      <c r="V362" s="12" t="n"/>
      <c r="W36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62" s="14">
        <f>SI([@SBAN]="";"";BUSCARV([@SBAN];Cronograma_Maestro!$A:$M;6;FALSO))</f>
        <v/>
      </c>
    </row>
    <row r="363">
      <c r="A363" s="11" t="inlineStr">
        <is>
          <t>3146</t>
        </is>
      </c>
      <c r="B363" s="12">
        <f>SI([@SBAN]="";"";BUSCARV([@SBAN];Cronograma_Maestro!$A:$M;2;FALSO))</f>
        <v/>
      </c>
      <c r="C363" s="12">
        <f>SI([@SBAN]="";"";BUSCARV([@SBAN];Cronograma_Maestro!$A:$M;3;FALSO))</f>
        <v/>
      </c>
      <c r="D363" s="12">
        <f>SI([@SBAN]="";"";BUSCARV([@SBAN];Cronograma_Maestro!$A:$M;4;FALSO))</f>
        <v/>
      </c>
      <c r="E363" s="12">
        <f>SI([@SBAN]="";"";BUSCARV([@SBAN];Cronograma_Maestro!$A:$M;5;FALSO))</f>
        <v/>
      </c>
      <c r="F363" s="12" t="inlineStr">
        <is>
          <t>Carlos Andres Cuchivaguen Diaz</t>
        </is>
      </c>
      <c r="G363" s="12" t="inlineStr">
        <is>
          <t>PMU COLSOF</t>
        </is>
      </c>
      <c r="H363" s="13" t="n">
        <v>46273</v>
      </c>
      <c r="I363" s="13" t="n">
        <v>46273</v>
      </c>
      <c r="J363" s="13" t="n"/>
      <c r="K363" s="13" t="n"/>
      <c r="L363" s="12" t="inlineStr">
        <is>
          <t>Programada</t>
        </is>
      </c>
      <c r="M363" s="13" t="n"/>
      <c r="N363" s="14">
        <f>SI(O([@[Fecha_Programada_Inicio]]="";[@[Fecha_Inicio_Real]]="");"";SI([@[Fecha_Inicio_Real]]&lt;=[@[Fecha_Programada_Inicio]];"SÍ";"NO"))</f>
        <v/>
      </c>
      <c r="O363" s="14">
        <f>SI(O([@[Fecha_Programada_Fin]]="";[@[Fecha_Cierre_Operativo]]="");"";SI([@[Fecha_Cierre_Operativo]]&lt;=SI([@[Fecha_Nueva_Programada]]&lt;&gt;"";[@[Fecha_Nueva_Programada]];[@[Fecha_Programada_Fin]]);"SÍ";"NO"))</f>
        <v/>
      </c>
      <c r="P363" s="14">
        <f>SI(O([@[Cumpli_Ingreso]]="";[@[Cumpli_Salida]]="");"";SI(Y([@[Cumpli_Ingreso]]="SÍ";[@[Cumpli_Salida]]="SÍ");"SÍ";"NO"))</f>
        <v/>
      </c>
      <c r="Q363" s="15">
        <f>SI(O([@[Fecha_Programada_Fin]]="";[@[Fecha_Cierre_Operativo]]="");"";MAX(0;ENTERO([@[Fecha_Cierre_Operativo]])-ENTERO(SI([@[Fecha_Nueva_Programada]]&lt;&gt;"";[@[Fecha_Nueva_Programada]];[@[Fecha_Programada_Fin]])))</f>
        <v/>
      </c>
      <c r="R363" s="12" t="n"/>
      <c r="S363" s="12" t="n"/>
      <c r="T363" s="13" t="n"/>
      <c r="U363" s="12" t="n">
        <v>14</v>
      </c>
      <c r="V363" s="12" t="n"/>
      <c r="W36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63" s="14">
        <f>SI([@SBAN]="";"";BUSCARV([@SBAN];Cronograma_Maestro!$A:$M;6;FALSO))</f>
        <v/>
      </c>
    </row>
    <row r="364">
      <c r="A364" s="11" t="inlineStr">
        <is>
          <t>3147</t>
        </is>
      </c>
      <c r="B364" s="12">
        <f>SI([@SBAN]="";"";BUSCARV([@SBAN];Cronograma_Maestro!$A:$M;2;FALSO))</f>
        <v/>
      </c>
      <c r="C364" s="12">
        <f>SI([@SBAN]="";"";BUSCARV([@SBAN];Cronograma_Maestro!$A:$M;3;FALSO))</f>
        <v/>
      </c>
      <c r="D364" s="12">
        <f>SI([@SBAN]="";"";BUSCARV([@SBAN];Cronograma_Maestro!$A:$M;4;FALSO))</f>
        <v/>
      </c>
      <c r="E364" s="12">
        <f>SI([@SBAN]="";"";BUSCARV([@SBAN];Cronograma_Maestro!$A:$M;5;FALSO))</f>
        <v/>
      </c>
      <c r="F364" s="12" t="inlineStr">
        <is>
          <t>Carlos Andres Cuchivaguen Diaz</t>
        </is>
      </c>
      <c r="G364" s="12" t="inlineStr">
        <is>
          <t>PMU COLSOF</t>
        </is>
      </c>
      <c r="H364" s="13" t="n">
        <v>46272</v>
      </c>
      <c r="I364" s="13" t="n">
        <v>46272</v>
      </c>
      <c r="J364" s="13" t="n"/>
      <c r="K364" s="13" t="n"/>
      <c r="L364" s="12" t="inlineStr">
        <is>
          <t>Programada</t>
        </is>
      </c>
      <c r="M364" s="13" t="n"/>
      <c r="N364" s="14">
        <f>SI(O([@[Fecha_Programada_Inicio]]="";[@[Fecha_Inicio_Real]]="");"";SI([@[Fecha_Inicio_Real]]&lt;=[@[Fecha_Programada_Inicio]];"SÍ";"NO"))</f>
        <v/>
      </c>
      <c r="O364" s="14">
        <f>SI(O([@[Fecha_Programada_Fin]]="";[@[Fecha_Cierre_Operativo]]="");"";SI([@[Fecha_Cierre_Operativo]]&lt;=SI([@[Fecha_Nueva_Programada]]&lt;&gt;"";[@[Fecha_Nueva_Programada]];[@[Fecha_Programada_Fin]]);"SÍ";"NO"))</f>
        <v/>
      </c>
      <c r="P364" s="14">
        <f>SI(O([@[Cumpli_Ingreso]]="";[@[Cumpli_Salida]]="");"";SI(Y([@[Cumpli_Ingreso]]="SÍ";[@[Cumpli_Salida]]="SÍ");"SÍ";"NO"))</f>
        <v/>
      </c>
      <c r="Q364" s="15">
        <f>SI(O([@[Fecha_Programada_Fin]]="";[@[Fecha_Cierre_Operativo]]="");"";MAX(0;ENTERO([@[Fecha_Cierre_Operativo]])-ENTERO(SI([@[Fecha_Nueva_Programada]]&lt;&gt;"";[@[Fecha_Nueva_Programada]];[@[Fecha_Programada_Fin]])))</f>
        <v/>
      </c>
      <c r="R364" s="12" t="n"/>
      <c r="S364" s="12" t="n"/>
      <c r="T364" s="13" t="n"/>
      <c r="U364" s="12" t="n">
        <v>12</v>
      </c>
      <c r="V364" s="12" t="n"/>
      <c r="W36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64" s="14">
        <f>SI([@SBAN]="";"";BUSCARV([@SBAN];Cronograma_Maestro!$A:$M;6;FALSO))</f>
        <v/>
      </c>
    </row>
    <row r="365">
      <c r="A365" s="11" t="inlineStr">
        <is>
          <t>3148</t>
        </is>
      </c>
      <c r="B365" s="12">
        <f>SI([@SBAN]="";"";BUSCARV([@SBAN];Cronograma_Maestro!$A:$M;2;FALSO))</f>
        <v/>
      </c>
      <c r="C365" s="12">
        <f>SI([@SBAN]="";"";BUSCARV([@SBAN];Cronograma_Maestro!$A:$M;3;FALSO))</f>
        <v/>
      </c>
      <c r="D365" s="12">
        <f>SI([@SBAN]="";"";BUSCARV([@SBAN];Cronograma_Maestro!$A:$M;4;FALSO))</f>
        <v/>
      </c>
      <c r="E365" s="12">
        <f>SI([@SBAN]="";"";BUSCARV([@SBAN];Cronograma_Maestro!$A:$M;5;FALSO))</f>
        <v/>
      </c>
      <c r="F365" s="12" t="inlineStr">
        <is>
          <t>Nelson Leonardo Paez Suarez</t>
        </is>
      </c>
      <c r="G365" s="12" t="inlineStr">
        <is>
          <t>PMU COLSOF</t>
        </is>
      </c>
      <c r="H365" s="13" t="n">
        <v>46279</v>
      </c>
      <c r="I365" s="13" t="n">
        <v>46279</v>
      </c>
      <c r="J365" s="13" t="n"/>
      <c r="K365" s="13" t="n"/>
      <c r="L365" s="12" t="inlineStr">
        <is>
          <t>Programada</t>
        </is>
      </c>
      <c r="M365" s="13" t="n"/>
      <c r="N365" s="14">
        <f>SI(O([@[Fecha_Programada_Inicio]]="";[@[Fecha_Inicio_Real]]="");"";SI([@[Fecha_Inicio_Real]]&lt;=[@[Fecha_Programada_Inicio]];"SÍ";"NO"))</f>
        <v/>
      </c>
      <c r="O365" s="14">
        <f>SI(O([@[Fecha_Programada_Fin]]="";[@[Fecha_Cierre_Operativo]]="");"";SI([@[Fecha_Cierre_Operativo]]&lt;=SI([@[Fecha_Nueva_Programada]]&lt;&gt;"";[@[Fecha_Nueva_Programada]];[@[Fecha_Programada_Fin]]);"SÍ";"NO"))</f>
        <v/>
      </c>
      <c r="P365" s="14">
        <f>SI(O([@[Cumpli_Ingreso]]="";[@[Cumpli_Salida]]="");"";SI(Y([@[Cumpli_Ingreso]]="SÍ";[@[Cumpli_Salida]]="SÍ");"SÍ";"NO"))</f>
        <v/>
      </c>
      <c r="Q365" s="15">
        <f>SI(O([@[Fecha_Programada_Fin]]="";[@[Fecha_Cierre_Operativo]]="");"";MAX(0;ENTERO([@[Fecha_Cierre_Operativo]])-ENTERO(SI([@[Fecha_Nueva_Programada]]&lt;&gt;"";[@[Fecha_Nueva_Programada]];[@[Fecha_Programada_Fin]])))</f>
        <v/>
      </c>
      <c r="R365" s="12" t="n"/>
      <c r="S365" s="12" t="n"/>
      <c r="T365" s="13" t="n"/>
      <c r="U365" s="12" t="n">
        <v>18</v>
      </c>
      <c r="V365" s="12" t="n"/>
      <c r="W36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65" s="14">
        <f>SI([@SBAN]="";"";BUSCARV([@SBAN];Cronograma_Maestro!$A:$M;6;FALSO))</f>
        <v/>
      </c>
    </row>
    <row r="366">
      <c r="A366" s="11" t="inlineStr">
        <is>
          <t>3149</t>
        </is>
      </c>
      <c r="B366" s="12">
        <f>SI([@SBAN]="";"";BUSCARV([@SBAN];Cronograma_Maestro!$A:$M;2;FALSO))</f>
        <v/>
      </c>
      <c r="C366" s="12">
        <f>SI([@SBAN]="";"";BUSCARV([@SBAN];Cronograma_Maestro!$A:$M;3;FALSO))</f>
        <v/>
      </c>
      <c r="D366" s="12">
        <f>SI([@SBAN]="";"";BUSCARV([@SBAN];Cronograma_Maestro!$A:$M;4;FALSO))</f>
        <v/>
      </c>
      <c r="E366" s="12">
        <f>SI([@SBAN]="";"";BUSCARV([@SBAN];Cronograma_Maestro!$A:$M;5;FALSO))</f>
        <v/>
      </c>
      <c r="F366" s="12" t="inlineStr">
        <is>
          <t>Carlos Andres Cuchivaguen Diaz</t>
        </is>
      </c>
      <c r="G366" s="12" t="inlineStr">
        <is>
          <t>PMU COLSOF</t>
        </is>
      </c>
      <c r="H366" s="13" t="n">
        <v>46290</v>
      </c>
      <c r="I366" s="13" t="n">
        <v>46290</v>
      </c>
      <c r="J366" s="13" t="n"/>
      <c r="K366" s="13" t="n"/>
      <c r="L366" s="12" t="inlineStr">
        <is>
          <t>Programada</t>
        </is>
      </c>
      <c r="M366" s="13" t="n"/>
      <c r="N366" s="14">
        <f>SI(O([@[Fecha_Programada_Inicio]]="";[@[Fecha_Inicio_Real]]="");"";SI([@[Fecha_Inicio_Real]]&lt;=[@[Fecha_Programada_Inicio]];"SÍ";"NO"))</f>
        <v/>
      </c>
      <c r="O366" s="14">
        <f>SI(O([@[Fecha_Programada_Fin]]="";[@[Fecha_Cierre_Operativo]]="");"";SI([@[Fecha_Cierre_Operativo]]&lt;=SI([@[Fecha_Nueva_Programada]]&lt;&gt;"";[@[Fecha_Nueva_Programada]];[@[Fecha_Programada_Fin]]);"SÍ";"NO"))</f>
        <v/>
      </c>
      <c r="P366" s="14">
        <f>SI(O([@[Cumpli_Ingreso]]="";[@[Cumpli_Salida]]="");"";SI(Y([@[Cumpli_Ingreso]]="SÍ";[@[Cumpli_Salida]]="SÍ");"SÍ";"NO"))</f>
        <v/>
      </c>
      <c r="Q366" s="15">
        <f>SI(O([@[Fecha_Programada_Fin]]="";[@[Fecha_Cierre_Operativo]]="");"";MAX(0;ENTERO([@[Fecha_Cierre_Operativo]])-ENTERO(SI([@[Fecha_Nueva_Programada]]&lt;&gt;"";[@[Fecha_Nueva_Programada]];[@[Fecha_Programada_Fin]])))</f>
        <v/>
      </c>
      <c r="R366" s="12" t="n"/>
      <c r="S366" s="12" t="n"/>
      <c r="T366" s="13" t="n"/>
      <c r="U366" s="12" t="n">
        <v>15</v>
      </c>
      <c r="V366" s="12" t="n"/>
      <c r="W36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66" s="14">
        <f>SI([@SBAN]="";"";BUSCARV([@SBAN];Cronograma_Maestro!$A:$M;6;FALSO))</f>
        <v/>
      </c>
    </row>
    <row r="367">
      <c r="A367" s="11" t="inlineStr">
        <is>
          <t>3150</t>
        </is>
      </c>
      <c r="B367" s="12">
        <f>SI([@SBAN]="";"";BUSCARV([@SBAN];Cronograma_Maestro!$A:$M;2;FALSO))</f>
        <v/>
      </c>
      <c r="C367" s="12">
        <f>SI([@SBAN]="";"";BUSCARV([@SBAN];Cronograma_Maestro!$A:$M;3;FALSO))</f>
        <v/>
      </c>
      <c r="D367" s="12">
        <f>SI([@SBAN]="";"";BUSCARV([@SBAN];Cronograma_Maestro!$A:$M;4;FALSO))</f>
        <v/>
      </c>
      <c r="E367" s="12">
        <f>SI([@SBAN]="";"";BUSCARV([@SBAN];Cronograma_Maestro!$A:$M;5;FALSO))</f>
        <v/>
      </c>
      <c r="F367" s="12" t="inlineStr">
        <is>
          <t>Edwin Santiago Cuchivaguen Diaz</t>
        </is>
      </c>
      <c r="G367" s="12" t="inlineStr">
        <is>
          <t>PMU COLSOF</t>
        </is>
      </c>
      <c r="H367" s="13" t="n">
        <v>46287</v>
      </c>
      <c r="I367" s="13" t="n">
        <v>46287</v>
      </c>
      <c r="J367" s="13" t="n"/>
      <c r="K367" s="13" t="n"/>
      <c r="L367" s="12" t="inlineStr">
        <is>
          <t>Programada</t>
        </is>
      </c>
      <c r="M367" s="13" t="n"/>
      <c r="N367" s="14">
        <f>SI(O([@[Fecha_Programada_Inicio]]="";[@[Fecha_Inicio_Real]]="");"";SI([@[Fecha_Inicio_Real]]&lt;=[@[Fecha_Programada_Inicio]];"SÍ";"NO"))</f>
        <v/>
      </c>
      <c r="O367" s="14">
        <f>SI(O([@[Fecha_Programada_Fin]]="";[@[Fecha_Cierre_Operativo]]="");"";SI([@[Fecha_Cierre_Operativo]]&lt;=SI([@[Fecha_Nueva_Programada]]&lt;&gt;"";[@[Fecha_Nueva_Programada]];[@[Fecha_Programada_Fin]]);"SÍ";"NO"))</f>
        <v/>
      </c>
      <c r="P367" s="14">
        <f>SI(O([@[Cumpli_Ingreso]]="";[@[Cumpli_Salida]]="");"";SI(Y([@[Cumpli_Ingreso]]="SÍ";[@[Cumpli_Salida]]="SÍ");"SÍ";"NO"))</f>
        <v/>
      </c>
      <c r="Q367" s="15">
        <f>SI(O([@[Fecha_Programada_Fin]]="";[@[Fecha_Cierre_Operativo]]="");"";MAX(0;ENTERO([@[Fecha_Cierre_Operativo]])-ENTERO(SI([@[Fecha_Nueva_Programada]]&lt;&gt;"";[@[Fecha_Nueva_Programada]];[@[Fecha_Programada_Fin]])))</f>
        <v/>
      </c>
      <c r="R367" s="12" t="n"/>
      <c r="S367" s="12" t="n"/>
      <c r="T367" s="13" t="n"/>
      <c r="U367" s="12" t="n">
        <v>12</v>
      </c>
      <c r="V367" s="12" t="n"/>
      <c r="W36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67" s="14">
        <f>SI([@SBAN]="";"";BUSCARV([@SBAN];Cronograma_Maestro!$A:$M;6;FALSO))</f>
        <v/>
      </c>
    </row>
    <row r="368">
      <c r="A368" s="11" t="inlineStr">
        <is>
          <t>3152</t>
        </is>
      </c>
      <c r="B368" s="12">
        <f>SI([@SBAN]="";"";BUSCARV([@SBAN];Cronograma_Maestro!$A:$M;2;FALSO))</f>
        <v/>
      </c>
      <c r="C368" s="12">
        <f>SI([@SBAN]="";"";BUSCARV([@SBAN];Cronograma_Maestro!$A:$M;3;FALSO))</f>
        <v/>
      </c>
      <c r="D368" s="12">
        <f>SI([@SBAN]="";"";BUSCARV([@SBAN];Cronograma_Maestro!$A:$M;4;FALSO))</f>
        <v/>
      </c>
      <c r="E368" s="12">
        <f>SI([@SBAN]="";"";BUSCARV([@SBAN];Cronograma_Maestro!$A:$M;5;FALSO))</f>
        <v/>
      </c>
      <c r="F368" s="12" t="inlineStr">
        <is>
          <t>Jhonatan Felipe Hernandez Gamboa</t>
        </is>
      </c>
      <c r="G368" s="12" t="inlineStr">
        <is>
          <t>PMU COLSOF</t>
        </is>
      </c>
      <c r="H368" s="13" t="n">
        <v>46275</v>
      </c>
      <c r="I368" s="13" t="n">
        <v>46275</v>
      </c>
      <c r="J368" s="13" t="n"/>
      <c r="K368" s="13" t="n"/>
      <c r="L368" s="12" t="inlineStr">
        <is>
          <t>Programada</t>
        </is>
      </c>
      <c r="M368" s="13" t="n"/>
      <c r="N368" s="14">
        <f>SI(O([@[Fecha_Programada_Inicio]]="";[@[Fecha_Inicio_Real]]="");"";SI([@[Fecha_Inicio_Real]]&lt;=[@[Fecha_Programada_Inicio]];"SÍ";"NO"))</f>
        <v/>
      </c>
      <c r="O368" s="14">
        <f>SI(O([@[Fecha_Programada_Fin]]="";[@[Fecha_Cierre_Operativo]]="");"";SI([@[Fecha_Cierre_Operativo]]&lt;=SI([@[Fecha_Nueva_Programada]]&lt;&gt;"";[@[Fecha_Nueva_Programada]];[@[Fecha_Programada_Fin]]);"SÍ";"NO"))</f>
        <v/>
      </c>
      <c r="P368" s="14">
        <f>SI(O([@[Cumpli_Ingreso]]="";[@[Cumpli_Salida]]="");"";SI(Y([@[Cumpli_Ingreso]]="SÍ";[@[Cumpli_Salida]]="SÍ");"SÍ";"NO"))</f>
        <v/>
      </c>
      <c r="Q368" s="15">
        <f>SI(O([@[Fecha_Programada_Fin]]="";[@[Fecha_Cierre_Operativo]]="");"";MAX(0;ENTERO([@[Fecha_Cierre_Operativo]])-ENTERO(SI([@[Fecha_Nueva_Programada]]&lt;&gt;"";[@[Fecha_Nueva_Programada]];[@[Fecha_Programada_Fin]])))</f>
        <v/>
      </c>
      <c r="R368" s="12" t="n"/>
      <c r="S368" s="12" t="n"/>
      <c r="T368" s="13" t="n"/>
      <c r="U368" s="12" t="n">
        <v>12</v>
      </c>
      <c r="V368" s="12" t="n"/>
      <c r="W36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68" s="14">
        <f>SI([@SBAN]="";"";BUSCARV([@SBAN];Cronograma_Maestro!$A:$M;6;FALSO))</f>
        <v/>
      </c>
    </row>
    <row r="369">
      <c r="A369" s="11" t="inlineStr">
        <is>
          <t>3153</t>
        </is>
      </c>
      <c r="B369" s="12">
        <f>SI([@SBAN]="";"";BUSCARV([@SBAN];Cronograma_Maestro!$A:$M;2;FALSO))</f>
        <v/>
      </c>
      <c r="C369" s="12">
        <f>SI([@SBAN]="";"";BUSCARV([@SBAN];Cronograma_Maestro!$A:$M;3;FALSO))</f>
        <v/>
      </c>
      <c r="D369" s="12">
        <f>SI([@SBAN]="";"";BUSCARV([@SBAN];Cronograma_Maestro!$A:$M;4;FALSO))</f>
        <v/>
      </c>
      <c r="E369" s="12">
        <f>SI([@SBAN]="";"";BUSCARV([@SBAN];Cronograma_Maestro!$A:$M;5;FALSO))</f>
        <v/>
      </c>
      <c r="F369" s="12" t="inlineStr">
        <is>
          <t>Edwin Santiago Cuchivaguen Diaz</t>
        </is>
      </c>
      <c r="G369" s="12" t="inlineStr">
        <is>
          <t>PMU COLSOF</t>
        </is>
      </c>
      <c r="H369" s="13" t="n">
        <v>46290</v>
      </c>
      <c r="I369" s="13" t="n">
        <v>46290</v>
      </c>
      <c r="J369" s="13" t="n"/>
      <c r="K369" s="13" t="n"/>
      <c r="L369" s="12" t="inlineStr">
        <is>
          <t>Programada</t>
        </is>
      </c>
      <c r="M369" s="13" t="n"/>
      <c r="N369" s="14">
        <f>SI(O([@[Fecha_Programada_Inicio]]="";[@[Fecha_Inicio_Real]]="");"";SI([@[Fecha_Inicio_Real]]&lt;=[@[Fecha_Programada_Inicio]];"SÍ";"NO"))</f>
        <v/>
      </c>
      <c r="O369" s="14">
        <f>SI(O([@[Fecha_Programada_Fin]]="";[@[Fecha_Cierre_Operativo]]="");"";SI([@[Fecha_Cierre_Operativo]]&lt;=SI([@[Fecha_Nueva_Programada]]&lt;&gt;"";[@[Fecha_Nueva_Programada]];[@[Fecha_Programada_Fin]]);"SÍ";"NO"))</f>
        <v/>
      </c>
      <c r="P369" s="14">
        <f>SI(O([@[Cumpli_Ingreso]]="";[@[Cumpli_Salida]]="");"";SI(Y([@[Cumpli_Ingreso]]="SÍ";[@[Cumpli_Salida]]="SÍ");"SÍ";"NO"))</f>
        <v/>
      </c>
      <c r="Q369" s="15">
        <f>SI(O([@[Fecha_Programada_Fin]]="";[@[Fecha_Cierre_Operativo]]="");"";MAX(0;ENTERO([@[Fecha_Cierre_Operativo]])-ENTERO(SI([@[Fecha_Nueva_Programada]]&lt;&gt;"";[@[Fecha_Nueva_Programada]];[@[Fecha_Programada_Fin]])))</f>
        <v/>
      </c>
      <c r="R369" s="12" t="n"/>
      <c r="S369" s="12" t="n"/>
      <c r="T369" s="13" t="n"/>
      <c r="U369" s="12" t="n">
        <v>17</v>
      </c>
      <c r="V369" s="12" t="n"/>
      <c r="W36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69" s="14">
        <f>SI([@SBAN]="";"";BUSCARV([@SBAN];Cronograma_Maestro!$A:$M;6;FALSO))</f>
        <v/>
      </c>
    </row>
    <row r="370">
      <c r="A370" s="11" t="inlineStr">
        <is>
          <t>3154</t>
        </is>
      </c>
      <c r="B370" s="12">
        <f>SI([@SBAN]="";"";BUSCARV([@SBAN];Cronograma_Maestro!$A:$M;2;FALSO))</f>
        <v/>
      </c>
      <c r="C370" s="12">
        <f>SI([@SBAN]="";"";BUSCARV([@SBAN];Cronograma_Maestro!$A:$M;3;FALSO))</f>
        <v/>
      </c>
      <c r="D370" s="12">
        <f>SI([@SBAN]="";"";BUSCARV([@SBAN];Cronograma_Maestro!$A:$M;4;FALSO))</f>
        <v/>
      </c>
      <c r="E370" s="12">
        <f>SI([@SBAN]="";"";BUSCARV([@SBAN];Cronograma_Maestro!$A:$M;5;FALSO))</f>
        <v/>
      </c>
      <c r="F370" s="12" t="inlineStr">
        <is>
          <t>Nelson Leonardo Paez Suarez</t>
        </is>
      </c>
      <c r="G370" s="12" t="inlineStr">
        <is>
          <t>PMU COLSOF</t>
        </is>
      </c>
      <c r="H370" s="13" t="n">
        <v>46282</v>
      </c>
      <c r="I370" s="13" t="n">
        <v>46282</v>
      </c>
      <c r="J370" s="13" t="n"/>
      <c r="K370" s="13" t="n"/>
      <c r="L370" s="12" t="inlineStr">
        <is>
          <t>Programada</t>
        </is>
      </c>
      <c r="M370" s="13" t="n"/>
      <c r="N370" s="14">
        <f>SI(O([@[Fecha_Programada_Inicio]]="";[@[Fecha_Inicio_Real]]="");"";SI([@[Fecha_Inicio_Real]]&lt;=[@[Fecha_Programada_Inicio]];"SÍ";"NO"))</f>
        <v/>
      </c>
      <c r="O370" s="14">
        <f>SI(O([@[Fecha_Programada_Fin]]="";[@[Fecha_Cierre_Operativo]]="");"";SI([@[Fecha_Cierre_Operativo]]&lt;=SI([@[Fecha_Nueva_Programada]]&lt;&gt;"";[@[Fecha_Nueva_Programada]];[@[Fecha_Programada_Fin]]);"SÍ";"NO"))</f>
        <v/>
      </c>
      <c r="P370" s="14">
        <f>SI(O([@[Cumpli_Ingreso]]="";[@[Cumpli_Salida]]="");"";SI(Y([@[Cumpli_Ingreso]]="SÍ";[@[Cumpli_Salida]]="SÍ");"SÍ";"NO"))</f>
        <v/>
      </c>
      <c r="Q370" s="15">
        <f>SI(O([@[Fecha_Programada_Fin]]="";[@[Fecha_Cierre_Operativo]]="");"";MAX(0;ENTERO([@[Fecha_Cierre_Operativo]])-ENTERO(SI([@[Fecha_Nueva_Programada]]&lt;&gt;"";[@[Fecha_Nueva_Programada]];[@[Fecha_Programada_Fin]])))</f>
        <v/>
      </c>
      <c r="R370" s="12" t="n"/>
      <c r="S370" s="12" t="n"/>
      <c r="T370" s="13" t="n"/>
      <c r="U370" s="12" t="n">
        <v>12</v>
      </c>
      <c r="V370" s="12" t="n"/>
      <c r="W37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70" s="14">
        <f>SI([@SBAN]="";"";BUSCARV([@SBAN];Cronograma_Maestro!$A:$M;6;FALSO))</f>
        <v/>
      </c>
    </row>
    <row r="371">
      <c r="A371" s="11" t="inlineStr">
        <is>
          <t>3155</t>
        </is>
      </c>
      <c r="B371" s="12">
        <f>SI([@SBAN]="";"";BUSCARV([@SBAN];Cronograma_Maestro!$A:$M;2;FALSO))</f>
        <v/>
      </c>
      <c r="C371" s="12">
        <f>SI([@SBAN]="";"";BUSCARV([@SBAN];Cronograma_Maestro!$A:$M;3;FALSO))</f>
        <v/>
      </c>
      <c r="D371" s="12">
        <f>SI([@SBAN]="";"";BUSCARV([@SBAN];Cronograma_Maestro!$A:$M;4;FALSO))</f>
        <v/>
      </c>
      <c r="E371" s="12">
        <f>SI([@SBAN]="";"";BUSCARV([@SBAN];Cronograma_Maestro!$A:$M;5;FALSO))</f>
        <v/>
      </c>
      <c r="F371" s="12" t="inlineStr">
        <is>
          <t>Nelson Leonardo Paez Suarez</t>
        </is>
      </c>
      <c r="G371" s="12" t="inlineStr">
        <is>
          <t>PMU COLSOF</t>
        </is>
      </c>
      <c r="H371" s="13" t="n">
        <v>46295</v>
      </c>
      <c r="I371" s="13" t="n">
        <v>46295</v>
      </c>
      <c r="J371" s="13" t="n"/>
      <c r="K371" s="13" t="n"/>
      <c r="L371" s="12" t="inlineStr">
        <is>
          <t>Programada</t>
        </is>
      </c>
      <c r="M371" s="13" t="n"/>
      <c r="N371" s="14">
        <f>SI(O([@[Fecha_Programada_Inicio]]="";[@[Fecha_Inicio_Real]]="");"";SI([@[Fecha_Inicio_Real]]&lt;=[@[Fecha_Programada_Inicio]];"SÍ";"NO"))</f>
        <v/>
      </c>
      <c r="O371" s="14">
        <f>SI(O([@[Fecha_Programada_Fin]]="";[@[Fecha_Cierre_Operativo]]="");"";SI([@[Fecha_Cierre_Operativo]]&lt;=SI([@[Fecha_Nueva_Programada]]&lt;&gt;"";[@[Fecha_Nueva_Programada]];[@[Fecha_Programada_Fin]]);"SÍ";"NO"))</f>
        <v/>
      </c>
      <c r="P371" s="14">
        <f>SI(O([@[Cumpli_Ingreso]]="";[@[Cumpli_Salida]]="");"";SI(Y([@[Cumpli_Ingreso]]="SÍ";[@[Cumpli_Salida]]="SÍ");"SÍ";"NO"))</f>
        <v/>
      </c>
      <c r="Q371" s="15">
        <f>SI(O([@[Fecha_Programada_Fin]]="";[@[Fecha_Cierre_Operativo]]="");"";MAX(0;ENTERO([@[Fecha_Cierre_Operativo]])-ENTERO(SI([@[Fecha_Nueva_Programada]]&lt;&gt;"";[@[Fecha_Nueva_Programada]];[@[Fecha_Programada_Fin]])))</f>
        <v/>
      </c>
      <c r="R371" s="12" t="n"/>
      <c r="S371" s="12" t="n"/>
      <c r="T371" s="13" t="n"/>
      <c r="U371" s="12" t="n">
        <v>12</v>
      </c>
      <c r="V371" s="12" t="n"/>
      <c r="W37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71" s="14">
        <f>SI([@SBAN]="";"";BUSCARV([@SBAN];Cronograma_Maestro!$A:$M;6;FALSO))</f>
        <v/>
      </c>
    </row>
    <row r="372">
      <c r="A372" s="11" t="inlineStr">
        <is>
          <t>3156</t>
        </is>
      </c>
      <c r="B372" s="12">
        <f>SI([@SBAN]="";"";BUSCARV([@SBAN];Cronograma_Maestro!$A:$M;2;FALSO))</f>
        <v/>
      </c>
      <c r="C372" s="12">
        <f>SI([@SBAN]="";"";BUSCARV([@SBAN];Cronograma_Maestro!$A:$M;3;FALSO))</f>
        <v/>
      </c>
      <c r="D372" s="12">
        <f>SI([@SBAN]="";"";BUSCARV([@SBAN];Cronograma_Maestro!$A:$M;4;FALSO))</f>
        <v/>
      </c>
      <c r="E372" s="12">
        <f>SI([@SBAN]="";"";BUSCARV([@SBAN];Cronograma_Maestro!$A:$M;5;FALSO))</f>
        <v/>
      </c>
      <c r="F372" s="12" t="inlineStr">
        <is>
          <t>Edwin Santiago Cuchivaguen Diaz</t>
        </is>
      </c>
      <c r="G372" s="12" t="inlineStr">
        <is>
          <t>PMU COLSOF</t>
        </is>
      </c>
      <c r="H372" s="13" t="n">
        <v>46289</v>
      </c>
      <c r="I372" s="13" t="n">
        <v>46289</v>
      </c>
      <c r="J372" s="13" t="n"/>
      <c r="K372" s="13" t="n"/>
      <c r="L372" s="12" t="inlineStr">
        <is>
          <t>Programada</t>
        </is>
      </c>
      <c r="M372" s="13" t="n"/>
      <c r="N372" s="14">
        <f>SI(O([@[Fecha_Programada_Inicio]]="";[@[Fecha_Inicio_Real]]="");"";SI([@[Fecha_Inicio_Real]]&lt;=[@[Fecha_Programada_Inicio]];"SÍ";"NO"))</f>
        <v/>
      </c>
      <c r="O372" s="14">
        <f>SI(O([@[Fecha_Programada_Fin]]="";[@[Fecha_Cierre_Operativo]]="");"";SI([@[Fecha_Cierre_Operativo]]&lt;=SI([@[Fecha_Nueva_Programada]]&lt;&gt;"";[@[Fecha_Nueva_Programada]];[@[Fecha_Programada_Fin]]);"SÍ";"NO"))</f>
        <v/>
      </c>
      <c r="P372" s="14">
        <f>SI(O([@[Cumpli_Ingreso]]="";[@[Cumpli_Salida]]="");"";SI(Y([@[Cumpli_Ingreso]]="SÍ";[@[Cumpli_Salida]]="SÍ");"SÍ";"NO"))</f>
        <v/>
      </c>
      <c r="Q372" s="15">
        <f>SI(O([@[Fecha_Programada_Fin]]="";[@[Fecha_Cierre_Operativo]]="");"";MAX(0;ENTERO([@[Fecha_Cierre_Operativo]])-ENTERO(SI([@[Fecha_Nueva_Programada]]&lt;&gt;"";[@[Fecha_Nueva_Programada]];[@[Fecha_Programada_Fin]])))</f>
        <v/>
      </c>
      <c r="R372" s="12" t="n"/>
      <c r="S372" s="12" t="n"/>
      <c r="T372" s="13" t="n"/>
      <c r="U372" s="12" t="n">
        <v>15</v>
      </c>
      <c r="V372" s="12" t="n"/>
      <c r="W37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72" s="14">
        <f>SI([@SBAN]="";"";BUSCARV([@SBAN];Cronograma_Maestro!$A:$M;6;FALSO))</f>
        <v/>
      </c>
    </row>
    <row r="373">
      <c r="A373" s="11" t="inlineStr">
        <is>
          <t>3157</t>
        </is>
      </c>
      <c r="B373" s="12">
        <f>SI([@SBAN]="";"";BUSCARV([@SBAN];Cronograma_Maestro!$A:$M;2;FALSO))</f>
        <v/>
      </c>
      <c r="C373" s="12">
        <f>SI([@SBAN]="";"";BUSCARV([@SBAN];Cronograma_Maestro!$A:$M;3;FALSO))</f>
        <v/>
      </c>
      <c r="D373" s="12">
        <f>SI([@SBAN]="";"";BUSCARV([@SBAN];Cronograma_Maestro!$A:$M;4;FALSO))</f>
        <v/>
      </c>
      <c r="E373" s="12">
        <f>SI([@SBAN]="";"";BUSCARV([@SBAN];Cronograma_Maestro!$A:$M;5;FALSO))</f>
        <v/>
      </c>
      <c r="F373" s="12" t="inlineStr">
        <is>
          <t>Jhonatan Felipe Hernandez Gamboa</t>
        </is>
      </c>
      <c r="G373" s="12" t="inlineStr">
        <is>
          <t>PMU COLSOF</t>
        </is>
      </c>
      <c r="H373" s="13" t="n">
        <v>46280</v>
      </c>
      <c r="I373" s="13" t="n">
        <v>46280</v>
      </c>
      <c r="J373" s="13" t="n"/>
      <c r="K373" s="13" t="n"/>
      <c r="L373" s="12" t="inlineStr">
        <is>
          <t>Programada</t>
        </is>
      </c>
      <c r="M373" s="13" t="n"/>
      <c r="N373" s="14">
        <f>SI(O([@[Fecha_Programada_Inicio]]="";[@[Fecha_Inicio_Real]]="");"";SI([@[Fecha_Inicio_Real]]&lt;=[@[Fecha_Programada_Inicio]];"SÍ";"NO"))</f>
        <v/>
      </c>
      <c r="O373" s="14">
        <f>SI(O([@[Fecha_Programada_Fin]]="";[@[Fecha_Cierre_Operativo]]="");"";SI([@[Fecha_Cierre_Operativo]]&lt;=SI([@[Fecha_Nueva_Programada]]&lt;&gt;"";[@[Fecha_Nueva_Programada]];[@[Fecha_Programada_Fin]]);"SÍ";"NO"))</f>
        <v/>
      </c>
      <c r="P373" s="14">
        <f>SI(O([@[Cumpli_Ingreso]]="";[@[Cumpli_Salida]]="");"";SI(Y([@[Cumpli_Ingreso]]="SÍ";[@[Cumpli_Salida]]="SÍ");"SÍ";"NO"))</f>
        <v/>
      </c>
      <c r="Q373" s="15">
        <f>SI(O([@[Fecha_Programada_Fin]]="";[@[Fecha_Cierre_Operativo]]="");"";MAX(0;ENTERO([@[Fecha_Cierre_Operativo]])-ENTERO(SI([@[Fecha_Nueva_Programada]]&lt;&gt;"";[@[Fecha_Nueva_Programada]];[@[Fecha_Programada_Fin]])))</f>
        <v/>
      </c>
      <c r="R373" s="12" t="n"/>
      <c r="S373" s="12" t="n"/>
      <c r="T373" s="13" t="n"/>
      <c r="U373" s="12" t="n">
        <v>12</v>
      </c>
      <c r="V373" s="12" t="n"/>
      <c r="W37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73" s="14">
        <f>SI([@SBAN]="";"";BUSCARV([@SBAN];Cronograma_Maestro!$A:$M;6;FALSO))</f>
        <v/>
      </c>
    </row>
    <row r="374">
      <c r="A374" s="11" t="inlineStr">
        <is>
          <t>3158</t>
        </is>
      </c>
      <c r="B374" s="12">
        <f>SI([@SBAN]="";"";BUSCARV([@SBAN];Cronograma_Maestro!$A:$M;2;FALSO))</f>
        <v/>
      </c>
      <c r="C374" s="12">
        <f>SI([@SBAN]="";"";BUSCARV([@SBAN];Cronograma_Maestro!$A:$M;3;FALSO))</f>
        <v/>
      </c>
      <c r="D374" s="12">
        <f>SI([@SBAN]="";"";BUSCARV([@SBAN];Cronograma_Maestro!$A:$M;4;FALSO))</f>
        <v/>
      </c>
      <c r="E374" s="12">
        <f>SI([@SBAN]="";"";BUSCARV([@SBAN];Cronograma_Maestro!$A:$M;5;FALSO))</f>
        <v/>
      </c>
      <c r="F374" s="12" t="inlineStr">
        <is>
          <t>Carlos Andres Cuchivaguen Diaz</t>
        </is>
      </c>
      <c r="G374" s="12" t="inlineStr">
        <is>
          <t>PMU COLSOF</t>
        </is>
      </c>
      <c r="H374" s="13" t="n">
        <v>46286</v>
      </c>
      <c r="I374" s="13" t="n">
        <v>46286</v>
      </c>
      <c r="J374" s="13" t="n"/>
      <c r="K374" s="13" t="n"/>
      <c r="L374" s="12" t="inlineStr">
        <is>
          <t>Programada</t>
        </is>
      </c>
      <c r="M374" s="13" t="n"/>
      <c r="N374" s="14">
        <f>SI(O([@[Fecha_Programada_Inicio]]="";[@[Fecha_Inicio_Real]]="");"";SI([@[Fecha_Inicio_Real]]&lt;=[@[Fecha_Programada_Inicio]];"SÍ";"NO"))</f>
        <v/>
      </c>
      <c r="O374" s="14">
        <f>SI(O([@[Fecha_Programada_Fin]]="";[@[Fecha_Cierre_Operativo]]="");"";SI([@[Fecha_Cierre_Operativo]]&lt;=SI([@[Fecha_Nueva_Programada]]&lt;&gt;"";[@[Fecha_Nueva_Programada]];[@[Fecha_Programada_Fin]]);"SÍ";"NO"))</f>
        <v/>
      </c>
      <c r="P374" s="14">
        <f>SI(O([@[Cumpli_Ingreso]]="";[@[Cumpli_Salida]]="");"";SI(Y([@[Cumpli_Ingreso]]="SÍ";[@[Cumpli_Salida]]="SÍ");"SÍ";"NO"))</f>
        <v/>
      </c>
      <c r="Q374" s="15">
        <f>SI(O([@[Fecha_Programada_Fin]]="";[@[Fecha_Cierre_Operativo]]="");"";MAX(0;ENTERO([@[Fecha_Cierre_Operativo]])-ENTERO(SI([@[Fecha_Nueva_Programada]]&lt;&gt;"";[@[Fecha_Nueva_Programada]];[@[Fecha_Programada_Fin]])))</f>
        <v/>
      </c>
      <c r="R374" s="12" t="n"/>
      <c r="S374" s="12" t="n"/>
      <c r="T374" s="13" t="n"/>
      <c r="U374" s="12" t="n">
        <v>12</v>
      </c>
      <c r="V374" s="12" t="n"/>
      <c r="W37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74" s="14">
        <f>SI([@SBAN]="";"";BUSCARV([@SBAN];Cronograma_Maestro!$A:$M;6;FALSO))</f>
        <v/>
      </c>
    </row>
    <row r="375">
      <c r="A375" s="11" t="inlineStr">
        <is>
          <t>3159</t>
        </is>
      </c>
      <c r="B375" s="12">
        <f>SI([@SBAN]="";"";BUSCARV([@SBAN];Cronograma_Maestro!$A:$M;2;FALSO))</f>
        <v/>
      </c>
      <c r="C375" s="12">
        <f>SI([@SBAN]="";"";BUSCARV([@SBAN];Cronograma_Maestro!$A:$M;3;FALSO))</f>
        <v/>
      </c>
      <c r="D375" s="12">
        <f>SI([@SBAN]="";"";BUSCARV([@SBAN];Cronograma_Maestro!$A:$M;4;FALSO))</f>
        <v/>
      </c>
      <c r="E375" s="12">
        <f>SI([@SBAN]="";"";BUSCARV([@SBAN];Cronograma_Maestro!$A:$M;5;FALSO))</f>
        <v/>
      </c>
      <c r="F375" s="12" t="inlineStr">
        <is>
          <t>Jhonatan Felipe Hernandez Gamboa</t>
        </is>
      </c>
      <c r="G375" s="12" t="inlineStr">
        <is>
          <t>PMU COLSOF</t>
        </is>
      </c>
      <c r="H375" s="13" t="n">
        <v>46294</v>
      </c>
      <c r="I375" s="13" t="n">
        <v>46294</v>
      </c>
      <c r="J375" s="13" t="n"/>
      <c r="K375" s="13" t="n"/>
      <c r="L375" s="12" t="inlineStr">
        <is>
          <t>Programada</t>
        </is>
      </c>
      <c r="M375" s="13" t="n"/>
      <c r="N375" s="14">
        <f>SI(O([@[Fecha_Programada_Inicio]]="";[@[Fecha_Inicio_Real]]="");"";SI([@[Fecha_Inicio_Real]]&lt;=[@[Fecha_Programada_Inicio]];"SÍ";"NO"))</f>
        <v/>
      </c>
      <c r="O375" s="14">
        <f>SI(O([@[Fecha_Programada_Fin]]="";[@[Fecha_Cierre_Operativo]]="");"";SI([@[Fecha_Cierre_Operativo]]&lt;=SI([@[Fecha_Nueva_Programada]]&lt;&gt;"";[@[Fecha_Nueva_Programada]];[@[Fecha_Programada_Fin]]);"SÍ";"NO"))</f>
        <v/>
      </c>
      <c r="P375" s="14">
        <f>SI(O([@[Cumpli_Ingreso]]="";[@[Cumpli_Salida]]="");"";SI(Y([@[Cumpli_Ingreso]]="SÍ";[@[Cumpli_Salida]]="SÍ");"SÍ";"NO"))</f>
        <v/>
      </c>
      <c r="Q375" s="15">
        <f>SI(O([@[Fecha_Programada_Fin]]="";[@[Fecha_Cierre_Operativo]]="");"";MAX(0;ENTERO([@[Fecha_Cierre_Operativo]])-ENTERO(SI([@[Fecha_Nueva_Programada]]&lt;&gt;"";[@[Fecha_Nueva_Programada]];[@[Fecha_Programada_Fin]])))</f>
        <v/>
      </c>
      <c r="R375" s="12" t="n"/>
      <c r="S375" s="12" t="n"/>
      <c r="T375" s="13" t="n"/>
      <c r="U375" s="12" t="n">
        <v>18</v>
      </c>
      <c r="V375" s="12" t="n"/>
      <c r="W37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75" s="14">
        <f>SI([@SBAN]="";"";BUSCARV([@SBAN];Cronograma_Maestro!$A:$M;6;FALSO))</f>
        <v/>
      </c>
    </row>
    <row r="376">
      <c r="A376" s="11" t="inlineStr">
        <is>
          <t>3160</t>
        </is>
      </c>
      <c r="B376" s="12">
        <f>SI([@SBAN]="";"";BUSCARV([@SBAN];Cronograma_Maestro!$A:$M;2;FALSO))</f>
        <v/>
      </c>
      <c r="C376" s="12">
        <f>SI([@SBAN]="";"";BUSCARV([@SBAN];Cronograma_Maestro!$A:$M;3;FALSO))</f>
        <v/>
      </c>
      <c r="D376" s="12">
        <f>SI([@SBAN]="";"";BUSCARV([@SBAN];Cronograma_Maestro!$A:$M;4;FALSO))</f>
        <v/>
      </c>
      <c r="E376" s="12">
        <f>SI([@SBAN]="";"";BUSCARV([@SBAN];Cronograma_Maestro!$A:$M;5;FALSO))</f>
        <v/>
      </c>
      <c r="F376" s="12" t="inlineStr">
        <is>
          <t>Edwin Santiago Cuchivaguen Diaz</t>
        </is>
      </c>
      <c r="G376" s="12" t="inlineStr">
        <is>
          <t>PMU COLSOF</t>
        </is>
      </c>
      <c r="H376" s="13" t="n">
        <v>46283</v>
      </c>
      <c r="I376" s="13" t="n">
        <v>46283</v>
      </c>
      <c r="J376" s="13" t="n"/>
      <c r="K376" s="13" t="n"/>
      <c r="L376" s="12" t="inlineStr">
        <is>
          <t>Programada</t>
        </is>
      </c>
      <c r="M376" s="13" t="n"/>
      <c r="N376" s="14">
        <f>SI(O([@[Fecha_Programada_Inicio]]="";[@[Fecha_Inicio_Real]]="");"";SI([@[Fecha_Inicio_Real]]&lt;=[@[Fecha_Programada_Inicio]];"SÍ";"NO"))</f>
        <v/>
      </c>
      <c r="O376" s="14">
        <f>SI(O([@[Fecha_Programada_Fin]]="";[@[Fecha_Cierre_Operativo]]="");"";SI([@[Fecha_Cierre_Operativo]]&lt;=SI([@[Fecha_Nueva_Programada]]&lt;&gt;"";[@[Fecha_Nueva_Programada]];[@[Fecha_Programada_Fin]]);"SÍ";"NO"))</f>
        <v/>
      </c>
      <c r="P376" s="14">
        <f>SI(O([@[Cumpli_Ingreso]]="";[@[Cumpli_Salida]]="");"";SI(Y([@[Cumpli_Ingreso]]="SÍ";[@[Cumpli_Salida]]="SÍ");"SÍ";"NO"))</f>
        <v/>
      </c>
      <c r="Q376" s="15">
        <f>SI(O([@[Fecha_Programada_Fin]]="";[@[Fecha_Cierre_Operativo]]="");"";MAX(0;ENTERO([@[Fecha_Cierre_Operativo]])-ENTERO(SI([@[Fecha_Nueva_Programada]]&lt;&gt;"";[@[Fecha_Nueva_Programada]];[@[Fecha_Programada_Fin]])))</f>
        <v/>
      </c>
      <c r="R376" s="12" t="n"/>
      <c r="S376" s="12" t="n"/>
      <c r="T376" s="13" t="n"/>
      <c r="U376" s="12" t="n">
        <v>17</v>
      </c>
      <c r="V376" s="12" t="n"/>
      <c r="W37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76" s="14">
        <f>SI([@SBAN]="";"";BUSCARV([@SBAN];Cronograma_Maestro!$A:$M;6;FALSO))</f>
        <v/>
      </c>
    </row>
    <row r="377">
      <c r="A377" s="11" t="inlineStr">
        <is>
          <t>3161</t>
        </is>
      </c>
      <c r="B377" s="12">
        <f>SI([@SBAN]="";"";BUSCARV([@SBAN];Cronograma_Maestro!$A:$M;2;FALSO))</f>
        <v/>
      </c>
      <c r="C377" s="12">
        <f>SI([@SBAN]="";"";BUSCARV([@SBAN];Cronograma_Maestro!$A:$M;3;FALSO))</f>
        <v/>
      </c>
      <c r="D377" s="12">
        <f>SI([@SBAN]="";"";BUSCARV([@SBAN];Cronograma_Maestro!$A:$M;4;FALSO))</f>
        <v/>
      </c>
      <c r="E377" s="12">
        <f>SI([@SBAN]="";"";BUSCARV([@SBAN];Cronograma_Maestro!$A:$M;5;FALSO))</f>
        <v/>
      </c>
      <c r="F377" s="12" t="inlineStr">
        <is>
          <t>Carlos Andres Cuchivaguen Diaz</t>
        </is>
      </c>
      <c r="G377" s="12" t="inlineStr">
        <is>
          <t>PMU COLSOF</t>
        </is>
      </c>
      <c r="H377" s="13" t="n">
        <v>46287</v>
      </c>
      <c r="I377" s="13" t="n">
        <v>46287</v>
      </c>
      <c r="J377" s="13" t="n"/>
      <c r="K377" s="13" t="n"/>
      <c r="L377" s="12" t="inlineStr">
        <is>
          <t>Programada</t>
        </is>
      </c>
      <c r="M377" s="13" t="n"/>
      <c r="N377" s="14">
        <f>SI(O([@[Fecha_Programada_Inicio]]="";[@[Fecha_Inicio_Real]]="");"";SI([@[Fecha_Inicio_Real]]&lt;=[@[Fecha_Programada_Inicio]];"SÍ";"NO"))</f>
        <v/>
      </c>
      <c r="O377" s="14">
        <f>SI(O([@[Fecha_Programada_Fin]]="";[@[Fecha_Cierre_Operativo]]="");"";SI([@[Fecha_Cierre_Operativo]]&lt;=SI([@[Fecha_Nueva_Programada]]&lt;&gt;"";[@[Fecha_Nueva_Programada]];[@[Fecha_Programada_Fin]]);"SÍ";"NO"))</f>
        <v/>
      </c>
      <c r="P377" s="14">
        <f>SI(O([@[Cumpli_Ingreso]]="";[@[Cumpli_Salida]]="");"";SI(Y([@[Cumpli_Ingreso]]="SÍ";[@[Cumpli_Salida]]="SÍ");"SÍ";"NO"))</f>
        <v/>
      </c>
      <c r="Q377" s="15">
        <f>SI(O([@[Fecha_Programada_Fin]]="";[@[Fecha_Cierre_Operativo]]="");"";MAX(0;ENTERO([@[Fecha_Cierre_Operativo]])-ENTERO(SI([@[Fecha_Nueva_Programada]]&lt;&gt;"";[@[Fecha_Nueva_Programada]];[@[Fecha_Programada_Fin]])))</f>
        <v/>
      </c>
      <c r="R377" s="12" t="n"/>
      <c r="S377" s="12" t="n"/>
      <c r="T377" s="13" t="n"/>
      <c r="U377" s="12" t="n">
        <v>12</v>
      </c>
      <c r="V377" s="12" t="n"/>
      <c r="W37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77" s="14">
        <f>SI([@SBAN]="";"";BUSCARV([@SBAN];Cronograma_Maestro!$A:$M;6;FALSO))</f>
        <v/>
      </c>
    </row>
    <row r="378">
      <c r="A378" s="11" t="inlineStr">
        <is>
          <t>3162</t>
        </is>
      </c>
      <c r="B378" s="12">
        <f>SI([@SBAN]="";"";BUSCARV([@SBAN];Cronograma_Maestro!$A:$M;2;FALSO))</f>
        <v/>
      </c>
      <c r="C378" s="12">
        <f>SI([@SBAN]="";"";BUSCARV([@SBAN];Cronograma_Maestro!$A:$M;3;FALSO))</f>
        <v/>
      </c>
      <c r="D378" s="12">
        <f>SI([@SBAN]="";"";BUSCARV([@SBAN];Cronograma_Maestro!$A:$M;4;FALSO))</f>
        <v/>
      </c>
      <c r="E378" s="12">
        <f>SI([@SBAN]="";"";BUSCARV([@SBAN];Cronograma_Maestro!$A:$M;5;FALSO))</f>
        <v/>
      </c>
      <c r="F378" s="12" t="inlineStr">
        <is>
          <t>Edwin Santiago Cuchivaguen Diaz</t>
        </is>
      </c>
      <c r="G378" s="12" t="inlineStr">
        <is>
          <t>PMU COLSOF</t>
        </is>
      </c>
      <c r="H378" s="13" t="n">
        <v>46288</v>
      </c>
      <c r="I378" s="13" t="n">
        <v>46288</v>
      </c>
      <c r="J378" s="13" t="n"/>
      <c r="K378" s="13" t="n"/>
      <c r="L378" s="12" t="inlineStr">
        <is>
          <t>Programada</t>
        </is>
      </c>
      <c r="M378" s="13" t="n"/>
      <c r="N378" s="14">
        <f>SI(O([@[Fecha_Programada_Inicio]]="";[@[Fecha_Inicio_Real]]="");"";SI([@[Fecha_Inicio_Real]]&lt;=[@[Fecha_Programada_Inicio]];"SÍ";"NO"))</f>
        <v/>
      </c>
      <c r="O378" s="14">
        <f>SI(O([@[Fecha_Programada_Fin]]="";[@[Fecha_Cierre_Operativo]]="");"";SI([@[Fecha_Cierre_Operativo]]&lt;=SI([@[Fecha_Nueva_Programada]]&lt;&gt;"";[@[Fecha_Nueva_Programada]];[@[Fecha_Programada_Fin]]);"SÍ";"NO"))</f>
        <v/>
      </c>
      <c r="P378" s="14">
        <f>SI(O([@[Cumpli_Ingreso]]="";[@[Cumpli_Salida]]="");"";SI(Y([@[Cumpli_Ingreso]]="SÍ";[@[Cumpli_Salida]]="SÍ");"SÍ";"NO"))</f>
        <v/>
      </c>
      <c r="Q378" s="15">
        <f>SI(O([@[Fecha_Programada_Fin]]="";[@[Fecha_Cierre_Operativo]]="");"";MAX(0;ENTERO([@[Fecha_Cierre_Operativo]])-ENTERO(SI([@[Fecha_Nueva_Programada]]&lt;&gt;"";[@[Fecha_Nueva_Programada]];[@[Fecha_Programada_Fin]])))</f>
        <v/>
      </c>
      <c r="R378" s="12" t="n"/>
      <c r="S378" s="12" t="n"/>
      <c r="T378" s="13" t="n"/>
      <c r="U378" s="12" t="n">
        <v>13</v>
      </c>
      <c r="V378" s="12" t="n"/>
      <c r="W37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78" s="14">
        <f>SI([@SBAN]="";"";BUSCARV([@SBAN];Cronograma_Maestro!$A:$M;6;FALSO))</f>
        <v/>
      </c>
    </row>
    <row r="379">
      <c r="A379" s="11" t="inlineStr">
        <is>
          <t>3163</t>
        </is>
      </c>
      <c r="B379" s="12">
        <f>SI([@SBAN]="";"";BUSCARV([@SBAN];Cronograma_Maestro!$A:$M;2;FALSO))</f>
        <v/>
      </c>
      <c r="C379" s="12">
        <f>SI([@SBAN]="";"";BUSCARV([@SBAN];Cronograma_Maestro!$A:$M;3;FALSO))</f>
        <v/>
      </c>
      <c r="D379" s="12">
        <f>SI([@SBAN]="";"";BUSCARV([@SBAN];Cronograma_Maestro!$A:$M;4;FALSO))</f>
        <v/>
      </c>
      <c r="E379" s="12">
        <f>SI([@SBAN]="";"";BUSCARV([@SBAN];Cronograma_Maestro!$A:$M;5;FALSO))</f>
        <v/>
      </c>
      <c r="F379" s="12" t="inlineStr">
        <is>
          <t>Edwin Santiago Cuchivaguen Diaz</t>
        </is>
      </c>
      <c r="G379" s="12" t="inlineStr">
        <is>
          <t>PMU COLSOF</t>
        </is>
      </c>
      <c r="H379" s="13" t="n">
        <v>46295</v>
      </c>
      <c r="I379" s="13" t="n">
        <v>46295</v>
      </c>
      <c r="J379" s="13" t="n"/>
      <c r="K379" s="13" t="n"/>
      <c r="L379" s="12" t="inlineStr">
        <is>
          <t>Programada</t>
        </is>
      </c>
      <c r="M379" s="13" t="n"/>
      <c r="N379" s="14">
        <f>SI(O([@[Fecha_Programada_Inicio]]="";[@[Fecha_Inicio_Real]]="");"";SI([@[Fecha_Inicio_Real]]&lt;=[@[Fecha_Programada_Inicio]];"SÍ";"NO"))</f>
        <v/>
      </c>
      <c r="O379" s="14">
        <f>SI(O([@[Fecha_Programada_Fin]]="";[@[Fecha_Cierre_Operativo]]="");"";SI([@[Fecha_Cierre_Operativo]]&lt;=SI([@[Fecha_Nueva_Programada]]&lt;&gt;"";[@[Fecha_Nueva_Programada]];[@[Fecha_Programada_Fin]]);"SÍ";"NO"))</f>
        <v/>
      </c>
      <c r="P379" s="14">
        <f>SI(O([@[Cumpli_Ingreso]]="";[@[Cumpli_Salida]]="");"";SI(Y([@[Cumpli_Ingreso]]="SÍ";[@[Cumpli_Salida]]="SÍ");"SÍ";"NO"))</f>
        <v/>
      </c>
      <c r="Q379" s="15">
        <f>SI(O([@[Fecha_Programada_Fin]]="";[@[Fecha_Cierre_Operativo]]="");"";MAX(0;ENTERO([@[Fecha_Cierre_Operativo]])-ENTERO(SI([@[Fecha_Nueva_Programada]]&lt;&gt;"";[@[Fecha_Nueva_Programada]];[@[Fecha_Programada_Fin]])))</f>
        <v/>
      </c>
      <c r="R379" s="12" t="n"/>
      <c r="S379" s="12" t="n"/>
      <c r="T379" s="13" t="n"/>
      <c r="U379" s="12" t="n">
        <v>29</v>
      </c>
      <c r="V379" s="12" t="n"/>
      <c r="W37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79" s="14">
        <f>SI([@SBAN]="";"";BUSCARV([@SBAN];Cronograma_Maestro!$A:$M;6;FALSO))</f>
        <v/>
      </c>
    </row>
    <row r="380">
      <c r="A380" s="11" t="inlineStr">
        <is>
          <t>3164</t>
        </is>
      </c>
      <c r="B380" s="12">
        <f>SI([@SBAN]="";"";BUSCARV([@SBAN];Cronograma_Maestro!$A:$M;2;FALSO))</f>
        <v/>
      </c>
      <c r="C380" s="12">
        <f>SI([@SBAN]="";"";BUSCARV([@SBAN];Cronograma_Maestro!$A:$M;3;FALSO))</f>
        <v/>
      </c>
      <c r="D380" s="12">
        <f>SI([@SBAN]="";"";BUSCARV([@SBAN];Cronograma_Maestro!$A:$M;4;FALSO))</f>
        <v/>
      </c>
      <c r="E380" s="12">
        <f>SI([@SBAN]="";"";BUSCARV([@SBAN];Cronograma_Maestro!$A:$M;5;FALSO))</f>
        <v/>
      </c>
      <c r="F380" s="12" t="inlineStr">
        <is>
          <t>Jhonatan Felipe Hernandez Gamboa</t>
        </is>
      </c>
      <c r="G380" s="12" t="inlineStr">
        <is>
          <t>PMU COLSOF</t>
        </is>
      </c>
      <c r="H380" s="13" t="n">
        <v>46286</v>
      </c>
      <c r="I380" s="13" t="n">
        <v>46286</v>
      </c>
      <c r="J380" s="13" t="n"/>
      <c r="K380" s="13" t="n"/>
      <c r="L380" s="12" t="inlineStr">
        <is>
          <t>Programada</t>
        </is>
      </c>
      <c r="M380" s="13" t="n"/>
      <c r="N380" s="14">
        <f>SI(O([@[Fecha_Programada_Inicio]]="";[@[Fecha_Inicio_Real]]="");"";SI([@[Fecha_Inicio_Real]]&lt;=[@[Fecha_Programada_Inicio]];"SÍ";"NO"))</f>
        <v/>
      </c>
      <c r="O380" s="14">
        <f>SI(O([@[Fecha_Programada_Fin]]="";[@[Fecha_Cierre_Operativo]]="");"";SI([@[Fecha_Cierre_Operativo]]&lt;=SI([@[Fecha_Nueva_Programada]]&lt;&gt;"";[@[Fecha_Nueva_Programada]];[@[Fecha_Programada_Fin]]);"SÍ";"NO"))</f>
        <v/>
      </c>
      <c r="P380" s="14">
        <f>SI(O([@[Cumpli_Ingreso]]="";[@[Cumpli_Salida]]="");"";SI(Y([@[Cumpli_Ingreso]]="SÍ";[@[Cumpli_Salida]]="SÍ");"SÍ";"NO"))</f>
        <v/>
      </c>
      <c r="Q380" s="15">
        <f>SI(O([@[Fecha_Programada_Fin]]="";[@[Fecha_Cierre_Operativo]]="");"";MAX(0;ENTERO([@[Fecha_Cierre_Operativo]])-ENTERO(SI([@[Fecha_Nueva_Programada]]&lt;&gt;"";[@[Fecha_Nueva_Programada]];[@[Fecha_Programada_Fin]])))</f>
        <v/>
      </c>
      <c r="R380" s="12" t="n"/>
      <c r="S380" s="12" t="n"/>
      <c r="T380" s="13" t="n"/>
      <c r="U380" s="12" t="n">
        <v>17</v>
      </c>
      <c r="V380" s="12" t="n"/>
      <c r="W38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80" s="14">
        <f>SI([@SBAN]="";"";BUSCARV([@SBAN];Cronograma_Maestro!$A:$M;6;FALSO))</f>
        <v/>
      </c>
    </row>
    <row r="381">
      <c r="A381" s="11" t="inlineStr">
        <is>
          <t>3165</t>
        </is>
      </c>
      <c r="B381" s="12">
        <f>SI([@SBAN]="";"";BUSCARV([@SBAN];Cronograma_Maestro!$A:$M;2;FALSO))</f>
        <v/>
      </c>
      <c r="C381" s="12">
        <f>SI([@SBAN]="";"";BUSCARV([@SBAN];Cronograma_Maestro!$A:$M;3;FALSO))</f>
        <v/>
      </c>
      <c r="D381" s="12">
        <f>SI([@SBAN]="";"";BUSCARV([@SBAN];Cronograma_Maestro!$A:$M;4;FALSO))</f>
        <v/>
      </c>
      <c r="E381" s="12">
        <f>SI([@SBAN]="";"";BUSCARV([@SBAN];Cronograma_Maestro!$A:$M;5;FALSO))</f>
        <v/>
      </c>
      <c r="F381" s="12" t="inlineStr">
        <is>
          <t>Edwin Santiago Cuchivaguen Diaz</t>
        </is>
      </c>
      <c r="G381" s="12" t="inlineStr">
        <is>
          <t>PMU COLSOF</t>
        </is>
      </c>
      <c r="H381" s="13" t="n">
        <v>46276</v>
      </c>
      <c r="I381" s="13" t="n">
        <v>46276</v>
      </c>
      <c r="J381" s="13" t="n"/>
      <c r="K381" s="13" t="n"/>
      <c r="L381" s="12" t="inlineStr">
        <is>
          <t>Programada</t>
        </is>
      </c>
      <c r="M381" s="13" t="n"/>
      <c r="N381" s="14">
        <f>SI(O([@[Fecha_Programada_Inicio]]="";[@[Fecha_Inicio_Real]]="");"";SI([@[Fecha_Inicio_Real]]&lt;=[@[Fecha_Programada_Inicio]];"SÍ";"NO"))</f>
        <v/>
      </c>
      <c r="O381" s="14">
        <f>SI(O([@[Fecha_Programada_Fin]]="";[@[Fecha_Cierre_Operativo]]="");"";SI([@[Fecha_Cierre_Operativo]]&lt;=SI([@[Fecha_Nueva_Programada]]&lt;&gt;"";[@[Fecha_Nueva_Programada]];[@[Fecha_Programada_Fin]]);"SÍ";"NO"))</f>
        <v/>
      </c>
      <c r="P381" s="14">
        <f>SI(O([@[Cumpli_Ingreso]]="";[@[Cumpli_Salida]]="");"";SI(Y([@[Cumpli_Ingreso]]="SÍ";[@[Cumpli_Salida]]="SÍ");"SÍ";"NO"))</f>
        <v/>
      </c>
      <c r="Q381" s="15">
        <f>SI(O([@[Fecha_Programada_Fin]]="";[@[Fecha_Cierre_Operativo]]="");"";MAX(0;ENTERO([@[Fecha_Cierre_Operativo]])-ENTERO(SI([@[Fecha_Nueva_Programada]]&lt;&gt;"";[@[Fecha_Nueva_Programada]];[@[Fecha_Programada_Fin]])))</f>
        <v/>
      </c>
      <c r="R381" s="12" t="n"/>
      <c r="S381" s="12" t="n"/>
      <c r="T381" s="13" t="n"/>
      <c r="U381" s="12" t="n">
        <v>18</v>
      </c>
      <c r="V381" s="12" t="n"/>
      <c r="W38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81" s="14">
        <f>SI([@SBAN]="";"";BUSCARV([@SBAN];Cronograma_Maestro!$A:$M;6;FALSO))</f>
        <v/>
      </c>
    </row>
    <row r="382">
      <c r="A382" s="11" t="inlineStr">
        <is>
          <t>3166</t>
        </is>
      </c>
      <c r="B382" s="12">
        <f>SI([@SBAN]="";"";BUSCARV([@SBAN];Cronograma_Maestro!$A:$M;2;FALSO))</f>
        <v/>
      </c>
      <c r="C382" s="12">
        <f>SI([@SBAN]="";"";BUSCARV([@SBAN];Cronograma_Maestro!$A:$M;3;FALSO))</f>
        <v/>
      </c>
      <c r="D382" s="12">
        <f>SI([@SBAN]="";"";BUSCARV([@SBAN];Cronograma_Maestro!$A:$M;4;FALSO))</f>
        <v/>
      </c>
      <c r="E382" s="12">
        <f>SI([@SBAN]="";"";BUSCARV([@SBAN];Cronograma_Maestro!$A:$M;5;FALSO))</f>
        <v/>
      </c>
      <c r="F382" s="12" t="inlineStr">
        <is>
          <t>Edwin Santiago Cuchivaguen Diaz</t>
        </is>
      </c>
      <c r="G382" s="12" t="inlineStr">
        <is>
          <t>PMU COLSOF</t>
        </is>
      </c>
      <c r="H382" s="13" t="n">
        <v>46294</v>
      </c>
      <c r="I382" s="13" t="n">
        <v>46294</v>
      </c>
      <c r="J382" s="13" t="n"/>
      <c r="K382" s="13" t="n"/>
      <c r="L382" s="12" t="inlineStr">
        <is>
          <t>Programada</t>
        </is>
      </c>
      <c r="M382" s="13" t="n"/>
      <c r="N382" s="14">
        <f>SI(O([@[Fecha_Programada_Inicio]]="";[@[Fecha_Inicio_Real]]="");"";SI([@[Fecha_Inicio_Real]]&lt;=[@[Fecha_Programada_Inicio]];"SÍ";"NO"))</f>
        <v/>
      </c>
      <c r="O382" s="14">
        <f>SI(O([@[Fecha_Programada_Fin]]="";[@[Fecha_Cierre_Operativo]]="");"";SI([@[Fecha_Cierre_Operativo]]&lt;=SI([@[Fecha_Nueva_Programada]]&lt;&gt;"";[@[Fecha_Nueva_Programada]];[@[Fecha_Programada_Fin]]);"SÍ";"NO"))</f>
        <v/>
      </c>
      <c r="P382" s="14">
        <f>SI(O([@[Cumpli_Ingreso]]="";[@[Cumpli_Salida]]="");"";SI(Y([@[Cumpli_Ingreso]]="SÍ";[@[Cumpli_Salida]]="SÍ");"SÍ";"NO"))</f>
        <v/>
      </c>
      <c r="Q382" s="15">
        <f>SI(O([@[Fecha_Programada_Fin]]="";[@[Fecha_Cierre_Operativo]]="");"";MAX(0;ENTERO([@[Fecha_Cierre_Operativo]])-ENTERO(SI([@[Fecha_Nueva_Programada]]&lt;&gt;"";[@[Fecha_Nueva_Programada]];[@[Fecha_Programada_Fin]])))</f>
        <v/>
      </c>
      <c r="R382" s="12" t="n"/>
      <c r="S382" s="12" t="n"/>
      <c r="T382" s="13" t="n"/>
      <c r="U382" s="12" t="n">
        <v>27</v>
      </c>
      <c r="V382" s="12" t="n"/>
      <c r="W38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82" s="14">
        <f>SI([@SBAN]="";"";BUSCARV([@SBAN];Cronograma_Maestro!$A:$M;6;FALSO))</f>
        <v/>
      </c>
    </row>
    <row r="383">
      <c r="A383" s="11" t="inlineStr">
        <is>
          <t>3167</t>
        </is>
      </c>
      <c r="B383" s="12">
        <f>SI([@SBAN]="";"";BUSCARV([@SBAN];Cronograma_Maestro!$A:$M;2;FALSO))</f>
        <v/>
      </c>
      <c r="C383" s="12">
        <f>SI([@SBAN]="";"";BUSCARV([@SBAN];Cronograma_Maestro!$A:$M;3;FALSO))</f>
        <v/>
      </c>
      <c r="D383" s="12">
        <f>SI([@SBAN]="";"";BUSCARV([@SBAN];Cronograma_Maestro!$A:$M;4;FALSO))</f>
        <v/>
      </c>
      <c r="E383" s="12">
        <f>SI([@SBAN]="";"";BUSCARV([@SBAN];Cronograma_Maestro!$A:$M;5;FALSO))</f>
        <v/>
      </c>
      <c r="F383" s="12" t="inlineStr">
        <is>
          <t>Carlos Andres Cuchivaguen Diaz</t>
        </is>
      </c>
      <c r="G383" s="12" t="inlineStr">
        <is>
          <t>PMU COLSOF</t>
        </is>
      </c>
      <c r="H383" s="13" t="n">
        <v>46294</v>
      </c>
      <c r="I383" s="13" t="n">
        <v>46294</v>
      </c>
      <c r="J383" s="13" t="n"/>
      <c r="K383" s="13" t="n"/>
      <c r="L383" s="12" t="inlineStr">
        <is>
          <t>Programada</t>
        </is>
      </c>
      <c r="M383" s="13" t="n"/>
      <c r="N383" s="14">
        <f>SI(O([@[Fecha_Programada_Inicio]]="";[@[Fecha_Inicio_Real]]="");"";SI([@[Fecha_Inicio_Real]]&lt;=[@[Fecha_Programada_Inicio]];"SÍ";"NO"))</f>
        <v/>
      </c>
      <c r="O383" s="14">
        <f>SI(O([@[Fecha_Programada_Fin]]="";[@[Fecha_Cierre_Operativo]]="");"";SI([@[Fecha_Cierre_Operativo]]&lt;=SI([@[Fecha_Nueva_Programada]]&lt;&gt;"";[@[Fecha_Nueva_Programada]];[@[Fecha_Programada_Fin]]);"SÍ";"NO"))</f>
        <v/>
      </c>
      <c r="P383" s="14">
        <f>SI(O([@[Cumpli_Ingreso]]="";[@[Cumpli_Salida]]="");"";SI(Y([@[Cumpli_Ingreso]]="SÍ";[@[Cumpli_Salida]]="SÍ");"SÍ";"NO"))</f>
        <v/>
      </c>
      <c r="Q383" s="15">
        <f>SI(O([@[Fecha_Programada_Fin]]="";[@[Fecha_Cierre_Operativo]]="");"";MAX(0;ENTERO([@[Fecha_Cierre_Operativo]])-ENTERO(SI([@[Fecha_Nueva_Programada]]&lt;&gt;"";[@[Fecha_Nueva_Programada]];[@[Fecha_Programada_Fin]])))</f>
        <v/>
      </c>
      <c r="R383" s="12" t="n"/>
      <c r="S383" s="12" t="n"/>
      <c r="T383" s="13" t="n"/>
      <c r="U383" s="12" t="n">
        <v>14</v>
      </c>
      <c r="V383" s="12" t="n"/>
      <c r="W38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83" s="14">
        <f>SI([@SBAN]="";"";BUSCARV([@SBAN];Cronograma_Maestro!$A:$M;6;FALSO))</f>
        <v/>
      </c>
    </row>
    <row r="384">
      <c r="A384" s="11" t="inlineStr">
        <is>
          <t>3168</t>
        </is>
      </c>
      <c r="B384" s="12">
        <f>SI([@SBAN]="";"";BUSCARV([@SBAN];Cronograma_Maestro!$A:$M;2;FALSO))</f>
        <v/>
      </c>
      <c r="C384" s="12">
        <f>SI([@SBAN]="";"";BUSCARV([@SBAN];Cronograma_Maestro!$A:$M;3;FALSO))</f>
        <v/>
      </c>
      <c r="D384" s="12">
        <f>SI([@SBAN]="";"";BUSCARV([@SBAN];Cronograma_Maestro!$A:$M;4;FALSO))</f>
        <v/>
      </c>
      <c r="E384" s="12">
        <f>SI([@SBAN]="";"";BUSCARV([@SBAN];Cronograma_Maestro!$A:$M;5;FALSO))</f>
        <v/>
      </c>
      <c r="F384" s="12" t="inlineStr">
        <is>
          <t>Edwin Santiago Cuchivaguen Diaz</t>
        </is>
      </c>
      <c r="G384" s="12" t="inlineStr">
        <is>
          <t>PMU COLSOF</t>
        </is>
      </c>
      <c r="H384" s="13" t="n">
        <v>46275</v>
      </c>
      <c r="I384" s="13" t="n">
        <v>46275</v>
      </c>
      <c r="J384" s="13" t="n"/>
      <c r="K384" s="13" t="n"/>
      <c r="L384" s="12" t="inlineStr">
        <is>
          <t>Programada</t>
        </is>
      </c>
      <c r="M384" s="13" t="n"/>
      <c r="N384" s="14">
        <f>SI(O([@[Fecha_Programada_Inicio]]="";[@[Fecha_Inicio_Real]]="");"";SI([@[Fecha_Inicio_Real]]&lt;=[@[Fecha_Programada_Inicio]];"SÍ";"NO"))</f>
        <v/>
      </c>
      <c r="O384" s="14">
        <f>SI(O([@[Fecha_Programada_Fin]]="";[@[Fecha_Cierre_Operativo]]="");"";SI([@[Fecha_Cierre_Operativo]]&lt;=SI([@[Fecha_Nueva_Programada]]&lt;&gt;"";[@[Fecha_Nueva_Programada]];[@[Fecha_Programada_Fin]]);"SÍ";"NO"))</f>
        <v/>
      </c>
      <c r="P384" s="14">
        <f>SI(O([@[Cumpli_Ingreso]]="";[@[Cumpli_Salida]]="");"";SI(Y([@[Cumpli_Ingreso]]="SÍ";[@[Cumpli_Salida]]="SÍ");"SÍ";"NO"))</f>
        <v/>
      </c>
      <c r="Q384" s="15">
        <f>SI(O([@[Fecha_Programada_Fin]]="";[@[Fecha_Cierre_Operativo]]="");"";MAX(0;ENTERO([@[Fecha_Cierre_Operativo]])-ENTERO(SI([@[Fecha_Nueva_Programada]]&lt;&gt;"";[@[Fecha_Nueva_Programada]];[@[Fecha_Programada_Fin]])))</f>
        <v/>
      </c>
      <c r="R384" s="12" t="n"/>
      <c r="S384" s="12" t="n"/>
      <c r="T384" s="13" t="n"/>
      <c r="U384" s="12" t="n">
        <v>15</v>
      </c>
      <c r="V384" s="12" t="n"/>
      <c r="W38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84" s="14">
        <f>SI([@SBAN]="";"";BUSCARV([@SBAN];Cronograma_Maestro!$A:$M;6;FALSO))</f>
        <v/>
      </c>
    </row>
    <row r="385">
      <c r="A385" s="11" t="inlineStr">
        <is>
          <t>3172</t>
        </is>
      </c>
      <c r="B385" s="12">
        <f>SI([@SBAN]="";"";BUSCARV([@SBAN];Cronograma_Maestro!$A:$M;2;FALSO))</f>
        <v/>
      </c>
      <c r="C385" s="12">
        <f>SI([@SBAN]="";"";BUSCARV([@SBAN];Cronograma_Maestro!$A:$M;3;FALSO))</f>
        <v/>
      </c>
      <c r="D385" s="12">
        <f>SI([@SBAN]="";"";BUSCARV([@SBAN];Cronograma_Maestro!$A:$M;4;FALSO))</f>
        <v/>
      </c>
      <c r="E385" s="12">
        <f>SI([@SBAN]="";"";BUSCARV([@SBAN];Cronograma_Maestro!$A:$M;5;FALSO))</f>
        <v/>
      </c>
      <c r="F385" s="12" t="inlineStr">
        <is>
          <t>Jhonatan Felipe Hernandez Gamboa</t>
        </is>
      </c>
      <c r="G385" s="12" t="inlineStr">
        <is>
          <t>PMU COLSOF</t>
        </is>
      </c>
      <c r="H385" s="13" t="n">
        <v>46274</v>
      </c>
      <c r="I385" s="13" t="n">
        <v>46274</v>
      </c>
      <c r="J385" s="13" t="n"/>
      <c r="K385" s="13" t="n"/>
      <c r="L385" s="12" t="inlineStr">
        <is>
          <t>Programada</t>
        </is>
      </c>
      <c r="M385" s="13" t="n"/>
      <c r="N385" s="14">
        <f>SI(O([@[Fecha_Programada_Inicio]]="";[@[Fecha_Inicio_Real]]="");"";SI([@[Fecha_Inicio_Real]]&lt;=[@[Fecha_Programada_Inicio]];"SÍ";"NO"))</f>
        <v/>
      </c>
      <c r="O385" s="14">
        <f>SI(O([@[Fecha_Programada_Fin]]="";[@[Fecha_Cierre_Operativo]]="");"";SI([@[Fecha_Cierre_Operativo]]&lt;=SI([@[Fecha_Nueva_Programada]]&lt;&gt;"";[@[Fecha_Nueva_Programada]];[@[Fecha_Programada_Fin]]);"SÍ";"NO"))</f>
        <v/>
      </c>
      <c r="P385" s="14">
        <f>SI(O([@[Cumpli_Ingreso]]="";[@[Cumpli_Salida]]="");"";SI(Y([@[Cumpli_Ingreso]]="SÍ";[@[Cumpli_Salida]]="SÍ");"SÍ";"NO"))</f>
        <v/>
      </c>
      <c r="Q385" s="15">
        <f>SI(O([@[Fecha_Programada_Fin]]="";[@[Fecha_Cierre_Operativo]]="");"";MAX(0;ENTERO([@[Fecha_Cierre_Operativo]])-ENTERO(SI([@[Fecha_Nueva_Programada]]&lt;&gt;"";[@[Fecha_Nueva_Programada]];[@[Fecha_Programada_Fin]])))</f>
        <v/>
      </c>
      <c r="R385" s="12" t="n"/>
      <c r="S385" s="12" t="n"/>
      <c r="T385" s="13" t="n"/>
      <c r="U385" s="12" t="n">
        <v>12</v>
      </c>
      <c r="V385" s="12" t="n"/>
      <c r="W38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85" s="14">
        <f>SI([@SBAN]="";"";BUSCARV([@SBAN];Cronograma_Maestro!$A:$M;6;FALSO))</f>
        <v/>
      </c>
    </row>
    <row r="386">
      <c r="A386" s="11" t="inlineStr">
        <is>
          <t>3174</t>
        </is>
      </c>
      <c r="B386" s="12">
        <f>SI([@SBAN]="";"";BUSCARV([@SBAN];Cronograma_Maestro!$A:$M;2;FALSO))</f>
        <v/>
      </c>
      <c r="C386" s="12">
        <f>SI([@SBAN]="";"";BUSCARV([@SBAN];Cronograma_Maestro!$A:$M;3;FALSO))</f>
        <v/>
      </c>
      <c r="D386" s="12">
        <f>SI([@SBAN]="";"";BUSCARV([@SBAN];Cronograma_Maestro!$A:$M;4;FALSO))</f>
        <v/>
      </c>
      <c r="E386" s="12">
        <f>SI([@SBAN]="";"";BUSCARV([@SBAN];Cronograma_Maestro!$A:$M;5;FALSO))</f>
        <v/>
      </c>
      <c r="F386" s="12" t="inlineStr">
        <is>
          <t>Carlos Andres Cuchivaguen Diaz</t>
        </is>
      </c>
      <c r="G386" s="12" t="inlineStr">
        <is>
          <t>PMU COLSOF</t>
        </is>
      </c>
      <c r="H386" s="13" t="n">
        <v>46280</v>
      </c>
      <c r="I386" s="13" t="n">
        <v>46280</v>
      </c>
      <c r="J386" s="13" t="n"/>
      <c r="K386" s="13" t="n"/>
      <c r="L386" s="12" t="inlineStr">
        <is>
          <t>Programada</t>
        </is>
      </c>
      <c r="M386" s="13" t="n"/>
      <c r="N386" s="14">
        <f>SI(O([@[Fecha_Programada_Inicio]]="";[@[Fecha_Inicio_Real]]="");"";SI([@[Fecha_Inicio_Real]]&lt;=[@[Fecha_Programada_Inicio]];"SÍ";"NO"))</f>
        <v/>
      </c>
      <c r="O386" s="14">
        <f>SI(O([@[Fecha_Programada_Fin]]="";[@[Fecha_Cierre_Operativo]]="");"";SI([@[Fecha_Cierre_Operativo]]&lt;=SI([@[Fecha_Nueva_Programada]]&lt;&gt;"";[@[Fecha_Nueva_Programada]];[@[Fecha_Programada_Fin]]);"SÍ";"NO"))</f>
        <v/>
      </c>
      <c r="P386" s="14">
        <f>SI(O([@[Cumpli_Ingreso]]="";[@[Cumpli_Salida]]="");"";SI(Y([@[Cumpli_Ingreso]]="SÍ";[@[Cumpli_Salida]]="SÍ");"SÍ";"NO"))</f>
        <v/>
      </c>
      <c r="Q386" s="15">
        <f>SI(O([@[Fecha_Programada_Fin]]="";[@[Fecha_Cierre_Operativo]]="");"";MAX(0;ENTERO([@[Fecha_Cierre_Operativo]])-ENTERO(SI([@[Fecha_Nueva_Programada]]&lt;&gt;"";[@[Fecha_Nueva_Programada]];[@[Fecha_Programada_Fin]])))</f>
        <v/>
      </c>
      <c r="R386" s="12" t="n"/>
      <c r="S386" s="12" t="n"/>
      <c r="T386" s="13" t="n"/>
      <c r="U386" s="12" t="n">
        <v>12</v>
      </c>
      <c r="V386" s="12" t="n"/>
      <c r="W38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86" s="14">
        <f>SI([@SBAN]="";"";BUSCARV([@SBAN];Cronograma_Maestro!$A:$M;6;FALSO))</f>
        <v/>
      </c>
    </row>
    <row r="387">
      <c r="A387" s="11" t="inlineStr">
        <is>
          <t>3176</t>
        </is>
      </c>
      <c r="B387" s="12">
        <f>SI([@SBAN]="";"";BUSCARV([@SBAN];Cronograma_Maestro!$A:$M;2;FALSO))</f>
        <v/>
      </c>
      <c r="C387" s="12">
        <f>SI([@SBAN]="";"";BUSCARV([@SBAN];Cronograma_Maestro!$A:$M;3;FALSO))</f>
        <v/>
      </c>
      <c r="D387" s="12">
        <f>SI([@SBAN]="";"";BUSCARV([@SBAN];Cronograma_Maestro!$A:$M;4;FALSO))</f>
        <v/>
      </c>
      <c r="E387" s="12">
        <f>SI([@SBAN]="";"";BUSCARV([@SBAN];Cronograma_Maestro!$A:$M;5;FALSO))</f>
        <v/>
      </c>
      <c r="F387" s="12" t="inlineStr">
        <is>
          <t>Jhonatan Felipe Hernandez Gamboa</t>
        </is>
      </c>
      <c r="G387" s="12" t="inlineStr">
        <is>
          <t>PMU COLSOF</t>
        </is>
      </c>
      <c r="H387" s="13" t="n">
        <v>46290</v>
      </c>
      <c r="I387" s="13" t="n">
        <v>46290</v>
      </c>
      <c r="J387" s="13" t="n"/>
      <c r="K387" s="13" t="n"/>
      <c r="L387" s="12" t="inlineStr">
        <is>
          <t>Programada</t>
        </is>
      </c>
      <c r="M387" s="13" t="n"/>
      <c r="N387" s="14">
        <f>SI(O([@[Fecha_Programada_Inicio]]="";[@[Fecha_Inicio_Real]]="");"";SI([@[Fecha_Inicio_Real]]&lt;=[@[Fecha_Programada_Inicio]];"SÍ";"NO"))</f>
        <v/>
      </c>
      <c r="O387" s="14">
        <f>SI(O([@[Fecha_Programada_Fin]]="";[@[Fecha_Cierre_Operativo]]="");"";SI([@[Fecha_Cierre_Operativo]]&lt;=SI([@[Fecha_Nueva_Programada]]&lt;&gt;"";[@[Fecha_Nueva_Programada]];[@[Fecha_Programada_Fin]]);"SÍ";"NO"))</f>
        <v/>
      </c>
      <c r="P387" s="14">
        <f>SI(O([@[Cumpli_Ingreso]]="";[@[Cumpli_Salida]]="");"";SI(Y([@[Cumpli_Ingreso]]="SÍ";[@[Cumpli_Salida]]="SÍ");"SÍ";"NO"))</f>
        <v/>
      </c>
      <c r="Q387" s="15">
        <f>SI(O([@[Fecha_Programada_Fin]]="";[@[Fecha_Cierre_Operativo]]="");"";MAX(0;ENTERO([@[Fecha_Cierre_Operativo]])-ENTERO(SI([@[Fecha_Nueva_Programada]]&lt;&gt;"";[@[Fecha_Nueva_Programada]];[@[Fecha_Programada_Fin]])))</f>
        <v/>
      </c>
      <c r="R387" s="12" t="n"/>
      <c r="S387" s="12" t="n"/>
      <c r="T387" s="13" t="n"/>
      <c r="U387" s="12" t="n">
        <v>14</v>
      </c>
      <c r="V387" s="12" t="n"/>
      <c r="W38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87" s="14">
        <f>SI([@SBAN]="";"";BUSCARV([@SBAN];Cronograma_Maestro!$A:$M;6;FALSO))</f>
        <v/>
      </c>
    </row>
    <row r="388">
      <c r="A388" s="11" t="inlineStr">
        <is>
          <t>3178</t>
        </is>
      </c>
      <c r="B388" s="12">
        <f>SI([@SBAN]="";"";BUSCARV([@SBAN];Cronograma_Maestro!$A:$M;2;FALSO))</f>
        <v/>
      </c>
      <c r="C388" s="12">
        <f>SI([@SBAN]="";"";BUSCARV([@SBAN];Cronograma_Maestro!$A:$M;3;FALSO))</f>
        <v/>
      </c>
      <c r="D388" s="12">
        <f>SI([@SBAN]="";"";BUSCARV([@SBAN];Cronograma_Maestro!$A:$M;4;FALSO))</f>
        <v/>
      </c>
      <c r="E388" s="12">
        <f>SI([@SBAN]="";"";BUSCARV([@SBAN];Cronograma_Maestro!$A:$M;5;FALSO))</f>
        <v/>
      </c>
      <c r="F388" s="12" t="inlineStr">
        <is>
          <t>Carlos Andres Cuchivaguen Diaz</t>
        </is>
      </c>
      <c r="G388" s="12" t="inlineStr">
        <is>
          <t>PMU COLSOF</t>
        </is>
      </c>
      <c r="H388" s="13" t="n">
        <v>46289</v>
      </c>
      <c r="I388" s="13" t="n">
        <v>46289</v>
      </c>
      <c r="J388" s="13" t="n"/>
      <c r="K388" s="13" t="n"/>
      <c r="L388" s="12" t="inlineStr">
        <is>
          <t>Programada</t>
        </is>
      </c>
      <c r="M388" s="13" t="n"/>
      <c r="N388" s="14">
        <f>SI(O([@[Fecha_Programada_Inicio]]="";[@[Fecha_Inicio_Real]]="");"";SI([@[Fecha_Inicio_Real]]&lt;=[@[Fecha_Programada_Inicio]];"SÍ";"NO"))</f>
        <v/>
      </c>
      <c r="O388" s="14">
        <f>SI(O([@[Fecha_Programada_Fin]]="";[@[Fecha_Cierre_Operativo]]="");"";SI([@[Fecha_Cierre_Operativo]]&lt;=SI([@[Fecha_Nueva_Programada]]&lt;&gt;"";[@[Fecha_Nueva_Programada]];[@[Fecha_Programada_Fin]]);"SÍ";"NO"))</f>
        <v/>
      </c>
      <c r="P388" s="14">
        <f>SI(O([@[Cumpli_Ingreso]]="";[@[Cumpli_Salida]]="");"";SI(Y([@[Cumpli_Ingreso]]="SÍ";[@[Cumpli_Salida]]="SÍ");"SÍ";"NO"))</f>
        <v/>
      </c>
      <c r="Q388" s="15">
        <f>SI(O([@[Fecha_Programada_Fin]]="";[@[Fecha_Cierre_Operativo]]="");"";MAX(0;ENTERO([@[Fecha_Cierre_Operativo]])-ENTERO(SI([@[Fecha_Nueva_Programada]]&lt;&gt;"";[@[Fecha_Nueva_Programada]];[@[Fecha_Programada_Fin]])))</f>
        <v/>
      </c>
      <c r="R388" s="12" t="n"/>
      <c r="S388" s="12" t="n"/>
      <c r="T388" s="13" t="n"/>
      <c r="U388" s="12" t="n">
        <v>15</v>
      </c>
      <c r="V388" s="12" t="n"/>
      <c r="W38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88" s="14">
        <f>SI([@SBAN]="";"";BUSCARV([@SBAN];Cronograma_Maestro!$A:$M;6;FALSO))</f>
        <v/>
      </c>
    </row>
    <row r="389">
      <c r="A389" s="11" t="inlineStr">
        <is>
          <t>3180</t>
        </is>
      </c>
      <c r="B389" s="12">
        <f>SI([@SBAN]="";"";BUSCARV([@SBAN];Cronograma_Maestro!$A:$M;2;FALSO))</f>
        <v/>
      </c>
      <c r="C389" s="12">
        <f>SI([@SBAN]="";"";BUSCARV([@SBAN];Cronograma_Maestro!$A:$M;3;FALSO))</f>
        <v/>
      </c>
      <c r="D389" s="12">
        <f>SI([@SBAN]="";"";BUSCARV([@SBAN];Cronograma_Maestro!$A:$M;4;FALSO))</f>
        <v/>
      </c>
      <c r="E389" s="12">
        <f>SI([@SBAN]="";"";BUSCARV([@SBAN];Cronograma_Maestro!$A:$M;5;FALSO))</f>
        <v/>
      </c>
      <c r="F389" s="12" t="inlineStr">
        <is>
          <t>Carlos Andres Cuchivaguen Diaz</t>
        </is>
      </c>
      <c r="G389" s="12" t="inlineStr">
        <is>
          <t>PMU COLSOF</t>
        </is>
      </c>
      <c r="H389" s="13" t="n">
        <v>46275</v>
      </c>
      <c r="I389" s="13" t="n">
        <v>46276</v>
      </c>
      <c r="J389" s="13" t="n"/>
      <c r="K389" s="13" t="n"/>
      <c r="L389" s="12" t="inlineStr">
        <is>
          <t>Programada</t>
        </is>
      </c>
      <c r="M389" s="13" t="n"/>
      <c r="N389" s="14">
        <f>SI(O([@[Fecha_Programada_Inicio]]="";[@[Fecha_Inicio_Real]]="");"";SI([@[Fecha_Inicio_Real]]&lt;=[@[Fecha_Programada_Inicio]];"SÍ";"NO"))</f>
        <v/>
      </c>
      <c r="O389" s="14">
        <f>SI(O([@[Fecha_Programada_Fin]]="";[@[Fecha_Cierre_Operativo]]="");"";SI([@[Fecha_Cierre_Operativo]]&lt;=SI([@[Fecha_Nueva_Programada]]&lt;&gt;"";[@[Fecha_Nueva_Programada]];[@[Fecha_Programada_Fin]]);"SÍ";"NO"))</f>
        <v/>
      </c>
      <c r="P389" s="14">
        <f>SI(O([@[Cumpli_Ingreso]]="";[@[Cumpli_Salida]]="");"";SI(Y([@[Cumpli_Ingreso]]="SÍ";[@[Cumpli_Salida]]="SÍ");"SÍ";"NO"))</f>
        <v/>
      </c>
      <c r="Q389" s="15">
        <f>SI(O([@[Fecha_Programada_Fin]]="";[@[Fecha_Cierre_Operativo]]="");"";MAX(0;ENTERO([@[Fecha_Cierre_Operativo]])-ENTERO(SI([@[Fecha_Nueva_Programada]]&lt;&gt;"";[@[Fecha_Nueva_Programada]];[@[Fecha_Programada_Fin]])))</f>
        <v/>
      </c>
      <c r="R389" s="12" t="n"/>
      <c r="S389" s="12" t="n"/>
      <c r="T389" s="13" t="n"/>
      <c r="U389" s="12" t="n">
        <v>22</v>
      </c>
      <c r="V389" s="12" t="n"/>
      <c r="W38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89" s="14">
        <f>SI([@SBAN]="";"";BUSCARV([@SBAN];Cronograma_Maestro!$A:$M;6;FALSO))</f>
        <v/>
      </c>
    </row>
    <row r="390">
      <c r="A390" s="11" t="inlineStr">
        <is>
          <t>3186</t>
        </is>
      </c>
      <c r="B390" s="12">
        <f>SI([@SBAN]="";"";BUSCARV([@SBAN];Cronograma_Maestro!$A:$M;2;FALSO))</f>
        <v/>
      </c>
      <c r="C390" s="12">
        <f>SI([@SBAN]="";"";BUSCARV([@SBAN];Cronograma_Maestro!$A:$M;3;FALSO))</f>
        <v/>
      </c>
      <c r="D390" s="12">
        <f>SI([@SBAN]="";"";BUSCARV([@SBAN];Cronograma_Maestro!$A:$M;4;FALSO))</f>
        <v/>
      </c>
      <c r="E390" s="12">
        <f>SI([@SBAN]="";"";BUSCARV([@SBAN];Cronograma_Maestro!$A:$M;5;FALSO))</f>
        <v/>
      </c>
      <c r="F390" s="12" t="inlineStr">
        <is>
          <t>Nelson Leonardo Paez Suarez</t>
        </is>
      </c>
      <c r="G390" s="12" t="inlineStr">
        <is>
          <t>PMU COLSOF</t>
        </is>
      </c>
      <c r="H390" s="13" t="n">
        <v>46288</v>
      </c>
      <c r="I390" s="13" t="n">
        <v>46288</v>
      </c>
      <c r="J390" s="13" t="n"/>
      <c r="K390" s="13" t="n"/>
      <c r="L390" s="12" t="inlineStr">
        <is>
          <t>Programada</t>
        </is>
      </c>
      <c r="M390" s="13" t="n"/>
      <c r="N390" s="14">
        <f>SI(O([@[Fecha_Programada_Inicio]]="";[@[Fecha_Inicio_Real]]="");"";SI([@[Fecha_Inicio_Real]]&lt;=[@[Fecha_Programada_Inicio]];"SÍ";"NO"))</f>
        <v/>
      </c>
      <c r="O390" s="14">
        <f>SI(O([@[Fecha_Programada_Fin]]="";[@[Fecha_Cierre_Operativo]]="");"";SI([@[Fecha_Cierre_Operativo]]&lt;=SI([@[Fecha_Nueva_Programada]]&lt;&gt;"";[@[Fecha_Nueva_Programada]];[@[Fecha_Programada_Fin]]);"SÍ";"NO"))</f>
        <v/>
      </c>
      <c r="P390" s="14">
        <f>SI(O([@[Cumpli_Ingreso]]="";[@[Cumpli_Salida]]="");"";SI(Y([@[Cumpli_Ingreso]]="SÍ";[@[Cumpli_Salida]]="SÍ");"SÍ";"NO"))</f>
        <v/>
      </c>
      <c r="Q390" s="15">
        <f>SI(O([@[Fecha_Programada_Fin]]="";[@[Fecha_Cierre_Operativo]]="");"";MAX(0;ENTERO([@[Fecha_Cierre_Operativo]])-ENTERO(SI([@[Fecha_Nueva_Programada]]&lt;&gt;"";[@[Fecha_Nueva_Programada]];[@[Fecha_Programada_Fin]])))</f>
        <v/>
      </c>
      <c r="R390" s="12" t="n"/>
      <c r="S390" s="12" t="n"/>
      <c r="T390" s="13" t="n"/>
      <c r="U390" s="12" t="n">
        <v>16</v>
      </c>
      <c r="V390" s="12" t="n"/>
      <c r="W39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90" s="14">
        <f>SI([@SBAN]="";"";BUSCARV([@SBAN];Cronograma_Maestro!$A:$M;6;FALSO))</f>
        <v/>
      </c>
    </row>
    <row r="391">
      <c r="A391" s="11" t="inlineStr">
        <is>
          <t>3190</t>
        </is>
      </c>
      <c r="B391" s="12">
        <f>SI([@SBAN]="";"";BUSCARV([@SBAN];Cronograma_Maestro!$A:$M;2;FALSO))</f>
        <v/>
      </c>
      <c r="C391" s="12">
        <f>SI([@SBAN]="";"";BUSCARV([@SBAN];Cronograma_Maestro!$A:$M;3;FALSO))</f>
        <v/>
      </c>
      <c r="D391" s="12">
        <f>SI([@SBAN]="";"";BUSCARV([@SBAN];Cronograma_Maestro!$A:$M;4;FALSO))</f>
        <v/>
      </c>
      <c r="E391" s="12">
        <f>SI([@SBAN]="";"";BUSCARV([@SBAN];Cronograma_Maestro!$A:$M;5;FALSO))</f>
        <v/>
      </c>
      <c r="F391" s="12" t="inlineStr">
        <is>
          <t>Jhonatan Felipe Hernandez Gamboa</t>
        </is>
      </c>
      <c r="G391" s="12" t="inlineStr">
        <is>
          <t>PMU COLSOF</t>
        </is>
      </c>
      <c r="H391" s="13" t="n">
        <v>46273</v>
      </c>
      <c r="I391" s="13" t="n">
        <v>46273</v>
      </c>
      <c r="J391" s="13" t="n"/>
      <c r="K391" s="13" t="n"/>
      <c r="L391" s="12" t="inlineStr">
        <is>
          <t>Programada</t>
        </is>
      </c>
      <c r="M391" s="13" t="n"/>
      <c r="N391" s="14">
        <f>SI(O([@[Fecha_Programada_Inicio]]="";[@[Fecha_Inicio_Real]]="");"";SI([@[Fecha_Inicio_Real]]&lt;=[@[Fecha_Programada_Inicio]];"SÍ";"NO"))</f>
        <v/>
      </c>
      <c r="O391" s="14">
        <f>SI(O([@[Fecha_Programada_Fin]]="";[@[Fecha_Cierre_Operativo]]="");"";SI([@[Fecha_Cierre_Operativo]]&lt;=SI([@[Fecha_Nueva_Programada]]&lt;&gt;"";[@[Fecha_Nueva_Programada]];[@[Fecha_Programada_Fin]]);"SÍ";"NO"))</f>
        <v/>
      </c>
      <c r="P391" s="14">
        <f>SI(O([@[Cumpli_Ingreso]]="";[@[Cumpli_Salida]]="");"";SI(Y([@[Cumpli_Ingreso]]="SÍ";[@[Cumpli_Salida]]="SÍ");"SÍ";"NO"))</f>
        <v/>
      </c>
      <c r="Q391" s="15">
        <f>SI(O([@[Fecha_Programada_Fin]]="";[@[Fecha_Cierre_Operativo]]="");"";MAX(0;ENTERO([@[Fecha_Cierre_Operativo]])-ENTERO(SI([@[Fecha_Nueva_Programada]]&lt;&gt;"";[@[Fecha_Nueva_Programada]];[@[Fecha_Programada_Fin]])))</f>
        <v/>
      </c>
      <c r="R391" s="12" t="n"/>
      <c r="S391" s="12" t="n"/>
      <c r="T391" s="13" t="n"/>
      <c r="U391" s="12" t="n">
        <v>19</v>
      </c>
      <c r="V391" s="12" t="n"/>
      <c r="W39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91" s="14">
        <f>SI([@SBAN]="";"";BUSCARV([@SBAN];Cronograma_Maestro!$A:$M;6;FALSO))</f>
        <v/>
      </c>
    </row>
    <row r="392">
      <c r="A392" s="11" t="inlineStr">
        <is>
          <t>3192</t>
        </is>
      </c>
      <c r="B392" s="12">
        <f>SI([@SBAN]="";"";BUSCARV([@SBAN];Cronograma_Maestro!$A:$M;2;FALSO))</f>
        <v/>
      </c>
      <c r="C392" s="12">
        <f>SI([@SBAN]="";"";BUSCARV([@SBAN];Cronograma_Maestro!$A:$M;3;FALSO))</f>
        <v/>
      </c>
      <c r="D392" s="12">
        <f>SI([@SBAN]="";"";BUSCARV([@SBAN];Cronograma_Maestro!$A:$M;4;FALSO))</f>
        <v/>
      </c>
      <c r="E392" s="12">
        <f>SI([@SBAN]="";"";BUSCARV([@SBAN];Cronograma_Maestro!$A:$M;5;FALSO))</f>
        <v/>
      </c>
      <c r="F392" s="12" t="inlineStr">
        <is>
          <t>Anderson Forero Mora</t>
        </is>
      </c>
      <c r="G392" s="12" t="inlineStr">
        <is>
          <t>PMU COLSOF</t>
        </is>
      </c>
      <c r="H392" s="13" t="n">
        <v>46323</v>
      </c>
      <c r="I392" s="13" t="n">
        <v>46323</v>
      </c>
      <c r="J392" s="13" t="n"/>
      <c r="K392" s="13" t="n"/>
      <c r="L392" s="12" t="inlineStr">
        <is>
          <t>Programada</t>
        </is>
      </c>
      <c r="M392" s="13" t="n"/>
      <c r="N392" s="14">
        <f>SI(O([@[Fecha_Programada_Inicio]]="";[@[Fecha_Inicio_Real]]="");"";SI([@[Fecha_Inicio_Real]]&lt;=[@[Fecha_Programada_Inicio]];"SÍ";"NO"))</f>
        <v/>
      </c>
      <c r="O392" s="14">
        <f>SI(O([@[Fecha_Programada_Fin]]="";[@[Fecha_Cierre_Operativo]]="");"";SI([@[Fecha_Cierre_Operativo]]&lt;=SI([@[Fecha_Nueva_Programada]]&lt;&gt;"";[@[Fecha_Nueva_Programada]];[@[Fecha_Programada_Fin]]);"SÍ";"NO"))</f>
        <v/>
      </c>
      <c r="P392" s="14">
        <f>SI(O([@[Cumpli_Ingreso]]="";[@[Cumpli_Salida]]="");"";SI(Y([@[Cumpli_Ingreso]]="SÍ";[@[Cumpli_Salida]]="SÍ");"SÍ";"NO"))</f>
        <v/>
      </c>
      <c r="Q392" s="15">
        <f>SI(O([@[Fecha_Programada_Fin]]="";[@[Fecha_Cierre_Operativo]]="");"";MAX(0;ENTERO([@[Fecha_Cierre_Operativo]])-ENTERO(SI([@[Fecha_Nueva_Programada]]&lt;&gt;"";[@[Fecha_Nueva_Programada]];[@[Fecha_Programada_Fin]])))</f>
        <v/>
      </c>
      <c r="R392" s="12" t="n"/>
      <c r="S392" s="12" t="n"/>
      <c r="T392" s="13" t="n"/>
      <c r="U392" s="12" t="n">
        <v>12</v>
      </c>
      <c r="V392" s="12" t="n"/>
      <c r="W39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92" s="14">
        <f>SI([@SBAN]="";"";BUSCARV([@SBAN];Cronograma_Maestro!$A:$M;6;FALSO))</f>
        <v/>
      </c>
    </row>
    <row r="393">
      <c r="A393" s="11" t="inlineStr">
        <is>
          <t>3195</t>
        </is>
      </c>
      <c r="B393" s="12">
        <f>SI([@SBAN]="";"";BUSCARV([@SBAN];Cronograma_Maestro!$A:$M;2;FALSO))</f>
        <v/>
      </c>
      <c r="C393" s="12">
        <f>SI([@SBAN]="";"";BUSCARV([@SBAN];Cronograma_Maestro!$A:$M;3;FALSO))</f>
        <v/>
      </c>
      <c r="D393" s="12">
        <f>SI([@SBAN]="";"";BUSCARV([@SBAN];Cronograma_Maestro!$A:$M;4;FALSO))</f>
        <v/>
      </c>
      <c r="E393" s="12">
        <f>SI([@SBAN]="";"";BUSCARV([@SBAN];Cronograma_Maestro!$A:$M;5;FALSO))</f>
        <v/>
      </c>
      <c r="F393" s="12" t="inlineStr">
        <is>
          <t>Jhonatan Felipe Hernandez Gamboa</t>
        </is>
      </c>
      <c r="G393" s="12" t="inlineStr">
        <is>
          <t>PMU COLSOF</t>
        </is>
      </c>
      <c r="H393" s="13" t="n">
        <v>46279</v>
      </c>
      <c r="I393" s="13" t="n">
        <v>46279</v>
      </c>
      <c r="J393" s="13" t="n"/>
      <c r="K393" s="13" t="n"/>
      <c r="L393" s="12" t="inlineStr">
        <is>
          <t>Programada</t>
        </is>
      </c>
      <c r="M393" s="13" t="n"/>
      <c r="N393" s="14">
        <f>SI(O([@[Fecha_Programada_Inicio]]="";[@[Fecha_Inicio_Real]]="");"";SI([@[Fecha_Inicio_Real]]&lt;=[@[Fecha_Programada_Inicio]];"SÍ";"NO"))</f>
        <v/>
      </c>
      <c r="O393" s="14">
        <f>SI(O([@[Fecha_Programada_Fin]]="";[@[Fecha_Cierre_Operativo]]="");"";SI([@[Fecha_Cierre_Operativo]]&lt;=SI([@[Fecha_Nueva_Programada]]&lt;&gt;"";[@[Fecha_Nueva_Programada]];[@[Fecha_Programada_Fin]]);"SÍ";"NO"))</f>
        <v/>
      </c>
      <c r="P393" s="14">
        <f>SI(O([@[Cumpli_Ingreso]]="";[@[Cumpli_Salida]]="");"";SI(Y([@[Cumpli_Ingreso]]="SÍ";[@[Cumpli_Salida]]="SÍ");"SÍ";"NO"))</f>
        <v/>
      </c>
      <c r="Q393" s="15">
        <f>SI(O([@[Fecha_Programada_Fin]]="";[@[Fecha_Cierre_Operativo]]="");"";MAX(0;ENTERO([@[Fecha_Cierre_Operativo]])-ENTERO(SI([@[Fecha_Nueva_Programada]]&lt;&gt;"";[@[Fecha_Nueva_Programada]];[@[Fecha_Programada_Fin]])))</f>
        <v/>
      </c>
      <c r="R393" s="12" t="n"/>
      <c r="S393" s="12" t="n"/>
      <c r="T393" s="13" t="n"/>
      <c r="U393" s="12" t="n">
        <v>23</v>
      </c>
      <c r="V393" s="12" t="n"/>
      <c r="W39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93" s="14">
        <f>SI([@SBAN]="";"";BUSCARV([@SBAN];Cronograma_Maestro!$A:$M;6;FALSO))</f>
        <v/>
      </c>
    </row>
    <row r="394">
      <c r="A394" s="11" t="inlineStr">
        <is>
          <t>3301</t>
        </is>
      </c>
      <c r="B394" s="12">
        <f>SI([@SBAN]="";"";BUSCARV([@SBAN];Cronograma_Maestro!$A:$M;2;FALSO))</f>
        <v/>
      </c>
      <c r="C394" s="12">
        <f>SI([@SBAN]="";"";BUSCARV([@SBAN];Cronograma_Maestro!$A:$M;3;FALSO))</f>
        <v/>
      </c>
      <c r="D394" s="12">
        <f>SI([@SBAN]="";"";BUSCARV([@SBAN];Cronograma_Maestro!$A:$M;4;FALSO))</f>
        <v/>
      </c>
      <c r="E394" s="12">
        <f>SI([@SBAN]="";"";BUSCARV([@SBAN];Cronograma_Maestro!$A:$M;5;FALSO))</f>
        <v/>
      </c>
      <c r="F394" s="12" t="inlineStr">
        <is>
          <t>Ever Enrique Esquivel Movilla</t>
        </is>
      </c>
      <c r="G394" s="12" t="inlineStr">
        <is>
          <t>PMU COLSOF</t>
        </is>
      </c>
      <c r="H394" s="13" t="n">
        <v>46301</v>
      </c>
      <c r="I394" s="13" t="n">
        <v>46301</v>
      </c>
      <c r="J394" s="13" t="n"/>
      <c r="K394" s="13" t="n"/>
      <c r="L394" s="12" t="inlineStr">
        <is>
          <t>Programada</t>
        </is>
      </c>
      <c r="M394" s="13" t="n"/>
      <c r="N394" s="14">
        <f>SI(O([@[Fecha_Programada_Inicio]]="";[@[Fecha_Inicio_Real]]="");"";SI([@[Fecha_Inicio_Real]]&lt;=[@[Fecha_Programada_Inicio]];"SÍ";"NO"))</f>
        <v/>
      </c>
      <c r="O394" s="14">
        <f>SI(O([@[Fecha_Programada_Fin]]="";[@[Fecha_Cierre_Operativo]]="");"";SI([@[Fecha_Cierre_Operativo]]&lt;=SI([@[Fecha_Nueva_Programada]]&lt;&gt;"";[@[Fecha_Nueva_Programada]];[@[Fecha_Programada_Fin]]);"SÍ";"NO"))</f>
        <v/>
      </c>
      <c r="P394" s="14">
        <f>SI(O([@[Cumpli_Ingreso]]="";[@[Cumpli_Salida]]="");"";SI(Y([@[Cumpli_Ingreso]]="SÍ";[@[Cumpli_Salida]]="SÍ");"SÍ";"NO"))</f>
        <v/>
      </c>
      <c r="Q394" s="15">
        <f>SI(O([@[Fecha_Programada_Fin]]="";[@[Fecha_Cierre_Operativo]]="");"";MAX(0;ENTERO([@[Fecha_Cierre_Operativo]])-ENTERO(SI([@[Fecha_Nueva_Programada]]&lt;&gt;"";[@[Fecha_Nueva_Programada]];[@[Fecha_Programada_Fin]])))</f>
        <v/>
      </c>
      <c r="R394" s="12" t="n"/>
      <c r="S394" s="12" t="n"/>
      <c r="T394" s="13" t="n"/>
      <c r="U394" s="12" t="n">
        <v>12</v>
      </c>
      <c r="V394" s="12" t="n"/>
      <c r="W39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94" s="14">
        <f>SI([@SBAN]="";"";BUSCARV([@SBAN];Cronograma_Maestro!$A:$M;6;FALSO))</f>
        <v/>
      </c>
    </row>
    <row r="395">
      <c r="A395" s="11" t="inlineStr">
        <is>
          <t>3303</t>
        </is>
      </c>
      <c r="B395" s="12">
        <f>SI([@SBAN]="";"";BUSCARV([@SBAN];Cronograma_Maestro!$A:$M;2;FALSO))</f>
        <v/>
      </c>
      <c r="C395" s="12">
        <f>SI([@SBAN]="";"";BUSCARV([@SBAN];Cronograma_Maestro!$A:$M;3;FALSO))</f>
        <v/>
      </c>
      <c r="D395" s="12">
        <f>SI([@SBAN]="";"";BUSCARV([@SBAN];Cronograma_Maestro!$A:$M;4;FALSO))</f>
        <v/>
      </c>
      <c r="E395" s="12">
        <f>SI([@SBAN]="";"";BUSCARV([@SBAN];Cronograma_Maestro!$A:$M;5;FALSO))</f>
        <v/>
      </c>
      <c r="F395" s="12" t="inlineStr">
        <is>
          <t>Alvaro Francisco Moreno Palacios</t>
        </is>
      </c>
      <c r="G395" s="12" t="inlineStr">
        <is>
          <t>PMU COLSOF</t>
        </is>
      </c>
      <c r="H395" s="13" t="n">
        <v>46300</v>
      </c>
      <c r="I395" s="13" t="n">
        <v>46302</v>
      </c>
      <c r="J395" s="13" t="n"/>
      <c r="K395" s="13" t="n"/>
      <c r="L395" s="12" t="inlineStr">
        <is>
          <t>Sede_Cerrada</t>
        </is>
      </c>
      <c r="M395" s="13" t="n"/>
      <c r="N395" s="14">
        <f>SI(O([@[Fecha_Programada_Inicio]]="";[@[Fecha_Inicio_Real]]="");"";SI([@[Fecha_Inicio_Real]]&lt;=[@[Fecha_Programada_Inicio]];"SÍ";"NO"))</f>
        <v/>
      </c>
      <c r="O395" s="14">
        <f>SI(O([@[Fecha_Programada_Fin]]="";[@[Fecha_Cierre_Operativo]]="");"";SI([@[Fecha_Cierre_Operativo]]&lt;=SI([@[Fecha_Nueva_Programada]]&lt;&gt;"";[@[Fecha_Nueva_Programada]];[@[Fecha_Programada_Fin]]);"SÍ";"NO"))</f>
        <v/>
      </c>
      <c r="P395" s="14">
        <f>SI(O([@[Cumpli_Ingreso]]="";[@[Cumpli_Salida]]="");"";SI(Y([@[Cumpli_Ingreso]]="SÍ";[@[Cumpli_Salida]]="SÍ");"SÍ";"NO"))</f>
        <v/>
      </c>
      <c r="Q395" s="15">
        <f>SI(O([@[Fecha_Programada_Fin]]="";[@[Fecha_Cierre_Operativo]]="");"";MAX(0;ENTERO([@[Fecha_Cierre_Operativo]])-ENTERO(SI([@[Fecha_Nueva_Programada]]&lt;&gt;"";[@[Fecha_Nueva_Programada]];[@[Fecha_Programada_Fin]])))</f>
        <v/>
      </c>
      <c r="R395" s="12" t="inlineStr">
        <is>
          <t>N/A - A Tiempo</t>
        </is>
      </c>
      <c r="S395" s="12" t="inlineStr">
        <is>
          <t>Firmada</t>
        </is>
      </c>
      <c r="T395" s="13" t="n"/>
      <c r="U395" s="12" t="n">
        <v>42</v>
      </c>
      <c r="V395" s="12" t="n"/>
      <c r="W39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95" s="14">
        <f>SI([@SBAN]="";"";BUSCARV([@SBAN];Cronograma_Maestro!$A:$M;6;FALSO))</f>
        <v/>
      </c>
    </row>
    <row r="396">
      <c r="A396" s="11" t="inlineStr">
        <is>
          <t>3309</t>
        </is>
      </c>
      <c r="B396" s="12">
        <f>SI([@SBAN]="";"";BUSCARV([@SBAN];Cronograma_Maestro!$A:$M;2;FALSO))</f>
        <v/>
      </c>
      <c r="C396" s="12">
        <f>SI([@SBAN]="";"";BUSCARV([@SBAN];Cronograma_Maestro!$A:$M;3;FALSO))</f>
        <v/>
      </c>
      <c r="D396" s="12">
        <f>SI([@SBAN]="";"";BUSCARV([@SBAN];Cronograma_Maestro!$A:$M;4;FALSO))</f>
        <v/>
      </c>
      <c r="E396" s="12">
        <f>SI([@SBAN]="";"";BUSCARV([@SBAN];Cronograma_Maestro!$A:$M;5;FALSO))</f>
        <v/>
      </c>
      <c r="F396" s="12" t="inlineStr">
        <is>
          <t>Alvaro Francisco Moreno Palacios</t>
        </is>
      </c>
      <c r="G396" s="12" t="inlineStr">
        <is>
          <t>PMU COLSOF</t>
        </is>
      </c>
      <c r="H396" s="13" t="n">
        <v>46314</v>
      </c>
      <c r="I396" s="13" t="n">
        <v>46315</v>
      </c>
      <c r="J396" s="13" t="n"/>
      <c r="K396" s="13" t="n"/>
      <c r="L396" s="12" t="inlineStr">
        <is>
          <t>Programada</t>
        </is>
      </c>
      <c r="M396" s="13" t="n"/>
      <c r="N396" s="14">
        <f>SI(O([@[Fecha_Programada_Inicio]]="";[@[Fecha_Inicio_Real]]="");"";SI([@[Fecha_Inicio_Real]]&lt;=[@[Fecha_Programada_Inicio]];"SÍ";"NO"))</f>
        <v/>
      </c>
      <c r="O396" s="14">
        <f>SI(O([@[Fecha_Programada_Fin]]="";[@[Fecha_Cierre_Operativo]]="");"";SI([@[Fecha_Cierre_Operativo]]&lt;=SI([@[Fecha_Nueva_Programada]]&lt;&gt;"";[@[Fecha_Nueva_Programada]];[@[Fecha_Programada_Fin]]);"SÍ";"NO"))</f>
        <v/>
      </c>
      <c r="P396" s="14">
        <f>SI(O([@[Cumpli_Ingreso]]="";[@[Cumpli_Salida]]="");"";SI(Y([@[Cumpli_Ingreso]]="SÍ";[@[Cumpli_Salida]]="SÍ");"SÍ";"NO"))</f>
        <v/>
      </c>
      <c r="Q396" s="15">
        <f>SI(O([@[Fecha_Programada_Fin]]="";[@[Fecha_Cierre_Operativo]]="");"";MAX(0;ENTERO([@[Fecha_Cierre_Operativo]])-ENTERO(SI([@[Fecha_Nueva_Programada]]&lt;&gt;"";[@[Fecha_Nueva_Programada]];[@[Fecha_Programada_Fin]])))</f>
        <v/>
      </c>
      <c r="R396" s="12" t="n"/>
      <c r="S396" s="12" t="n"/>
      <c r="T396" s="13" t="n"/>
      <c r="U396" s="12" t="n">
        <v>13</v>
      </c>
      <c r="V396" s="12" t="n"/>
      <c r="W39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96" s="14">
        <f>SI([@SBAN]="";"";BUSCARV([@SBAN];Cronograma_Maestro!$A:$M;6;FALSO))</f>
        <v/>
      </c>
    </row>
    <row r="397">
      <c r="A397" s="11" t="inlineStr">
        <is>
          <t>3315</t>
        </is>
      </c>
      <c r="B397" s="12">
        <f>SI([@SBAN]="";"";BUSCARV([@SBAN];Cronograma_Maestro!$A:$M;2;FALSO))</f>
        <v/>
      </c>
      <c r="C397" s="12">
        <f>SI([@SBAN]="";"";BUSCARV([@SBAN];Cronograma_Maestro!$A:$M;3;FALSO))</f>
        <v/>
      </c>
      <c r="D397" s="12">
        <f>SI([@SBAN]="";"";BUSCARV([@SBAN];Cronograma_Maestro!$A:$M;4;FALSO))</f>
        <v/>
      </c>
      <c r="E397" s="12">
        <f>SI([@SBAN]="";"";BUSCARV([@SBAN];Cronograma_Maestro!$A:$M;5;FALSO))</f>
        <v/>
      </c>
      <c r="F397" s="12" t="inlineStr">
        <is>
          <t>Alvaro Francisco Moreno Palacios</t>
        </is>
      </c>
      <c r="G397" s="12" t="inlineStr">
        <is>
          <t>PMU COLSOF</t>
        </is>
      </c>
      <c r="H397" s="13" t="n">
        <v>46310</v>
      </c>
      <c r="I397" s="13" t="n">
        <v>46311</v>
      </c>
      <c r="J397" s="13" t="n"/>
      <c r="K397" s="13" t="n"/>
      <c r="L397" s="12" t="inlineStr">
        <is>
          <t>Programada</t>
        </is>
      </c>
      <c r="M397" s="13" t="n"/>
      <c r="N397" s="14">
        <f>SI(O([@[Fecha_Programada_Inicio]]="";[@[Fecha_Inicio_Real]]="");"";SI([@[Fecha_Inicio_Real]]&lt;=[@[Fecha_Programada_Inicio]];"SÍ";"NO"))</f>
        <v/>
      </c>
      <c r="O397" s="14">
        <f>SI(O([@[Fecha_Programada_Fin]]="";[@[Fecha_Cierre_Operativo]]="");"";SI([@[Fecha_Cierre_Operativo]]&lt;=SI([@[Fecha_Nueva_Programada]]&lt;&gt;"";[@[Fecha_Nueva_Programada]];[@[Fecha_Programada_Fin]]);"SÍ";"NO"))</f>
        <v/>
      </c>
      <c r="P397" s="14">
        <f>SI(O([@[Cumpli_Ingreso]]="";[@[Cumpli_Salida]]="");"";SI(Y([@[Cumpli_Ingreso]]="SÍ";[@[Cumpli_Salida]]="SÍ");"SÍ";"NO"))</f>
        <v/>
      </c>
      <c r="Q397" s="15">
        <f>SI(O([@[Fecha_Programada_Fin]]="";[@[Fecha_Cierre_Operativo]]="");"";MAX(0;ENTERO([@[Fecha_Cierre_Operativo]])-ENTERO(SI([@[Fecha_Nueva_Programada]]&lt;&gt;"";[@[Fecha_Nueva_Programada]];[@[Fecha_Programada_Fin]])))</f>
        <v/>
      </c>
      <c r="R397" s="12" t="n"/>
      <c r="S397" s="12" t="n"/>
      <c r="T397" s="13" t="n"/>
      <c r="U397" s="12" t="n">
        <v>12</v>
      </c>
      <c r="V397" s="12" t="n"/>
      <c r="W39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97" s="14">
        <f>SI([@SBAN]="";"";BUSCARV([@SBAN];Cronograma_Maestro!$A:$M;6;FALSO))</f>
        <v/>
      </c>
    </row>
    <row r="398">
      <c r="A398" s="11" t="inlineStr">
        <is>
          <t>3320</t>
        </is>
      </c>
      <c r="B398" s="12">
        <f>SI([@SBAN]="";"";BUSCARV([@SBAN];Cronograma_Maestro!$A:$M;2;FALSO))</f>
        <v/>
      </c>
      <c r="C398" s="12">
        <f>SI([@SBAN]="";"";BUSCARV([@SBAN];Cronograma_Maestro!$A:$M;3;FALSO))</f>
        <v/>
      </c>
      <c r="D398" s="12">
        <f>SI([@SBAN]="";"";BUSCARV([@SBAN];Cronograma_Maestro!$A:$M;4;FALSO))</f>
        <v/>
      </c>
      <c r="E398" s="12">
        <f>SI([@SBAN]="";"";BUSCARV([@SBAN];Cronograma_Maestro!$A:$M;5;FALSO))</f>
        <v/>
      </c>
      <c r="F398" s="12" t="inlineStr">
        <is>
          <t>Alvaro Francisco Moreno Palacios</t>
        </is>
      </c>
      <c r="G398" s="12" t="inlineStr">
        <is>
          <t>PMU COLSOF</t>
        </is>
      </c>
      <c r="H398" s="13" t="n">
        <v>46308</v>
      </c>
      <c r="I398" s="13" t="n">
        <v>46309</v>
      </c>
      <c r="J398" s="13" t="n"/>
      <c r="K398" s="13" t="n"/>
      <c r="L398" s="12" t="inlineStr">
        <is>
          <t>Programada</t>
        </is>
      </c>
      <c r="M398" s="13" t="n"/>
      <c r="N398" s="14">
        <f>SI(O([@[Fecha_Programada_Inicio]]="";[@[Fecha_Inicio_Real]]="");"";SI([@[Fecha_Inicio_Real]]&lt;=[@[Fecha_Programada_Inicio]];"SÍ";"NO"))</f>
        <v/>
      </c>
      <c r="O398" s="14">
        <f>SI(O([@[Fecha_Programada_Fin]]="";[@[Fecha_Cierre_Operativo]]="");"";SI([@[Fecha_Cierre_Operativo]]&lt;=SI([@[Fecha_Nueva_Programada]]&lt;&gt;"";[@[Fecha_Nueva_Programada]];[@[Fecha_Programada_Fin]]);"SÍ";"NO"))</f>
        <v/>
      </c>
      <c r="P398" s="14">
        <f>SI(O([@[Cumpli_Ingreso]]="";[@[Cumpli_Salida]]="");"";SI(Y([@[Cumpli_Ingreso]]="SÍ";[@[Cumpli_Salida]]="SÍ");"SÍ";"NO"))</f>
        <v/>
      </c>
      <c r="Q398" s="15">
        <f>SI(O([@[Fecha_Programada_Fin]]="";[@[Fecha_Cierre_Operativo]]="");"";MAX(0;ENTERO([@[Fecha_Cierre_Operativo]])-ENTERO(SI([@[Fecha_Nueva_Programada]]&lt;&gt;"";[@[Fecha_Nueva_Programada]];[@[Fecha_Programada_Fin]])))</f>
        <v/>
      </c>
      <c r="R398" s="12" t="n"/>
      <c r="S398" s="12" t="n"/>
      <c r="T398" s="13" t="n"/>
      <c r="U398" s="12" t="n">
        <v>23</v>
      </c>
      <c r="V398" s="12" t="n"/>
      <c r="W39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98" s="14">
        <f>SI([@SBAN]="";"";BUSCARV([@SBAN];Cronograma_Maestro!$A:$M;6;FALSO))</f>
        <v/>
      </c>
    </row>
    <row r="399">
      <c r="A399" s="11" t="inlineStr">
        <is>
          <t>3350</t>
        </is>
      </c>
      <c r="B399" s="12">
        <f>SI([@SBAN]="";"";BUSCARV([@SBAN];Cronograma_Maestro!$A:$M;2;FALSO))</f>
        <v/>
      </c>
      <c r="C399" s="12">
        <f>SI([@SBAN]="";"";BUSCARV([@SBAN];Cronograma_Maestro!$A:$M;3;FALSO))</f>
        <v/>
      </c>
      <c r="D399" s="12">
        <f>SI([@SBAN]="";"";BUSCARV([@SBAN];Cronograma_Maestro!$A:$M;4;FALSO))</f>
        <v/>
      </c>
      <c r="E399" s="12">
        <f>SI([@SBAN]="";"";BUSCARV([@SBAN];Cronograma_Maestro!$A:$M;5;FALSO))</f>
        <v/>
      </c>
      <c r="F399" s="12" t="inlineStr">
        <is>
          <t>Alvaro Francisco Moreno Palacios</t>
        </is>
      </c>
      <c r="G399" s="12" t="inlineStr">
        <is>
          <t>PMU COLSOF</t>
        </is>
      </c>
      <c r="H399" s="13" t="n">
        <v>46316</v>
      </c>
      <c r="I399" s="13" t="n">
        <v>46317</v>
      </c>
      <c r="J399" s="13" t="n"/>
      <c r="K399" s="13" t="n"/>
      <c r="L399" s="12" t="inlineStr">
        <is>
          <t>Programada</t>
        </is>
      </c>
      <c r="M399" s="13" t="n"/>
      <c r="N399" s="14">
        <f>SI(O([@[Fecha_Programada_Inicio]]="";[@[Fecha_Inicio_Real]]="");"";SI([@[Fecha_Inicio_Real]]&lt;=[@[Fecha_Programada_Inicio]];"SÍ";"NO"))</f>
        <v/>
      </c>
      <c r="O399" s="14">
        <f>SI(O([@[Fecha_Programada_Fin]]="";[@[Fecha_Cierre_Operativo]]="");"";SI([@[Fecha_Cierre_Operativo]]&lt;=SI([@[Fecha_Nueva_Programada]]&lt;&gt;"";[@[Fecha_Nueva_Programada]];[@[Fecha_Programada_Fin]]);"SÍ";"NO"))</f>
        <v/>
      </c>
      <c r="P399" s="14">
        <f>SI(O([@[Cumpli_Ingreso]]="";[@[Cumpli_Salida]]="");"";SI(Y([@[Cumpli_Ingreso]]="SÍ";[@[Cumpli_Salida]]="SÍ");"SÍ";"NO"))</f>
        <v/>
      </c>
      <c r="Q399" s="15">
        <f>SI(O([@[Fecha_Programada_Fin]]="";[@[Fecha_Cierre_Operativo]]="");"";MAX(0;ENTERO([@[Fecha_Cierre_Operativo]])-ENTERO(SI([@[Fecha_Nueva_Programada]]&lt;&gt;"";[@[Fecha_Nueva_Programada]];[@[Fecha_Programada_Fin]])))</f>
        <v/>
      </c>
      <c r="R399" s="12" t="n"/>
      <c r="S399" s="12" t="n"/>
      <c r="T399" s="13" t="n"/>
      <c r="U399" s="12" t="n">
        <v>11</v>
      </c>
      <c r="V399" s="12" t="n"/>
      <c r="W39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399" s="14">
        <f>SI([@SBAN]="";"";BUSCARV([@SBAN];Cronograma_Maestro!$A:$M;6;FALSO))</f>
        <v/>
      </c>
    </row>
    <row r="400">
      <c r="A400" s="11" t="inlineStr">
        <is>
          <t>3360</t>
        </is>
      </c>
      <c r="B400" s="12">
        <f>SI([@SBAN]="";"";BUSCARV([@SBAN];Cronograma_Maestro!$A:$M;2;FALSO))</f>
        <v/>
      </c>
      <c r="C400" s="12">
        <f>SI([@SBAN]="";"";BUSCARV([@SBAN];Cronograma_Maestro!$A:$M;3;FALSO))</f>
        <v/>
      </c>
      <c r="D400" s="12">
        <f>SI([@SBAN]="";"";BUSCARV([@SBAN];Cronograma_Maestro!$A:$M;4;FALSO))</f>
        <v/>
      </c>
      <c r="E400" s="12">
        <f>SI([@SBAN]="";"";BUSCARV([@SBAN];Cronograma_Maestro!$A:$M;5;FALSO))</f>
        <v/>
      </c>
      <c r="F400" s="12" t="inlineStr">
        <is>
          <t>Ever Enrique Esquivel Movilla</t>
        </is>
      </c>
      <c r="G400" s="12" t="inlineStr">
        <is>
          <t>PMU COLSOF</t>
        </is>
      </c>
      <c r="H400" s="13" t="n">
        <v>46302</v>
      </c>
      <c r="I400" s="13" t="n">
        <v>46302</v>
      </c>
      <c r="J400" s="13" t="n"/>
      <c r="K400" s="13" t="n"/>
      <c r="L400" s="12" t="inlineStr">
        <is>
          <t>Programada</t>
        </is>
      </c>
      <c r="M400" s="13" t="n"/>
      <c r="N400" s="14">
        <f>SI(O([@[Fecha_Programada_Inicio]]="";[@[Fecha_Inicio_Real]]="");"";SI([@[Fecha_Inicio_Real]]&lt;=[@[Fecha_Programada_Inicio]];"SÍ";"NO"))</f>
        <v/>
      </c>
      <c r="O400" s="14">
        <f>SI(O([@[Fecha_Programada_Fin]]="";[@[Fecha_Cierre_Operativo]]="");"";SI([@[Fecha_Cierre_Operativo]]&lt;=SI([@[Fecha_Nueva_Programada]]&lt;&gt;"";[@[Fecha_Nueva_Programada]];[@[Fecha_Programada_Fin]]);"SÍ";"NO"))</f>
        <v/>
      </c>
      <c r="P400" s="14">
        <f>SI(O([@[Cumpli_Ingreso]]="";[@[Cumpli_Salida]]="");"";SI(Y([@[Cumpli_Ingreso]]="SÍ";[@[Cumpli_Salida]]="SÍ");"SÍ";"NO"))</f>
        <v/>
      </c>
      <c r="Q400" s="15">
        <f>SI(O([@[Fecha_Programada_Fin]]="";[@[Fecha_Cierre_Operativo]]="");"";MAX(0;ENTERO([@[Fecha_Cierre_Operativo]])-ENTERO(SI([@[Fecha_Nueva_Programada]]&lt;&gt;"";[@[Fecha_Nueva_Programada]];[@[Fecha_Programada_Fin]])))</f>
        <v/>
      </c>
      <c r="R400" s="12" t="n"/>
      <c r="S400" s="12" t="n"/>
      <c r="T400" s="13" t="n"/>
      <c r="U400" s="12" t="n">
        <v>12</v>
      </c>
      <c r="V400" s="12" t="n"/>
      <c r="W40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00" s="14">
        <f>SI([@SBAN]="";"";BUSCARV([@SBAN];Cronograma_Maestro!$A:$M;6;FALSO))</f>
        <v/>
      </c>
    </row>
    <row r="401">
      <c r="A401" s="11" t="inlineStr">
        <is>
          <t>3370</t>
        </is>
      </c>
      <c r="B401" s="12">
        <f>SI([@SBAN]="";"";BUSCARV([@SBAN];Cronograma_Maestro!$A:$M;2;FALSO))</f>
        <v/>
      </c>
      <c r="C401" s="12">
        <f>SI([@SBAN]="";"";BUSCARV([@SBAN];Cronograma_Maestro!$A:$M;3;FALSO))</f>
        <v/>
      </c>
      <c r="D401" s="12">
        <f>SI([@SBAN]="";"";BUSCARV([@SBAN];Cronograma_Maestro!$A:$M;4;FALSO))</f>
        <v/>
      </c>
      <c r="E401" s="12">
        <f>SI([@SBAN]="";"";BUSCARV([@SBAN];Cronograma_Maestro!$A:$M;5;FALSO))</f>
        <v/>
      </c>
      <c r="F401" s="12" t="inlineStr">
        <is>
          <t>Ever Enrique Esquivel Movilla</t>
        </is>
      </c>
      <c r="G401" s="12" t="inlineStr">
        <is>
          <t>PMU COLSOF</t>
        </is>
      </c>
      <c r="H401" s="13" t="n">
        <v>46303</v>
      </c>
      <c r="I401" s="13" t="n">
        <v>46303</v>
      </c>
      <c r="J401" s="13" t="n"/>
      <c r="K401" s="13" t="n"/>
      <c r="L401" s="12" t="inlineStr">
        <is>
          <t>Programada</t>
        </is>
      </c>
      <c r="M401" s="13" t="n"/>
      <c r="N401" s="14">
        <f>SI(O([@[Fecha_Programada_Inicio]]="";[@[Fecha_Inicio_Real]]="");"";SI([@[Fecha_Inicio_Real]]&lt;=[@[Fecha_Programada_Inicio]];"SÍ";"NO"))</f>
        <v/>
      </c>
      <c r="O401" s="14">
        <f>SI(O([@[Fecha_Programada_Fin]]="";[@[Fecha_Cierre_Operativo]]="");"";SI([@[Fecha_Cierre_Operativo]]&lt;=SI([@[Fecha_Nueva_Programada]]&lt;&gt;"";[@[Fecha_Nueva_Programada]];[@[Fecha_Programada_Fin]]);"SÍ";"NO"))</f>
        <v/>
      </c>
      <c r="P401" s="14">
        <f>SI(O([@[Cumpli_Ingreso]]="";[@[Cumpli_Salida]]="");"";SI(Y([@[Cumpli_Ingreso]]="SÍ";[@[Cumpli_Salida]]="SÍ");"SÍ";"NO"))</f>
        <v/>
      </c>
      <c r="Q401" s="15">
        <f>SI(O([@[Fecha_Programada_Fin]]="";[@[Fecha_Cierre_Operativo]]="");"";MAX(0;ENTERO([@[Fecha_Cierre_Operativo]])-ENTERO(SI([@[Fecha_Nueva_Programada]]&lt;&gt;"";[@[Fecha_Nueva_Programada]];[@[Fecha_Programada_Fin]])))</f>
        <v/>
      </c>
      <c r="R401" s="12" t="n"/>
      <c r="S401" s="12" t="n"/>
      <c r="T401" s="13" t="n"/>
      <c r="U401" s="12" t="n">
        <v>12</v>
      </c>
      <c r="V401" s="12" t="n"/>
      <c r="W40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01" s="14">
        <f>SI([@SBAN]="";"";BUSCARV([@SBAN];Cronograma_Maestro!$A:$M;6;FALSO))</f>
        <v/>
      </c>
    </row>
    <row r="402">
      <c r="A402" s="11" t="inlineStr">
        <is>
          <t>3375</t>
        </is>
      </c>
      <c r="B402" s="12">
        <f>SI([@SBAN]="";"";BUSCARV([@SBAN];Cronograma_Maestro!$A:$M;2;FALSO))</f>
        <v/>
      </c>
      <c r="C402" s="12">
        <f>SI([@SBAN]="";"";BUSCARV([@SBAN];Cronograma_Maestro!$A:$M;3;FALSO))</f>
        <v/>
      </c>
      <c r="D402" s="12">
        <f>SI([@SBAN]="";"";BUSCARV([@SBAN];Cronograma_Maestro!$A:$M;4;FALSO))</f>
        <v/>
      </c>
      <c r="E402" s="12">
        <f>SI([@SBAN]="";"";BUSCARV([@SBAN];Cronograma_Maestro!$A:$M;5;FALSO))</f>
        <v/>
      </c>
      <c r="F402" s="12" t="inlineStr">
        <is>
          <t>Alvaro Francisco Moreno Palacios</t>
        </is>
      </c>
      <c r="G402" s="12" t="inlineStr">
        <is>
          <t>PMU COLSOF</t>
        </is>
      </c>
      <c r="H402" s="13" t="n">
        <v>46303</v>
      </c>
      <c r="I402" s="13" t="n">
        <v>46304</v>
      </c>
      <c r="J402" s="13" t="n"/>
      <c r="K402" s="13" t="n"/>
      <c r="L402" s="12" t="inlineStr">
        <is>
          <t>Sede_Cerrada</t>
        </is>
      </c>
      <c r="M402" s="13" t="n"/>
      <c r="N402" s="14">
        <f>SI(O([@[Fecha_Programada_Inicio]]="";[@[Fecha_Inicio_Real]]="");"";SI([@[Fecha_Inicio_Real]]&lt;=[@[Fecha_Programada_Inicio]];"SÍ";"NO"))</f>
        <v/>
      </c>
      <c r="O402" s="14">
        <f>SI(O([@[Fecha_Programada_Fin]]="";[@[Fecha_Cierre_Operativo]]="");"";SI([@[Fecha_Cierre_Operativo]]&lt;=SI([@[Fecha_Nueva_Programada]]&lt;&gt;"";[@[Fecha_Nueva_Programada]];[@[Fecha_Programada_Fin]]);"SÍ";"NO"))</f>
        <v/>
      </c>
      <c r="P402" s="14">
        <f>SI(O([@[Cumpli_Ingreso]]="";[@[Cumpli_Salida]]="");"";SI(Y([@[Cumpli_Ingreso]]="SÍ";[@[Cumpli_Salida]]="SÍ");"SÍ";"NO"))</f>
        <v/>
      </c>
      <c r="Q402" s="15">
        <f>SI(O([@[Fecha_Programada_Fin]]="";[@[Fecha_Cierre_Operativo]]="");"";MAX(0;ENTERO([@[Fecha_Cierre_Operativo]])-ENTERO(SI([@[Fecha_Nueva_Programada]]&lt;&gt;"";[@[Fecha_Nueva_Programada]];[@[Fecha_Programada_Fin]])))</f>
        <v/>
      </c>
      <c r="R402" s="12" t="inlineStr">
        <is>
          <t>N/A - A Tiempo</t>
        </is>
      </c>
      <c r="S402" s="12" t="inlineStr">
        <is>
          <t>Firmada</t>
        </is>
      </c>
      <c r="T402" s="13" t="n"/>
      <c r="U402" s="12" t="n">
        <v>15</v>
      </c>
      <c r="V402" s="12" t="n"/>
      <c r="W40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02" s="14">
        <f>SI([@SBAN]="";"";BUSCARV([@SBAN];Cronograma_Maestro!$A:$M;6;FALSO))</f>
        <v/>
      </c>
    </row>
    <row r="403">
      <c r="A403" s="11" t="inlineStr">
        <is>
          <t>3603</t>
        </is>
      </c>
      <c r="B403" s="12">
        <f>SI([@SBAN]="";"";BUSCARV([@SBAN];Cronograma_Maestro!$A:$M;2;FALSO))</f>
        <v/>
      </c>
      <c r="C403" s="12">
        <f>SI([@SBAN]="";"";BUSCARV([@SBAN];Cronograma_Maestro!$A:$M;3;FALSO))</f>
        <v/>
      </c>
      <c r="D403" s="12">
        <f>SI([@SBAN]="";"";BUSCARV([@SBAN];Cronograma_Maestro!$A:$M;4;FALSO))</f>
        <v/>
      </c>
      <c r="E403" s="12">
        <f>SI([@SBAN]="";"";BUSCARV([@SBAN];Cronograma_Maestro!$A:$M;5;FALSO))</f>
        <v/>
      </c>
      <c r="F403" s="12" t="inlineStr">
        <is>
          <t>Olger Jair Choles Ramirez</t>
        </is>
      </c>
      <c r="G403" s="12" t="inlineStr">
        <is>
          <t>PMU COLSOF</t>
        </is>
      </c>
      <c r="H403" s="13" t="n">
        <v>46282</v>
      </c>
      <c r="I403" s="13" t="n">
        <v>46283</v>
      </c>
      <c r="J403" s="13" t="n"/>
      <c r="K403" s="13" t="n"/>
      <c r="L403" s="12" t="inlineStr">
        <is>
          <t>Programada</t>
        </is>
      </c>
      <c r="M403" s="13" t="n"/>
      <c r="N403" s="14">
        <f>SI(O([@[Fecha_Programada_Inicio]]="";[@[Fecha_Inicio_Real]]="");"";SI([@[Fecha_Inicio_Real]]&lt;=[@[Fecha_Programada_Inicio]];"SÍ";"NO"))</f>
        <v/>
      </c>
      <c r="O403" s="14">
        <f>SI(O([@[Fecha_Programada_Fin]]="";[@[Fecha_Cierre_Operativo]]="");"";SI([@[Fecha_Cierre_Operativo]]&lt;=SI([@[Fecha_Nueva_Programada]]&lt;&gt;"";[@[Fecha_Nueva_Programada]];[@[Fecha_Programada_Fin]]);"SÍ";"NO"))</f>
        <v/>
      </c>
      <c r="P403" s="14">
        <f>SI(O([@[Cumpli_Ingreso]]="";[@[Cumpli_Salida]]="");"";SI(Y([@[Cumpli_Ingreso]]="SÍ";[@[Cumpli_Salida]]="SÍ");"SÍ";"NO"))</f>
        <v/>
      </c>
      <c r="Q403" s="15">
        <f>SI(O([@[Fecha_Programada_Fin]]="";[@[Fecha_Cierre_Operativo]]="");"";MAX(0;ENTERO([@[Fecha_Cierre_Operativo]])-ENTERO(SI([@[Fecha_Nueva_Programada]]&lt;&gt;"";[@[Fecha_Nueva_Programada]];[@[Fecha_Programada_Fin]])))</f>
        <v/>
      </c>
      <c r="R403" s="12" t="n"/>
      <c r="S403" s="12" t="n"/>
      <c r="T403" s="13" t="n"/>
      <c r="U403" s="12" t="n">
        <v>27</v>
      </c>
      <c r="V403" s="12" t="n"/>
      <c r="W40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03" s="14">
        <f>SI([@SBAN]="";"";BUSCARV([@SBAN];Cronograma_Maestro!$A:$M;6;FALSO))</f>
        <v/>
      </c>
    </row>
    <row r="404">
      <c r="A404" s="11" t="inlineStr">
        <is>
          <t>3620</t>
        </is>
      </c>
      <c r="B404" s="12">
        <f>SI([@SBAN]="";"";BUSCARV([@SBAN];Cronograma_Maestro!$A:$M;2;FALSO))</f>
        <v/>
      </c>
      <c r="C404" s="12">
        <f>SI([@SBAN]="";"";BUSCARV([@SBAN];Cronograma_Maestro!$A:$M;3;FALSO))</f>
        <v/>
      </c>
      <c r="D404" s="12">
        <f>SI([@SBAN]="";"";BUSCARV([@SBAN];Cronograma_Maestro!$A:$M;4;FALSO))</f>
        <v/>
      </c>
      <c r="E404" s="12">
        <f>SI([@SBAN]="";"";BUSCARV([@SBAN];Cronograma_Maestro!$A:$M;5;FALSO))</f>
        <v/>
      </c>
      <c r="F404" s="12" t="inlineStr">
        <is>
          <t>Yeison Quintero  Caballero</t>
        </is>
      </c>
      <c r="G404" s="12" t="inlineStr">
        <is>
          <t>PMU COLSOF</t>
        </is>
      </c>
      <c r="H404" s="13" t="n">
        <v>46282</v>
      </c>
      <c r="I404" s="13" t="n">
        <v>46282</v>
      </c>
      <c r="J404" s="13" t="n"/>
      <c r="K404" s="13" t="n"/>
      <c r="L404" s="12" t="inlineStr">
        <is>
          <t>Programada</t>
        </is>
      </c>
      <c r="M404" s="13" t="n"/>
      <c r="N404" s="14">
        <f>SI(O([@[Fecha_Programada_Inicio]]="";[@[Fecha_Inicio_Real]]="");"";SI([@[Fecha_Inicio_Real]]&lt;=[@[Fecha_Programada_Inicio]];"SÍ";"NO"))</f>
        <v/>
      </c>
      <c r="O404" s="14">
        <f>SI(O([@[Fecha_Programada_Fin]]="";[@[Fecha_Cierre_Operativo]]="");"";SI([@[Fecha_Cierre_Operativo]]&lt;=SI([@[Fecha_Nueva_Programada]]&lt;&gt;"";[@[Fecha_Nueva_Programada]];[@[Fecha_Programada_Fin]]);"SÍ";"NO"))</f>
        <v/>
      </c>
      <c r="P404" s="14">
        <f>SI(O([@[Cumpli_Ingreso]]="";[@[Cumpli_Salida]]="");"";SI(Y([@[Cumpli_Ingreso]]="SÍ";[@[Cumpli_Salida]]="SÍ");"SÍ";"NO"))</f>
        <v/>
      </c>
      <c r="Q404" s="15">
        <f>SI(O([@[Fecha_Programada_Fin]]="";[@[Fecha_Cierre_Operativo]]="");"";MAX(0;ENTERO([@[Fecha_Cierre_Operativo]])-ENTERO(SI([@[Fecha_Nueva_Programada]]&lt;&gt;"";[@[Fecha_Nueva_Programada]];[@[Fecha_Programada_Fin]])))</f>
        <v/>
      </c>
      <c r="R404" s="12" t="n"/>
      <c r="S404" s="12" t="n"/>
      <c r="T404" s="13" t="n"/>
      <c r="U404" s="12" t="n">
        <v>14</v>
      </c>
      <c r="V404" s="12" t="n"/>
      <c r="W40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04" s="14">
        <f>SI([@SBAN]="";"";BUSCARV([@SBAN];Cronograma_Maestro!$A:$M;6;FALSO))</f>
        <v/>
      </c>
    </row>
    <row r="405">
      <c r="A405" s="11" t="inlineStr">
        <is>
          <t>3630</t>
        </is>
      </c>
      <c r="B405" s="12">
        <f>SI([@SBAN]="";"";BUSCARV([@SBAN];Cronograma_Maestro!$A:$M;2;FALSO))</f>
        <v/>
      </c>
      <c r="C405" s="12">
        <f>SI([@SBAN]="";"";BUSCARV([@SBAN];Cronograma_Maestro!$A:$M;3;FALSO))</f>
        <v/>
      </c>
      <c r="D405" s="12">
        <f>SI([@SBAN]="";"";BUSCARV([@SBAN];Cronograma_Maestro!$A:$M;4;FALSO))</f>
        <v/>
      </c>
      <c r="E405" s="12">
        <f>SI([@SBAN]="";"";BUSCARV([@SBAN];Cronograma_Maestro!$A:$M;5;FALSO))</f>
        <v/>
      </c>
      <c r="F405" s="12" t="inlineStr">
        <is>
          <t>Osvaldo Enrique Mora Viloria</t>
        </is>
      </c>
      <c r="G405" s="12" t="inlineStr">
        <is>
          <t>PMU COLSOF</t>
        </is>
      </c>
      <c r="H405" s="13" t="n">
        <v>46279</v>
      </c>
      <c r="I405" s="13" t="n">
        <v>46279</v>
      </c>
      <c r="J405" s="13" t="n"/>
      <c r="K405" s="13" t="n"/>
      <c r="L405" s="12" t="inlineStr">
        <is>
          <t>Programada</t>
        </is>
      </c>
      <c r="M405" s="13" t="n"/>
      <c r="N405" s="14">
        <f>SI(O([@[Fecha_Programada_Inicio]]="";[@[Fecha_Inicio_Real]]="");"";SI([@[Fecha_Inicio_Real]]&lt;=[@[Fecha_Programada_Inicio]];"SÍ";"NO"))</f>
        <v/>
      </c>
      <c r="O405" s="14">
        <f>SI(O([@[Fecha_Programada_Fin]]="";[@[Fecha_Cierre_Operativo]]="");"";SI([@[Fecha_Cierre_Operativo]]&lt;=SI([@[Fecha_Nueva_Programada]]&lt;&gt;"";[@[Fecha_Nueva_Programada]];[@[Fecha_Programada_Fin]]);"SÍ";"NO"))</f>
        <v/>
      </c>
      <c r="P405" s="14">
        <f>SI(O([@[Cumpli_Ingreso]]="";[@[Cumpli_Salida]]="");"";SI(Y([@[Cumpli_Ingreso]]="SÍ";[@[Cumpli_Salida]]="SÍ");"SÍ";"NO"))</f>
        <v/>
      </c>
      <c r="Q405" s="15">
        <f>SI(O([@[Fecha_Programada_Fin]]="";[@[Fecha_Cierre_Operativo]]="");"";MAX(0;ENTERO([@[Fecha_Cierre_Operativo]])-ENTERO(SI([@[Fecha_Nueva_Programada]]&lt;&gt;"";[@[Fecha_Nueva_Programada]];[@[Fecha_Programada_Fin]])))</f>
        <v/>
      </c>
      <c r="R405" s="12" t="n"/>
      <c r="S405" s="12" t="n"/>
      <c r="T405" s="13" t="n"/>
      <c r="U405" s="12" t="n">
        <v>30</v>
      </c>
      <c r="V405" s="12" t="n"/>
      <c r="W40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05" s="14">
        <f>SI([@SBAN]="";"";BUSCARV([@SBAN];Cronograma_Maestro!$A:$M;6;FALSO))</f>
        <v/>
      </c>
    </row>
    <row r="406">
      <c r="A406" s="11" t="inlineStr">
        <is>
          <t>3640</t>
        </is>
      </c>
      <c r="B406" s="12">
        <f>SI([@SBAN]="";"";BUSCARV([@SBAN];Cronograma_Maestro!$A:$M;2;FALSO))</f>
        <v/>
      </c>
      <c r="C406" s="12">
        <f>SI([@SBAN]="";"";BUSCARV([@SBAN];Cronograma_Maestro!$A:$M;3;FALSO))</f>
        <v/>
      </c>
      <c r="D406" s="12">
        <f>SI([@SBAN]="";"";BUSCARV([@SBAN];Cronograma_Maestro!$A:$M;4;FALSO))</f>
        <v/>
      </c>
      <c r="E406" s="12">
        <f>SI([@SBAN]="";"";BUSCARV([@SBAN];Cronograma_Maestro!$A:$M;5;FALSO))</f>
        <v/>
      </c>
      <c r="F406" s="12" t="inlineStr">
        <is>
          <t>Alberto Luis Pinto Acosta</t>
        </is>
      </c>
      <c r="G406" s="12" t="inlineStr">
        <is>
          <t>PMU COLSOF</t>
        </is>
      </c>
      <c r="H406" s="13" t="n">
        <v>46267</v>
      </c>
      <c r="I406" s="13" t="n">
        <v>46267</v>
      </c>
      <c r="J406" s="13" t="n"/>
      <c r="K406" s="13" t="n"/>
      <c r="L406" s="12" t="inlineStr">
        <is>
          <t>Programada</t>
        </is>
      </c>
      <c r="M406" s="13" t="n"/>
      <c r="N406" s="14">
        <f>SI(O([@[Fecha_Programada_Inicio]]="";[@[Fecha_Inicio_Real]]="");"";SI([@[Fecha_Inicio_Real]]&lt;=[@[Fecha_Programada_Inicio]];"SÍ";"NO"))</f>
        <v/>
      </c>
      <c r="O406" s="14">
        <f>SI(O([@[Fecha_Programada_Fin]]="";[@[Fecha_Cierre_Operativo]]="");"";SI([@[Fecha_Cierre_Operativo]]&lt;=SI([@[Fecha_Nueva_Programada]]&lt;&gt;"";[@[Fecha_Nueva_Programada]];[@[Fecha_Programada_Fin]]);"SÍ";"NO"))</f>
        <v/>
      </c>
      <c r="P406" s="14">
        <f>SI(O([@[Cumpli_Ingreso]]="";[@[Cumpli_Salida]]="");"";SI(Y([@[Cumpli_Ingreso]]="SÍ";[@[Cumpli_Salida]]="SÍ");"SÍ";"NO"))</f>
        <v/>
      </c>
      <c r="Q406" s="15">
        <f>SI(O([@[Fecha_Programada_Fin]]="";[@[Fecha_Cierre_Operativo]]="");"";MAX(0;ENTERO([@[Fecha_Cierre_Operativo]])-ENTERO(SI([@[Fecha_Nueva_Programada]]&lt;&gt;"";[@[Fecha_Nueva_Programada]];[@[Fecha_Programada_Fin]])))</f>
        <v/>
      </c>
      <c r="R406" s="12" t="n"/>
      <c r="S406" s="12" t="n"/>
      <c r="T406" s="13" t="n"/>
      <c r="U406" s="12" t="n">
        <v>26</v>
      </c>
      <c r="V406" s="12" t="n"/>
      <c r="W40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06" s="14">
        <f>SI([@SBAN]="";"";BUSCARV([@SBAN];Cronograma_Maestro!$A:$M;6;FALSO))</f>
        <v/>
      </c>
    </row>
    <row r="407">
      <c r="A407" s="11" t="inlineStr">
        <is>
          <t>3655</t>
        </is>
      </c>
      <c r="B407" s="12">
        <f>SI([@SBAN]="";"";BUSCARV([@SBAN];Cronograma_Maestro!$A:$M;2;FALSO))</f>
        <v/>
      </c>
      <c r="C407" s="12">
        <f>SI([@SBAN]="";"";BUSCARV([@SBAN];Cronograma_Maestro!$A:$M;3;FALSO))</f>
        <v/>
      </c>
      <c r="D407" s="12">
        <f>SI([@SBAN]="";"";BUSCARV([@SBAN];Cronograma_Maestro!$A:$M;4;FALSO))</f>
        <v/>
      </c>
      <c r="E407" s="12">
        <f>SI([@SBAN]="";"";BUSCARV([@SBAN];Cronograma_Maestro!$A:$M;5;FALSO))</f>
        <v/>
      </c>
      <c r="F407" s="12" t="inlineStr">
        <is>
          <t>Joaquin Alberto Lozano Puche</t>
        </is>
      </c>
      <c r="G407" s="12" t="inlineStr">
        <is>
          <t>PMU COLSOF</t>
        </is>
      </c>
      <c r="H407" s="13" t="n">
        <v>46295</v>
      </c>
      <c r="I407" s="13" t="n">
        <v>46295</v>
      </c>
      <c r="J407" s="13" t="n"/>
      <c r="K407" s="13" t="n"/>
      <c r="L407" s="12" t="inlineStr">
        <is>
          <t>Programada</t>
        </is>
      </c>
      <c r="M407" s="13" t="n"/>
      <c r="N407" s="14">
        <f>SI(O([@[Fecha_Programada_Inicio]]="";[@[Fecha_Inicio_Real]]="");"";SI([@[Fecha_Inicio_Real]]&lt;=[@[Fecha_Programada_Inicio]];"SÍ";"NO"))</f>
        <v/>
      </c>
      <c r="O407" s="14">
        <f>SI(O([@[Fecha_Programada_Fin]]="";[@[Fecha_Cierre_Operativo]]="");"";SI([@[Fecha_Cierre_Operativo]]&lt;=SI([@[Fecha_Nueva_Programada]]&lt;&gt;"";[@[Fecha_Nueva_Programada]];[@[Fecha_Programada_Fin]]);"SÍ";"NO"))</f>
        <v/>
      </c>
      <c r="P407" s="14">
        <f>SI(O([@[Cumpli_Ingreso]]="";[@[Cumpli_Salida]]="");"";SI(Y([@[Cumpli_Ingreso]]="SÍ";[@[Cumpli_Salida]]="SÍ");"SÍ";"NO"))</f>
        <v/>
      </c>
      <c r="Q407" s="15">
        <f>SI(O([@[Fecha_Programada_Fin]]="";[@[Fecha_Cierre_Operativo]]="");"";MAX(0;ENTERO([@[Fecha_Cierre_Operativo]])-ENTERO(SI([@[Fecha_Nueva_Programada]]&lt;&gt;"";[@[Fecha_Nueva_Programada]];[@[Fecha_Programada_Fin]])))</f>
        <v/>
      </c>
      <c r="R407" s="12" t="n"/>
      <c r="S407" s="12" t="n"/>
      <c r="T407" s="13" t="n"/>
      <c r="U407" s="12" t="n">
        <v>12</v>
      </c>
      <c r="V407" s="12" t="n"/>
      <c r="W40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07" s="14">
        <f>SI([@SBAN]="";"";BUSCARV([@SBAN];Cronograma_Maestro!$A:$M;6;FALSO))</f>
        <v/>
      </c>
    </row>
    <row r="408">
      <c r="A408" s="11" t="inlineStr">
        <is>
          <t>3660</t>
        </is>
      </c>
      <c r="B408" s="12">
        <f>SI([@SBAN]="";"";BUSCARV([@SBAN];Cronograma_Maestro!$A:$M;2;FALSO))</f>
        <v/>
      </c>
      <c r="C408" s="12">
        <f>SI([@SBAN]="";"";BUSCARV([@SBAN];Cronograma_Maestro!$A:$M;3;FALSO))</f>
        <v/>
      </c>
      <c r="D408" s="12">
        <f>SI([@SBAN]="";"";BUSCARV([@SBAN];Cronograma_Maestro!$A:$M;4;FALSO))</f>
        <v/>
      </c>
      <c r="E408" s="12">
        <f>SI([@SBAN]="";"";BUSCARV([@SBAN];Cronograma_Maestro!$A:$M;5;FALSO))</f>
        <v/>
      </c>
      <c r="F408" s="12" t="inlineStr">
        <is>
          <t>Joaquin Alberto Lozano Puche</t>
        </is>
      </c>
      <c r="G408" s="12" t="inlineStr">
        <is>
          <t>PMU COLSOF</t>
        </is>
      </c>
      <c r="H408" s="13" t="n">
        <v>46294</v>
      </c>
      <c r="I408" s="13" t="n">
        <v>46294</v>
      </c>
      <c r="J408" s="13" t="n"/>
      <c r="K408" s="13" t="n"/>
      <c r="L408" s="12" t="inlineStr">
        <is>
          <t>Programada</t>
        </is>
      </c>
      <c r="M408" s="13" t="n"/>
      <c r="N408" s="14">
        <f>SI(O([@[Fecha_Programada_Inicio]]="";[@[Fecha_Inicio_Real]]="");"";SI([@[Fecha_Inicio_Real]]&lt;=[@[Fecha_Programada_Inicio]];"SÍ";"NO"))</f>
        <v/>
      </c>
      <c r="O408" s="14">
        <f>SI(O([@[Fecha_Programada_Fin]]="";[@[Fecha_Cierre_Operativo]]="");"";SI([@[Fecha_Cierre_Operativo]]&lt;=SI([@[Fecha_Nueva_Programada]]&lt;&gt;"";[@[Fecha_Nueva_Programada]];[@[Fecha_Programada_Fin]]);"SÍ";"NO"))</f>
        <v/>
      </c>
      <c r="P408" s="14">
        <f>SI(O([@[Cumpli_Ingreso]]="";[@[Cumpli_Salida]]="");"";SI(Y([@[Cumpli_Ingreso]]="SÍ";[@[Cumpli_Salida]]="SÍ");"SÍ";"NO"))</f>
        <v/>
      </c>
      <c r="Q408" s="15">
        <f>SI(O([@[Fecha_Programada_Fin]]="";[@[Fecha_Cierre_Operativo]]="");"";MAX(0;ENTERO([@[Fecha_Cierre_Operativo]])-ENTERO(SI([@[Fecha_Nueva_Programada]]&lt;&gt;"";[@[Fecha_Nueva_Programada]];[@[Fecha_Programada_Fin]])))</f>
        <v/>
      </c>
      <c r="R408" s="12" t="n"/>
      <c r="S408" s="12" t="n"/>
      <c r="T408" s="13" t="n"/>
      <c r="U408" s="12" t="n">
        <v>12</v>
      </c>
      <c r="V408" s="12" t="n"/>
      <c r="W40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08" s="14">
        <f>SI([@SBAN]="";"";BUSCARV([@SBAN];Cronograma_Maestro!$A:$M;6;FALSO))</f>
        <v/>
      </c>
    </row>
    <row r="409">
      <c r="A409" s="11" t="inlineStr">
        <is>
          <t>3901</t>
        </is>
      </c>
      <c r="B409" s="12">
        <f>SI([@SBAN]="";"";BUSCARV([@SBAN];Cronograma_Maestro!$A:$M;2;FALSO))</f>
        <v/>
      </c>
      <c r="C409" s="12">
        <f>SI([@SBAN]="";"";BUSCARV([@SBAN];Cronograma_Maestro!$A:$M;3;FALSO))</f>
        <v/>
      </c>
      <c r="D409" s="12">
        <f>SI([@SBAN]="";"";BUSCARV([@SBAN];Cronograma_Maestro!$A:$M;4;FALSO))</f>
        <v/>
      </c>
      <c r="E409" s="12">
        <f>SI([@SBAN]="";"";BUSCARV([@SBAN];Cronograma_Maestro!$A:$M;5;FALSO))</f>
        <v/>
      </c>
      <c r="F409" s="12" t="inlineStr">
        <is>
          <t>ERIKA VARGAS</t>
        </is>
      </c>
      <c r="G409" s="12" t="inlineStr">
        <is>
          <t>PMU COLSOF</t>
        </is>
      </c>
      <c r="H409" s="13" t="n">
        <v>46311</v>
      </c>
      <c r="I409" s="13" t="n">
        <v>46311</v>
      </c>
      <c r="J409" s="13" t="n"/>
      <c r="K409" s="13" t="n"/>
      <c r="L409" s="12" t="inlineStr">
        <is>
          <t>Programada</t>
        </is>
      </c>
      <c r="M409" s="13" t="n"/>
      <c r="N409" s="14">
        <f>SI(O([@[Fecha_Programada_Inicio]]="";[@[Fecha_Inicio_Real]]="");"";SI([@[Fecha_Inicio_Real]]&lt;=[@[Fecha_Programada_Inicio]];"SÍ";"NO"))</f>
        <v/>
      </c>
      <c r="O409" s="14">
        <f>SI(O([@[Fecha_Programada_Fin]]="";[@[Fecha_Cierre_Operativo]]="");"";SI([@[Fecha_Cierre_Operativo]]&lt;=SI([@[Fecha_Nueva_Programada]]&lt;&gt;"";[@[Fecha_Nueva_Programada]];[@[Fecha_Programada_Fin]]);"SÍ";"NO"))</f>
        <v/>
      </c>
      <c r="P409" s="14">
        <f>SI(O([@[Cumpli_Ingreso]]="";[@[Cumpli_Salida]]="");"";SI(Y([@[Cumpli_Ingreso]]="SÍ";[@[Cumpli_Salida]]="SÍ");"SÍ";"NO"))</f>
        <v/>
      </c>
      <c r="Q409" s="15">
        <f>SI(O([@[Fecha_Programada_Fin]]="";[@[Fecha_Cierre_Operativo]]="");"";MAX(0;ENTERO([@[Fecha_Cierre_Operativo]])-ENTERO(SI([@[Fecha_Nueva_Programada]]&lt;&gt;"";[@[Fecha_Nueva_Programada]];[@[Fecha_Programada_Fin]])))</f>
        <v/>
      </c>
      <c r="R409" s="12" t="n"/>
      <c r="S409" s="12" t="n"/>
      <c r="T409" s="13" t="n"/>
      <c r="U409" s="12" t="n">
        <v>25</v>
      </c>
      <c r="V409" s="12" t="n"/>
      <c r="W40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09" s="14">
        <f>SI([@SBAN]="";"";BUSCARV([@SBAN];Cronograma_Maestro!$A:$M;6;FALSO))</f>
        <v/>
      </c>
    </row>
    <row r="410">
      <c r="A410" s="11" t="inlineStr">
        <is>
          <t>3902</t>
        </is>
      </c>
      <c r="B410" s="12">
        <f>SI([@SBAN]="";"";BUSCARV([@SBAN];Cronograma_Maestro!$A:$M;2;FALSO))</f>
        <v/>
      </c>
      <c r="C410" s="12">
        <f>SI([@SBAN]="";"";BUSCARV([@SBAN];Cronograma_Maestro!$A:$M;3;FALSO))</f>
        <v/>
      </c>
      <c r="D410" s="12">
        <f>SI([@SBAN]="";"";BUSCARV([@SBAN];Cronograma_Maestro!$A:$M;4;FALSO))</f>
        <v/>
      </c>
      <c r="E410" s="12">
        <f>SI([@SBAN]="";"";BUSCARV([@SBAN];Cronograma_Maestro!$A:$M;5;FALSO))</f>
        <v/>
      </c>
      <c r="F410" s="12" t="inlineStr">
        <is>
          <t>ERIKA VARGAS</t>
        </is>
      </c>
      <c r="G410" s="12" t="inlineStr">
        <is>
          <t>PMU COLSOF</t>
        </is>
      </c>
      <c r="H410" s="13" t="n">
        <v>46288</v>
      </c>
      <c r="I410" s="13" t="n">
        <v>46288</v>
      </c>
      <c r="J410" s="13" t="n"/>
      <c r="K410" s="13" t="n"/>
      <c r="L410" s="12" t="inlineStr">
        <is>
          <t>Programada</t>
        </is>
      </c>
      <c r="M410" s="13" t="n"/>
      <c r="N410" s="14">
        <f>SI(O([@[Fecha_Programada_Inicio]]="";[@[Fecha_Inicio_Real]]="");"";SI([@[Fecha_Inicio_Real]]&lt;=[@[Fecha_Programada_Inicio]];"SÍ";"NO"))</f>
        <v/>
      </c>
      <c r="O410" s="14">
        <f>SI(O([@[Fecha_Programada_Fin]]="";[@[Fecha_Cierre_Operativo]]="");"";SI([@[Fecha_Cierre_Operativo]]&lt;=SI([@[Fecha_Nueva_Programada]]&lt;&gt;"";[@[Fecha_Nueva_Programada]];[@[Fecha_Programada_Fin]]);"SÍ";"NO"))</f>
        <v/>
      </c>
      <c r="P410" s="14">
        <f>SI(O([@[Cumpli_Ingreso]]="";[@[Cumpli_Salida]]="");"";SI(Y([@[Cumpli_Ingreso]]="SÍ";[@[Cumpli_Salida]]="SÍ");"SÍ";"NO"))</f>
        <v/>
      </c>
      <c r="Q410" s="15">
        <f>SI(O([@[Fecha_Programada_Fin]]="";[@[Fecha_Cierre_Operativo]]="");"";MAX(0;ENTERO([@[Fecha_Cierre_Operativo]])-ENTERO(SI([@[Fecha_Nueva_Programada]]&lt;&gt;"";[@[Fecha_Nueva_Programada]];[@[Fecha_Programada_Fin]])))</f>
        <v/>
      </c>
      <c r="R410" s="12" t="n"/>
      <c r="S410" s="12" t="n"/>
      <c r="T410" s="13" t="n"/>
      <c r="U410" s="12" t="n">
        <v>14</v>
      </c>
      <c r="V410" s="12" t="n"/>
      <c r="W41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10" s="14">
        <f>SI([@SBAN]="";"";BUSCARV([@SBAN];Cronograma_Maestro!$A:$M;6;FALSO))</f>
        <v/>
      </c>
    </row>
    <row r="411">
      <c r="A411" s="11" t="inlineStr">
        <is>
          <t>7103</t>
        </is>
      </c>
      <c r="B411" s="12">
        <f>SI([@SBAN]="";"";BUSCARV([@SBAN];Cronograma_Maestro!$A:$M;2;FALSO))</f>
        <v/>
      </c>
      <c r="C411" s="12">
        <f>SI([@SBAN]="";"";BUSCARV([@SBAN];Cronograma_Maestro!$A:$M;3;FALSO))</f>
        <v/>
      </c>
      <c r="D411" s="12">
        <f>SI([@SBAN]="";"";BUSCARV([@SBAN];Cronograma_Maestro!$A:$M;4;FALSO))</f>
        <v/>
      </c>
      <c r="E411" s="12">
        <f>SI([@SBAN]="";"";BUSCARV([@SBAN];Cronograma_Maestro!$A:$M;5;FALSO))</f>
        <v/>
      </c>
      <c r="F411" s="12" t="inlineStr">
        <is>
          <t>EDWIN ANDRES HERRERA BARRIOS</t>
        </is>
      </c>
      <c r="G411" s="12" t="inlineStr">
        <is>
          <t>PMU COLSOF</t>
        </is>
      </c>
      <c r="H411" s="13" t="n">
        <v>46276</v>
      </c>
      <c r="I411" s="13" t="n">
        <v>46276</v>
      </c>
      <c r="J411" s="13" t="n"/>
      <c r="K411" s="13" t="n"/>
      <c r="L411" s="12" t="inlineStr">
        <is>
          <t>Programada</t>
        </is>
      </c>
      <c r="M411" s="13" t="n"/>
      <c r="N411" s="14">
        <f>SI(O([@[Fecha_Programada_Inicio]]="";[@[Fecha_Inicio_Real]]="");"";SI([@[Fecha_Inicio_Real]]&lt;=[@[Fecha_Programada_Inicio]];"SÍ";"NO"))</f>
        <v/>
      </c>
      <c r="O411" s="14">
        <f>SI(O([@[Fecha_Programada_Fin]]="";[@[Fecha_Cierre_Operativo]]="");"";SI([@[Fecha_Cierre_Operativo]]&lt;=SI([@[Fecha_Nueva_Programada]]&lt;&gt;"";[@[Fecha_Nueva_Programada]];[@[Fecha_Programada_Fin]]);"SÍ";"NO"))</f>
        <v/>
      </c>
      <c r="P411" s="14">
        <f>SI(O([@[Cumpli_Ingreso]]="";[@[Cumpli_Salida]]="");"";SI(Y([@[Cumpli_Ingreso]]="SÍ";[@[Cumpli_Salida]]="SÍ");"SÍ";"NO"))</f>
        <v/>
      </c>
      <c r="Q411" s="15">
        <f>SI(O([@[Fecha_Programada_Fin]]="";[@[Fecha_Cierre_Operativo]]="");"";MAX(0;ENTERO([@[Fecha_Cierre_Operativo]])-ENTERO(SI([@[Fecha_Nueva_Programada]]&lt;&gt;"";[@[Fecha_Nueva_Programada]];[@[Fecha_Programada_Fin]])))</f>
        <v/>
      </c>
      <c r="R411" s="12" t="n"/>
      <c r="S411" s="12" t="n"/>
      <c r="T411" s="13" t="n"/>
      <c r="U411" s="12" t="n">
        <v>19</v>
      </c>
      <c r="V411" s="12" t="n"/>
      <c r="W41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11" s="14">
        <f>SI([@SBAN]="";"";BUSCARV([@SBAN];Cronograma_Maestro!$A:$M;6;FALSO))</f>
        <v/>
      </c>
    </row>
    <row r="412">
      <c r="A412" s="11" t="inlineStr">
        <is>
          <t>3904</t>
        </is>
      </c>
      <c r="B412" s="12">
        <f>SI([@SBAN]="";"";BUSCARV([@SBAN];Cronograma_Maestro!$A:$M;2;FALSO))</f>
        <v/>
      </c>
      <c r="C412" s="12">
        <f>SI([@SBAN]="";"";BUSCARV([@SBAN];Cronograma_Maestro!$A:$M;3;FALSO))</f>
        <v/>
      </c>
      <c r="D412" s="12">
        <f>SI([@SBAN]="";"";BUSCARV([@SBAN];Cronograma_Maestro!$A:$M;4;FALSO))</f>
        <v/>
      </c>
      <c r="E412" s="12">
        <f>SI([@SBAN]="";"";BUSCARV([@SBAN];Cronograma_Maestro!$A:$M;5;FALSO))</f>
        <v/>
      </c>
      <c r="F412" s="12" t="inlineStr">
        <is>
          <t>ERIKA VARGAS</t>
        </is>
      </c>
      <c r="G412" s="12" t="inlineStr">
        <is>
          <t>PMU COLSOF</t>
        </is>
      </c>
      <c r="H412" s="13" t="n">
        <v>46343</v>
      </c>
      <c r="I412" s="13" t="n">
        <v>46343</v>
      </c>
      <c r="J412" s="13" t="n"/>
      <c r="K412" s="13" t="n"/>
      <c r="L412" s="12" t="inlineStr">
        <is>
          <t>Programada</t>
        </is>
      </c>
      <c r="M412" s="13" t="n"/>
      <c r="N412" s="14">
        <f>SI(O([@[Fecha_Programada_Inicio]]="";[@[Fecha_Inicio_Real]]="");"";SI([@[Fecha_Inicio_Real]]&lt;=[@[Fecha_Programada_Inicio]];"SÍ";"NO"))</f>
        <v/>
      </c>
      <c r="O412" s="14">
        <f>SI(O([@[Fecha_Programada_Fin]]="";[@[Fecha_Cierre_Operativo]]="");"";SI([@[Fecha_Cierre_Operativo]]&lt;=SI([@[Fecha_Nueva_Programada]]&lt;&gt;"";[@[Fecha_Nueva_Programada]];[@[Fecha_Programada_Fin]]);"SÍ";"NO"))</f>
        <v/>
      </c>
      <c r="P412" s="14">
        <f>SI(O([@[Cumpli_Ingreso]]="";[@[Cumpli_Salida]]="");"";SI(Y([@[Cumpli_Ingreso]]="SÍ";[@[Cumpli_Salida]]="SÍ");"SÍ";"NO"))</f>
        <v/>
      </c>
      <c r="Q412" s="15">
        <f>SI(O([@[Fecha_Programada_Fin]]="";[@[Fecha_Cierre_Operativo]]="");"";MAX(0;ENTERO([@[Fecha_Cierre_Operativo]])-ENTERO(SI([@[Fecha_Nueva_Programada]]&lt;&gt;"";[@[Fecha_Nueva_Programada]];[@[Fecha_Programada_Fin]])))</f>
        <v/>
      </c>
      <c r="R412" s="12" t="n"/>
      <c r="S412" s="12" t="n"/>
      <c r="T412" s="13" t="n"/>
      <c r="U412" s="12" t="n">
        <v>15</v>
      </c>
      <c r="V412" s="12" t="n"/>
      <c r="W41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12" s="14">
        <f>SI([@SBAN]="";"";BUSCARV([@SBAN];Cronograma_Maestro!$A:$M;6;FALSO))</f>
        <v/>
      </c>
    </row>
    <row r="413">
      <c r="A413" s="11" t="inlineStr">
        <is>
          <t>3905</t>
        </is>
      </c>
      <c r="B413" s="12">
        <f>SI([@SBAN]="";"";BUSCARV([@SBAN];Cronograma_Maestro!$A:$M;2;FALSO))</f>
        <v/>
      </c>
      <c r="C413" s="12">
        <f>SI([@SBAN]="";"";BUSCARV([@SBAN];Cronograma_Maestro!$A:$M;3;FALSO))</f>
        <v/>
      </c>
      <c r="D413" s="12">
        <f>SI([@SBAN]="";"";BUSCARV([@SBAN];Cronograma_Maestro!$A:$M;4;FALSO))</f>
        <v/>
      </c>
      <c r="E413" s="12">
        <f>SI([@SBAN]="";"";BUSCARV([@SBAN];Cronograma_Maestro!$A:$M;5;FALSO))</f>
        <v/>
      </c>
      <c r="F413" s="12" t="inlineStr">
        <is>
          <t>VICTOR ALFONSO ULLOA ACOSTA</t>
        </is>
      </c>
      <c r="G413" s="12" t="inlineStr">
        <is>
          <t>PMU COLSOF</t>
        </is>
      </c>
      <c r="H413" s="13" t="n">
        <v>46301</v>
      </c>
      <c r="I413" s="13" t="n">
        <v>46311</v>
      </c>
      <c r="J413" s="13" t="n"/>
      <c r="K413" s="13" t="n"/>
      <c r="L413" s="12" t="inlineStr">
        <is>
          <t>Programada</t>
        </is>
      </c>
      <c r="M413" s="13" t="n"/>
      <c r="N413" s="14">
        <f>SI(O([@[Fecha_Programada_Inicio]]="";[@[Fecha_Inicio_Real]]="");"";SI([@[Fecha_Inicio_Real]]&lt;=[@[Fecha_Programada_Inicio]];"SÍ";"NO"))</f>
        <v/>
      </c>
      <c r="O413" s="14">
        <f>SI(O([@[Fecha_Programada_Fin]]="";[@[Fecha_Cierre_Operativo]]="");"";SI([@[Fecha_Cierre_Operativo]]&lt;=SI([@[Fecha_Nueva_Programada]]&lt;&gt;"";[@[Fecha_Nueva_Programada]];[@[Fecha_Programada_Fin]]);"SÍ";"NO"))</f>
        <v/>
      </c>
      <c r="P413" s="14">
        <f>SI(O([@[Cumpli_Ingreso]]="";[@[Cumpli_Salida]]="");"";SI(Y([@[Cumpli_Ingreso]]="SÍ";[@[Cumpli_Salida]]="SÍ");"SÍ";"NO"))</f>
        <v/>
      </c>
      <c r="Q413" s="15">
        <f>SI(O([@[Fecha_Programada_Fin]]="";[@[Fecha_Cierre_Operativo]]="");"";MAX(0;ENTERO([@[Fecha_Cierre_Operativo]])-ENTERO(SI([@[Fecha_Nueva_Programada]]&lt;&gt;"";[@[Fecha_Nueva_Programada]];[@[Fecha_Programada_Fin]])))</f>
        <v/>
      </c>
      <c r="R413" s="12" t="n"/>
      <c r="S413" s="12" t="n"/>
      <c r="T413" s="13" t="n"/>
      <c r="U413" s="12" t="n">
        <v>60</v>
      </c>
      <c r="V413" s="12" t="n"/>
      <c r="W41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13" s="14">
        <f>SI([@SBAN]="";"";BUSCARV([@SBAN];Cronograma_Maestro!$A:$M;6;FALSO))</f>
        <v/>
      </c>
    </row>
    <row r="414">
      <c r="A414" s="11" t="inlineStr">
        <is>
          <t>3903</t>
        </is>
      </c>
      <c r="B414" s="12">
        <f>SI([@SBAN]="";"";BUSCARV([@SBAN];Cronograma_Maestro!$A:$M;2;FALSO))</f>
        <v/>
      </c>
      <c r="C414" s="12">
        <f>SI([@SBAN]="";"";BUSCARV([@SBAN];Cronograma_Maestro!$A:$M;3;FALSO))</f>
        <v/>
      </c>
      <c r="D414" s="12">
        <f>SI([@SBAN]="";"";BUSCARV([@SBAN];Cronograma_Maestro!$A:$M;4;FALSO))</f>
        <v/>
      </c>
      <c r="E414" s="12">
        <f>SI([@SBAN]="";"";BUSCARV([@SBAN];Cronograma_Maestro!$A:$M;5;FALSO))</f>
        <v/>
      </c>
      <c r="F414" s="12" t="inlineStr">
        <is>
          <t>HAROLD STEED GARCIA</t>
        </is>
      </c>
      <c r="G414" s="12" t="inlineStr">
        <is>
          <t>PMU COLSOF</t>
        </is>
      </c>
      <c r="H414" s="13" t="n">
        <v>46287</v>
      </c>
      <c r="I414" s="13" t="n">
        <v>46288</v>
      </c>
      <c r="J414" s="13" t="n"/>
      <c r="K414" s="13" t="n"/>
      <c r="L414" s="12" t="inlineStr">
        <is>
          <t>Programada</t>
        </is>
      </c>
      <c r="M414" s="13" t="n"/>
      <c r="N414" s="14">
        <f>SI(O([@[Fecha_Programada_Inicio]]="";[@[Fecha_Inicio_Real]]="");"";SI([@[Fecha_Inicio_Real]]&lt;=[@[Fecha_Programada_Inicio]];"SÍ";"NO"))</f>
        <v/>
      </c>
      <c r="O414" s="14">
        <f>SI(O([@[Fecha_Programada_Fin]]="";[@[Fecha_Cierre_Operativo]]="");"";SI([@[Fecha_Cierre_Operativo]]&lt;=SI([@[Fecha_Nueva_Programada]]&lt;&gt;"";[@[Fecha_Nueva_Programada]];[@[Fecha_Programada_Fin]]);"SÍ";"NO"))</f>
        <v/>
      </c>
      <c r="P414" s="14">
        <f>SI(O([@[Cumpli_Ingreso]]="";[@[Cumpli_Salida]]="");"";SI(Y([@[Cumpli_Ingreso]]="SÍ";[@[Cumpli_Salida]]="SÍ");"SÍ";"NO"))</f>
        <v/>
      </c>
      <c r="Q414" s="15">
        <f>SI(O([@[Fecha_Programada_Fin]]="";[@[Fecha_Cierre_Operativo]]="");"";MAX(0;ENTERO([@[Fecha_Cierre_Operativo]])-ENTERO(SI([@[Fecha_Nueva_Programada]]&lt;&gt;"";[@[Fecha_Nueva_Programada]];[@[Fecha_Programada_Fin]])))</f>
        <v/>
      </c>
      <c r="R414" s="12" t="n"/>
      <c r="S414" s="12" t="n"/>
      <c r="T414" s="13" t="n"/>
      <c r="U414" s="12" t="n">
        <v>21</v>
      </c>
      <c r="V414" s="12" t="n"/>
      <c r="W41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14" s="14">
        <f>SI([@SBAN]="";"";BUSCARV([@SBAN];Cronograma_Maestro!$A:$M;6;FALSO))</f>
        <v/>
      </c>
    </row>
    <row r="415">
      <c r="A415" s="11" t="inlineStr">
        <is>
          <t>3909</t>
        </is>
      </c>
      <c r="B415" s="12">
        <f>SI([@SBAN]="";"";BUSCARV([@SBAN];Cronograma_Maestro!$A:$M;2;FALSO))</f>
        <v/>
      </c>
      <c r="C415" s="12">
        <f>SI([@SBAN]="";"";BUSCARV([@SBAN];Cronograma_Maestro!$A:$M;3;FALSO))</f>
        <v/>
      </c>
      <c r="D415" s="12">
        <f>SI([@SBAN]="";"";BUSCARV([@SBAN];Cronograma_Maestro!$A:$M;4;FALSO))</f>
        <v/>
      </c>
      <c r="E415" s="12">
        <f>SI([@SBAN]="";"";BUSCARV([@SBAN];Cronograma_Maestro!$A:$M;5;FALSO))</f>
        <v/>
      </c>
      <c r="F415" s="12" t="inlineStr">
        <is>
          <t>ERIKA VARGAS</t>
        </is>
      </c>
      <c r="G415" s="12" t="inlineStr">
        <is>
          <t>PMU COLSOF</t>
        </is>
      </c>
      <c r="H415" s="13" t="n">
        <v>46289</v>
      </c>
      <c r="I415" s="13" t="n">
        <v>46289</v>
      </c>
      <c r="J415" s="13" t="n"/>
      <c r="K415" s="13" t="n"/>
      <c r="L415" s="12" t="inlineStr">
        <is>
          <t>Programada</t>
        </is>
      </c>
      <c r="M415" s="13" t="n"/>
      <c r="N415" s="14">
        <f>SI(O([@[Fecha_Programada_Inicio]]="";[@[Fecha_Inicio_Real]]="");"";SI([@[Fecha_Inicio_Real]]&lt;=[@[Fecha_Programada_Inicio]];"SÍ";"NO"))</f>
        <v/>
      </c>
      <c r="O415" s="14">
        <f>SI(O([@[Fecha_Programada_Fin]]="";[@[Fecha_Cierre_Operativo]]="");"";SI([@[Fecha_Cierre_Operativo]]&lt;=SI([@[Fecha_Nueva_Programada]]&lt;&gt;"";[@[Fecha_Nueva_Programada]];[@[Fecha_Programada_Fin]]);"SÍ";"NO"))</f>
        <v/>
      </c>
      <c r="P415" s="14">
        <f>SI(O([@[Cumpli_Ingreso]]="";[@[Cumpli_Salida]]="");"";SI(Y([@[Cumpli_Ingreso]]="SÍ";[@[Cumpli_Salida]]="SÍ");"SÍ";"NO"))</f>
        <v/>
      </c>
      <c r="Q415" s="15">
        <f>SI(O([@[Fecha_Programada_Fin]]="";[@[Fecha_Cierre_Operativo]]="");"";MAX(0;ENTERO([@[Fecha_Cierre_Operativo]])-ENTERO(SI([@[Fecha_Nueva_Programada]]&lt;&gt;"";[@[Fecha_Nueva_Programada]];[@[Fecha_Programada_Fin]])))</f>
        <v/>
      </c>
      <c r="R415" s="12" t="n"/>
      <c r="S415" s="12" t="n"/>
      <c r="T415" s="13" t="n"/>
      <c r="U415" s="12" t="n">
        <v>12</v>
      </c>
      <c r="V415" s="12" t="n"/>
      <c r="W41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15" s="14">
        <f>SI([@SBAN]="";"";BUSCARV([@SBAN];Cronograma_Maestro!$A:$M;6;FALSO))</f>
        <v/>
      </c>
    </row>
    <row r="416">
      <c r="A416" s="11" t="inlineStr">
        <is>
          <t>3908</t>
        </is>
      </c>
      <c r="B416" s="12">
        <f>SI([@SBAN]="";"";BUSCARV([@SBAN];Cronograma_Maestro!$A:$M;2;FALSO))</f>
        <v/>
      </c>
      <c r="C416" s="12">
        <f>SI([@SBAN]="";"";BUSCARV([@SBAN];Cronograma_Maestro!$A:$M;3;FALSO))</f>
        <v/>
      </c>
      <c r="D416" s="12">
        <f>SI([@SBAN]="";"";BUSCARV([@SBAN];Cronograma_Maestro!$A:$M;4;FALSO))</f>
        <v/>
      </c>
      <c r="E416" s="12">
        <f>SI([@SBAN]="";"";BUSCARV([@SBAN];Cronograma_Maestro!$A:$M;5;FALSO))</f>
        <v/>
      </c>
      <c r="F416" s="12" t="inlineStr">
        <is>
          <t>HAROLD STEED GARCIA</t>
        </is>
      </c>
      <c r="G416" s="12" t="inlineStr">
        <is>
          <t>PMU COLSOF</t>
        </is>
      </c>
      <c r="H416" s="13" t="n">
        <v>46275</v>
      </c>
      <c r="I416" s="13" t="n">
        <v>46276</v>
      </c>
      <c r="J416" s="13" t="n"/>
      <c r="K416" s="13" t="n"/>
      <c r="L416" s="12" t="inlineStr">
        <is>
          <t>Programada</t>
        </is>
      </c>
      <c r="M416" s="13" t="n"/>
      <c r="N416" s="14">
        <f>SI(O([@[Fecha_Programada_Inicio]]="";[@[Fecha_Inicio_Real]]="");"";SI([@[Fecha_Inicio_Real]]&lt;=[@[Fecha_Programada_Inicio]];"SÍ";"NO"))</f>
        <v/>
      </c>
      <c r="O416" s="14">
        <f>SI(O([@[Fecha_Programada_Fin]]="";[@[Fecha_Cierre_Operativo]]="");"";SI([@[Fecha_Cierre_Operativo]]&lt;=SI([@[Fecha_Nueva_Programada]]&lt;&gt;"";[@[Fecha_Nueva_Programada]];[@[Fecha_Programada_Fin]]);"SÍ";"NO"))</f>
        <v/>
      </c>
      <c r="P416" s="14">
        <f>SI(O([@[Cumpli_Ingreso]]="";[@[Cumpli_Salida]]="");"";SI(Y([@[Cumpli_Ingreso]]="SÍ";[@[Cumpli_Salida]]="SÍ");"SÍ";"NO"))</f>
        <v/>
      </c>
      <c r="Q416" s="15">
        <f>SI(O([@[Fecha_Programada_Fin]]="";[@[Fecha_Cierre_Operativo]]="");"";MAX(0;ENTERO([@[Fecha_Cierre_Operativo]])-ENTERO(SI([@[Fecha_Nueva_Programada]]&lt;&gt;"";[@[Fecha_Nueva_Programada]];[@[Fecha_Programada_Fin]])))</f>
        <v/>
      </c>
      <c r="R416" s="12" t="n"/>
      <c r="S416" s="12" t="n"/>
      <c r="T416" s="13" t="n"/>
      <c r="U416" s="12" t="n">
        <v>15</v>
      </c>
      <c r="V416" s="12" t="n"/>
      <c r="W41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16" s="14">
        <f>SI([@SBAN]="";"";BUSCARV([@SBAN];Cronograma_Maestro!$A:$M;6;FALSO))</f>
        <v/>
      </c>
    </row>
    <row r="417">
      <c r="A417" s="11" t="inlineStr">
        <is>
          <t>3910</t>
        </is>
      </c>
      <c r="B417" s="12">
        <f>SI([@SBAN]="";"";BUSCARV([@SBAN];Cronograma_Maestro!$A:$M;2;FALSO))</f>
        <v/>
      </c>
      <c r="C417" s="12">
        <f>SI([@SBAN]="";"";BUSCARV([@SBAN];Cronograma_Maestro!$A:$M;3;FALSO))</f>
        <v/>
      </c>
      <c r="D417" s="12">
        <f>SI([@SBAN]="";"";BUSCARV([@SBAN];Cronograma_Maestro!$A:$M;4;FALSO))</f>
        <v/>
      </c>
      <c r="E417" s="12">
        <f>SI([@SBAN]="";"";BUSCARV([@SBAN];Cronograma_Maestro!$A:$M;5;FALSO))</f>
        <v/>
      </c>
      <c r="F417" s="12" t="inlineStr">
        <is>
          <t>HAROLD STEED GARCIA</t>
        </is>
      </c>
      <c r="G417" s="12" t="inlineStr">
        <is>
          <t>PMU COLSOF</t>
        </is>
      </c>
      <c r="H417" s="13" t="n">
        <v>46267</v>
      </c>
      <c r="I417" s="13" t="n">
        <v>46268</v>
      </c>
      <c r="J417" s="13" t="n"/>
      <c r="K417" s="13" t="n"/>
      <c r="L417" s="12" t="inlineStr">
        <is>
          <t>Programada</t>
        </is>
      </c>
      <c r="M417" s="13" t="n"/>
      <c r="N417" s="14">
        <f>SI(O([@[Fecha_Programada_Inicio]]="";[@[Fecha_Inicio_Real]]="");"";SI([@[Fecha_Inicio_Real]]&lt;=[@[Fecha_Programada_Inicio]];"SÍ";"NO"))</f>
        <v/>
      </c>
      <c r="O417" s="14">
        <f>SI(O([@[Fecha_Programada_Fin]]="";[@[Fecha_Cierre_Operativo]]="");"";SI([@[Fecha_Cierre_Operativo]]&lt;=SI([@[Fecha_Nueva_Programada]]&lt;&gt;"";[@[Fecha_Nueva_Programada]];[@[Fecha_Programada_Fin]]);"SÍ";"NO"))</f>
        <v/>
      </c>
      <c r="P417" s="14">
        <f>SI(O([@[Cumpli_Ingreso]]="";[@[Cumpli_Salida]]="");"";SI(Y([@[Cumpli_Ingreso]]="SÍ";[@[Cumpli_Salida]]="SÍ");"SÍ";"NO"))</f>
        <v/>
      </c>
      <c r="Q417" s="15">
        <f>SI(O([@[Fecha_Programada_Fin]]="";[@[Fecha_Cierre_Operativo]]="");"";MAX(0;ENTERO([@[Fecha_Cierre_Operativo]])-ENTERO(SI([@[Fecha_Nueva_Programada]]&lt;&gt;"";[@[Fecha_Nueva_Programada]];[@[Fecha_Programada_Fin]])))</f>
        <v/>
      </c>
      <c r="R417" s="12" t="n"/>
      <c r="S417" s="12" t="n"/>
      <c r="T417" s="13" t="n"/>
      <c r="U417" s="12" t="n">
        <v>14</v>
      </c>
      <c r="V417" s="12" t="n"/>
      <c r="W41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17" s="14">
        <f>SI([@SBAN]="";"";BUSCARV([@SBAN];Cronograma_Maestro!$A:$M;6;FALSO))</f>
        <v/>
      </c>
    </row>
    <row r="418">
      <c r="A418" s="11" t="inlineStr">
        <is>
          <t>3913</t>
        </is>
      </c>
      <c r="B418" s="12">
        <f>SI([@SBAN]="";"";BUSCARV([@SBAN];Cronograma_Maestro!$A:$M;2;FALSO))</f>
        <v/>
      </c>
      <c r="C418" s="12">
        <f>SI([@SBAN]="";"";BUSCARV([@SBAN];Cronograma_Maestro!$A:$M;3;FALSO))</f>
        <v/>
      </c>
      <c r="D418" s="12">
        <f>SI([@SBAN]="";"";BUSCARV([@SBAN];Cronograma_Maestro!$A:$M;4;FALSO))</f>
        <v/>
      </c>
      <c r="E418" s="12">
        <f>SI([@SBAN]="";"";BUSCARV([@SBAN];Cronograma_Maestro!$A:$M;5;FALSO))</f>
        <v/>
      </c>
      <c r="F418" s="12" t="inlineStr">
        <is>
          <t>ERIKA VARGAS</t>
        </is>
      </c>
      <c r="G418" s="12" t="inlineStr">
        <is>
          <t>PMU COLSOF</t>
        </is>
      </c>
      <c r="H418" s="13" t="n">
        <v>46286</v>
      </c>
      <c r="I418" s="13" t="n">
        <v>46286</v>
      </c>
      <c r="J418" s="13" t="n"/>
      <c r="K418" s="13" t="n"/>
      <c r="L418" s="12" t="inlineStr">
        <is>
          <t>Programada</t>
        </is>
      </c>
      <c r="M418" s="13" t="n"/>
      <c r="N418" s="14">
        <f>SI(O([@[Fecha_Programada_Inicio]]="";[@[Fecha_Inicio_Real]]="");"";SI([@[Fecha_Inicio_Real]]&lt;=[@[Fecha_Programada_Inicio]];"SÍ";"NO"))</f>
        <v/>
      </c>
      <c r="O418" s="14">
        <f>SI(O([@[Fecha_Programada_Fin]]="";[@[Fecha_Cierre_Operativo]]="");"";SI([@[Fecha_Cierre_Operativo]]&lt;=SI([@[Fecha_Nueva_Programada]]&lt;&gt;"";[@[Fecha_Nueva_Programada]];[@[Fecha_Programada_Fin]]);"SÍ";"NO"))</f>
        <v/>
      </c>
      <c r="P418" s="14">
        <f>SI(O([@[Cumpli_Ingreso]]="";[@[Cumpli_Salida]]="");"";SI(Y([@[Cumpli_Ingreso]]="SÍ";[@[Cumpli_Salida]]="SÍ");"SÍ";"NO"))</f>
        <v/>
      </c>
      <c r="Q418" s="15">
        <f>SI(O([@[Fecha_Programada_Fin]]="";[@[Fecha_Cierre_Operativo]]="");"";MAX(0;ENTERO([@[Fecha_Cierre_Operativo]])-ENTERO(SI([@[Fecha_Nueva_Programada]]&lt;&gt;"";[@[Fecha_Nueva_Programada]];[@[Fecha_Programada_Fin]])))</f>
        <v/>
      </c>
      <c r="R418" s="12" t="n"/>
      <c r="S418" s="12" t="n"/>
      <c r="T418" s="13" t="n"/>
      <c r="U418" s="12" t="n">
        <v>28</v>
      </c>
      <c r="V418" s="12" t="n"/>
      <c r="W41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18" s="14">
        <f>SI([@SBAN]="";"";BUSCARV([@SBAN];Cronograma_Maestro!$A:$M;6;FALSO))</f>
        <v/>
      </c>
    </row>
    <row r="419">
      <c r="A419" s="11" t="inlineStr">
        <is>
          <t>3914</t>
        </is>
      </c>
      <c r="B419" s="12">
        <f>SI([@SBAN]="";"";BUSCARV([@SBAN];Cronograma_Maestro!$A:$M;2;FALSO))</f>
        <v/>
      </c>
      <c r="C419" s="12">
        <f>SI([@SBAN]="";"";BUSCARV([@SBAN];Cronograma_Maestro!$A:$M;3;FALSO))</f>
        <v/>
      </c>
      <c r="D419" s="12">
        <f>SI([@SBAN]="";"";BUSCARV([@SBAN];Cronograma_Maestro!$A:$M;4;FALSO))</f>
        <v/>
      </c>
      <c r="E419" s="12">
        <f>SI([@SBAN]="";"";BUSCARV([@SBAN];Cronograma_Maestro!$A:$M;5;FALSO))</f>
        <v/>
      </c>
      <c r="F419" s="12" t="inlineStr">
        <is>
          <t>ERIKA VARGAS</t>
        </is>
      </c>
      <c r="G419" s="12" t="inlineStr">
        <is>
          <t>PMU COLSOF</t>
        </is>
      </c>
      <c r="H419" s="13" t="n">
        <v>46272</v>
      </c>
      <c r="I419" s="13" t="n">
        <v>46272</v>
      </c>
      <c r="J419" s="13" t="n"/>
      <c r="K419" s="13" t="n"/>
      <c r="L419" s="12" t="inlineStr">
        <is>
          <t>Programada</t>
        </is>
      </c>
      <c r="M419" s="13" t="n"/>
      <c r="N419" s="14">
        <f>SI(O([@[Fecha_Programada_Inicio]]="";[@[Fecha_Inicio_Real]]="");"";SI([@[Fecha_Inicio_Real]]&lt;=[@[Fecha_Programada_Inicio]];"SÍ";"NO"))</f>
        <v/>
      </c>
      <c r="O419" s="14">
        <f>SI(O([@[Fecha_Programada_Fin]]="";[@[Fecha_Cierre_Operativo]]="");"";SI([@[Fecha_Cierre_Operativo]]&lt;=SI([@[Fecha_Nueva_Programada]]&lt;&gt;"";[@[Fecha_Nueva_Programada]];[@[Fecha_Programada_Fin]]);"SÍ";"NO"))</f>
        <v/>
      </c>
      <c r="P419" s="14">
        <f>SI(O([@[Cumpli_Ingreso]]="";[@[Cumpli_Salida]]="");"";SI(Y([@[Cumpli_Ingreso]]="SÍ";[@[Cumpli_Salida]]="SÍ");"SÍ";"NO"))</f>
        <v/>
      </c>
      <c r="Q419" s="15">
        <f>SI(O([@[Fecha_Programada_Fin]]="";[@[Fecha_Cierre_Operativo]]="");"";MAX(0;ENTERO([@[Fecha_Cierre_Operativo]])-ENTERO(SI([@[Fecha_Nueva_Programada]]&lt;&gt;"";[@[Fecha_Nueva_Programada]];[@[Fecha_Programada_Fin]])))</f>
        <v/>
      </c>
      <c r="R419" s="12" t="n"/>
      <c r="S419" s="12" t="n"/>
      <c r="T419" s="13" t="n"/>
      <c r="U419" s="12" t="n">
        <v>19</v>
      </c>
      <c r="V419" s="12" t="n"/>
      <c r="W41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19" s="14">
        <f>SI([@SBAN]="";"";BUSCARV([@SBAN];Cronograma_Maestro!$A:$M;6;FALSO))</f>
        <v/>
      </c>
    </row>
    <row r="420">
      <c r="A420" s="11" t="inlineStr">
        <is>
          <t>3915</t>
        </is>
      </c>
      <c r="B420" s="12">
        <f>SI([@SBAN]="";"";BUSCARV([@SBAN];Cronograma_Maestro!$A:$M;2;FALSO))</f>
        <v/>
      </c>
      <c r="C420" s="12">
        <f>SI([@SBAN]="";"";BUSCARV([@SBAN];Cronograma_Maestro!$A:$M;3;FALSO))</f>
        <v/>
      </c>
      <c r="D420" s="12">
        <f>SI([@SBAN]="";"";BUSCARV([@SBAN];Cronograma_Maestro!$A:$M;4;FALSO))</f>
        <v/>
      </c>
      <c r="E420" s="12">
        <f>SI([@SBAN]="";"";BUSCARV([@SBAN];Cronograma_Maestro!$A:$M;5;FALSO))</f>
        <v/>
      </c>
      <c r="F420" s="12" t="inlineStr">
        <is>
          <t>ERIKA VARGAS</t>
        </is>
      </c>
      <c r="G420" s="12" t="inlineStr">
        <is>
          <t>PMU COLSOF</t>
        </is>
      </c>
      <c r="H420" s="13" t="n">
        <v>46335</v>
      </c>
      <c r="I420" s="13" t="n">
        <v>46335</v>
      </c>
      <c r="J420" s="13" t="n"/>
      <c r="K420" s="13" t="n"/>
      <c r="L420" s="12" t="inlineStr">
        <is>
          <t>Programada</t>
        </is>
      </c>
      <c r="M420" s="13" t="n"/>
      <c r="N420" s="14">
        <f>SI(O([@[Fecha_Programada_Inicio]]="";[@[Fecha_Inicio_Real]]="");"";SI([@[Fecha_Inicio_Real]]&lt;=[@[Fecha_Programada_Inicio]];"SÍ";"NO"))</f>
        <v/>
      </c>
      <c r="O420" s="14">
        <f>SI(O([@[Fecha_Programada_Fin]]="";[@[Fecha_Cierre_Operativo]]="");"";SI([@[Fecha_Cierre_Operativo]]&lt;=SI([@[Fecha_Nueva_Programada]]&lt;&gt;"";[@[Fecha_Nueva_Programada]];[@[Fecha_Programada_Fin]]);"SÍ";"NO"))</f>
        <v/>
      </c>
      <c r="P420" s="14">
        <f>SI(O([@[Cumpli_Ingreso]]="";[@[Cumpli_Salida]]="");"";SI(Y([@[Cumpli_Ingreso]]="SÍ";[@[Cumpli_Salida]]="SÍ");"SÍ";"NO"))</f>
        <v/>
      </c>
      <c r="Q420" s="15">
        <f>SI(O([@[Fecha_Programada_Fin]]="";[@[Fecha_Cierre_Operativo]]="");"";MAX(0;ENTERO([@[Fecha_Cierre_Operativo]])-ENTERO(SI([@[Fecha_Nueva_Programada]]&lt;&gt;"";[@[Fecha_Nueva_Programada]];[@[Fecha_Programada_Fin]])))</f>
        <v/>
      </c>
      <c r="R420" s="12" t="n"/>
      <c r="S420" s="12" t="n"/>
      <c r="T420" s="13" t="n"/>
      <c r="U420" s="12" t="n">
        <v>12</v>
      </c>
      <c r="V420" s="12" t="n"/>
      <c r="W42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20" s="14">
        <f>SI([@SBAN]="";"";BUSCARV([@SBAN];Cronograma_Maestro!$A:$M;6;FALSO))</f>
        <v/>
      </c>
    </row>
    <row r="421">
      <c r="A421" s="11" t="inlineStr">
        <is>
          <t>3916</t>
        </is>
      </c>
      <c r="B421" s="12">
        <f>SI([@SBAN]="";"";BUSCARV([@SBAN];Cronograma_Maestro!$A:$M;2;FALSO))</f>
        <v/>
      </c>
      <c r="C421" s="12">
        <f>SI([@SBAN]="";"";BUSCARV([@SBAN];Cronograma_Maestro!$A:$M;3;FALSO))</f>
        <v/>
      </c>
      <c r="D421" s="12">
        <f>SI([@SBAN]="";"";BUSCARV([@SBAN];Cronograma_Maestro!$A:$M;4;FALSO))</f>
        <v/>
      </c>
      <c r="E421" s="12">
        <f>SI([@SBAN]="";"";BUSCARV([@SBAN];Cronograma_Maestro!$A:$M;5;FALSO))</f>
        <v/>
      </c>
      <c r="F421" s="12" t="inlineStr">
        <is>
          <t>VICTOR ALFONSO ULLOA ACOSTA</t>
        </is>
      </c>
      <c r="G421" s="12" t="inlineStr">
        <is>
          <t>PMU COLSOF</t>
        </is>
      </c>
      <c r="H421" s="13" t="n">
        <v>46315</v>
      </c>
      <c r="I421" s="13" t="n">
        <v>46318</v>
      </c>
      <c r="J421" s="13" t="n"/>
      <c r="K421" s="13" t="n"/>
      <c r="L421" s="12" t="inlineStr">
        <is>
          <t>Programada</t>
        </is>
      </c>
      <c r="M421" s="13" t="n"/>
      <c r="N421" s="14">
        <f>SI(O([@[Fecha_Programada_Inicio]]="";[@[Fecha_Inicio_Real]]="");"";SI([@[Fecha_Inicio_Real]]&lt;=[@[Fecha_Programada_Inicio]];"SÍ";"NO"))</f>
        <v/>
      </c>
      <c r="O421" s="14">
        <f>SI(O([@[Fecha_Programada_Fin]]="";[@[Fecha_Cierre_Operativo]]="");"";SI([@[Fecha_Cierre_Operativo]]&lt;=SI([@[Fecha_Nueva_Programada]]&lt;&gt;"";[@[Fecha_Nueva_Programada]];[@[Fecha_Programada_Fin]]);"SÍ";"NO"))</f>
        <v/>
      </c>
      <c r="P421" s="14">
        <f>SI(O([@[Cumpli_Ingreso]]="";[@[Cumpli_Salida]]="");"";SI(Y([@[Cumpli_Ingreso]]="SÍ";[@[Cumpli_Salida]]="SÍ");"SÍ";"NO"))</f>
        <v/>
      </c>
      <c r="Q421" s="15">
        <f>SI(O([@[Fecha_Programada_Fin]]="";[@[Fecha_Cierre_Operativo]]="");"";MAX(0;ENTERO([@[Fecha_Cierre_Operativo]])-ENTERO(SI([@[Fecha_Nueva_Programada]]&lt;&gt;"";[@[Fecha_Nueva_Programada]];[@[Fecha_Programada_Fin]])))</f>
        <v/>
      </c>
      <c r="R421" s="12" t="n"/>
      <c r="S421" s="12" t="n"/>
      <c r="T421" s="13" t="n"/>
      <c r="U421" s="12" t="n">
        <v>26</v>
      </c>
      <c r="V421" s="12" t="n"/>
      <c r="W42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21" s="14">
        <f>SI([@SBAN]="";"";BUSCARV([@SBAN];Cronograma_Maestro!$A:$M;6;FALSO))</f>
        <v/>
      </c>
    </row>
    <row r="422">
      <c r="A422" s="11" t="inlineStr">
        <is>
          <t>3918</t>
        </is>
      </c>
      <c r="B422" s="12">
        <f>SI([@SBAN]="";"";BUSCARV([@SBAN];Cronograma_Maestro!$A:$M;2;FALSO))</f>
        <v/>
      </c>
      <c r="C422" s="12">
        <f>SI([@SBAN]="";"";BUSCARV([@SBAN];Cronograma_Maestro!$A:$M;3;FALSO))</f>
        <v/>
      </c>
      <c r="D422" s="12">
        <f>SI([@SBAN]="";"";BUSCARV([@SBAN];Cronograma_Maestro!$A:$M;4;FALSO))</f>
        <v/>
      </c>
      <c r="E422" s="12">
        <f>SI([@SBAN]="";"";BUSCARV([@SBAN];Cronograma_Maestro!$A:$M;5;FALSO))</f>
        <v/>
      </c>
      <c r="F422" s="12" t="inlineStr">
        <is>
          <t>ERIKA VARGAS</t>
        </is>
      </c>
      <c r="G422" s="12" t="inlineStr">
        <is>
          <t>PMU COLSOF</t>
        </is>
      </c>
      <c r="H422" s="13" t="n">
        <v>46275</v>
      </c>
      <c r="I422" s="13" t="n">
        <v>46275</v>
      </c>
      <c r="J422" s="13" t="n"/>
      <c r="K422" s="13" t="n"/>
      <c r="L422" s="12" t="inlineStr">
        <is>
          <t>Programada</t>
        </is>
      </c>
      <c r="M422" s="13" t="n"/>
      <c r="N422" s="14">
        <f>SI(O([@[Fecha_Programada_Inicio]]="";[@[Fecha_Inicio_Real]]="");"";SI([@[Fecha_Inicio_Real]]&lt;=[@[Fecha_Programada_Inicio]];"SÍ";"NO"))</f>
        <v/>
      </c>
      <c r="O422" s="14">
        <f>SI(O([@[Fecha_Programada_Fin]]="";[@[Fecha_Cierre_Operativo]]="");"";SI([@[Fecha_Cierre_Operativo]]&lt;=SI([@[Fecha_Nueva_Programada]]&lt;&gt;"";[@[Fecha_Nueva_Programada]];[@[Fecha_Programada_Fin]]);"SÍ";"NO"))</f>
        <v/>
      </c>
      <c r="P422" s="14">
        <f>SI(O([@[Cumpli_Ingreso]]="";[@[Cumpli_Salida]]="");"";SI(Y([@[Cumpli_Ingreso]]="SÍ";[@[Cumpli_Salida]]="SÍ");"SÍ";"NO"))</f>
        <v/>
      </c>
      <c r="Q422" s="15">
        <f>SI(O([@[Fecha_Programada_Fin]]="";[@[Fecha_Cierre_Operativo]]="");"";MAX(0;ENTERO([@[Fecha_Cierre_Operativo]])-ENTERO(SI([@[Fecha_Nueva_Programada]]&lt;&gt;"";[@[Fecha_Nueva_Programada]];[@[Fecha_Programada_Fin]])))</f>
        <v/>
      </c>
      <c r="R422" s="12" t="n"/>
      <c r="S422" s="12" t="n"/>
      <c r="T422" s="13" t="n"/>
      <c r="U422" s="12" t="n">
        <v>25</v>
      </c>
      <c r="V422" s="12" t="n"/>
      <c r="W42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22" s="14">
        <f>SI([@SBAN]="";"";BUSCARV([@SBAN];Cronograma_Maestro!$A:$M;6;FALSO))</f>
        <v/>
      </c>
    </row>
    <row r="423">
      <c r="A423" s="11" t="inlineStr">
        <is>
          <t>3920</t>
        </is>
      </c>
      <c r="B423" s="12">
        <f>SI([@SBAN]="";"";BUSCARV([@SBAN];Cronograma_Maestro!$A:$M;2;FALSO))</f>
        <v/>
      </c>
      <c r="C423" s="12">
        <f>SI([@SBAN]="";"";BUSCARV([@SBAN];Cronograma_Maestro!$A:$M;3;FALSO))</f>
        <v/>
      </c>
      <c r="D423" s="12">
        <f>SI([@SBAN]="";"";BUSCARV([@SBAN];Cronograma_Maestro!$A:$M;4;FALSO))</f>
        <v/>
      </c>
      <c r="E423" s="12">
        <f>SI([@SBAN]="";"";BUSCARV([@SBAN];Cronograma_Maestro!$A:$M;5;FALSO))</f>
        <v/>
      </c>
      <c r="F423" s="12" t="inlineStr">
        <is>
          <t>ERIKA VARGAS</t>
        </is>
      </c>
      <c r="G423" s="12" t="inlineStr">
        <is>
          <t>PMU COLSOF</t>
        </is>
      </c>
      <c r="H423" s="13" t="n">
        <v>46310</v>
      </c>
      <c r="I423" s="13" t="n">
        <v>46310</v>
      </c>
      <c r="J423" s="13" t="n"/>
      <c r="K423" s="13" t="n"/>
      <c r="L423" s="12" t="inlineStr">
        <is>
          <t>Programada</t>
        </is>
      </c>
      <c r="M423" s="13" t="n"/>
      <c r="N423" s="14">
        <f>SI(O([@[Fecha_Programada_Inicio]]="";[@[Fecha_Inicio_Real]]="");"";SI([@[Fecha_Inicio_Real]]&lt;=[@[Fecha_Programada_Inicio]];"SÍ";"NO"))</f>
        <v/>
      </c>
      <c r="O423" s="14">
        <f>SI(O([@[Fecha_Programada_Fin]]="";[@[Fecha_Cierre_Operativo]]="");"";SI([@[Fecha_Cierre_Operativo]]&lt;=SI([@[Fecha_Nueva_Programada]]&lt;&gt;"";[@[Fecha_Nueva_Programada]];[@[Fecha_Programada_Fin]]);"SÍ";"NO"))</f>
        <v/>
      </c>
      <c r="P423" s="14">
        <f>SI(O([@[Cumpli_Ingreso]]="";[@[Cumpli_Salida]]="");"";SI(Y([@[Cumpli_Ingreso]]="SÍ";[@[Cumpli_Salida]]="SÍ");"SÍ";"NO"))</f>
        <v/>
      </c>
      <c r="Q423" s="15">
        <f>SI(O([@[Fecha_Programada_Fin]]="";[@[Fecha_Cierre_Operativo]]="");"";MAX(0;ENTERO([@[Fecha_Cierre_Operativo]])-ENTERO(SI([@[Fecha_Nueva_Programada]]&lt;&gt;"";[@[Fecha_Nueva_Programada]];[@[Fecha_Programada_Fin]])))</f>
        <v/>
      </c>
      <c r="R423" s="12" t="n"/>
      <c r="S423" s="12" t="n"/>
      <c r="T423" s="13" t="n"/>
      <c r="U423" s="12" t="n">
        <v>17</v>
      </c>
      <c r="V423" s="12" t="n"/>
      <c r="W42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23" s="14">
        <f>SI([@SBAN]="";"";BUSCARV([@SBAN];Cronograma_Maestro!$A:$M;6;FALSO))</f>
        <v/>
      </c>
    </row>
    <row r="424">
      <c r="A424" s="11" t="inlineStr">
        <is>
          <t>3912</t>
        </is>
      </c>
      <c r="B424" s="12">
        <f>SI([@SBAN]="";"";BUSCARV([@SBAN];Cronograma_Maestro!$A:$M;2;FALSO))</f>
        <v/>
      </c>
      <c r="C424" s="12">
        <f>SI([@SBAN]="";"";BUSCARV([@SBAN];Cronograma_Maestro!$A:$M;3;FALSO))</f>
        <v/>
      </c>
      <c r="D424" s="12">
        <f>SI([@SBAN]="";"";BUSCARV([@SBAN];Cronograma_Maestro!$A:$M;4;FALSO))</f>
        <v/>
      </c>
      <c r="E424" s="12">
        <f>SI([@SBAN]="";"";BUSCARV([@SBAN];Cronograma_Maestro!$A:$M;5;FALSO))</f>
        <v/>
      </c>
      <c r="F424" s="12" t="inlineStr">
        <is>
          <t>HAROLD STEED GARCIA</t>
        </is>
      </c>
      <c r="G424" s="12" t="inlineStr">
        <is>
          <t>PMU COLSOF</t>
        </is>
      </c>
      <c r="H424" s="13" t="n">
        <v>46268</v>
      </c>
      <c r="I424" s="13" t="n">
        <v>46269</v>
      </c>
      <c r="J424" s="13" t="n"/>
      <c r="K424" s="13" t="n"/>
      <c r="L424" s="12" t="inlineStr">
        <is>
          <t>Programada</t>
        </is>
      </c>
      <c r="M424" s="13" t="n"/>
      <c r="N424" s="14">
        <f>SI(O([@[Fecha_Programada_Inicio]]="";[@[Fecha_Inicio_Real]]="");"";SI([@[Fecha_Inicio_Real]]&lt;=[@[Fecha_Programada_Inicio]];"SÍ";"NO"))</f>
        <v/>
      </c>
      <c r="O424" s="14">
        <f>SI(O([@[Fecha_Programada_Fin]]="";[@[Fecha_Cierre_Operativo]]="");"";SI([@[Fecha_Cierre_Operativo]]&lt;=SI([@[Fecha_Nueva_Programada]]&lt;&gt;"";[@[Fecha_Nueva_Programada]];[@[Fecha_Programada_Fin]]);"SÍ";"NO"))</f>
        <v/>
      </c>
      <c r="P424" s="14">
        <f>SI(O([@[Cumpli_Ingreso]]="";[@[Cumpli_Salida]]="");"";SI(Y([@[Cumpli_Ingreso]]="SÍ";[@[Cumpli_Salida]]="SÍ");"SÍ";"NO"))</f>
        <v/>
      </c>
      <c r="Q424" s="15">
        <f>SI(O([@[Fecha_Programada_Fin]]="";[@[Fecha_Cierre_Operativo]]="");"";MAX(0;ENTERO([@[Fecha_Cierre_Operativo]])-ENTERO(SI([@[Fecha_Nueva_Programada]]&lt;&gt;"";[@[Fecha_Nueva_Programada]];[@[Fecha_Programada_Fin]])))</f>
        <v/>
      </c>
      <c r="R424" s="12" t="n"/>
      <c r="S424" s="12" t="n"/>
      <c r="T424" s="13" t="n"/>
      <c r="U424" s="12" t="n">
        <v>11</v>
      </c>
      <c r="V424" s="12" t="n"/>
      <c r="W42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24" s="14">
        <f>SI([@SBAN]="";"";BUSCARV([@SBAN];Cronograma_Maestro!$A:$M;6;FALSO))</f>
        <v/>
      </c>
    </row>
    <row r="425">
      <c r="A425" s="11" t="inlineStr">
        <is>
          <t>3922</t>
        </is>
      </c>
      <c r="B425" s="12">
        <f>SI([@SBAN]="";"";BUSCARV([@SBAN];Cronograma_Maestro!$A:$M;2;FALSO))</f>
        <v/>
      </c>
      <c r="C425" s="12">
        <f>SI([@SBAN]="";"";BUSCARV([@SBAN];Cronograma_Maestro!$A:$M;3;FALSO))</f>
        <v/>
      </c>
      <c r="D425" s="12">
        <f>SI([@SBAN]="";"";BUSCARV([@SBAN];Cronograma_Maestro!$A:$M;4;FALSO))</f>
        <v/>
      </c>
      <c r="E425" s="12">
        <f>SI([@SBAN]="";"";BUSCARV([@SBAN];Cronograma_Maestro!$A:$M;5;FALSO))</f>
        <v/>
      </c>
      <c r="F425" s="12" t="inlineStr">
        <is>
          <t>ERIKA VARGAS</t>
        </is>
      </c>
      <c r="G425" s="12" t="inlineStr">
        <is>
          <t>PMU COLSOF</t>
        </is>
      </c>
      <c r="H425" s="13" t="n">
        <v>46274</v>
      </c>
      <c r="I425" s="13" t="n">
        <v>46274</v>
      </c>
      <c r="J425" s="13" t="n"/>
      <c r="K425" s="13" t="n"/>
      <c r="L425" s="12" t="inlineStr">
        <is>
          <t>Programada</t>
        </is>
      </c>
      <c r="M425" s="13" t="n"/>
      <c r="N425" s="14">
        <f>SI(O([@[Fecha_Programada_Inicio]]="";[@[Fecha_Inicio_Real]]="");"";SI([@[Fecha_Inicio_Real]]&lt;=[@[Fecha_Programada_Inicio]];"SÍ";"NO"))</f>
        <v/>
      </c>
      <c r="O425" s="14">
        <f>SI(O([@[Fecha_Programada_Fin]]="";[@[Fecha_Cierre_Operativo]]="");"";SI([@[Fecha_Cierre_Operativo]]&lt;=SI([@[Fecha_Nueva_Programada]]&lt;&gt;"";[@[Fecha_Nueva_Programada]];[@[Fecha_Programada_Fin]]);"SÍ";"NO"))</f>
        <v/>
      </c>
      <c r="P425" s="14">
        <f>SI(O([@[Cumpli_Ingreso]]="";[@[Cumpli_Salida]]="");"";SI(Y([@[Cumpli_Ingreso]]="SÍ";[@[Cumpli_Salida]]="SÍ");"SÍ";"NO"))</f>
        <v/>
      </c>
      <c r="Q425" s="15">
        <f>SI(O([@[Fecha_Programada_Fin]]="";[@[Fecha_Cierre_Operativo]]="");"";MAX(0;ENTERO([@[Fecha_Cierre_Operativo]])-ENTERO(SI([@[Fecha_Nueva_Programada]]&lt;&gt;"";[@[Fecha_Nueva_Programada]];[@[Fecha_Programada_Fin]])))</f>
        <v/>
      </c>
      <c r="R425" s="12" t="n"/>
      <c r="S425" s="12" t="n"/>
      <c r="T425" s="13" t="n"/>
      <c r="U425" s="12" t="n">
        <v>14</v>
      </c>
      <c r="V425" s="12" t="n"/>
      <c r="W42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25" s="14">
        <f>SI([@SBAN]="";"";BUSCARV([@SBAN];Cronograma_Maestro!$A:$M;6;FALSO))</f>
        <v/>
      </c>
    </row>
    <row r="426">
      <c r="A426" s="11" t="inlineStr">
        <is>
          <t>3923</t>
        </is>
      </c>
      <c r="B426" s="12">
        <f>SI([@SBAN]="";"";BUSCARV([@SBAN];Cronograma_Maestro!$A:$M;2;FALSO))</f>
        <v/>
      </c>
      <c r="C426" s="12">
        <f>SI([@SBAN]="";"";BUSCARV([@SBAN];Cronograma_Maestro!$A:$M;3;FALSO))</f>
        <v/>
      </c>
      <c r="D426" s="12">
        <f>SI([@SBAN]="";"";BUSCARV([@SBAN];Cronograma_Maestro!$A:$M;4;FALSO))</f>
        <v/>
      </c>
      <c r="E426" s="12">
        <f>SI([@SBAN]="";"";BUSCARV([@SBAN];Cronograma_Maestro!$A:$M;5;FALSO))</f>
        <v/>
      </c>
      <c r="F426" s="12" t="inlineStr">
        <is>
          <t>ERIKA VARGAS</t>
        </is>
      </c>
      <c r="G426" s="12" t="inlineStr">
        <is>
          <t>PMU COLSOF</t>
        </is>
      </c>
      <c r="H426" s="13" t="n">
        <v>46282</v>
      </c>
      <c r="I426" s="13" t="n">
        <v>46282</v>
      </c>
      <c r="J426" s="13" t="n"/>
      <c r="K426" s="13" t="n"/>
      <c r="L426" s="12" t="inlineStr">
        <is>
          <t>Programada</t>
        </is>
      </c>
      <c r="M426" s="13" t="n"/>
      <c r="N426" s="14">
        <f>SI(O([@[Fecha_Programada_Inicio]]="";[@[Fecha_Inicio_Real]]="");"";SI([@[Fecha_Inicio_Real]]&lt;=[@[Fecha_Programada_Inicio]];"SÍ";"NO"))</f>
        <v/>
      </c>
      <c r="O426" s="14">
        <f>SI(O([@[Fecha_Programada_Fin]]="";[@[Fecha_Cierre_Operativo]]="");"";SI([@[Fecha_Cierre_Operativo]]&lt;=SI([@[Fecha_Nueva_Programada]]&lt;&gt;"";[@[Fecha_Nueva_Programada]];[@[Fecha_Programada_Fin]]);"SÍ";"NO"))</f>
        <v/>
      </c>
      <c r="P426" s="14">
        <f>SI(O([@[Cumpli_Ingreso]]="";[@[Cumpli_Salida]]="");"";SI(Y([@[Cumpli_Ingreso]]="SÍ";[@[Cumpli_Salida]]="SÍ");"SÍ";"NO"))</f>
        <v/>
      </c>
      <c r="Q426" s="15">
        <f>SI(O([@[Fecha_Programada_Fin]]="";[@[Fecha_Cierre_Operativo]]="");"";MAX(0;ENTERO([@[Fecha_Cierre_Operativo]])-ENTERO(SI([@[Fecha_Nueva_Programada]]&lt;&gt;"";[@[Fecha_Nueva_Programada]];[@[Fecha_Programada_Fin]])))</f>
        <v/>
      </c>
      <c r="R426" s="12" t="n"/>
      <c r="S426" s="12" t="n"/>
      <c r="T426" s="13" t="n"/>
      <c r="U426" s="12" t="n">
        <v>12</v>
      </c>
      <c r="V426" s="12" t="n"/>
      <c r="W42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26" s="14">
        <f>SI([@SBAN]="";"";BUSCARV([@SBAN];Cronograma_Maestro!$A:$M;6;FALSO))</f>
        <v/>
      </c>
    </row>
    <row r="427">
      <c r="A427" s="11" t="inlineStr">
        <is>
          <t>3925</t>
        </is>
      </c>
      <c r="B427" s="12">
        <f>SI([@SBAN]="";"";BUSCARV([@SBAN];Cronograma_Maestro!$A:$M;2;FALSO))</f>
        <v/>
      </c>
      <c r="C427" s="12">
        <f>SI([@SBAN]="";"";BUSCARV([@SBAN];Cronograma_Maestro!$A:$M;3;FALSO))</f>
        <v/>
      </c>
      <c r="D427" s="12">
        <f>SI([@SBAN]="";"";BUSCARV([@SBAN];Cronograma_Maestro!$A:$M;4;FALSO))</f>
        <v/>
      </c>
      <c r="E427" s="12">
        <f>SI([@SBAN]="";"";BUSCARV([@SBAN];Cronograma_Maestro!$A:$M;5;FALSO))</f>
        <v/>
      </c>
      <c r="F427" s="12" t="inlineStr">
        <is>
          <t>ERIKA VARGAS</t>
        </is>
      </c>
      <c r="G427" s="12" t="inlineStr">
        <is>
          <t>PMU COLSOF</t>
        </is>
      </c>
      <c r="H427" s="13" t="n">
        <v>46269</v>
      </c>
      <c r="I427" s="13" t="n">
        <v>46269</v>
      </c>
      <c r="J427" s="13" t="n"/>
      <c r="K427" s="13" t="n"/>
      <c r="L427" s="12" t="inlineStr">
        <is>
          <t>Programada</t>
        </is>
      </c>
      <c r="M427" s="13" t="n"/>
      <c r="N427" s="14">
        <f>SI(O([@[Fecha_Programada_Inicio]]="";[@[Fecha_Inicio_Real]]="");"";SI([@[Fecha_Inicio_Real]]&lt;=[@[Fecha_Programada_Inicio]];"SÍ";"NO"))</f>
        <v/>
      </c>
      <c r="O427" s="14">
        <f>SI(O([@[Fecha_Programada_Fin]]="";[@[Fecha_Cierre_Operativo]]="");"";SI([@[Fecha_Cierre_Operativo]]&lt;=SI([@[Fecha_Nueva_Programada]]&lt;&gt;"";[@[Fecha_Nueva_Programada]];[@[Fecha_Programada_Fin]]);"SÍ";"NO"))</f>
        <v/>
      </c>
      <c r="P427" s="14">
        <f>SI(O([@[Cumpli_Ingreso]]="";[@[Cumpli_Salida]]="");"";SI(Y([@[Cumpli_Ingreso]]="SÍ";[@[Cumpli_Salida]]="SÍ");"SÍ";"NO"))</f>
        <v/>
      </c>
      <c r="Q427" s="15">
        <f>SI(O([@[Fecha_Programada_Fin]]="";[@[Fecha_Cierre_Operativo]]="");"";MAX(0;ENTERO([@[Fecha_Cierre_Operativo]])-ENTERO(SI([@[Fecha_Nueva_Programada]]&lt;&gt;"";[@[Fecha_Nueva_Programada]];[@[Fecha_Programada_Fin]])))</f>
        <v/>
      </c>
      <c r="R427" s="12" t="n"/>
      <c r="S427" s="12" t="n"/>
      <c r="T427" s="13" t="n"/>
      <c r="U427" s="12" t="n">
        <v>17</v>
      </c>
      <c r="V427" s="12" t="n"/>
      <c r="W42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27" s="14">
        <f>SI([@SBAN]="";"";BUSCARV([@SBAN];Cronograma_Maestro!$A:$M;6;FALSO))</f>
        <v/>
      </c>
    </row>
    <row r="428">
      <c r="A428" s="11" t="inlineStr">
        <is>
          <t>3927</t>
        </is>
      </c>
      <c r="B428" s="12">
        <f>SI([@SBAN]="";"";BUSCARV([@SBAN];Cronograma_Maestro!$A:$M;2;FALSO))</f>
        <v/>
      </c>
      <c r="C428" s="12">
        <f>SI([@SBAN]="";"";BUSCARV([@SBAN];Cronograma_Maestro!$A:$M;3;FALSO))</f>
        <v/>
      </c>
      <c r="D428" s="12">
        <f>SI([@SBAN]="";"";BUSCARV([@SBAN];Cronograma_Maestro!$A:$M;4;FALSO))</f>
        <v/>
      </c>
      <c r="E428" s="12">
        <f>SI([@SBAN]="";"";BUSCARV([@SBAN];Cronograma_Maestro!$A:$M;5;FALSO))</f>
        <v/>
      </c>
      <c r="F428" s="12" t="inlineStr">
        <is>
          <t>ERIKA VARGAS</t>
        </is>
      </c>
      <c r="G428" s="12" t="inlineStr">
        <is>
          <t>PMU COLSOF</t>
        </is>
      </c>
      <c r="H428" s="13" t="n">
        <v>46281</v>
      </c>
      <c r="I428" s="13" t="n">
        <v>46281</v>
      </c>
      <c r="J428" s="13" t="n"/>
      <c r="K428" s="13" t="n"/>
      <c r="L428" s="12" t="inlineStr">
        <is>
          <t>Programada</t>
        </is>
      </c>
      <c r="M428" s="13" t="n"/>
      <c r="N428" s="14">
        <f>SI(O([@[Fecha_Programada_Inicio]]="";[@[Fecha_Inicio_Real]]="");"";SI([@[Fecha_Inicio_Real]]&lt;=[@[Fecha_Programada_Inicio]];"SÍ";"NO"))</f>
        <v/>
      </c>
      <c r="O428" s="14">
        <f>SI(O([@[Fecha_Programada_Fin]]="";[@[Fecha_Cierre_Operativo]]="");"";SI([@[Fecha_Cierre_Operativo]]&lt;=SI([@[Fecha_Nueva_Programada]]&lt;&gt;"";[@[Fecha_Nueva_Programada]];[@[Fecha_Programada_Fin]]);"SÍ";"NO"))</f>
        <v/>
      </c>
      <c r="P428" s="14">
        <f>SI(O([@[Cumpli_Ingreso]]="";[@[Cumpli_Salida]]="");"";SI(Y([@[Cumpli_Ingreso]]="SÍ";[@[Cumpli_Salida]]="SÍ");"SÍ";"NO"))</f>
        <v/>
      </c>
      <c r="Q428" s="15">
        <f>SI(O([@[Fecha_Programada_Fin]]="";[@[Fecha_Cierre_Operativo]]="");"";MAX(0;ENTERO([@[Fecha_Cierre_Operativo]])-ENTERO(SI([@[Fecha_Nueva_Programada]]&lt;&gt;"";[@[Fecha_Nueva_Programada]];[@[Fecha_Programada_Fin]])))</f>
        <v/>
      </c>
      <c r="R428" s="12" t="n"/>
      <c r="S428" s="12" t="n"/>
      <c r="T428" s="13" t="n"/>
      <c r="U428" s="12" t="n">
        <v>41</v>
      </c>
      <c r="V428" s="12" t="n"/>
      <c r="W42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28" s="14">
        <f>SI([@SBAN]="";"";BUSCARV([@SBAN];Cronograma_Maestro!$A:$M;6;FALSO))</f>
        <v/>
      </c>
    </row>
    <row r="429">
      <c r="A429" s="11" t="inlineStr">
        <is>
          <t>3928</t>
        </is>
      </c>
      <c r="B429" s="12">
        <f>SI([@SBAN]="";"";BUSCARV([@SBAN];Cronograma_Maestro!$A:$M;2;FALSO))</f>
        <v/>
      </c>
      <c r="C429" s="12">
        <f>SI([@SBAN]="";"";BUSCARV([@SBAN];Cronograma_Maestro!$A:$M;3;FALSO))</f>
        <v/>
      </c>
      <c r="D429" s="12">
        <f>SI([@SBAN]="";"";BUSCARV([@SBAN];Cronograma_Maestro!$A:$M;4;FALSO))</f>
        <v/>
      </c>
      <c r="E429" s="12">
        <f>SI([@SBAN]="";"";BUSCARV([@SBAN];Cronograma_Maestro!$A:$M;5;FALSO))</f>
        <v/>
      </c>
      <c r="F429" s="12" t="inlineStr">
        <is>
          <t>ERIKA VARGAS</t>
        </is>
      </c>
      <c r="G429" s="12" t="inlineStr">
        <is>
          <t>PMU COLSOF</t>
        </is>
      </c>
      <c r="H429" s="13" t="n">
        <v>46280</v>
      </c>
      <c r="I429" s="13" t="n">
        <v>46280</v>
      </c>
      <c r="J429" s="13" t="n"/>
      <c r="K429" s="13" t="n"/>
      <c r="L429" s="12" t="inlineStr">
        <is>
          <t>Programada</t>
        </is>
      </c>
      <c r="M429" s="13" t="n"/>
      <c r="N429" s="14">
        <f>SI(O([@[Fecha_Programada_Inicio]]="";[@[Fecha_Inicio_Real]]="");"";SI([@[Fecha_Inicio_Real]]&lt;=[@[Fecha_Programada_Inicio]];"SÍ";"NO"))</f>
        <v/>
      </c>
      <c r="O429" s="14">
        <f>SI(O([@[Fecha_Programada_Fin]]="";[@[Fecha_Cierre_Operativo]]="");"";SI([@[Fecha_Cierre_Operativo]]&lt;=SI([@[Fecha_Nueva_Programada]]&lt;&gt;"";[@[Fecha_Nueva_Programada]];[@[Fecha_Programada_Fin]]);"SÍ";"NO"))</f>
        <v/>
      </c>
      <c r="P429" s="14">
        <f>SI(O([@[Cumpli_Ingreso]]="";[@[Cumpli_Salida]]="");"";SI(Y([@[Cumpli_Ingreso]]="SÍ";[@[Cumpli_Salida]]="SÍ");"SÍ";"NO"))</f>
        <v/>
      </c>
      <c r="Q429" s="15">
        <f>SI(O([@[Fecha_Programada_Fin]]="";[@[Fecha_Cierre_Operativo]]="");"";MAX(0;ENTERO([@[Fecha_Cierre_Operativo]])-ENTERO(SI([@[Fecha_Nueva_Programada]]&lt;&gt;"";[@[Fecha_Nueva_Programada]];[@[Fecha_Programada_Fin]])))</f>
        <v/>
      </c>
      <c r="R429" s="12" t="n"/>
      <c r="S429" s="12" t="n"/>
      <c r="T429" s="13" t="n"/>
      <c r="U429" s="12" t="n">
        <v>17</v>
      </c>
      <c r="V429" s="12" t="n"/>
      <c r="W42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29" s="14">
        <f>SI([@SBAN]="";"";BUSCARV([@SBAN];Cronograma_Maestro!$A:$M;6;FALSO))</f>
        <v/>
      </c>
    </row>
    <row r="430">
      <c r="A430" s="11" t="inlineStr">
        <is>
          <t>3930</t>
        </is>
      </c>
      <c r="B430" s="12">
        <f>SI([@SBAN]="";"";BUSCARV([@SBAN];Cronograma_Maestro!$A:$M;2;FALSO))</f>
        <v/>
      </c>
      <c r="C430" s="12">
        <f>SI([@SBAN]="";"";BUSCARV([@SBAN];Cronograma_Maestro!$A:$M;3;FALSO))</f>
        <v/>
      </c>
      <c r="D430" s="12">
        <f>SI([@SBAN]="";"";BUSCARV([@SBAN];Cronograma_Maestro!$A:$M;4;FALSO))</f>
        <v/>
      </c>
      <c r="E430" s="12">
        <f>SI([@SBAN]="";"";BUSCARV([@SBAN];Cronograma_Maestro!$A:$M;5;FALSO))</f>
        <v/>
      </c>
      <c r="F430" s="12" t="inlineStr">
        <is>
          <t>ERIKA VARGAS</t>
        </is>
      </c>
      <c r="G430" s="12" t="inlineStr">
        <is>
          <t>PMU COLSOF</t>
        </is>
      </c>
      <c r="H430" s="13" t="n">
        <v>46273</v>
      </c>
      <c r="I430" s="13" t="n">
        <v>46273</v>
      </c>
      <c r="J430" s="13" t="n"/>
      <c r="K430" s="13" t="n"/>
      <c r="L430" s="12" t="inlineStr">
        <is>
          <t>Programada</t>
        </is>
      </c>
      <c r="M430" s="13" t="n"/>
      <c r="N430" s="14">
        <f>SI(O([@[Fecha_Programada_Inicio]]="";[@[Fecha_Inicio_Real]]="");"";SI([@[Fecha_Inicio_Real]]&lt;=[@[Fecha_Programada_Inicio]];"SÍ";"NO"))</f>
        <v/>
      </c>
      <c r="O430" s="14">
        <f>SI(O([@[Fecha_Programada_Fin]]="";[@[Fecha_Cierre_Operativo]]="");"";SI([@[Fecha_Cierre_Operativo]]&lt;=SI([@[Fecha_Nueva_Programada]]&lt;&gt;"";[@[Fecha_Nueva_Programada]];[@[Fecha_Programada_Fin]]);"SÍ";"NO"))</f>
        <v/>
      </c>
      <c r="P430" s="14">
        <f>SI(O([@[Cumpli_Ingreso]]="";[@[Cumpli_Salida]]="");"";SI(Y([@[Cumpli_Ingreso]]="SÍ";[@[Cumpli_Salida]]="SÍ");"SÍ";"NO"))</f>
        <v/>
      </c>
      <c r="Q430" s="15">
        <f>SI(O([@[Fecha_Programada_Fin]]="";[@[Fecha_Cierre_Operativo]]="");"";MAX(0;ENTERO([@[Fecha_Cierre_Operativo]])-ENTERO(SI([@[Fecha_Nueva_Programada]]&lt;&gt;"";[@[Fecha_Nueva_Programada]];[@[Fecha_Programada_Fin]])))</f>
        <v/>
      </c>
      <c r="R430" s="12" t="n"/>
      <c r="S430" s="12" t="n"/>
      <c r="T430" s="13" t="n"/>
      <c r="U430" s="12" t="n">
        <v>17</v>
      </c>
      <c r="V430" s="12" t="n"/>
      <c r="W43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30" s="14">
        <f>SI([@SBAN]="";"";BUSCARV([@SBAN];Cronograma_Maestro!$A:$M;6;FALSO))</f>
        <v/>
      </c>
    </row>
    <row r="431">
      <c r="A431" s="11" t="inlineStr">
        <is>
          <t>3921</t>
        </is>
      </c>
      <c r="B431" s="12">
        <f>SI([@SBAN]="";"";BUSCARV([@SBAN];Cronograma_Maestro!$A:$M;2;FALSO))</f>
        <v/>
      </c>
      <c r="C431" s="12">
        <f>SI([@SBAN]="";"";BUSCARV([@SBAN];Cronograma_Maestro!$A:$M;3;FALSO))</f>
        <v/>
      </c>
      <c r="D431" s="12">
        <f>SI([@SBAN]="";"";BUSCARV([@SBAN];Cronograma_Maestro!$A:$M;4;FALSO))</f>
        <v/>
      </c>
      <c r="E431" s="12">
        <f>SI([@SBAN]="";"";BUSCARV([@SBAN];Cronograma_Maestro!$A:$M;5;FALSO))</f>
        <v/>
      </c>
      <c r="F431" s="12" t="inlineStr">
        <is>
          <t>HAROLD STEED GARCIA</t>
        </is>
      </c>
      <c r="G431" s="12" t="inlineStr">
        <is>
          <t>PMU COLSOF</t>
        </is>
      </c>
      <c r="H431" s="13" t="n">
        <v>46281</v>
      </c>
      <c r="I431" s="13" t="n">
        <v>46282</v>
      </c>
      <c r="J431" s="13" t="n"/>
      <c r="K431" s="13" t="n"/>
      <c r="L431" s="12" t="inlineStr">
        <is>
          <t>Programada</t>
        </is>
      </c>
      <c r="M431" s="13" t="n"/>
      <c r="N431" s="14">
        <f>SI(O([@[Fecha_Programada_Inicio]]="";[@[Fecha_Inicio_Real]]="");"";SI([@[Fecha_Inicio_Real]]&lt;=[@[Fecha_Programada_Inicio]];"SÍ";"NO"))</f>
        <v/>
      </c>
      <c r="O431" s="14">
        <f>SI(O([@[Fecha_Programada_Fin]]="";[@[Fecha_Cierre_Operativo]]="");"";SI([@[Fecha_Cierre_Operativo]]&lt;=SI([@[Fecha_Nueva_Programada]]&lt;&gt;"";[@[Fecha_Nueva_Programada]];[@[Fecha_Programada_Fin]]);"SÍ";"NO"))</f>
        <v/>
      </c>
      <c r="P431" s="14">
        <f>SI(O([@[Cumpli_Ingreso]]="";[@[Cumpli_Salida]]="");"";SI(Y([@[Cumpli_Ingreso]]="SÍ";[@[Cumpli_Salida]]="SÍ");"SÍ";"NO"))</f>
        <v/>
      </c>
      <c r="Q431" s="15">
        <f>SI(O([@[Fecha_Programada_Fin]]="";[@[Fecha_Cierre_Operativo]]="");"";MAX(0;ENTERO([@[Fecha_Cierre_Operativo]])-ENTERO(SI([@[Fecha_Nueva_Programada]]&lt;&gt;"";[@[Fecha_Nueva_Programada]];[@[Fecha_Programada_Fin]])))</f>
        <v/>
      </c>
      <c r="R431" s="12" t="n"/>
      <c r="S431" s="12" t="n"/>
      <c r="T431" s="13" t="n"/>
      <c r="U431" s="12" t="n">
        <v>12</v>
      </c>
      <c r="V431" s="12" t="n"/>
      <c r="W43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31" s="14">
        <f>SI([@SBAN]="";"";BUSCARV([@SBAN];Cronograma_Maestro!$A:$M;6;FALSO))</f>
        <v/>
      </c>
    </row>
    <row r="432">
      <c r="A432" s="11" t="inlineStr">
        <is>
          <t>3935</t>
        </is>
      </c>
      <c r="B432" s="12">
        <f>SI([@SBAN]="";"";BUSCARV([@SBAN];Cronograma_Maestro!$A:$M;2;FALSO))</f>
        <v/>
      </c>
      <c r="C432" s="12">
        <f>SI([@SBAN]="";"";BUSCARV([@SBAN];Cronograma_Maestro!$A:$M;3;FALSO))</f>
        <v/>
      </c>
      <c r="D432" s="12">
        <f>SI([@SBAN]="";"";BUSCARV([@SBAN];Cronograma_Maestro!$A:$M;4;FALSO))</f>
        <v/>
      </c>
      <c r="E432" s="12">
        <f>SI([@SBAN]="";"";BUSCARV([@SBAN];Cronograma_Maestro!$A:$M;5;FALSO))</f>
        <v/>
      </c>
      <c r="F432" s="12" t="inlineStr">
        <is>
          <t>ERIKA VARGAS</t>
        </is>
      </c>
      <c r="G432" s="12" t="inlineStr">
        <is>
          <t>PMU COLSOF</t>
        </is>
      </c>
      <c r="H432" s="13" t="n">
        <v>46266</v>
      </c>
      <c r="I432" s="13" t="n">
        <v>46266</v>
      </c>
      <c r="J432" s="13" t="n">
        <v>46266</v>
      </c>
      <c r="K432" s="13" t="n">
        <v>46266</v>
      </c>
      <c r="L432" s="12" t="inlineStr">
        <is>
          <t>Finalizada</t>
        </is>
      </c>
      <c r="M432" s="13" t="n"/>
      <c r="N432" s="14">
        <f>SI(O([@[Fecha_Programada_Inicio]]="";[@[Fecha_Inicio_Real]]="");"";SI([@[Fecha_Inicio_Real]]&lt;=[@[Fecha_Programada_Inicio]];"SÍ";"NO"))</f>
        <v/>
      </c>
      <c r="O432" s="14">
        <f>SI(O([@[Fecha_Programada_Fin]]="";[@[Fecha_Cierre_Operativo]]="");"";SI([@[Fecha_Cierre_Operativo]]&lt;=SI([@[Fecha_Nueva_Programada]]&lt;&gt;"";[@[Fecha_Nueva_Programada]];[@[Fecha_Programada_Fin]]);"SÍ";"NO"))</f>
        <v/>
      </c>
      <c r="P432" s="14">
        <f>SI(O([@[Cumpli_Ingreso]]="";[@[Cumpli_Salida]]="");"";SI(Y([@[Cumpli_Ingreso]]="SÍ";[@[Cumpli_Salida]]="SÍ");"SÍ";"NO"))</f>
        <v/>
      </c>
      <c r="Q432" s="15">
        <f>SI(O([@[Fecha_Programada_Fin]]="";[@[Fecha_Cierre_Operativo]]="");"";MAX(0;ENTERO([@[Fecha_Cierre_Operativo]])-ENTERO(SI([@[Fecha_Nueva_Programada]]&lt;&gt;"";[@[Fecha_Nueva_Programada]];[@[Fecha_Programada_Fin]])))</f>
        <v/>
      </c>
      <c r="R432" s="12" t="inlineStr">
        <is>
          <t>N/A - A Tiempo</t>
        </is>
      </c>
      <c r="S432" s="12" t="inlineStr">
        <is>
          <t>Pendiente Firma</t>
        </is>
      </c>
      <c r="T432" s="13" t="n"/>
      <c r="U432" s="12" t="n">
        <v>16</v>
      </c>
      <c r="V432" s="12" t="n"/>
      <c r="W43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32" s="14">
        <f>SI([@SBAN]="";"";BUSCARV([@SBAN];Cronograma_Maestro!$A:$M;6;FALSO))</f>
        <v/>
      </c>
    </row>
    <row r="433">
      <c r="A433" s="11" t="inlineStr">
        <is>
          <t>3937</t>
        </is>
      </c>
      <c r="B433" s="12">
        <f>SI([@SBAN]="";"";BUSCARV([@SBAN];Cronograma_Maestro!$A:$M;2;FALSO))</f>
        <v/>
      </c>
      <c r="C433" s="12">
        <f>SI([@SBAN]="";"";BUSCARV([@SBAN];Cronograma_Maestro!$A:$M;3;FALSO))</f>
        <v/>
      </c>
      <c r="D433" s="12">
        <f>SI([@SBAN]="";"";BUSCARV([@SBAN];Cronograma_Maestro!$A:$M;4;FALSO))</f>
        <v/>
      </c>
      <c r="E433" s="12">
        <f>SI([@SBAN]="";"";BUSCARV([@SBAN];Cronograma_Maestro!$A:$M;5;FALSO))</f>
        <v/>
      </c>
      <c r="F433" s="12" t="inlineStr">
        <is>
          <t>ERIKA VARGAS</t>
        </is>
      </c>
      <c r="G433" s="12" t="inlineStr">
        <is>
          <t>PMU COLSOF</t>
        </is>
      </c>
      <c r="H433" s="13" t="n">
        <v>46272</v>
      </c>
      <c r="I433" s="13" t="n">
        <v>46272</v>
      </c>
      <c r="J433" s="13" t="n"/>
      <c r="K433" s="13" t="n"/>
      <c r="L433" s="12" t="inlineStr">
        <is>
          <t>Programada</t>
        </is>
      </c>
      <c r="M433" s="13" t="n"/>
      <c r="N433" s="14">
        <f>SI(O([@[Fecha_Programada_Inicio]]="";[@[Fecha_Inicio_Real]]="");"";SI([@[Fecha_Inicio_Real]]&lt;=[@[Fecha_Programada_Inicio]];"SÍ";"NO"))</f>
        <v/>
      </c>
      <c r="O433" s="14">
        <f>SI(O([@[Fecha_Programada_Fin]]="";[@[Fecha_Cierre_Operativo]]="");"";SI([@[Fecha_Cierre_Operativo]]&lt;=SI([@[Fecha_Nueva_Programada]]&lt;&gt;"";[@[Fecha_Nueva_Programada]];[@[Fecha_Programada_Fin]]);"SÍ";"NO"))</f>
        <v/>
      </c>
      <c r="P433" s="14">
        <f>SI(O([@[Cumpli_Ingreso]]="";[@[Cumpli_Salida]]="");"";SI(Y([@[Cumpli_Ingreso]]="SÍ";[@[Cumpli_Salida]]="SÍ");"SÍ";"NO"))</f>
        <v/>
      </c>
      <c r="Q433" s="15">
        <f>SI(O([@[Fecha_Programada_Fin]]="";[@[Fecha_Cierre_Operativo]]="");"";MAX(0;ENTERO([@[Fecha_Cierre_Operativo]])-ENTERO(SI([@[Fecha_Nueva_Programada]]&lt;&gt;"";[@[Fecha_Nueva_Programada]];[@[Fecha_Programada_Fin]])))</f>
        <v/>
      </c>
      <c r="R433" s="12" t="n"/>
      <c r="S433" s="12" t="n"/>
      <c r="T433" s="13" t="n"/>
      <c r="U433" s="12" t="n">
        <v>21</v>
      </c>
      <c r="V433" s="12" t="n"/>
      <c r="W43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33" s="14">
        <f>SI([@SBAN]="";"";BUSCARV([@SBAN];Cronograma_Maestro!$A:$M;6;FALSO))</f>
        <v/>
      </c>
    </row>
    <row r="434">
      <c r="A434" s="11" t="inlineStr">
        <is>
          <t>3940</t>
        </is>
      </c>
      <c r="B434" s="12">
        <f>SI([@SBAN]="";"";BUSCARV([@SBAN];Cronograma_Maestro!$A:$M;2;FALSO))</f>
        <v/>
      </c>
      <c r="C434" s="12">
        <f>SI([@SBAN]="";"";BUSCARV([@SBAN];Cronograma_Maestro!$A:$M;3;FALSO))</f>
        <v/>
      </c>
      <c r="D434" s="12">
        <f>SI([@SBAN]="";"";BUSCARV([@SBAN];Cronograma_Maestro!$A:$M;4;FALSO))</f>
        <v/>
      </c>
      <c r="E434" s="12">
        <f>SI([@SBAN]="";"";BUSCARV([@SBAN];Cronograma_Maestro!$A:$M;5;FALSO))</f>
        <v/>
      </c>
      <c r="F434" s="12" t="inlineStr">
        <is>
          <t>ERIKA VARGAS</t>
        </is>
      </c>
      <c r="G434" s="12" t="inlineStr">
        <is>
          <t>PMU COLSOF</t>
        </is>
      </c>
      <c r="H434" s="13" t="n">
        <v>46297</v>
      </c>
      <c r="I434" s="13" t="n">
        <v>46297</v>
      </c>
      <c r="J434" s="13" t="n"/>
      <c r="K434" s="13" t="n"/>
      <c r="L434" s="12" t="inlineStr">
        <is>
          <t>Programada</t>
        </is>
      </c>
      <c r="M434" s="13" t="n"/>
      <c r="N434" s="14">
        <f>SI(O([@[Fecha_Programada_Inicio]]="";[@[Fecha_Inicio_Real]]="");"";SI([@[Fecha_Inicio_Real]]&lt;=[@[Fecha_Programada_Inicio]];"SÍ";"NO"))</f>
        <v/>
      </c>
      <c r="O434" s="14">
        <f>SI(O([@[Fecha_Programada_Fin]]="";[@[Fecha_Cierre_Operativo]]="");"";SI([@[Fecha_Cierre_Operativo]]&lt;=SI([@[Fecha_Nueva_Programada]]&lt;&gt;"";[@[Fecha_Nueva_Programada]];[@[Fecha_Programada_Fin]]);"SÍ";"NO"))</f>
        <v/>
      </c>
      <c r="P434" s="14">
        <f>SI(O([@[Cumpli_Ingreso]]="";[@[Cumpli_Salida]]="");"";SI(Y([@[Cumpli_Ingreso]]="SÍ";[@[Cumpli_Salida]]="SÍ");"SÍ";"NO"))</f>
        <v/>
      </c>
      <c r="Q434" s="15">
        <f>SI(O([@[Fecha_Programada_Fin]]="";[@[Fecha_Cierre_Operativo]]="");"";MAX(0;ENTERO([@[Fecha_Cierre_Operativo]])-ENTERO(SI([@[Fecha_Nueva_Programada]]&lt;&gt;"";[@[Fecha_Nueva_Programada]];[@[Fecha_Programada_Fin]])))</f>
        <v/>
      </c>
      <c r="R434" s="12" t="n"/>
      <c r="S434" s="12" t="n"/>
      <c r="T434" s="13" t="n"/>
      <c r="U434" s="12" t="n">
        <v>14</v>
      </c>
      <c r="V434" s="12" t="n"/>
      <c r="W43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34" s="14">
        <f>SI([@SBAN]="";"";BUSCARV([@SBAN];Cronograma_Maestro!$A:$M;6;FALSO))</f>
        <v/>
      </c>
    </row>
    <row r="435">
      <c r="A435" s="11" t="inlineStr">
        <is>
          <t>3942</t>
        </is>
      </c>
      <c r="B435" s="12">
        <f>SI([@SBAN]="";"";BUSCARV([@SBAN];Cronograma_Maestro!$A:$M;2;FALSO))</f>
        <v/>
      </c>
      <c r="C435" s="12">
        <f>SI([@SBAN]="";"";BUSCARV([@SBAN];Cronograma_Maestro!$A:$M;3;FALSO))</f>
        <v/>
      </c>
      <c r="D435" s="12">
        <f>SI([@SBAN]="";"";BUSCARV([@SBAN];Cronograma_Maestro!$A:$M;4;FALSO))</f>
        <v/>
      </c>
      <c r="E435" s="12">
        <f>SI([@SBAN]="";"";BUSCARV([@SBAN];Cronograma_Maestro!$A:$M;5;FALSO))</f>
        <v/>
      </c>
      <c r="F435" s="12" t="inlineStr">
        <is>
          <t>ERIKA VARGAS</t>
        </is>
      </c>
      <c r="G435" s="12" t="inlineStr">
        <is>
          <t>PMU COLSOF</t>
        </is>
      </c>
      <c r="H435" s="13" t="n">
        <v>46293</v>
      </c>
      <c r="I435" s="13" t="n">
        <v>46294</v>
      </c>
      <c r="J435" s="13" t="n"/>
      <c r="K435" s="13" t="n"/>
      <c r="L435" s="12" t="inlineStr">
        <is>
          <t>Programada</t>
        </is>
      </c>
      <c r="M435" s="13" t="n"/>
      <c r="N435" s="14">
        <f>SI(O([@[Fecha_Programada_Inicio]]="";[@[Fecha_Inicio_Real]]="");"";SI([@[Fecha_Inicio_Real]]&lt;=[@[Fecha_Programada_Inicio]];"SÍ";"NO"))</f>
        <v/>
      </c>
      <c r="O435" s="14">
        <f>SI(O([@[Fecha_Programada_Fin]]="";[@[Fecha_Cierre_Operativo]]="");"";SI([@[Fecha_Cierre_Operativo]]&lt;=SI([@[Fecha_Nueva_Programada]]&lt;&gt;"";[@[Fecha_Nueva_Programada]];[@[Fecha_Programada_Fin]]);"SÍ";"NO"))</f>
        <v/>
      </c>
      <c r="P435" s="14">
        <f>SI(O([@[Cumpli_Ingreso]]="";[@[Cumpli_Salida]]="");"";SI(Y([@[Cumpli_Ingreso]]="SÍ";[@[Cumpli_Salida]]="SÍ");"SÍ";"NO"))</f>
        <v/>
      </c>
      <c r="Q435" s="15">
        <f>SI(O([@[Fecha_Programada_Fin]]="";[@[Fecha_Cierre_Operativo]]="");"";MAX(0;ENTERO([@[Fecha_Cierre_Operativo]])-ENTERO(SI([@[Fecha_Nueva_Programada]]&lt;&gt;"";[@[Fecha_Nueva_Programada]];[@[Fecha_Programada_Fin]])))</f>
        <v/>
      </c>
      <c r="R435" s="12" t="n"/>
      <c r="S435" s="12" t="n"/>
      <c r="T435" s="13" t="n"/>
      <c r="U435" s="12" t="n">
        <v>50</v>
      </c>
      <c r="V435" s="12" t="n"/>
      <c r="W43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35" s="14">
        <f>SI([@SBAN]="";"";BUSCARV([@SBAN];Cronograma_Maestro!$A:$M;6;FALSO))</f>
        <v/>
      </c>
    </row>
    <row r="436">
      <c r="A436" s="11" t="inlineStr">
        <is>
          <t>3943</t>
        </is>
      </c>
      <c r="B436" s="12">
        <f>SI([@SBAN]="";"";BUSCARV([@SBAN];Cronograma_Maestro!$A:$M;2;FALSO))</f>
        <v/>
      </c>
      <c r="C436" s="12">
        <f>SI([@SBAN]="";"";BUSCARV([@SBAN];Cronograma_Maestro!$A:$M;3;FALSO))</f>
        <v/>
      </c>
      <c r="D436" s="12">
        <f>SI([@SBAN]="";"";BUSCARV([@SBAN];Cronograma_Maestro!$A:$M;4;FALSO))</f>
        <v/>
      </c>
      <c r="E436" s="12">
        <f>SI([@SBAN]="";"";BUSCARV([@SBAN];Cronograma_Maestro!$A:$M;5;FALSO))</f>
        <v/>
      </c>
      <c r="F436" s="12" t="inlineStr">
        <is>
          <t>ERIKA VARGAS</t>
        </is>
      </c>
      <c r="G436" s="12" t="inlineStr">
        <is>
          <t>PMU COLSOF</t>
        </is>
      </c>
      <c r="H436" s="13" t="n">
        <v>46295</v>
      </c>
      <c r="I436" s="13" t="n">
        <v>46295</v>
      </c>
      <c r="J436" s="13" t="n"/>
      <c r="K436" s="13" t="n"/>
      <c r="L436" s="12" t="inlineStr">
        <is>
          <t>Programada</t>
        </is>
      </c>
      <c r="M436" s="13" t="n"/>
      <c r="N436" s="14">
        <f>SI(O([@[Fecha_Programada_Inicio]]="";[@[Fecha_Inicio_Real]]="");"";SI([@[Fecha_Inicio_Real]]&lt;=[@[Fecha_Programada_Inicio]];"SÍ";"NO"))</f>
        <v/>
      </c>
      <c r="O436" s="14">
        <f>SI(O([@[Fecha_Programada_Fin]]="";[@[Fecha_Cierre_Operativo]]="");"";SI([@[Fecha_Cierre_Operativo]]&lt;=SI([@[Fecha_Nueva_Programada]]&lt;&gt;"";[@[Fecha_Nueva_Programada]];[@[Fecha_Programada_Fin]]);"SÍ";"NO"))</f>
        <v/>
      </c>
      <c r="P436" s="14">
        <f>SI(O([@[Cumpli_Ingreso]]="";[@[Cumpli_Salida]]="");"";SI(Y([@[Cumpli_Ingreso]]="SÍ";[@[Cumpli_Salida]]="SÍ");"SÍ";"NO"))</f>
        <v/>
      </c>
      <c r="Q436" s="15">
        <f>SI(O([@[Fecha_Programada_Fin]]="";[@[Fecha_Cierre_Operativo]]="");"";MAX(0;ENTERO([@[Fecha_Cierre_Operativo]])-ENTERO(SI([@[Fecha_Nueva_Programada]]&lt;&gt;"";[@[Fecha_Nueva_Programada]];[@[Fecha_Programada_Fin]])))</f>
        <v/>
      </c>
      <c r="R436" s="12" t="n"/>
      <c r="S436" s="12" t="n"/>
      <c r="T436" s="13" t="n"/>
      <c r="U436" s="12" t="n">
        <v>17</v>
      </c>
      <c r="V436" s="12" t="n"/>
      <c r="W43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36" s="14">
        <f>SI([@SBAN]="";"";BUSCARV([@SBAN];Cronograma_Maestro!$A:$M;6;FALSO))</f>
        <v/>
      </c>
    </row>
    <row r="437">
      <c r="A437" s="11" t="inlineStr">
        <is>
          <t>3945</t>
        </is>
      </c>
      <c r="B437" s="12">
        <f>SI([@SBAN]="";"";BUSCARV([@SBAN];Cronograma_Maestro!$A:$M;2;FALSO))</f>
        <v/>
      </c>
      <c r="C437" s="12">
        <f>SI([@SBAN]="";"";BUSCARV([@SBAN];Cronograma_Maestro!$A:$M;3;FALSO))</f>
        <v/>
      </c>
      <c r="D437" s="12">
        <f>SI([@SBAN]="";"";BUSCARV([@SBAN];Cronograma_Maestro!$A:$M;4;FALSO))</f>
        <v/>
      </c>
      <c r="E437" s="12">
        <f>SI([@SBAN]="";"";BUSCARV([@SBAN];Cronograma_Maestro!$A:$M;5;FALSO))</f>
        <v/>
      </c>
      <c r="F437" s="12" t="inlineStr">
        <is>
          <t>ERIKA VARGAS</t>
        </is>
      </c>
      <c r="G437" s="12" t="inlineStr">
        <is>
          <t>PMU COLSOF</t>
        </is>
      </c>
      <c r="H437" s="13" t="n">
        <v>46296</v>
      </c>
      <c r="I437" s="13" t="n">
        <v>46296</v>
      </c>
      <c r="J437" s="13" t="n"/>
      <c r="K437" s="13" t="n"/>
      <c r="L437" s="12" t="inlineStr">
        <is>
          <t>Programada</t>
        </is>
      </c>
      <c r="M437" s="13" t="n"/>
      <c r="N437" s="14">
        <f>SI(O([@[Fecha_Programada_Inicio]]="";[@[Fecha_Inicio_Real]]="");"";SI([@[Fecha_Inicio_Real]]&lt;=[@[Fecha_Programada_Inicio]];"SÍ";"NO"))</f>
        <v/>
      </c>
      <c r="O437" s="14">
        <f>SI(O([@[Fecha_Programada_Fin]]="";[@[Fecha_Cierre_Operativo]]="");"";SI([@[Fecha_Cierre_Operativo]]&lt;=SI([@[Fecha_Nueva_Programada]]&lt;&gt;"";[@[Fecha_Nueva_Programada]];[@[Fecha_Programada_Fin]]);"SÍ";"NO"))</f>
        <v/>
      </c>
      <c r="P437" s="14">
        <f>SI(O([@[Cumpli_Ingreso]]="";[@[Cumpli_Salida]]="");"";SI(Y([@[Cumpli_Ingreso]]="SÍ";[@[Cumpli_Salida]]="SÍ");"SÍ";"NO"))</f>
        <v/>
      </c>
      <c r="Q437" s="15">
        <f>SI(O([@[Fecha_Programada_Fin]]="";[@[Fecha_Cierre_Operativo]]="");"";MAX(0;ENTERO([@[Fecha_Cierre_Operativo]])-ENTERO(SI([@[Fecha_Nueva_Programada]]&lt;&gt;"";[@[Fecha_Nueva_Programada]];[@[Fecha_Programada_Fin]])))</f>
        <v/>
      </c>
      <c r="R437" s="12" t="n"/>
      <c r="S437" s="12" t="n"/>
      <c r="T437" s="13" t="n"/>
      <c r="U437" s="12" t="n">
        <v>15</v>
      </c>
      <c r="V437" s="12" t="n"/>
      <c r="W43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37" s="14">
        <f>SI([@SBAN]="";"";BUSCARV([@SBAN];Cronograma_Maestro!$A:$M;6;FALSO))</f>
        <v/>
      </c>
    </row>
    <row r="438">
      <c r="A438" s="11" t="inlineStr">
        <is>
          <t>3947</t>
        </is>
      </c>
      <c r="B438" s="12">
        <f>SI([@SBAN]="";"";BUSCARV([@SBAN];Cronograma_Maestro!$A:$M;2;FALSO))</f>
        <v/>
      </c>
      <c r="C438" s="12">
        <f>SI([@SBAN]="";"";BUSCARV([@SBAN];Cronograma_Maestro!$A:$M;3;FALSO))</f>
        <v/>
      </c>
      <c r="D438" s="12">
        <f>SI([@SBAN]="";"";BUSCARV([@SBAN];Cronograma_Maestro!$A:$M;4;FALSO))</f>
        <v/>
      </c>
      <c r="E438" s="12">
        <f>SI([@SBAN]="";"";BUSCARV([@SBAN];Cronograma_Maestro!$A:$M;5;FALSO))</f>
        <v/>
      </c>
      <c r="F438" s="12" t="inlineStr">
        <is>
          <t>ERIKA VARGAS</t>
        </is>
      </c>
      <c r="G438" s="12" t="inlineStr">
        <is>
          <t>PMU COLSOF</t>
        </is>
      </c>
      <c r="H438" s="13" t="n">
        <v>46303</v>
      </c>
      <c r="I438" s="13" t="n">
        <v>46303</v>
      </c>
      <c r="J438" s="13" t="n"/>
      <c r="K438" s="13" t="n"/>
      <c r="L438" s="12" t="inlineStr">
        <is>
          <t>Programada</t>
        </is>
      </c>
      <c r="M438" s="13" t="n"/>
      <c r="N438" s="14">
        <f>SI(O([@[Fecha_Programada_Inicio]]="";[@[Fecha_Inicio_Real]]="");"";SI([@[Fecha_Inicio_Real]]&lt;=[@[Fecha_Programada_Inicio]];"SÍ";"NO"))</f>
        <v/>
      </c>
      <c r="O438" s="14">
        <f>SI(O([@[Fecha_Programada_Fin]]="";[@[Fecha_Cierre_Operativo]]="");"";SI([@[Fecha_Cierre_Operativo]]&lt;=SI([@[Fecha_Nueva_Programada]]&lt;&gt;"";[@[Fecha_Nueva_Programada]];[@[Fecha_Programada_Fin]]);"SÍ";"NO"))</f>
        <v/>
      </c>
      <c r="P438" s="14">
        <f>SI(O([@[Cumpli_Ingreso]]="";[@[Cumpli_Salida]]="");"";SI(Y([@[Cumpli_Ingreso]]="SÍ";[@[Cumpli_Salida]]="SÍ");"SÍ";"NO"))</f>
        <v/>
      </c>
      <c r="Q438" s="15">
        <f>SI(O([@[Fecha_Programada_Fin]]="";[@[Fecha_Cierre_Operativo]]="");"";MAX(0;ENTERO([@[Fecha_Cierre_Operativo]])-ENTERO(SI([@[Fecha_Nueva_Programada]]&lt;&gt;"";[@[Fecha_Nueva_Programada]];[@[Fecha_Programada_Fin]])))</f>
        <v/>
      </c>
      <c r="R438" s="12" t="n"/>
      <c r="S438" s="12" t="n"/>
      <c r="T438" s="13" t="n"/>
      <c r="U438" s="12" t="n">
        <v>13</v>
      </c>
      <c r="V438" s="12" t="n"/>
      <c r="W43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38" s="14">
        <f>SI([@SBAN]="";"";BUSCARV([@SBAN];Cronograma_Maestro!$A:$M;6;FALSO))</f>
        <v/>
      </c>
    </row>
    <row r="439">
      <c r="A439" s="11" t="inlineStr">
        <is>
          <t>3932</t>
        </is>
      </c>
      <c r="B439" s="12">
        <f>SI([@SBAN]="";"";BUSCARV([@SBAN];Cronograma_Maestro!$A:$M;2;FALSO))</f>
        <v/>
      </c>
      <c r="C439" s="12">
        <f>SI([@SBAN]="";"";BUSCARV([@SBAN];Cronograma_Maestro!$A:$M;3;FALSO))</f>
        <v/>
      </c>
      <c r="D439" s="12">
        <f>SI([@SBAN]="";"";BUSCARV([@SBAN];Cronograma_Maestro!$A:$M;4;FALSO))</f>
        <v/>
      </c>
      <c r="E439" s="12">
        <f>SI([@SBAN]="";"";BUSCARV([@SBAN];Cronograma_Maestro!$A:$M;5;FALSO))</f>
        <v/>
      </c>
      <c r="F439" s="12" t="inlineStr">
        <is>
          <t>HAROLD STEED GARCIA</t>
        </is>
      </c>
      <c r="G439" s="12" t="inlineStr">
        <is>
          <t>PMU COLSOF</t>
        </is>
      </c>
      <c r="H439" s="13" t="n">
        <v>46282</v>
      </c>
      <c r="I439" s="13" t="n">
        <v>46283</v>
      </c>
      <c r="J439" s="13" t="n"/>
      <c r="K439" s="13" t="n"/>
      <c r="L439" s="12" t="inlineStr">
        <is>
          <t>Programada</t>
        </is>
      </c>
      <c r="M439" s="13" t="n"/>
      <c r="N439" s="14">
        <f>SI(O([@[Fecha_Programada_Inicio]]="";[@[Fecha_Inicio_Real]]="");"";SI([@[Fecha_Inicio_Real]]&lt;=[@[Fecha_Programada_Inicio]];"SÍ";"NO"))</f>
        <v/>
      </c>
      <c r="O439" s="14">
        <f>SI(O([@[Fecha_Programada_Fin]]="";[@[Fecha_Cierre_Operativo]]="");"";SI([@[Fecha_Cierre_Operativo]]&lt;=SI([@[Fecha_Nueva_Programada]]&lt;&gt;"";[@[Fecha_Nueva_Programada]];[@[Fecha_Programada_Fin]]);"SÍ";"NO"))</f>
        <v/>
      </c>
      <c r="P439" s="14">
        <f>SI(O([@[Cumpli_Ingreso]]="";[@[Cumpli_Salida]]="");"";SI(Y([@[Cumpli_Ingreso]]="SÍ";[@[Cumpli_Salida]]="SÍ");"SÍ";"NO"))</f>
        <v/>
      </c>
      <c r="Q439" s="15">
        <f>SI(O([@[Fecha_Programada_Fin]]="";[@[Fecha_Cierre_Operativo]]="");"";MAX(0;ENTERO([@[Fecha_Cierre_Operativo]])-ENTERO(SI([@[Fecha_Nueva_Programada]]&lt;&gt;"";[@[Fecha_Nueva_Programada]];[@[Fecha_Programada_Fin]])))</f>
        <v/>
      </c>
      <c r="R439" s="12" t="n"/>
      <c r="S439" s="12" t="n"/>
      <c r="T439" s="13" t="n"/>
      <c r="U439" s="12" t="n">
        <v>13</v>
      </c>
      <c r="V439" s="12" t="n"/>
      <c r="W43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39" s="14">
        <f>SI([@SBAN]="";"";BUSCARV([@SBAN];Cronograma_Maestro!$A:$M;6;FALSO))</f>
        <v/>
      </c>
    </row>
    <row r="440">
      <c r="A440" s="11" t="inlineStr">
        <is>
          <t>3952</t>
        </is>
      </c>
      <c r="B440" s="12">
        <f>SI([@SBAN]="";"";BUSCARV([@SBAN];Cronograma_Maestro!$A:$M;2;FALSO))</f>
        <v/>
      </c>
      <c r="C440" s="12">
        <f>SI([@SBAN]="";"";BUSCARV([@SBAN];Cronograma_Maestro!$A:$M;3;FALSO))</f>
        <v/>
      </c>
      <c r="D440" s="12">
        <f>SI([@SBAN]="";"";BUSCARV([@SBAN];Cronograma_Maestro!$A:$M;4;FALSO))</f>
        <v/>
      </c>
      <c r="E440" s="12">
        <f>SI([@SBAN]="";"";BUSCARV([@SBAN];Cronograma_Maestro!$A:$M;5;FALSO))</f>
        <v/>
      </c>
      <c r="F440" s="12" t="inlineStr">
        <is>
          <t>ERIKA VARGAS</t>
        </is>
      </c>
      <c r="G440" s="12" t="inlineStr">
        <is>
          <t>PMU COLSOF</t>
        </is>
      </c>
      <c r="H440" s="13" t="n">
        <v>46300</v>
      </c>
      <c r="I440" s="13" t="n">
        <v>46300</v>
      </c>
      <c r="J440" s="13" t="n"/>
      <c r="K440" s="13" t="n"/>
      <c r="L440" s="12" t="inlineStr">
        <is>
          <t>Programada</t>
        </is>
      </c>
      <c r="M440" s="13" t="n"/>
      <c r="N440" s="14">
        <f>SI(O([@[Fecha_Programada_Inicio]]="";[@[Fecha_Inicio_Real]]="");"";SI([@[Fecha_Inicio_Real]]&lt;=[@[Fecha_Programada_Inicio]];"SÍ";"NO"))</f>
        <v/>
      </c>
      <c r="O440" s="14">
        <f>SI(O([@[Fecha_Programada_Fin]]="";[@[Fecha_Cierre_Operativo]]="");"";SI([@[Fecha_Cierre_Operativo]]&lt;=SI([@[Fecha_Nueva_Programada]]&lt;&gt;"";[@[Fecha_Nueva_Programada]];[@[Fecha_Programada_Fin]]);"SÍ";"NO"))</f>
        <v/>
      </c>
      <c r="P440" s="14">
        <f>SI(O([@[Cumpli_Ingreso]]="";[@[Cumpli_Salida]]="");"";SI(Y([@[Cumpli_Ingreso]]="SÍ";[@[Cumpli_Salida]]="SÍ");"SÍ";"NO"))</f>
        <v/>
      </c>
      <c r="Q440" s="15">
        <f>SI(O([@[Fecha_Programada_Fin]]="";[@[Fecha_Cierre_Operativo]]="");"";MAX(0;ENTERO([@[Fecha_Cierre_Operativo]])-ENTERO(SI([@[Fecha_Nueva_Programada]]&lt;&gt;"";[@[Fecha_Nueva_Programada]];[@[Fecha_Programada_Fin]])))</f>
        <v/>
      </c>
      <c r="R440" s="12" t="n"/>
      <c r="S440" s="12" t="n"/>
      <c r="T440" s="13" t="n"/>
      <c r="U440" s="12" t="n">
        <v>29</v>
      </c>
      <c r="V440" s="12" t="n"/>
      <c r="W44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40" s="14">
        <f>SI([@SBAN]="";"";BUSCARV([@SBAN];Cronograma_Maestro!$A:$M;6;FALSO))</f>
        <v/>
      </c>
    </row>
    <row r="441">
      <c r="A441" s="11" t="inlineStr">
        <is>
          <t>3955</t>
        </is>
      </c>
      <c r="B441" s="12">
        <f>SI([@SBAN]="";"";BUSCARV([@SBAN];Cronograma_Maestro!$A:$M;2;FALSO))</f>
        <v/>
      </c>
      <c r="C441" s="12">
        <f>SI([@SBAN]="";"";BUSCARV([@SBAN];Cronograma_Maestro!$A:$M;3;FALSO))</f>
        <v/>
      </c>
      <c r="D441" s="12">
        <f>SI([@SBAN]="";"";BUSCARV([@SBAN];Cronograma_Maestro!$A:$M;4;FALSO))</f>
        <v/>
      </c>
      <c r="E441" s="12">
        <f>SI([@SBAN]="";"";BUSCARV([@SBAN];Cronograma_Maestro!$A:$M;5;FALSO))</f>
        <v/>
      </c>
      <c r="F441" s="12" t="inlineStr">
        <is>
          <t>ERIKA VARGAS</t>
        </is>
      </c>
      <c r="G441" s="12" t="inlineStr">
        <is>
          <t>PMU COLSOF</t>
        </is>
      </c>
      <c r="H441" s="13" t="n">
        <v>46304</v>
      </c>
      <c r="I441" s="13" t="n">
        <v>46304</v>
      </c>
      <c r="J441" s="13" t="n"/>
      <c r="K441" s="13" t="n"/>
      <c r="L441" s="12" t="inlineStr">
        <is>
          <t>Programada</t>
        </is>
      </c>
      <c r="M441" s="13" t="n"/>
      <c r="N441" s="14">
        <f>SI(O([@[Fecha_Programada_Inicio]]="";[@[Fecha_Inicio_Real]]="");"";SI([@[Fecha_Inicio_Real]]&lt;=[@[Fecha_Programada_Inicio]];"SÍ";"NO"))</f>
        <v/>
      </c>
      <c r="O441" s="14">
        <f>SI(O([@[Fecha_Programada_Fin]]="";[@[Fecha_Cierre_Operativo]]="");"";SI([@[Fecha_Cierre_Operativo]]&lt;=SI([@[Fecha_Nueva_Programada]]&lt;&gt;"";[@[Fecha_Nueva_Programada]];[@[Fecha_Programada_Fin]]);"SÍ";"NO"))</f>
        <v/>
      </c>
      <c r="P441" s="14">
        <f>SI(O([@[Cumpli_Ingreso]]="";[@[Cumpli_Salida]]="");"";SI(Y([@[Cumpli_Ingreso]]="SÍ";[@[Cumpli_Salida]]="SÍ");"SÍ";"NO"))</f>
        <v/>
      </c>
      <c r="Q441" s="15">
        <f>SI(O([@[Fecha_Programada_Fin]]="";[@[Fecha_Cierre_Operativo]]="");"";MAX(0;ENTERO([@[Fecha_Cierre_Operativo]])-ENTERO(SI([@[Fecha_Nueva_Programada]]&lt;&gt;"";[@[Fecha_Nueva_Programada]];[@[Fecha_Programada_Fin]])))</f>
        <v/>
      </c>
      <c r="R441" s="12" t="n"/>
      <c r="S441" s="12" t="n"/>
      <c r="T441" s="13" t="n"/>
      <c r="U441" s="12" t="n">
        <v>16</v>
      </c>
      <c r="V441" s="12" t="n"/>
      <c r="W44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41" s="14">
        <f>SI([@SBAN]="";"";BUSCARV([@SBAN];Cronograma_Maestro!$A:$M;6;FALSO))</f>
        <v/>
      </c>
    </row>
    <row r="442">
      <c r="A442" s="11" t="inlineStr">
        <is>
          <t>3957</t>
        </is>
      </c>
      <c r="B442" s="12">
        <f>SI([@SBAN]="";"";BUSCARV([@SBAN];Cronograma_Maestro!$A:$M;2;FALSO))</f>
        <v/>
      </c>
      <c r="C442" s="12">
        <f>SI([@SBAN]="";"";BUSCARV([@SBAN];Cronograma_Maestro!$A:$M;3;FALSO))</f>
        <v/>
      </c>
      <c r="D442" s="12">
        <f>SI([@SBAN]="";"";BUSCARV([@SBAN];Cronograma_Maestro!$A:$M;4;FALSO))</f>
        <v/>
      </c>
      <c r="E442" s="12">
        <f>SI([@SBAN]="";"";BUSCARV([@SBAN];Cronograma_Maestro!$A:$M;5;FALSO))</f>
        <v/>
      </c>
      <c r="F442" s="12" t="inlineStr">
        <is>
          <t>ERIKA VARGAS</t>
        </is>
      </c>
      <c r="G442" s="12" t="inlineStr">
        <is>
          <t>PMU COLSOF</t>
        </is>
      </c>
      <c r="H442" s="13" t="n">
        <v>46268</v>
      </c>
      <c r="I442" s="13" t="n">
        <v>46268</v>
      </c>
      <c r="J442" s="13" t="n"/>
      <c r="K442" s="13" t="n"/>
      <c r="L442" s="12" t="inlineStr">
        <is>
          <t>Programada</t>
        </is>
      </c>
      <c r="M442" s="13" t="n"/>
      <c r="N442" s="14">
        <f>SI(O([@[Fecha_Programada_Inicio]]="";[@[Fecha_Inicio_Real]]="");"";SI([@[Fecha_Inicio_Real]]&lt;=[@[Fecha_Programada_Inicio]];"SÍ";"NO"))</f>
        <v/>
      </c>
      <c r="O442" s="14">
        <f>SI(O([@[Fecha_Programada_Fin]]="";[@[Fecha_Cierre_Operativo]]="");"";SI([@[Fecha_Cierre_Operativo]]&lt;=SI([@[Fecha_Nueva_Programada]]&lt;&gt;"";[@[Fecha_Nueva_Programada]];[@[Fecha_Programada_Fin]]);"SÍ";"NO"))</f>
        <v/>
      </c>
      <c r="P442" s="14">
        <f>SI(O([@[Cumpli_Ingreso]]="";[@[Cumpli_Salida]]="");"";SI(Y([@[Cumpli_Ingreso]]="SÍ";[@[Cumpli_Salida]]="SÍ");"SÍ";"NO"))</f>
        <v/>
      </c>
      <c r="Q442" s="15">
        <f>SI(O([@[Fecha_Programada_Fin]]="";[@[Fecha_Cierre_Operativo]]="");"";MAX(0;ENTERO([@[Fecha_Cierre_Operativo]])-ENTERO(SI([@[Fecha_Nueva_Programada]]&lt;&gt;"";[@[Fecha_Nueva_Programada]];[@[Fecha_Programada_Fin]])))</f>
        <v/>
      </c>
      <c r="R442" s="12" t="n"/>
      <c r="S442" s="12" t="n"/>
      <c r="T442" s="13" t="n"/>
      <c r="U442" s="12" t="n">
        <v>14</v>
      </c>
      <c r="V442" s="12" t="n"/>
      <c r="W44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42" s="14">
        <f>SI([@SBAN]="";"";BUSCARV([@SBAN];Cronograma_Maestro!$A:$M;6;FALSO))</f>
        <v/>
      </c>
    </row>
    <row r="443">
      <c r="A443" s="11" t="inlineStr">
        <is>
          <t>3950</t>
        </is>
      </c>
      <c r="B443" s="12">
        <f>SI([@SBAN]="";"";BUSCARV([@SBAN];Cronograma_Maestro!$A:$M;2;FALSO))</f>
        <v/>
      </c>
      <c r="C443" s="12">
        <f>SI([@SBAN]="";"";BUSCARV([@SBAN];Cronograma_Maestro!$A:$M;3;FALSO))</f>
        <v/>
      </c>
      <c r="D443" s="12">
        <f>SI([@SBAN]="";"";BUSCARV([@SBAN];Cronograma_Maestro!$A:$M;4;FALSO))</f>
        <v/>
      </c>
      <c r="E443" s="12">
        <f>SI([@SBAN]="";"";BUSCARV([@SBAN];Cronograma_Maestro!$A:$M;5;FALSO))</f>
        <v/>
      </c>
      <c r="F443" s="12" t="inlineStr">
        <is>
          <t>HAROLD STEED GARCIA</t>
        </is>
      </c>
      <c r="G443" s="12" t="inlineStr">
        <is>
          <t>PMU COLSOF</t>
        </is>
      </c>
      <c r="H443" s="13" t="n">
        <v>46280</v>
      </c>
      <c r="I443" s="13" t="n">
        <v>46281</v>
      </c>
      <c r="J443" s="13" t="n"/>
      <c r="K443" s="13" t="n"/>
      <c r="L443" s="12" t="inlineStr">
        <is>
          <t>Programada</t>
        </is>
      </c>
      <c r="M443" s="13" t="n"/>
      <c r="N443" s="14">
        <f>SI(O([@[Fecha_Programada_Inicio]]="";[@[Fecha_Inicio_Real]]="");"";SI([@[Fecha_Inicio_Real]]&lt;=[@[Fecha_Programada_Inicio]];"SÍ";"NO"))</f>
        <v/>
      </c>
      <c r="O443" s="14">
        <f>SI(O([@[Fecha_Programada_Fin]]="";[@[Fecha_Cierre_Operativo]]="");"";SI([@[Fecha_Cierre_Operativo]]&lt;=SI([@[Fecha_Nueva_Programada]]&lt;&gt;"";[@[Fecha_Nueva_Programada]];[@[Fecha_Programada_Fin]]);"SÍ";"NO"))</f>
        <v/>
      </c>
      <c r="P443" s="14">
        <f>SI(O([@[Cumpli_Ingreso]]="";[@[Cumpli_Salida]]="");"";SI(Y([@[Cumpli_Ingreso]]="SÍ";[@[Cumpli_Salida]]="SÍ");"SÍ";"NO"))</f>
        <v/>
      </c>
      <c r="Q443" s="15">
        <f>SI(O([@[Fecha_Programada_Fin]]="";[@[Fecha_Cierre_Operativo]]="");"";MAX(0;ENTERO([@[Fecha_Cierre_Operativo]])-ENTERO(SI([@[Fecha_Nueva_Programada]]&lt;&gt;"";[@[Fecha_Nueva_Programada]];[@[Fecha_Programada_Fin]])))</f>
        <v/>
      </c>
      <c r="R443" s="12" t="n"/>
      <c r="S443" s="12" t="n"/>
      <c r="T443" s="13" t="n"/>
      <c r="U443" s="12" t="n">
        <v>15</v>
      </c>
      <c r="V443" s="12" t="n"/>
      <c r="W44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43" s="14">
        <f>SI([@SBAN]="";"";BUSCARV([@SBAN];Cronograma_Maestro!$A:$M;6;FALSO))</f>
        <v/>
      </c>
    </row>
    <row r="444">
      <c r="A444" s="11" t="inlineStr">
        <is>
          <t>3963</t>
        </is>
      </c>
      <c r="B444" s="12">
        <f>SI([@SBAN]="";"";BUSCARV([@SBAN];Cronograma_Maestro!$A:$M;2;FALSO))</f>
        <v/>
      </c>
      <c r="C444" s="12">
        <f>SI([@SBAN]="";"";BUSCARV([@SBAN];Cronograma_Maestro!$A:$M;3;FALSO))</f>
        <v/>
      </c>
      <c r="D444" s="12">
        <f>SI([@SBAN]="";"";BUSCARV([@SBAN];Cronograma_Maestro!$A:$M;4;FALSO))</f>
        <v/>
      </c>
      <c r="E444" s="12">
        <f>SI([@SBAN]="";"";BUSCARV([@SBAN];Cronograma_Maestro!$A:$M;5;FALSO))</f>
        <v/>
      </c>
      <c r="F444" s="12" t="inlineStr">
        <is>
          <t>ERIKA VARGAS</t>
        </is>
      </c>
      <c r="G444" s="12" t="inlineStr">
        <is>
          <t>PMU COLSOF</t>
        </is>
      </c>
      <c r="H444" s="13" t="n">
        <v>46287</v>
      </c>
      <c r="I444" s="13" t="n">
        <v>46287</v>
      </c>
      <c r="J444" s="13" t="n"/>
      <c r="K444" s="13" t="n"/>
      <c r="L444" s="12" t="inlineStr">
        <is>
          <t>Programada</t>
        </is>
      </c>
      <c r="M444" s="13" t="n"/>
      <c r="N444" s="14">
        <f>SI(O([@[Fecha_Programada_Inicio]]="";[@[Fecha_Inicio_Real]]="");"";SI([@[Fecha_Inicio_Real]]&lt;=[@[Fecha_Programada_Inicio]];"SÍ";"NO"))</f>
        <v/>
      </c>
      <c r="O444" s="14">
        <f>SI(O([@[Fecha_Programada_Fin]]="";[@[Fecha_Cierre_Operativo]]="");"";SI([@[Fecha_Cierre_Operativo]]&lt;=SI([@[Fecha_Nueva_Programada]]&lt;&gt;"";[@[Fecha_Nueva_Programada]];[@[Fecha_Programada_Fin]]);"SÍ";"NO"))</f>
        <v/>
      </c>
      <c r="P444" s="14">
        <f>SI(O([@[Cumpli_Ingreso]]="";[@[Cumpli_Salida]]="");"";SI(Y([@[Cumpli_Ingreso]]="SÍ";[@[Cumpli_Salida]]="SÍ");"SÍ";"NO"))</f>
        <v/>
      </c>
      <c r="Q444" s="15">
        <f>SI(O([@[Fecha_Programada_Fin]]="";[@[Fecha_Cierre_Operativo]]="");"";MAX(0;ENTERO([@[Fecha_Cierre_Operativo]])-ENTERO(SI([@[Fecha_Nueva_Programada]]&lt;&gt;"";[@[Fecha_Nueva_Programada]];[@[Fecha_Programada_Fin]])))</f>
        <v/>
      </c>
      <c r="R444" s="12" t="n"/>
      <c r="S444" s="12" t="n"/>
      <c r="T444" s="13" t="n"/>
      <c r="U444" s="12" t="n">
        <v>14</v>
      </c>
      <c r="V444" s="12" t="n"/>
      <c r="W44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44" s="14">
        <f>SI([@SBAN]="";"";BUSCARV([@SBAN];Cronograma_Maestro!$A:$M;6;FALSO))</f>
        <v/>
      </c>
    </row>
    <row r="445">
      <c r="A445" s="11" t="inlineStr">
        <is>
          <t>3965</t>
        </is>
      </c>
      <c r="B445" s="12">
        <f>SI([@SBAN]="";"";BUSCARV([@SBAN];Cronograma_Maestro!$A:$M;2;FALSO))</f>
        <v/>
      </c>
      <c r="C445" s="12">
        <f>SI([@SBAN]="";"";BUSCARV([@SBAN];Cronograma_Maestro!$A:$M;3;FALSO))</f>
        <v/>
      </c>
      <c r="D445" s="12">
        <f>SI([@SBAN]="";"";BUSCARV([@SBAN];Cronograma_Maestro!$A:$M;4;FALSO))</f>
        <v/>
      </c>
      <c r="E445" s="12">
        <f>SI([@SBAN]="";"";BUSCARV([@SBAN];Cronograma_Maestro!$A:$M;5;FALSO))</f>
        <v/>
      </c>
      <c r="F445" s="12" t="inlineStr">
        <is>
          <t>ERIKA VARGAS</t>
        </is>
      </c>
      <c r="G445" s="12" t="inlineStr">
        <is>
          <t>PMU COLSOF</t>
        </is>
      </c>
      <c r="H445" s="13" t="n">
        <v>46297</v>
      </c>
      <c r="I445" s="13" t="n">
        <v>46297</v>
      </c>
      <c r="J445" s="13" t="n"/>
      <c r="K445" s="13" t="n"/>
      <c r="L445" s="12" t="inlineStr">
        <is>
          <t>Programada</t>
        </is>
      </c>
      <c r="M445" s="13" t="n"/>
      <c r="N445" s="14">
        <f>SI(O([@[Fecha_Programada_Inicio]]="";[@[Fecha_Inicio_Real]]="");"";SI([@[Fecha_Inicio_Real]]&lt;=[@[Fecha_Programada_Inicio]];"SÍ";"NO"))</f>
        <v/>
      </c>
      <c r="O445" s="14">
        <f>SI(O([@[Fecha_Programada_Fin]]="";[@[Fecha_Cierre_Operativo]]="");"";SI([@[Fecha_Cierre_Operativo]]&lt;=SI([@[Fecha_Nueva_Programada]]&lt;&gt;"";[@[Fecha_Nueva_Programada]];[@[Fecha_Programada_Fin]]);"SÍ";"NO"))</f>
        <v/>
      </c>
      <c r="P445" s="14">
        <f>SI(O([@[Cumpli_Ingreso]]="";[@[Cumpli_Salida]]="");"";SI(Y([@[Cumpli_Ingreso]]="SÍ";[@[Cumpli_Salida]]="SÍ");"SÍ";"NO"))</f>
        <v/>
      </c>
      <c r="Q445" s="15">
        <f>SI(O([@[Fecha_Programada_Fin]]="";[@[Fecha_Cierre_Operativo]]="");"";MAX(0;ENTERO([@[Fecha_Cierre_Operativo]])-ENTERO(SI([@[Fecha_Nueva_Programada]]&lt;&gt;"";[@[Fecha_Nueva_Programada]];[@[Fecha_Programada_Fin]])))</f>
        <v/>
      </c>
      <c r="R445" s="12" t="n"/>
      <c r="S445" s="12" t="n"/>
      <c r="T445" s="13" t="n"/>
      <c r="U445" s="12" t="n">
        <v>23</v>
      </c>
      <c r="V445" s="12" t="n"/>
      <c r="W44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45" s="14">
        <f>SI([@SBAN]="";"";BUSCARV([@SBAN];Cronograma_Maestro!$A:$M;6;FALSO))</f>
        <v/>
      </c>
    </row>
    <row r="446">
      <c r="A446" s="11" t="inlineStr">
        <is>
          <t>3967</t>
        </is>
      </c>
      <c r="B446" s="12">
        <f>SI([@SBAN]="";"";BUSCARV([@SBAN];Cronograma_Maestro!$A:$M;2;FALSO))</f>
        <v/>
      </c>
      <c r="C446" s="12">
        <f>SI([@SBAN]="";"";BUSCARV([@SBAN];Cronograma_Maestro!$A:$M;3;FALSO))</f>
        <v/>
      </c>
      <c r="D446" s="12">
        <f>SI([@SBAN]="";"";BUSCARV([@SBAN];Cronograma_Maestro!$A:$M;4;FALSO))</f>
        <v/>
      </c>
      <c r="E446" s="12">
        <f>SI([@SBAN]="";"";BUSCARV([@SBAN];Cronograma_Maestro!$A:$M;5;FALSO))</f>
        <v/>
      </c>
      <c r="F446" s="12" t="inlineStr">
        <is>
          <t>ERIKA VARGAS</t>
        </is>
      </c>
      <c r="G446" s="12" t="inlineStr">
        <is>
          <t>PMU COLSOF</t>
        </is>
      </c>
      <c r="H446" s="13" t="n">
        <v>46301</v>
      </c>
      <c r="I446" s="13" t="n">
        <v>46301</v>
      </c>
      <c r="J446" s="13" t="n"/>
      <c r="K446" s="13" t="n"/>
      <c r="L446" s="12" t="inlineStr">
        <is>
          <t>Programada</t>
        </is>
      </c>
      <c r="M446" s="13" t="n"/>
      <c r="N446" s="14">
        <f>SI(O([@[Fecha_Programada_Inicio]]="";[@[Fecha_Inicio_Real]]="");"";SI([@[Fecha_Inicio_Real]]&lt;=[@[Fecha_Programada_Inicio]];"SÍ";"NO"))</f>
        <v/>
      </c>
      <c r="O446" s="14">
        <f>SI(O([@[Fecha_Programada_Fin]]="";[@[Fecha_Cierre_Operativo]]="");"";SI([@[Fecha_Cierre_Operativo]]&lt;=SI([@[Fecha_Nueva_Programada]]&lt;&gt;"";[@[Fecha_Nueva_Programada]];[@[Fecha_Programada_Fin]]);"SÍ";"NO"))</f>
        <v/>
      </c>
      <c r="P446" s="14">
        <f>SI(O([@[Cumpli_Ingreso]]="";[@[Cumpli_Salida]]="");"";SI(Y([@[Cumpli_Ingreso]]="SÍ";[@[Cumpli_Salida]]="SÍ");"SÍ";"NO"))</f>
        <v/>
      </c>
      <c r="Q446" s="15">
        <f>SI(O([@[Fecha_Programada_Fin]]="";[@[Fecha_Cierre_Operativo]]="");"";MAX(0;ENTERO([@[Fecha_Cierre_Operativo]])-ENTERO(SI([@[Fecha_Nueva_Programada]]&lt;&gt;"";[@[Fecha_Nueva_Programada]];[@[Fecha_Programada_Fin]])))</f>
        <v/>
      </c>
      <c r="R446" s="12" t="n"/>
      <c r="S446" s="12" t="n"/>
      <c r="T446" s="13" t="n"/>
      <c r="U446" s="12" t="n">
        <v>14</v>
      </c>
      <c r="V446" s="12" t="n"/>
      <c r="W44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46" s="14">
        <f>SI([@SBAN]="";"";BUSCARV([@SBAN];Cronograma_Maestro!$A:$M;6;FALSO))</f>
        <v/>
      </c>
    </row>
    <row r="447">
      <c r="A447" s="11" t="inlineStr">
        <is>
          <t>3970</t>
        </is>
      </c>
      <c r="B447" s="12">
        <f>SI([@SBAN]="";"";BUSCARV([@SBAN];Cronograma_Maestro!$A:$M;2;FALSO))</f>
        <v/>
      </c>
      <c r="C447" s="12">
        <f>SI([@SBAN]="";"";BUSCARV([@SBAN];Cronograma_Maestro!$A:$M;3;FALSO))</f>
        <v/>
      </c>
      <c r="D447" s="12">
        <f>SI([@SBAN]="";"";BUSCARV([@SBAN];Cronograma_Maestro!$A:$M;4;FALSO))</f>
        <v/>
      </c>
      <c r="E447" s="12">
        <f>SI([@SBAN]="";"";BUSCARV([@SBAN];Cronograma_Maestro!$A:$M;5;FALSO))</f>
        <v/>
      </c>
      <c r="F447" s="12" t="inlineStr">
        <is>
          <t>ERIKA VARGAS</t>
        </is>
      </c>
      <c r="G447" s="12" t="inlineStr">
        <is>
          <t>PMU COLSOF</t>
        </is>
      </c>
      <c r="H447" s="13" t="n">
        <v>46283</v>
      </c>
      <c r="I447" s="13" t="n">
        <v>46283</v>
      </c>
      <c r="J447" s="13" t="n"/>
      <c r="K447" s="13" t="n"/>
      <c r="L447" s="12" t="inlineStr">
        <is>
          <t>Programada</t>
        </is>
      </c>
      <c r="M447" s="13" t="n"/>
      <c r="N447" s="14">
        <f>SI(O([@[Fecha_Programada_Inicio]]="";[@[Fecha_Inicio_Real]]="");"";SI([@[Fecha_Inicio_Real]]&lt;=[@[Fecha_Programada_Inicio]];"SÍ";"NO"))</f>
        <v/>
      </c>
      <c r="O447" s="14">
        <f>SI(O([@[Fecha_Programada_Fin]]="";[@[Fecha_Cierre_Operativo]]="");"";SI([@[Fecha_Cierre_Operativo]]&lt;=SI([@[Fecha_Nueva_Programada]]&lt;&gt;"";[@[Fecha_Nueva_Programada]];[@[Fecha_Programada_Fin]]);"SÍ";"NO"))</f>
        <v/>
      </c>
      <c r="P447" s="14">
        <f>SI(O([@[Cumpli_Ingreso]]="";[@[Cumpli_Salida]]="");"";SI(Y([@[Cumpli_Ingreso]]="SÍ";[@[Cumpli_Salida]]="SÍ");"SÍ";"NO"))</f>
        <v/>
      </c>
      <c r="Q447" s="15">
        <f>SI(O([@[Fecha_Programada_Fin]]="";[@[Fecha_Cierre_Operativo]]="");"";MAX(0;ENTERO([@[Fecha_Cierre_Operativo]])-ENTERO(SI([@[Fecha_Nueva_Programada]]&lt;&gt;"";[@[Fecha_Nueva_Programada]];[@[Fecha_Programada_Fin]])))</f>
        <v/>
      </c>
      <c r="R447" s="12" t="n"/>
      <c r="S447" s="12" t="n"/>
      <c r="T447" s="13" t="n"/>
      <c r="U447" s="12" t="n">
        <v>14</v>
      </c>
      <c r="V447" s="12" t="n"/>
      <c r="W44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47" s="14">
        <f>SI([@SBAN]="";"";BUSCARV([@SBAN];Cronograma_Maestro!$A:$M;6;FALSO))</f>
        <v/>
      </c>
    </row>
    <row r="448">
      <c r="A448" s="11" t="inlineStr">
        <is>
          <t>3973</t>
        </is>
      </c>
      <c r="B448" s="12">
        <f>SI([@SBAN]="";"";BUSCARV([@SBAN];Cronograma_Maestro!$A:$M;2;FALSO))</f>
        <v/>
      </c>
      <c r="C448" s="12">
        <f>SI([@SBAN]="";"";BUSCARV([@SBAN];Cronograma_Maestro!$A:$M;3;FALSO))</f>
        <v/>
      </c>
      <c r="D448" s="12">
        <f>SI([@SBAN]="";"";BUSCARV([@SBAN];Cronograma_Maestro!$A:$M;4;FALSO))</f>
        <v/>
      </c>
      <c r="E448" s="12">
        <f>SI([@SBAN]="";"";BUSCARV([@SBAN];Cronograma_Maestro!$A:$M;5;FALSO))</f>
        <v/>
      </c>
      <c r="F448" s="12" t="inlineStr">
        <is>
          <t>ERIKA VARGAS</t>
        </is>
      </c>
      <c r="G448" s="12" t="inlineStr">
        <is>
          <t>PMU COLSOF</t>
        </is>
      </c>
      <c r="H448" s="13" t="n">
        <v>46309</v>
      </c>
      <c r="I448" s="13" t="n">
        <v>46309</v>
      </c>
      <c r="J448" s="13" t="n"/>
      <c r="K448" s="13" t="n"/>
      <c r="L448" s="12" t="inlineStr">
        <is>
          <t>Programada</t>
        </is>
      </c>
      <c r="M448" s="13" t="n"/>
      <c r="N448" s="14">
        <f>SI(O([@[Fecha_Programada_Inicio]]="";[@[Fecha_Inicio_Real]]="");"";SI([@[Fecha_Inicio_Real]]&lt;=[@[Fecha_Programada_Inicio]];"SÍ";"NO"))</f>
        <v/>
      </c>
      <c r="O448" s="14">
        <f>SI(O([@[Fecha_Programada_Fin]]="";[@[Fecha_Cierre_Operativo]]="");"";SI([@[Fecha_Cierre_Operativo]]&lt;=SI([@[Fecha_Nueva_Programada]]&lt;&gt;"";[@[Fecha_Nueva_Programada]];[@[Fecha_Programada_Fin]]);"SÍ";"NO"))</f>
        <v/>
      </c>
      <c r="P448" s="14">
        <f>SI(O([@[Cumpli_Ingreso]]="";[@[Cumpli_Salida]]="");"";SI(Y([@[Cumpli_Ingreso]]="SÍ";[@[Cumpli_Salida]]="SÍ");"SÍ";"NO"))</f>
        <v/>
      </c>
      <c r="Q448" s="15">
        <f>SI(O([@[Fecha_Programada_Fin]]="";[@[Fecha_Cierre_Operativo]]="");"";MAX(0;ENTERO([@[Fecha_Cierre_Operativo]])-ENTERO(SI([@[Fecha_Nueva_Programada]]&lt;&gt;"";[@[Fecha_Nueva_Programada]];[@[Fecha_Programada_Fin]])))</f>
        <v/>
      </c>
      <c r="R448" s="12" t="n"/>
      <c r="S448" s="12" t="n"/>
      <c r="T448" s="13" t="n"/>
      <c r="U448" s="12" t="n">
        <v>19</v>
      </c>
      <c r="V448" s="12" t="n"/>
      <c r="W44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48" s="14">
        <f>SI([@SBAN]="";"";BUSCARV([@SBAN];Cronograma_Maestro!$A:$M;6;FALSO))</f>
        <v/>
      </c>
    </row>
    <row r="449">
      <c r="A449" s="11" t="inlineStr">
        <is>
          <t>3960</t>
        </is>
      </c>
      <c r="B449" s="12">
        <f>SI([@SBAN]="";"";BUSCARV([@SBAN];Cronograma_Maestro!$A:$M;2;FALSO))</f>
        <v/>
      </c>
      <c r="C449" s="12">
        <f>SI([@SBAN]="";"";BUSCARV([@SBAN];Cronograma_Maestro!$A:$M;3;FALSO))</f>
        <v/>
      </c>
      <c r="D449" s="12">
        <f>SI([@SBAN]="";"";BUSCARV([@SBAN];Cronograma_Maestro!$A:$M;4;FALSO))</f>
        <v/>
      </c>
      <c r="E449" s="12">
        <f>SI([@SBAN]="";"";BUSCARV([@SBAN];Cronograma_Maestro!$A:$M;5;FALSO))</f>
        <v/>
      </c>
      <c r="F449" s="12" t="inlineStr">
        <is>
          <t>HAROLD STEED GARCIA</t>
        </is>
      </c>
      <c r="G449" s="12" t="inlineStr">
        <is>
          <t>PMU COLSOF</t>
        </is>
      </c>
      <c r="H449" s="13" t="n">
        <v>46273</v>
      </c>
      <c r="I449" s="13" t="n">
        <v>46274</v>
      </c>
      <c r="J449" s="13" t="n"/>
      <c r="K449" s="13" t="n"/>
      <c r="L449" s="12" t="inlineStr">
        <is>
          <t>Programada</t>
        </is>
      </c>
      <c r="M449" s="13" t="n"/>
      <c r="N449" s="14">
        <f>SI(O([@[Fecha_Programada_Inicio]]="";[@[Fecha_Inicio_Real]]="");"";SI([@[Fecha_Inicio_Real]]&lt;=[@[Fecha_Programada_Inicio]];"SÍ";"NO"))</f>
        <v/>
      </c>
      <c r="O449" s="14">
        <f>SI(O([@[Fecha_Programada_Fin]]="";[@[Fecha_Cierre_Operativo]]="");"";SI([@[Fecha_Cierre_Operativo]]&lt;=SI([@[Fecha_Nueva_Programada]]&lt;&gt;"";[@[Fecha_Nueva_Programada]];[@[Fecha_Programada_Fin]]);"SÍ";"NO"))</f>
        <v/>
      </c>
      <c r="P449" s="14">
        <f>SI(O([@[Cumpli_Ingreso]]="";[@[Cumpli_Salida]]="");"";SI(Y([@[Cumpli_Ingreso]]="SÍ";[@[Cumpli_Salida]]="SÍ");"SÍ";"NO"))</f>
        <v/>
      </c>
      <c r="Q449" s="15">
        <f>SI(O([@[Fecha_Programada_Fin]]="";[@[Fecha_Cierre_Operativo]]="");"";MAX(0;ENTERO([@[Fecha_Cierre_Operativo]])-ENTERO(SI([@[Fecha_Nueva_Programada]]&lt;&gt;"";[@[Fecha_Nueva_Programada]];[@[Fecha_Programada_Fin]])))</f>
        <v/>
      </c>
      <c r="R449" s="12" t="n"/>
      <c r="S449" s="12" t="n"/>
      <c r="T449" s="13" t="n"/>
      <c r="U449" s="12" t="n">
        <v>14</v>
      </c>
      <c r="V449" s="12" t="n"/>
      <c r="W44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49" s="14">
        <f>SI([@SBAN]="";"";BUSCARV([@SBAN];Cronograma_Maestro!$A:$M;6;FALSO))</f>
        <v/>
      </c>
    </row>
    <row r="450">
      <c r="A450" s="11" t="inlineStr">
        <is>
          <t>4203</t>
        </is>
      </c>
      <c r="B450" s="12">
        <f>SI([@SBAN]="";"";BUSCARV([@SBAN];Cronograma_Maestro!$A:$M;2;FALSO))</f>
        <v/>
      </c>
      <c r="C450" s="12">
        <f>SI([@SBAN]="";"";BUSCARV([@SBAN];Cronograma_Maestro!$A:$M;3;FALSO))</f>
        <v/>
      </c>
      <c r="D450" s="12">
        <f>SI([@SBAN]="";"";BUSCARV([@SBAN];Cronograma_Maestro!$A:$M;4;FALSO))</f>
        <v/>
      </c>
      <c r="E450" s="12">
        <f>SI([@SBAN]="";"";BUSCARV([@SBAN];Cronograma_Maestro!$A:$M;5;FALSO))</f>
        <v/>
      </c>
      <c r="F450" s="12" t="inlineStr">
        <is>
          <t>Mauricio Andrés Rivera Páez</t>
        </is>
      </c>
      <c r="G450" s="12" t="inlineStr">
        <is>
          <t>PMU COLSOF</t>
        </is>
      </c>
      <c r="H450" s="13" t="n">
        <v>46323</v>
      </c>
      <c r="I450" s="13" t="n">
        <v>46324</v>
      </c>
      <c r="J450" s="13" t="n"/>
      <c r="K450" s="13" t="n"/>
      <c r="L450" s="12" t="inlineStr">
        <is>
          <t>Programada</t>
        </is>
      </c>
      <c r="M450" s="13" t="n"/>
      <c r="N450" s="14">
        <f>SI(O([@[Fecha_Programada_Inicio]]="";[@[Fecha_Inicio_Real]]="");"";SI([@[Fecha_Inicio_Real]]&lt;=[@[Fecha_Programada_Inicio]];"SÍ";"NO"))</f>
        <v/>
      </c>
      <c r="O450" s="14">
        <f>SI(O([@[Fecha_Programada_Fin]]="";[@[Fecha_Cierre_Operativo]]="");"";SI([@[Fecha_Cierre_Operativo]]&lt;=SI([@[Fecha_Nueva_Programada]]&lt;&gt;"";[@[Fecha_Nueva_Programada]];[@[Fecha_Programada_Fin]]);"SÍ";"NO"))</f>
        <v/>
      </c>
      <c r="P450" s="14">
        <f>SI(O([@[Cumpli_Ingreso]]="";[@[Cumpli_Salida]]="");"";SI(Y([@[Cumpli_Ingreso]]="SÍ";[@[Cumpli_Salida]]="SÍ");"SÍ";"NO"))</f>
        <v/>
      </c>
      <c r="Q450" s="15">
        <f>SI(O([@[Fecha_Programada_Fin]]="";[@[Fecha_Cierre_Operativo]]="");"";MAX(0;ENTERO([@[Fecha_Cierre_Operativo]])-ENTERO(SI([@[Fecha_Nueva_Programada]]&lt;&gt;"";[@[Fecha_Nueva_Programada]];[@[Fecha_Programada_Fin]])))</f>
        <v/>
      </c>
      <c r="R450" s="12" t="n"/>
      <c r="S450" s="12" t="n"/>
      <c r="T450" s="13" t="n"/>
      <c r="U450" s="12" t="n">
        <v>12</v>
      </c>
      <c r="V450" s="12" t="n"/>
      <c r="W45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50" s="14">
        <f>SI([@SBAN]="";"";BUSCARV([@SBAN];Cronograma_Maestro!$A:$M;6;FALSO))</f>
        <v/>
      </c>
    </row>
    <row r="451">
      <c r="A451" s="11" t="inlineStr">
        <is>
          <t>4205</t>
        </is>
      </c>
      <c r="B451" s="12">
        <f>SI([@SBAN]="";"";BUSCARV([@SBAN];Cronograma_Maestro!$A:$M;2;FALSO))</f>
        <v/>
      </c>
      <c r="C451" s="12">
        <f>SI([@SBAN]="";"";BUSCARV([@SBAN];Cronograma_Maestro!$A:$M;3;FALSO))</f>
        <v/>
      </c>
      <c r="D451" s="12">
        <f>SI([@SBAN]="";"";BUSCARV([@SBAN];Cronograma_Maestro!$A:$M;4;FALSO))</f>
        <v/>
      </c>
      <c r="E451" s="12">
        <f>SI([@SBAN]="";"";BUSCARV([@SBAN];Cronograma_Maestro!$A:$M;5;FALSO))</f>
        <v/>
      </c>
      <c r="F451" s="12" t="inlineStr">
        <is>
          <t>Andrés Felipe Díaz Noy</t>
        </is>
      </c>
      <c r="G451" s="12" t="inlineStr">
        <is>
          <t>PMU COLSOF</t>
        </is>
      </c>
      <c r="H451" s="13" t="n">
        <v>46322</v>
      </c>
      <c r="I451" s="13" t="n">
        <v>46323</v>
      </c>
      <c r="J451" s="13" t="n"/>
      <c r="K451" s="13" t="n"/>
      <c r="L451" s="12" t="inlineStr">
        <is>
          <t>Programada</t>
        </is>
      </c>
      <c r="M451" s="13" t="n"/>
      <c r="N451" s="14">
        <f>SI(O([@[Fecha_Programada_Inicio]]="";[@[Fecha_Inicio_Real]]="");"";SI([@[Fecha_Inicio_Real]]&lt;=[@[Fecha_Programada_Inicio]];"SÍ";"NO"))</f>
        <v/>
      </c>
      <c r="O451" s="14">
        <f>SI(O([@[Fecha_Programada_Fin]]="";[@[Fecha_Cierre_Operativo]]="");"";SI([@[Fecha_Cierre_Operativo]]&lt;=SI([@[Fecha_Nueva_Programada]]&lt;&gt;"";[@[Fecha_Nueva_Programada]];[@[Fecha_Programada_Fin]]);"SÍ";"NO"))</f>
        <v/>
      </c>
      <c r="P451" s="14">
        <f>SI(O([@[Cumpli_Ingreso]]="";[@[Cumpli_Salida]]="");"";SI(Y([@[Cumpli_Ingreso]]="SÍ";[@[Cumpli_Salida]]="SÍ");"SÍ";"NO"))</f>
        <v/>
      </c>
      <c r="Q451" s="15">
        <f>SI(O([@[Fecha_Programada_Fin]]="";[@[Fecha_Cierre_Operativo]]="");"";MAX(0;ENTERO([@[Fecha_Cierre_Operativo]])-ENTERO(SI([@[Fecha_Nueva_Programada]]&lt;&gt;"";[@[Fecha_Nueva_Programada]];[@[Fecha_Programada_Fin]])))</f>
        <v/>
      </c>
      <c r="R451" s="12" t="n"/>
      <c r="S451" s="12" t="n"/>
      <c r="T451" s="13" t="n"/>
      <c r="U451" s="12" t="n">
        <v>13</v>
      </c>
      <c r="V451" s="12" t="n"/>
      <c r="W45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51" s="14">
        <f>SI([@SBAN]="";"";BUSCARV([@SBAN];Cronograma_Maestro!$A:$M;6;FALSO))</f>
        <v/>
      </c>
    </row>
    <row r="452">
      <c r="A452" s="11" t="inlineStr">
        <is>
          <t>4209</t>
        </is>
      </c>
      <c r="B452" s="12">
        <f>SI([@SBAN]="";"";BUSCARV([@SBAN];Cronograma_Maestro!$A:$M;2;FALSO))</f>
        <v/>
      </c>
      <c r="C452" s="12">
        <f>SI([@SBAN]="";"";BUSCARV([@SBAN];Cronograma_Maestro!$A:$M;3;FALSO))</f>
        <v/>
      </c>
      <c r="D452" s="12">
        <f>SI([@SBAN]="";"";BUSCARV([@SBAN];Cronograma_Maestro!$A:$M;4;FALSO))</f>
        <v/>
      </c>
      <c r="E452" s="12">
        <f>SI([@SBAN]="";"";BUSCARV([@SBAN];Cronograma_Maestro!$A:$M;5;FALSO))</f>
        <v/>
      </c>
      <c r="F452" s="12" t="inlineStr">
        <is>
          <t>Mauricio Andrés Rivera Páez</t>
        </is>
      </c>
      <c r="G452" s="12" t="inlineStr">
        <is>
          <t>PMU COLSOF</t>
        </is>
      </c>
      <c r="H452" s="13" t="n">
        <v>46324</v>
      </c>
      <c r="I452" s="13" t="n">
        <v>46325</v>
      </c>
      <c r="J452" s="13" t="n"/>
      <c r="K452" s="13" t="n"/>
      <c r="L452" s="12" t="inlineStr">
        <is>
          <t>Programada</t>
        </is>
      </c>
      <c r="M452" s="13" t="n"/>
      <c r="N452" s="14">
        <f>SI(O([@[Fecha_Programada_Inicio]]="";[@[Fecha_Inicio_Real]]="");"";SI([@[Fecha_Inicio_Real]]&lt;=[@[Fecha_Programada_Inicio]];"SÍ";"NO"))</f>
        <v/>
      </c>
      <c r="O452" s="14">
        <f>SI(O([@[Fecha_Programada_Fin]]="";[@[Fecha_Cierre_Operativo]]="");"";SI([@[Fecha_Cierre_Operativo]]&lt;=SI([@[Fecha_Nueva_Programada]]&lt;&gt;"";[@[Fecha_Nueva_Programada]];[@[Fecha_Programada_Fin]]);"SÍ";"NO"))</f>
        <v/>
      </c>
      <c r="P452" s="14">
        <f>SI(O([@[Cumpli_Ingreso]]="";[@[Cumpli_Salida]]="");"";SI(Y([@[Cumpli_Ingreso]]="SÍ";[@[Cumpli_Salida]]="SÍ");"SÍ";"NO"))</f>
        <v/>
      </c>
      <c r="Q452" s="15">
        <f>SI(O([@[Fecha_Programada_Fin]]="";[@[Fecha_Cierre_Operativo]]="");"";MAX(0;ENTERO([@[Fecha_Cierre_Operativo]])-ENTERO(SI([@[Fecha_Nueva_Programada]]&lt;&gt;"";[@[Fecha_Nueva_Programada]];[@[Fecha_Programada_Fin]])))</f>
        <v/>
      </c>
      <c r="R452" s="12" t="n"/>
      <c r="S452" s="12" t="n"/>
      <c r="T452" s="13" t="n"/>
      <c r="U452" s="12" t="n">
        <v>29</v>
      </c>
      <c r="V452" s="12" t="n"/>
      <c r="W45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52" s="14">
        <f>SI([@SBAN]="";"";BUSCARV([@SBAN];Cronograma_Maestro!$A:$M;6;FALSO))</f>
        <v/>
      </c>
    </row>
    <row r="453">
      <c r="A453" s="11" t="inlineStr">
        <is>
          <t>4210</t>
        </is>
      </c>
      <c r="B453" s="12">
        <f>SI([@SBAN]="";"";BUSCARV([@SBAN];Cronograma_Maestro!$A:$M;2;FALSO))</f>
        <v/>
      </c>
      <c r="C453" s="12">
        <f>SI([@SBAN]="";"";BUSCARV([@SBAN];Cronograma_Maestro!$A:$M;3;FALSO))</f>
        <v/>
      </c>
      <c r="D453" s="12">
        <f>SI([@SBAN]="";"";BUSCARV([@SBAN];Cronograma_Maestro!$A:$M;4;FALSO))</f>
        <v/>
      </c>
      <c r="E453" s="12">
        <f>SI([@SBAN]="";"";BUSCARV([@SBAN];Cronograma_Maestro!$A:$M;5;FALSO))</f>
        <v/>
      </c>
      <c r="F453" s="12" t="inlineStr">
        <is>
          <t>Luz Nélida Barragán Toro</t>
        </is>
      </c>
      <c r="G453" s="12" t="inlineStr">
        <is>
          <t>PMU COLSOF</t>
        </is>
      </c>
      <c r="H453" s="13" t="n">
        <v>46324</v>
      </c>
      <c r="I453" s="13" t="n">
        <v>46325</v>
      </c>
      <c r="J453" s="13" t="n"/>
      <c r="K453" s="13" t="n"/>
      <c r="L453" s="12" t="inlineStr">
        <is>
          <t>Programada</t>
        </is>
      </c>
      <c r="M453" s="13" t="n"/>
      <c r="N453" s="14">
        <f>SI(O([@[Fecha_Programada_Inicio]]="";[@[Fecha_Inicio_Real]]="");"";SI([@[Fecha_Inicio_Real]]&lt;=[@[Fecha_Programada_Inicio]];"SÍ";"NO"))</f>
        <v/>
      </c>
      <c r="O453" s="14">
        <f>SI(O([@[Fecha_Programada_Fin]]="";[@[Fecha_Cierre_Operativo]]="");"";SI([@[Fecha_Cierre_Operativo]]&lt;=SI([@[Fecha_Nueva_Programada]]&lt;&gt;"";[@[Fecha_Nueva_Programada]];[@[Fecha_Programada_Fin]]);"SÍ";"NO"))</f>
        <v/>
      </c>
      <c r="P453" s="14">
        <f>SI(O([@[Cumpli_Ingreso]]="";[@[Cumpli_Salida]]="");"";SI(Y([@[Cumpli_Ingreso]]="SÍ";[@[Cumpli_Salida]]="SÍ");"SÍ";"NO"))</f>
        <v/>
      </c>
      <c r="Q453" s="15">
        <f>SI(O([@[Fecha_Programada_Fin]]="";[@[Fecha_Cierre_Operativo]]="");"";MAX(0;ENTERO([@[Fecha_Cierre_Operativo]])-ENTERO(SI([@[Fecha_Nueva_Programada]]&lt;&gt;"";[@[Fecha_Nueva_Programada]];[@[Fecha_Programada_Fin]])))</f>
        <v/>
      </c>
      <c r="R453" s="12" t="n"/>
      <c r="S453" s="12" t="n"/>
      <c r="T453" s="13" t="n"/>
      <c r="U453" s="12" t="n">
        <v>47</v>
      </c>
      <c r="V453" s="12" t="n"/>
      <c r="W45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53" s="14">
        <f>SI([@SBAN]="";"";BUSCARV([@SBAN];Cronograma_Maestro!$A:$M;6;FALSO))</f>
        <v/>
      </c>
    </row>
    <row r="454">
      <c r="A454" s="11" t="inlineStr">
        <is>
          <t>4212</t>
        </is>
      </c>
      <c r="B454" s="12">
        <f>SI([@SBAN]="";"";BUSCARV([@SBAN];Cronograma_Maestro!$A:$M;2;FALSO))</f>
        <v/>
      </c>
      <c r="C454" s="12">
        <f>SI([@SBAN]="";"";BUSCARV([@SBAN];Cronograma_Maestro!$A:$M;3;FALSO))</f>
        <v/>
      </c>
      <c r="D454" s="12">
        <f>SI([@SBAN]="";"";BUSCARV([@SBAN];Cronograma_Maestro!$A:$M;4;FALSO))</f>
        <v/>
      </c>
      <c r="E454" s="12">
        <f>SI([@SBAN]="";"";BUSCARV([@SBAN];Cronograma_Maestro!$A:$M;5;FALSO))</f>
        <v/>
      </c>
      <c r="F454" s="12" t="inlineStr">
        <is>
          <t>Luz Nélida Barragán Toro</t>
        </is>
      </c>
      <c r="G454" s="12" t="inlineStr">
        <is>
          <t>PMU COLSOF</t>
        </is>
      </c>
      <c r="H454" s="13" t="n">
        <v>46323</v>
      </c>
      <c r="I454" s="13" t="n">
        <v>46324</v>
      </c>
      <c r="J454" s="13" t="n"/>
      <c r="K454" s="13" t="n"/>
      <c r="L454" s="12" t="inlineStr">
        <is>
          <t>Programada</t>
        </is>
      </c>
      <c r="M454" s="13" t="n"/>
      <c r="N454" s="14">
        <f>SI(O([@[Fecha_Programada_Inicio]]="";[@[Fecha_Inicio_Real]]="");"";SI([@[Fecha_Inicio_Real]]&lt;=[@[Fecha_Programada_Inicio]];"SÍ";"NO"))</f>
        <v/>
      </c>
      <c r="O454" s="14">
        <f>SI(O([@[Fecha_Programada_Fin]]="";[@[Fecha_Cierre_Operativo]]="");"";SI([@[Fecha_Cierre_Operativo]]&lt;=SI([@[Fecha_Nueva_Programada]]&lt;&gt;"";[@[Fecha_Nueva_Programada]];[@[Fecha_Programada_Fin]]);"SÍ";"NO"))</f>
        <v/>
      </c>
      <c r="P454" s="14">
        <f>SI(O([@[Cumpli_Ingreso]]="";[@[Cumpli_Salida]]="");"";SI(Y([@[Cumpli_Ingreso]]="SÍ";[@[Cumpli_Salida]]="SÍ");"SÍ";"NO"))</f>
        <v/>
      </c>
      <c r="Q454" s="15">
        <f>SI(O([@[Fecha_Programada_Fin]]="";[@[Fecha_Cierre_Operativo]]="");"";MAX(0;ENTERO([@[Fecha_Cierre_Operativo]])-ENTERO(SI([@[Fecha_Nueva_Programada]]&lt;&gt;"";[@[Fecha_Nueva_Programada]];[@[Fecha_Programada_Fin]])))</f>
        <v/>
      </c>
      <c r="R454" s="12" t="n"/>
      <c r="S454" s="12" t="n"/>
      <c r="T454" s="13" t="n"/>
      <c r="U454" s="12" t="n">
        <v>24</v>
      </c>
      <c r="V454" s="12" t="n"/>
      <c r="W45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54" s="14">
        <f>SI([@SBAN]="";"";BUSCARV([@SBAN];Cronograma_Maestro!$A:$M;6;FALSO))</f>
        <v/>
      </c>
    </row>
    <row r="455">
      <c r="A455" s="11" t="inlineStr">
        <is>
          <t>4215</t>
        </is>
      </c>
      <c r="B455" s="12">
        <f>SI([@SBAN]="";"";BUSCARV([@SBAN];Cronograma_Maestro!$A:$M;2;FALSO))</f>
        <v/>
      </c>
      <c r="C455" s="12">
        <f>SI([@SBAN]="";"";BUSCARV([@SBAN];Cronograma_Maestro!$A:$M;3;FALSO))</f>
        <v/>
      </c>
      <c r="D455" s="12">
        <f>SI([@SBAN]="";"";BUSCARV([@SBAN];Cronograma_Maestro!$A:$M;4;FALSO))</f>
        <v/>
      </c>
      <c r="E455" s="12">
        <f>SI([@SBAN]="";"";BUSCARV([@SBAN];Cronograma_Maestro!$A:$M;5;FALSO))</f>
        <v/>
      </c>
      <c r="F455" s="12" t="inlineStr">
        <is>
          <t>Andrés Felipe Díaz Noy</t>
        </is>
      </c>
      <c r="G455" s="12" t="inlineStr">
        <is>
          <t>PMU COLSOF</t>
        </is>
      </c>
      <c r="H455" s="13" t="n">
        <v>46323</v>
      </c>
      <c r="I455" s="13" t="n">
        <v>46324</v>
      </c>
      <c r="J455" s="13" t="n"/>
      <c r="K455" s="13" t="n"/>
      <c r="L455" s="12" t="inlineStr">
        <is>
          <t>Programada</t>
        </is>
      </c>
      <c r="M455" s="13" t="n"/>
      <c r="N455" s="14">
        <f>SI(O([@[Fecha_Programada_Inicio]]="";[@[Fecha_Inicio_Real]]="");"";SI([@[Fecha_Inicio_Real]]&lt;=[@[Fecha_Programada_Inicio]];"SÍ";"NO"))</f>
        <v/>
      </c>
      <c r="O455" s="14">
        <f>SI(O([@[Fecha_Programada_Fin]]="";[@[Fecha_Cierre_Operativo]]="");"";SI([@[Fecha_Cierre_Operativo]]&lt;=SI([@[Fecha_Nueva_Programada]]&lt;&gt;"";[@[Fecha_Nueva_Programada]];[@[Fecha_Programada_Fin]]);"SÍ";"NO"))</f>
        <v/>
      </c>
      <c r="P455" s="14">
        <f>SI(O([@[Cumpli_Ingreso]]="";[@[Cumpli_Salida]]="");"";SI(Y([@[Cumpli_Ingreso]]="SÍ";[@[Cumpli_Salida]]="SÍ");"SÍ";"NO"))</f>
        <v/>
      </c>
      <c r="Q455" s="15">
        <f>SI(O([@[Fecha_Programada_Fin]]="";[@[Fecha_Cierre_Operativo]]="");"";MAX(0;ENTERO([@[Fecha_Cierre_Operativo]])-ENTERO(SI([@[Fecha_Nueva_Programada]]&lt;&gt;"";[@[Fecha_Nueva_Programada]];[@[Fecha_Programada_Fin]])))</f>
        <v/>
      </c>
      <c r="R455" s="12" t="n"/>
      <c r="S455" s="12" t="n"/>
      <c r="T455" s="13" t="n"/>
      <c r="U455" s="12" t="n">
        <v>13</v>
      </c>
      <c r="V455" s="12" t="n"/>
      <c r="W45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55" s="14">
        <f>SI([@SBAN]="";"";BUSCARV([@SBAN];Cronograma_Maestro!$A:$M;6;FALSO))</f>
        <v/>
      </c>
    </row>
    <row r="456">
      <c r="A456" s="11" t="inlineStr">
        <is>
          <t>4220</t>
        </is>
      </c>
      <c r="B456" s="12">
        <f>SI([@SBAN]="";"";BUSCARV([@SBAN];Cronograma_Maestro!$A:$M;2;FALSO))</f>
        <v/>
      </c>
      <c r="C456" s="12">
        <f>SI([@SBAN]="";"";BUSCARV([@SBAN];Cronograma_Maestro!$A:$M;3;FALSO))</f>
        <v/>
      </c>
      <c r="D456" s="12">
        <f>SI([@SBAN]="";"";BUSCARV([@SBAN];Cronograma_Maestro!$A:$M;4;FALSO))</f>
        <v/>
      </c>
      <c r="E456" s="12">
        <f>SI([@SBAN]="";"";BUSCARV([@SBAN];Cronograma_Maestro!$A:$M;5;FALSO))</f>
        <v/>
      </c>
      <c r="F456" s="12" t="inlineStr">
        <is>
          <t>Mauricio Andrés Rivera Páez</t>
        </is>
      </c>
      <c r="G456" s="12" t="inlineStr">
        <is>
          <t>PMU COLSOF</t>
        </is>
      </c>
      <c r="H456" s="13" t="n">
        <v>46321</v>
      </c>
      <c r="I456" s="13" t="n">
        <v>46322</v>
      </c>
      <c r="J456" s="13" t="n"/>
      <c r="K456" s="13" t="n"/>
      <c r="L456" s="12" t="inlineStr">
        <is>
          <t>Programada</t>
        </is>
      </c>
      <c r="M456" s="13" t="n"/>
      <c r="N456" s="14">
        <f>SI(O([@[Fecha_Programada_Inicio]]="";[@[Fecha_Inicio_Real]]="");"";SI([@[Fecha_Inicio_Real]]&lt;=[@[Fecha_Programada_Inicio]];"SÍ";"NO"))</f>
        <v/>
      </c>
      <c r="O456" s="14">
        <f>SI(O([@[Fecha_Programada_Fin]]="";[@[Fecha_Cierre_Operativo]]="");"";SI([@[Fecha_Cierre_Operativo]]&lt;=SI([@[Fecha_Nueva_Programada]]&lt;&gt;"";[@[Fecha_Nueva_Programada]];[@[Fecha_Programada_Fin]]);"SÍ";"NO"))</f>
        <v/>
      </c>
      <c r="P456" s="14">
        <f>SI(O([@[Cumpli_Ingreso]]="";[@[Cumpli_Salida]]="");"";SI(Y([@[Cumpli_Ingreso]]="SÍ";[@[Cumpli_Salida]]="SÍ");"SÍ";"NO"))</f>
        <v/>
      </c>
      <c r="Q456" s="15">
        <f>SI(O([@[Fecha_Programada_Fin]]="";[@[Fecha_Cierre_Operativo]]="");"";MAX(0;ENTERO([@[Fecha_Cierre_Operativo]])-ENTERO(SI([@[Fecha_Nueva_Programada]]&lt;&gt;"";[@[Fecha_Nueva_Programada]];[@[Fecha_Programada_Fin]])))</f>
        <v/>
      </c>
      <c r="R456" s="12" t="n"/>
      <c r="S456" s="12" t="n"/>
      <c r="T456" s="13" t="n"/>
      <c r="U456" s="12" t="n">
        <v>28</v>
      </c>
      <c r="V456" s="12" t="n"/>
      <c r="W45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56" s="14">
        <f>SI([@SBAN]="";"";BUSCARV([@SBAN];Cronograma_Maestro!$A:$M;6;FALSO))</f>
        <v/>
      </c>
    </row>
    <row r="457">
      <c r="A457" s="11" t="inlineStr">
        <is>
          <t>4223</t>
        </is>
      </c>
      <c r="B457" s="12">
        <f>SI([@SBAN]="";"";BUSCARV([@SBAN];Cronograma_Maestro!$A:$M;2;FALSO))</f>
        <v/>
      </c>
      <c r="C457" s="12">
        <f>SI([@SBAN]="";"";BUSCARV([@SBAN];Cronograma_Maestro!$A:$M;3;FALSO))</f>
        <v/>
      </c>
      <c r="D457" s="12">
        <f>SI([@SBAN]="";"";BUSCARV([@SBAN];Cronograma_Maestro!$A:$M;4;FALSO))</f>
        <v/>
      </c>
      <c r="E457" s="12">
        <f>SI([@SBAN]="";"";BUSCARV([@SBAN];Cronograma_Maestro!$A:$M;5;FALSO))</f>
        <v/>
      </c>
      <c r="F457" s="12" t="inlineStr">
        <is>
          <t>Andrés Felipe Díaz Noy</t>
        </is>
      </c>
      <c r="G457" s="12" t="inlineStr">
        <is>
          <t>PMU COLSOF</t>
        </is>
      </c>
      <c r="H457" s="13" t="n">
        <v>46321</v>
      </c>
      <c r="I457" s="13" t="n">
        <v>46322</v>
      </c>
      <c r="J457" s="13" t="n"/>
      <c r="K457" s="13" t="n"/>
      <c r="L457" s="12" t="inlineStr">
        <is>
          <t>Programada</t>
        </is>
      </c>
      <c r="M457" s="13" t="n"/>
      <c r="N457" s="14">
        <f>SI(O([@[Fecha_Programada_Inicio]]="";[@[Fecha_Inicio_Real]]="");"";SI([@[Fecha_Inicio_Real]]&lt;=[@[Fecha_Programada_Inicio]];"SÍ";"NO"))</f>
        <v/>
      </c>
      <c r="O457" s="14">
        <f>SI(O([@[Fecha_Programada_Fin]]="";[@[Fecha_Cierre_Operativo]]="");"";SI([@[Fecha_Cierre_Operativo]]&lt;=SI([@[Fecha_Nueva_Programada]]&lt;&gt;"";[@[Fecha_Nueva_Programada]];[@[Fecha_Programada_Fin]]);"SÍ";"NO"))</f>
        <v/>
      </c>
      <c r="P457" s="14">
        <f>SI(O([@[Cumpli_Ingreso]]="";[@[Cumpli_Salida]]="");"";SI(Y([@[Cumpli_Ingreso]]="SÍ";[@[Cumpli_Salida]]="SÍ");"SÍ";"NO"))</f>
        <v/>
      </c>
      <c r="Q457" s="15">
        <f>SI(O([@[Fecha_Programada_Fin]]="";[@[Fecha_Cierre_Operativo]]="");"";MAX(0;ENTERO([@[Fecha_Cierre_Operativo]])-ENTERO(SI([@[Fecha_Nueva_Programada]]&lt;&gt;"";[@[Fecha_Nueva_Programada]];[@[Fecha_Programada_Fin]])))</f>
        <v/>
      </c>
      <c r="R457" s="12" t="n"/>
      <c r="S457" s="12" t="n"/>
      <c r="T457" s="13" t="n"/>
      <c r="U457" s="12" t="n">
        <v>14</v>
      </c>
      <c r="V457" s="12" t="n"/>
      <c r="W45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57" s="14">
        <f>SI([@SBAN]="";"";BUSCARV([@SBAN];Cronograma_Maestro!$A:$M;6;FALSO))</f>
        <v/>
      </c>
    </row>
    <row r="458">
      <c r="A458" s="11" t="inlineStr">
        <is>
          <t>4230</t>
        </is>
      </c>
      <c r="B458" s="12">
        <f>SI([@SBAN]="";"";BUSCARV([@SBAN];Cronograma_Maestro!$A:$M;2;FALSO))</f>
        <v/>
      </c>
      <c r="C458" s="12">
        <f>SI([@SBAN]="";"";BUSCARV([@SBAN];Cronograma_Maestro!$A:$M;3;FALSO))</f>
        <v/>
      </c>
      <c r="D458" s="12">
        <f>SI([@SBAN]="";"";BUSCARV([@SBAN];Cronograma_Maestro!$A:$M;4;FALSO))</f>
        <v/>
      </c>
      <c r="E458" s="12">
        <f>SI([@SBAN]="";"";BUSCARV([@SBAN];Cronograma_Maestro!$A:$M;5;FALSO))</f>
        <v/>
      </c>
      <c r="F458" s="12" t="inlineStr">
        <is>
          <t>Andrés Felipe Carvajal Pire</t>
        </is>
      </c>
      <c r="G458" s="12" t="inlineStr">
        <is>
          <t>PMU COLSOF</t>
        </is>
      </c>
      <c r="H458" s="13" t="n">
        <v>46321</v>
      </c>
      <c r="I458" s="13" t="n">
        <v>46322</v>
      </c>
      <c r="J458" s="13" t="n"/>
      <c r="K458" s="13" t="n"/>
      <c r="L458" s="12" t="inlineStr">
        <is>
          <t>Programada</t>
        </is>
      </c>
      <c r="M458" s="13" t="n"/>
      <c r="N458" s="14">
        <f>SI(O([@[Fecha_Programada_Inicio]]="";[@[Fecha_Inicio_Real]]="");"";SI([@[Fecha_Inicio_Real]]&lt;=[@[Fecha_Programada_Inicio]];"SÍ";"NO"))</f>
        <v/>
      </c>
      <c r="O458" s="14">
        <f>SI(O([@[Fecha_Programada_Fin]]="";[@[Fecha_Cierre_Operativo]]="");"";SI([@[Fecha_Cierre_Operativo]]&lt;=SI([@[Fecha_Nueva_Programada]]&lt;&gt;"";[@[Fecha_Nueva_Programada]];[@[Fecha_Programada_Fin]]);"SÍ";"NO"))</f>
        <v/>
      </c>
      <c r="P458" s="14">
        <f>SI(O([@[Cumpli_Ingreso]]="";[@[Cumpli_Salida]]="");"";SI(Y([@[Cumpli_Ingreso]]="SÍ";[@[Cumpli_Salida]]="SÍ");"SÍ";"NO"))</f>
        <v/>
      </c>
      <c r="Q458" s="15">
        <f>SI(O([@[Fecha_Programada_Fin]]="";[@[Fecha_Cierre_Operativo]]="");"";MAX(0;ENTERO([@[Fecha_Cierre_Operativo]])-ENTERO(SI([@[Fecha_Nueva_Programada]]&lt;&gt;"";[@[Fecha_Nueva_Programada]];[@[Fecha_Programada_Fin]])))</f>
        <v/>
      </c>
      <c r="R458" s="12" t="n"/>
      <c r="S458" s="12" t="n"/>
      <c r="T458" s="13" t="n"/>
      <c r="U458" s="12" t="n">
        <v>22</v>
      </c>
      <c r="V458" s="12" t="n"/>
      <c r="W45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58" s="14">
        <f>SI([@SBAN]="";"";BUSCARV([@SBAN];Cronograma_Maestro!$A:$M;6;FALSO))</f>
        <v/>
      </c>
    </row>
    <row r="459">
      <c r="A459" s="11" t="inlineStr">
        <is>
          <t>4240</t>
        </is>
      </c>
      <c r="B459" s="12">
        <f>SI([@SBAN]="";"";BUSCARV([@SBAN];Cronograma_Maestro!$A:$M;2;FALSO))</f>
        <v/>
      </c>
      <c r="C459" s="12">
        <f>SI([@SBAN]="";"";BUSCARV([@SBAN];Cronograma_Maestro!$A:$M;3;FALSO))</f>
        <v/>
      </c>
      <c r="D459" s="12">
        <f>SI([@SBAN]="";"";BUSCARV([@SBAN];Cronograma_Maestro!$A:$M;4;FALSO))</f>
        <v/>
      </c>
      <c r="E459" s="12">
        <f>SI([@SBAN]="";"";BUSCARV([@SBAN];Cronograma_Maestro!$A:$M;5;FALSO))</f>
        <v/>
      </c>
      <c r="F459" s="12" t="inlineStr">
        <is>
          <t>Mauricio Andrés Rivera Páez</t>
        </is>
      </c>
      <c r="G459" s="12" t="inlineStr">
        <is>
          <t>PMU COLSOF</t>
        </is>
      </c>
      <c r="H459" s="13" t="n">
        <v>46322</v>
      </c>
      <c r="I459" s="13" t="n">
        <v>46323</v>
      </c>
      <c r="J459" s="13" t="n"/>
      <c r="K459" s="13" t="n"/>
      <c r="L459" s="12" t="inlineStr">
        <is>
          <t>Programada</t>
        </is>
      </c>
      <c r="M459" s="13" t="n"/>
      <c r="N459" s="14">
        <f>SI(O([@[Fecha_Programada_Inicio]]="";[@[Fecha_Inicio_Real]]="");"";SI([@[Fecha_Inicio_Real]]&lt;=[@[Fecha_Programada_Inicio]];"SÍ";"NO"))</f>
        <v/>
      </c>
      <c r="O459" s="14">
        <f>SI(O([@[Fecha_Programada_Fin]]="";[@[Fecha_Cierre_Operativo]]="");"";SI([@[Fecha_Cierre_Operativo]]&lt;=SI([@[Fecha_Nueva_Programada]]&lt;&gt;"";[@[Fecha_Nueva_Programada]];[@[Fecha_Programada_Fin]]);"SÍ";"NO"))</f>
        <v/>
      </c>
      <c r="P459" s="14">
        <f>SI(O([@[Cumpli_Ingreso]]="";[@[Cumpli_Salida]]="");"";SI(Y([@[Cumpli_Ingreso]]="SÍ";[@[Cumpli_Salida]]="SÍ");"SÍ";"NO"))</f>
        <v/>
      </c>
      <c r="Q459" s="15">
        <f>SI(O([@[Fecha_Programada_Fin]]="";[@[Fecha_Cierre_Operativo]]="");"";MAX(0;ENTERO([@[Fecha_Cierre_Operativo]])-ENTERO(SI([@[Fecha_Nueva_Programada]]&lt;&gt;"";[@[Fecha_Nueva_Programada]];[@[Fecha_Programada_Fin]])))</f>
        <v/>
      </c>
      <c r="R459" s="12" t="n"/>
      <c r="S459" s="12" t="n"/>
      <c r="T459" s="13" t="n"/>
      <c r="U459" s="12" t="n">
        <v>21</v>
      </c>
      <c r="V459" s="12" t="n"/>
      <c r="W45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59" s="14">
        <f>SI([@SBAN]="";"";BUSCARV([@SBAN];Cronograma_Maestro!$A:$M;6;FALSO))</f>
        <v/>
      </c>
    </row>
    <row r="460">
      <c r="A460" s="11" t="inlineStr">
        <is>
          <t>4244</t>
        </is>
      </c>
      <c r="B460" s="12">
        <f>SI([@SBAN]="";"";BUSCARV([@SBAN];Cronograma_Maestro!$A:$M;2;FALSO))</f>
        <v/>
      </c>
      <c r="C460" s="12">
        <f>SI([@SBAN]="";"";BUSCARV([@SBAN];Cronograma_Maestro!$A:$M;3;FALSO))</f>
        <v/>
      </c>
      <c r="D460" s="12">
        <f>SI([@SBAN]="";"";BUSCARV([@SBAN];Cronograma_Maestro!$A:$M;4;FALSO))</f>
        <v/>
      </c>
      <c r="E460" s="12">
        <f>SI([@SBAN]="";"";BUSCARV([@SBAN];Cronograma_Maestro!$A:$M;5;FALSO))</f>
        <v/>
      </c>
      <c r="F460" s="12" t="inlineStr">
        <is>
          <t>Andrés Felipe Carvajal Pire</t>
        </is>
      </c>
      <c r="G460" s="12" t="inlineStr">
        <is>
          <t>PMU COLSOF</t>
        </is>
      </c>
      <c r="H460" s="13" t="n">
        <v>46322</v>
      </c>
      <c r="I460" s="13" t="n">
        <v>46323</v>
      </c>
      <c r="J460" s="13" t="n"/>
      <c r="K460" s="13" t="n"/>
      <c r="L460" s="12" t="inlineStr">
        <is>
          <t>Programada</t>
        </is>
      </c>
      <c r="M460" s="13" t="n"/>
      <c r="N460" s="14">
        <f>SI(O([@[Fecha_Programada_Inicio]]="";[@[Fecha_Inicio_Real]]="");"";SI([@[Fecha_Inicio_Real]]&lt;=[@[Fecha_Programada_Inicio]];"SÍ";"NO"))</f>
        <v/>
      </c>
      <c r="O460" s="14">
        <f>SI(O([@[Fecha_Programada_Fin]]="";[@[Fecha_Cierre_Operativo]]="");"";SI([@[Fecha_Cierre_Operativo]]&lt;=SI([@[Fecha_Nueva_Programada]]&lt;&gt;"";[@[Fecha_Nueva_Programada]];[@[Fecha_Programada_Fin]]);"SÍ";"NO"))</f>
        <v/>
      </c>
      <c r="P460" s="14">
        <f>SI(O([@[Cumpli_Ingreso]]="";[@[Cumpli_Salida]]="");"";SI(Y([@[Cumpli_Ingreso]]="SÍ";[@[Cumpli_Salida]]="SÍ");"SÍ";"NO"))</f>
        <v/>
      </c>
      <c r="Q460" s="15">
        <f>SI(O([@[Fecha_Programada_Fin]]="";[@[Fecha_Cierre_Operativo]]="");"";MAX(0;ENTERO([@[Fecha_Cierre_Operativo]])-ENTERO(SI([@[Fecha_Nueva_Programada]]&lt;&gt;"";[@[Fecha_Nueva_Programada]];[@[Fecha_Programada_Fin]])))</f>
        <v/>
      </c>
      <c r="R460" s="12" t="n"/>
      <c r="S460" s="12" t="n"/>
      <c r="T460" s="13" t="n"/>
      <c r="U460" s="12" t="n">
        <v>20</v>
      </c>
      <c r="V460" s="12" t="n"/>
      <c r="W46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60" s="14">
        <f>SI([@SBAN]="";"";BUSCARV([@SBAN];Cronograma_Maestro!$A:$M;6;FALSO))</f>
        <v/>
      </c>
    </row>
    <row r="461">
      <c r="A461" s="11" t="inlineStr">
        <is>
          <t>4260</t>
        </is>
      </c>
      <c r="B461" s="12">
        <f>SI([@SBAN]="";"";BUSCARV([@SBAN];Cronograma_Maestro!$A:$M;2;FALSO))</f>
        <v/>
      </c>
      <c r="C461" s="12">
        <f>SI([@SBAN]="";"";BUSCARV([@SBAN];Cronograma_Maestro!$A:$M;3;FALSO))</f>
        <v/>
      </c>
      <c r="D461" s="12">
        <f>SI([@SBAN]="";"";BUSCARV([@SBAN];Cronograma_Maestro!$A:$M;4;FALSO))</f>
        <v/>
      </c>
      <c r="E461" s="12">
        <f>SI([@SBAN]="";"";BUSCARV([@SBAN];Cronograma_Maestro!$A:$M;5;FALSO))</f>
        <v/>
      </c>
      <c r="F461" s="12" t="inlineStr">
        <is>
          <t>Luz Nélida Barragán Toro</t>
        </is>
      </c>
      <c r="G461" s="12" t="inlineStr">
        <is>
          <t>PMU COLSOF</t>
        </is>
      </c>
      <c r="H461" s="13" t="n">
        <v>46321</v>
      </c>
      <c r="I461" s="13" t="n">
        <v>46322</v>
      </c>
      <c r="J461" s="13" t="n"/>
      <c r="K461" s="13" t="n"/>
      <c r="L461" s="12" t="inlineStr">
        <is>
          <t>Programada</t>
        </is>
      </c>
      <c r="M461" s="13" t="n"/>
      <c r="N461" s="14">
        <f>SI(O([@[Fecha_Programada_Inicio]]="";[@[Fecha_Inicio_Real]]="");"";SI([@[Fecha_Inicio_Real]]&lt;=[@[Fecha_Programada_Inicio]];"SÍ";"NO"))</f>
        <v/>
      </c>
      <c r="O461" s="14">
        <f>SI(O([@[Fecha_Programada_Fin]]="";[@[Fecha_Cierre_Operativo]]="");"";SI([@[Fecha_Cierre_Operativo]]&lt;=SI([@[Fecha_Nueva_Programada]]&lt;&gt;"";[@[Fecha_Nueva_Programada]];[@[Fecha_Programada_Fin]]);"SÍ";"NO"))</f>
        <v/>
      </c>
      <c r="P461" s="14">
        <f>SI(O([@[Cumpli_Ingreso]]="";[@[Cumpli_Salida]]="");"";SI(Y([@[Cumpli_Ingreso]]="SÍ";[@[Cumpli_Salida]]="SÍ");"SÍ";"NO"))</f>
        <v/>
      </c>
      <c r="Q461" s="15">
        <f>SI(O([@[Fecha_Programada_Fin]]="";[@[Fecha_Cierre_Operativo]]="");"";MAX(0;ENTERO([@[Fecha_Cierre_Operativo]])-ENTERO(SI([@[Fecha_Nueva_Programada]]&lt;&gt;"";[@[Fecha_Nueva_Programada]];[@[Fecha_Programada_Fin]])))</f>
        <v/>
      </c>
      <c r="R461" s="12" t="n"/>
      <c r="S461" s="12" t="n"/>
      <c r="T461" s="13" t="n"/>
      <c r="U461" s="12" t="n">
        <v>12</v>
      </c>
      <c r="V461" s="12" t="n"/>
      <c r="W46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61" s="14">
        <f>SI([@SBAN]="";"";BUSCARV([@SBAN];Cronograma_Maestro!$A:$M;6;FALSO))</f>
        <v/>
      </c>
    </row>
    <row r="462">
      <c r="A462" s="11" t="inlineStr">
        <is>
          <t>4263</t>
        </is>
      </c>
      <c r="B462" s="12">
        <f>SI([@SBAN]="";"";BUSCARV([@SBAN];Cronograma_Maestro!$A:$M;2;FALSO))</f>
        <v/>
      </c>
      <c r="C462" s="12">
        <f>SI([@SBAN]="";"";BUSCARV([@SBAN];Cronograma_Maestro!$A:$M;3;FALSO))</f>
        <v/>
      </c>
      <c r="D462" s="12">
        <f>SI([@SBAN]="";"";BUSCARV([@SBAN];Cronograma_Maestro!$A:$M;4;FALSO))</f>
        <v/>
      </c>
      <c r="E462" s="12">
        <f>SI([@SBAN]="";"";BUSCARV([@SBAN];Cronograma_Maestro!$A:$M;5;FALSO))</f>
        <v/>
      </c>
      <c r="F462" s="12" t="inlineStr">
        <is>
          <t>Luz Nélida Barragán Toro</t>
        </is>
      </c>
      <c r="G462" s="12" t="inlineStr">
        <is>
          <t>PMU COLSOF</t>
        </is>
      </c>
      <c r="H462" s="13" t="n">
        <v>46321</v>
      </c>
      <c r="I462" s="13" t="n">
        <v>46322</v>
      </c>
      <c r="J462" s="13" t="n"/>
      <c r="K462" s="13" t="n"/>
      <c r="L462" s="12" t="inlineStr">
        <is>
          <t>Programada</t>
        </is>
      </c>
      <c r="M462" s="13" t="n"/>
      <c r="N462" s="14">
        <f>SI(O([@[Fecha_Programada_Inicio]]="";[@[Fecha_Inicio_Real]]="");"";SI([@[Fecha_Inicio_Real]]&lt;=[@[Fecha_Programada_Inicio]];"SÍ";"NO"))</f>
        <v/>
      </c>
      <c r="O462" s="14">
        <f>SI(O([@[Fecha_Programada_Fin]]="";[@[Fecha_Cierre_Operativo]]="");"";SI([@[Fecha_Cierre_Operativo]]&lt;=SI([@[Fecha_Nueva_Programada]]&lt;&gt;"";[@[Fecha_Nueva_Programada]];[@[Fecha_Programada_Fin]]);"SÍ";"NO"))</f>
        <v/>
      </c>
      <c r="P462" s="14">
        <f>SI(O([@[Cumpli_Ingreso]]="";[@[Cumpli_Salida]]="");"";SI(Y([@[Cumpli_Ingreso]]="SÍ";[@[Cumpli_Salida]]="SÍ");"SÍ";"NO"))</f>
        <v/>
      </c>
      <c r="Q462" s="15">
        <f>SI(O([@[Fecha_Programada_Fin]]="";[@[Fecha_Cierre_Operativo]]="");"";MAX(0;ENTERO([@[Fecha_Cierre_Operativo]])-ENTERO(SI([@[Fecha_Nueva_Programada]]&lt;&gt;"";[@[Fecha_Nueva_Programada]];[@[Fecha_Programada_Fin]])))</f>
        <v/>
      </c>
      <c r="R462" s="12" t="n"/>
      <c r="S462" s="12" t="n"/>
      <c r="T462" s="13" t="n"/>
      <c r="U462" s="12" t="n">
        <v>18</v>
      </c>
      <c r="V462" s="12" t="n"/>
      <c r="W46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62" s="14">
        <f>SI([@SBAN]="";"";BUSCARV([@SBAN];Cronograma_Maestro!$A:$M;6;FALSO))</f>
        <v/>
      </c>
    </row>
    <row r="463">
      <c r="A463" s="11" t="inlineStr">
        <is>
          <t>4501</t>
        </is>
      </c>
      <c r="B463" s="12">
        <f>SI([@SBAN]="";"";BUSCARV([@SBAN];Cronograma_Maestro!$A:$M;2;FALSO))</f>
        <v/>
      </c>
      <c r="C463" s="12">
        <f>SI([@SBAN]="";"";BUSCARV([@SBAN];Cronograma_Maestro!$A:$M;3;FALSO))</f>
        <v/>
      </c>
      <c r="D463" s="12">
        <f>SI([@SBAN]="";"";BUSCARV([@SBAN];Cronograma_Maestro!$A:$M;4;FALSO))</f>
        <v/>
      </c>
      <c r="E463" s="12">
        <f>SI([@SBAN]="";"";BUSCARV([@SBAN];Cronograma_Maestro!$A:$M;5;FALSO))</f>
        <v/>
      </c>
      <c r="F463" s="12" t="inlineStr">
        <is>
          <t>CESAR AUGUSTO PORRAS</t>
        </is>
      </c>
      <c r="G463" s="12" t="inlineStr">
        <is>
          <t>PMU COLSOF</t>
        </is>
      </c>
      <c r="H463" s="13" t="n">
        <v>46301</v>
      </c>
      <c r="I463" s="13" t="n">
        <v>46311</v>
      </c>
      <c r="J463" s="13" t="n"/>
      <c r="K463" s="13" t="n"/>
      <c r="L463" s="12" t="inlineStr">
        <is>
          <t>Programada</t>
        </is>
      </c>
      <c r="M463" s="13" t="n"/>
      <c r="N463" s="14">
        <f>SI(O([@[Fecha_Programada_Inicio]]="";[@[Fecha_Inicio_Real]]="");"";SI([@[Fecha_Inicio_Real]]&lt;=[@[Fecha_Programada_Inicio]];"SÍ";"NO"))</f>
        <v/>
      </c>
      <c r="O463" s="14">
        <f>SI(O([@[Fecha_Programada_Fin]]="";[@[Fecha_Cierre_Operativo]]="");"";SI([@[Fecha_Cierre_Operativo]]&lt;=SI([@[Fecha_Nueva_Programada]]&lt;&gt;"";[@[Fecha_Nueva_Programada]];[@[Fecha_Programada_Fin]]);"SÍ";"NO"))</f>
        <v/>
      </c>
      <c r="P463" s="14">
        <f>SI(O([@[Cumpli_Ingreso]]="";[@[Cumpli_Salida]]="");"";SI(Y([@[Cumpli_Ingreso]]="SÍ";[@[Cumpli_Salida]]="SÍ");"SÍ";"NO"))</f>
        <v/>
      </c>
      <c r="Q463" s="15">
        <f>SI(O([@[Fecha_Programada_Fin]]="";[@[Fecha_Cierre_Operativo]]="");"";MAX(0;ENTERO([@[Fecha_Cierre_Operativo]])-ENTERO(SI([@[Fecha_Nueva_Programada]]&lt;&gt;"";[@[Fecha_Nueva_Programada]];[@[Fecha_Programada_Fin]])))</f>
        <v/>
      </c>
      <c r="R463" s="12" t="n"/>
      <c r="S463" s="12" t="n"/>
      <c r="T463" s="13" t="n"/>
      <c r="U463" s="12" t="n">
        <v>56</v>
      </c>
      <c r="V463" s="12" t="n"/>
      <c r="W46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63" s="14">
        <f>SI([@SBAN]="";"";BUSCARV([@SBAN];Cronograma_Maestro!$A:$M;6;FALSO))</f>
        <v/>
      </c>
    </row>
    <row r="464">
      <c r="A464" s="11" t="inlineStr">
        <is>
          <t>4503</t>
        </is>
      </c>
      <c r="B464" s="12">
        <f>SI([@SBAN]="";"";BUSCARV([@SBAN];Cronograma_Maestro!$A:$M;2;FALSO))</f>
        <v/>
      </c>
      <c r="C464" s="12">
        <f>SI([@SBAN]="";"";BUSCARV([@SBAN];Cronograma_Maestro!$A:$M;3;FALSO))</f>
        <v/>
      </c>
      <c r="D464" s="12">
        <f>SI([@SBAN]="";"";BUSCARV([@SBAN];Cronograma_Maestro!$A:$M;4;FALSO))</f>
        <v/>
      </c>
      <c r="E464" s="12">
        <f>SI([@SBAN]="";"";BUSCARV([@SBAN];Cronograma_Maestro!$A:$M;5;FALSO))</f>
        <v/>
      </c>
      <c r="F464" s="12" t="inlineStr">
        <is>
          <t>Andres Felipe Balbin</t>
        </is>
      </c>
      <c r="G464" s="12" t="inlineStr">
        <is>
          <t>PMU COLSOF</t>
        </is>
      </c>
      <c r="H464" s="13" t="n">
        <v>46269</v>
      </c>
      <c r="I464" s="13" t="n">
        <v>46269</v>
      </c>
      <c r="J464" s="13" t="n"/>
      <c r="K464" s="13" t="n"/>
      <c r="L464" s="12" t="inlineStr">
        <is>
          <t>Programada</t>
        </is>
      </c>
      <c r="M464" s="13" t="n"/>
      <c r="N464" s="14">
        <f>SI(O([@[Fecha_Programada_Inicio]]="";[@[Fecha_Inicio_Real]]="");"";SI([@[Fecha_Inicio_Real]]&lt;=[@[Fecha_Programada_Inicio]];"SÍ";"NO"))</f>
        <v/>
      </c>
      <c r="O464" s="14">
        <f>SI(O([@[Fecha_Programada_Fin]]="";[@[Fecha_Cierre_Operativo]]="");"";SI([@[Fecha_Cierre_Operativo]]&lt;=SI([@[Fecha_Nueva_Programada]]&lt;&gt;"";[@[Fecha_Nueva_Programada]];[@[Fecha_Programada_Fin]]);"SÍ";"NO"))</f>
        <v/>
      </c>
      <c r="P464" s="14">
        <f>SI(O([@[Cumpli_Ingreso]]="";[@[Cumpli_Salida]]="");"";SI(Y([@[Cumpli_Ingreso]]="SÍ";[@[Cumpli_Salida]]="SÍ");"SÍ";"NO"))</f>
        <v/>
      </c>
      <c r="Q464" s="15">
        <f>SI(O([@[Fecha_Programada_Fin]]="";[@[Fecha_Cierre_Operativo]]="");"";MAX(0;ENTERO([@[Fecha_Cierre_Operativo]])-ENTERO(SI([@[Fecha_Nueva_Programada]]&lt;&gt;"";[@[Fecha_Nueva_Programada]];[@[Fecha_Programada_Fin]])))</f>
        <v/>
      </c>
      <c r="R464" s="12" t="n"/>
      <c r="S464" s="12" t="n"/>
      <c r="T464" s="13" t="n"/>
      <c r="U464" s="12" t="n">
        <v>28</v>
      </c>
      <c r="V464" s="12" t="n"/>
      <c r="W46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64" s="14">
        <f>SI([@SBAN]="";"";BUSCARV([@SBAN];Cronograma_Maestro!$A:$M;6;FALSO))</f>
        <v/>
      </c>
    </row>
    <row r="465">
      <c r="A465" s="11" t="inlineStr">
        <is>
          <t>4505</t>
        </is>
      </c>
      <c r="B465" s="12">
        <f>SI([@SBAN]="";"";BUSCARV([@SBAN];Cronograma_Maestro!$A:$M;2;FALSO))</f>
        <v/>
      </c>
      <c r="C465" s="12">
        <f>SI([@SBAN]="";"";BUSCARV([@SBAN];Cronograma_Maestro!$A:$M;3;FALSO))</f>
        <v/>
      </c>
      <c r="D465" s="12">
        <f>SI([@SBAN]="";"";BUSCARV([@SBAN];Cronograma_Maestro!$A:$M;4;FALSO))</f>
        <v/>
      </c>
      <c r="E465" s="12">
        <f>SI([@SBAN]="";"";BUSCARV([@SBAN];Cronograma_Maestro!$A:$M;5;FALSO))</f>
        <v/>
      </c>
      <c r="F465" s="12" t="inlineStr">
        <is>
          <t>Andres Felipe Balbin</t>
        </is>
      </c>
      <c r="G465" s="12" t="inlineStr">
        <is>
          <t>PMU COLSOF</t>
        </is>
      </c>
      <c r="H465" s="13" t="n">
        <v>46281</v>
      </c>
      <c r="I465" s="13" t="n">
        <v>46281</v>
      </c>
      <c r="J465" s="13" t="n"/>
      <c r="K465" s="13" t="n"/>
      <c r="L465" s="12" t="inlineStr">
        <is>
          <t>Programada</t>
        </is>
      </c>
      <c r="M465" s="13" t="n"/>
      <c r="N465" s="14">
        <f>SI(O([@[Fecha_Programada_Inicio]]="";[@[Fecha_Inicio_Real]]="");"";SI([@[Fecha_Inicio_Real]]&lt;=[@[Fecha_Programada_Inicio]];"SÍ";"NO"))</f>
        <v/>
      </c>
      <c r="O465" s="14">
        <f>SI(O([@[Fecha_Programada_Fin]]="";[@[Fecha_Cierre_Operativo]]="");"";SI([@[Fecha_Cierre_Operativo]]&lt;=SI([@[Fecha_Nueva_Programada]]&lt;&gt;"";[@[Fecha_Nueva_Programada]];[@[Fecha_Programada_Fin]]);"SÍ";"NO"))</f>
        <v/>
      </c>
      <c r="P465" s="14">
        <f>SI(O([@[Cumpli_Ingreso]]="";[@[Cumpli_Salida]]="");"";SI(Y([@[Cumpli_Ingreso]]="SÍ";[@[Cumpli_Salida]]="SÍ");"SÍ";"NO"))</f>
        <v/>
      </c>
      <c r="Q465" s="15">
        <f>SI(O([@[Fecha_Programada_Fin]]="";[@[Fecha_Cierre_Operativo]]="");"";MAX(0;ENTERO([@[Fecha_Cierre_Operativo]])-ENTERO(SI([@[Fecha_Nueva_Programada]]&lt;&gt;"";[@[Fecha_Nueva_Programada]];[@[Fecha_Programada_Fin]])))</f>
        <v/>
      </c>
      <c r="R465" s="12" t="n"/>
      <c r="S465" s="12" t="n"/>
      <c r="T465" s="13" t="n"/>
      <c r="U465" s="12" t="n">
        <v>15</v>
      </c>
      <c r="V465" s="12" t="n"/>
      <c r="W46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65" s="14">
        <f>SI([@SBAN]="";"";BUSCARV([@SBAN];Cronograma_Maestro!$A:$M;6;FALSO))</f>
        <v/>
      </c>
    </row>
    <row r="466">
      <c r="A466" s="11" t="inlineStr">
        <is>
          <t>4507</t>
        </is>
      </c>
      <c r="B466" s="12">
        <f>SI([@SBAN]="";"";BUSCARV([@SBAN];Cronograma_Maestro!$A:$M;2;FALSO))</f>
        <v/>
      </c>
      <c r="C466" s="12">
        <f>SI([@SBAN]="";"";BUSCARV([@SBAN];Cronograma_Maestro!$A:$M;3;FALSO))</f>
        <v/>
      </c>
      <c r="D466" s="12">
        <f>SI([@SBAN]="";"";BUSCARV([@SBAN];Cronograma_Maestro!$A:$M;4;FALSO))</f>
        <v/>
      </c>
      <c r="E466" s="12">
        <f>SI([@SBAN]="";"";BUSCARV([@SBAN];Cronograma_Maestro!$A:$M;5;FALSO))</f>
        <v/>
      </c>
      <c r="F466" s="12" t="inlineStr">
        <is>
          <t>Angel Danilo Martinez Tejeiro</t>
        </is>
      </c>
      <c r="G466" s="12" t="inlineStr">
        <is>
          <t>PMU COLSOF</t>
        </is>
      </c>
      <c r="H466" s="13" t="n">
        <v>46276</v>
      </c>
      <c r="I466" s="13" t="n">
        <v>46276</v>
      </c>
      <c r="J466" s="13" t="n"/>
      <c r="K466" s="13" t="n"/>
      <c r="L466" s="12" t="inlineStr">
        <is>
          <t>Programada</t>
        </is>
      </c>
      <c r="M466" s="13" t="n"/>
      <c r="N466" s="14">
        <f>SI(O([@[Fecha_Programada_Inicio]]="";[@[Fecha_Inicio_Real]]="");"";SI([@[Fecha_Inicio_Real]]&lt;=[@[Fecha_Programada_Inicio]];"SÍ";"NO"))</f>
        <v/>
      </c>
      <c r="O466" s="14">
        <f>SI(O([@[Fecha_Programada_Fin]]="";[@[Fecha_Cierre_Operativo]]="");"";SI([@[Fecha_Cierre_Operativo]]&lt;=SI([@[Fecha_Nueva_Programada]]&lt;&gt;"";[@[Fecha_Nueva_Programada]];[@[Fecha_Programada_Fin]]);"SÍ";"NO"))</f>
        <v/>
      </c>
      <c r="P466" s="14">
        <f>SI(O([@[Cumpli_Ingreso]]="";[@[Cumpli_Salida]]="");"";SI(Y([@[Cumpli_Ingreso]]="SÍ";[@[Cumpli_Salida]]="SÍ");"SÍ";"NO"))</f>
        <v/>
      </c>
      <c r="Q466" s="15">
        <f>SI(O([@[Fecha_Programada_Fin]]="";[@[Fecha_Cierre_Operativo]]="");"";MAX(0;ENTERO([@[Fecha_Cierre_Operativo]])-ENTERO(SI([@[Fecha_Nueva_Programada]]&lt;&gt;"";[@[Fecha_Nueva_Programada]];[@[Fecha_Programada_Fin]])))</f>
        <v/>
      </c>
      <c r="R466" s="12" t="n"/>
      <c r="S466" s="12" t="n"/>
      <c r="T466" s="13" t="n"/>
      <c r="U466" s="12" t="n">
        <v>20</v>
      </c>
      <c r="V466" s="12" t="n"/>
      <c r="W46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66" s="14">
        <f>SI([@SBAN]="";"";BUSCARV([@SBAN];Cronograma_Maestro!$A:$M;6;FALSO))</f>
        <v/>
      </c>
    </row>
    <row r="467">
      <c r="A467" s="11" t="inlineStr">
        <is>
          <t>4509</t>
        </is>
      </c>
      <c r="B467" s="12">
        <f>SI([@SBAN]="";"";BUSCARV([@SBAN];Cronograma_Maestro!$A:$M;2;FALSO))</f>
        <v/>
      </c>
      <c r="C467" s="12">
        <f>SI([@SBAN]="";"";BUSCARV([@SBAN];Cronograma_Maestro!$A:$M;3;FALSO))</f>
        <v/>
      </c>
      <c r="D467" s="12">
        <f>SI([@SBAN]="";"";BUSCARV([@SBAN];Cronograma_Maestro!$A:$M;4;FALSO))</f>
        <v/>
      </c>
      <c r="E467" s="12">
        <f>SI([@SBAN]="";"";BUSCARV([@SBAN];Cronograma_Maestro!$A:$M;5;FALSO))</f>
        <v/>
      </c>
      <c r="F467" s="12" t="inlineStr">
        <is>
          <t>Andres Felipe Balbin</t>
        </is>
      </c>
      <c r="G467" s="12" t="inlineStr">
        <is>
          <t>PMU COLSOF</t>
        </is>
      </c>
      <c r="H467" s="13" t="n">
        <v>46267</v>
      </c>
      <c r="I467" s="13" t="n">
        <v>46267</v>
      </c>
      <c r="J467" s="13" t="n"/>
      <c r="K467" s="13" t="n"/>
      <c r="L467" s="12" t="inlineStr">
        <is>
          <t>Programada</t>
        </is>
      </c>
      <c r="M467" s="13" t="n"/>
      <c r="N467" s="14">
        <f>SI(O([@[Fecha_Programada_Inicio]]="";[@[Fecha_Inicio_Real]]="");"";SI([@[Fecha_Inicio_Real]]&lt;=[@[Fecha_Programada_Inicio]];"SÍ";"NO"))</f>
        <v/>
      </c>
      <c r="O467" s="14">
        <f>SI(O([@[Fecha_Programada_Fin]]="";[@[Fecha_Cierre_Operativo]]="");"";SI([@[Fecha_Cierre_Operativo]]&lt;=SI([@[Fecha_Nueva_Programada]]&lt;&gt;"";[@[Fecha_Nueva_Programada]];[@[Fecha_Programada_Fin]]);"SÍ";"NO"))</f>
        <v/>
      </c>
      <c r="P467" s="14">
        <f>SI(O([@[Cumpli_Ingreso]]="";[@[Cumpli_Salida]]="");"";SI(Y([@[Cumpli_Ingreso]]="SÍ";[@[Cumpli_Salida]]="SÍ");"SÍ";"NO"))</f>
        <v/>
      </c>
      <c r="Q467" s="15">
        <f>SI(O([@[Fecha_Programada_Fin]]="";[@[Fecha_Cierre_Operativo]]="");"";MAX(0;ENTERO([@[Fecha_Cierre_Operativo]])-ENTERO(SI([@[Fecha_Nueva_Programada]]&lt;&gt;"";[@[Fecha_Nueva_Programada]];[@[Fecha_Programada_Fin]])))</f>
        <v/>
      </c>
      <c r="R467" s="12" t="n"/>
      <c r="S467" s="12" t="n"/>
      <c r="T467" s="13" t="n"/>
      <c r="U467" s="12" t="n">
        <v>15</v>
      </c>
      <c r="V467" s="12" t="n"/>
      <c r="W46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67" s="14">
        <f>SI([@SBAN]="";"";BUSCARV([@SBAN];Cronograma_Maestro!$A:$M;6;FALSO))</f>
        <v/>
      </c>
    </row>
    <row r="468">
      <c r="A468" s="11" t="inlineStr">
        <is>
          <t>4510</t>
        </is>
      </c>
      <c r="B468" s="12">
        <f>SI([@SBAN]="";"";BUSCARV([@SBAN];Cronograma_Maestro!$A:$M;2;FALSO))</f>
        <v/>
      </c>
      <c r="C468" s="12">
        <f>SI([@SBAN]="";"";BUSCARV([@SBAN];Cronograma_Maestro!$A:$M;3;FALSO))</f>
        <v/>
      </c>
      <c r="D468" s="12">
        <f>SI([@SBAN]="";"";BUSCARV([@SBAN];Cronograma_Maestro!$A:$M;4;FALSO))</f>
        <v/>
      </c>
      <c r="E468" s="12">
        <f>SI([@SBAN]="";"";BUSCARV([@SBAN];Cronograma_Maestro!$A:$M;5;FALSO))</f>
        <v/>
      </c>
      <c r="F468" s="12" t="inlineStr">
        <is>
          <t>Angel Danilo Martinez Tejeiro</t>
        </is>
      </c>
      <c r="G468" s="12" t="inlineStr">
        <is>
          <t>PMU COLSOF</t>
        </is>
      </c>
      <c r="H468" s="13" t="n">
        <v>46272</v>
      </c>
      <c r="I468" s="13" t="n">
        <v>46272</v>
      </c>
      <c r="J468" s="13" t="n"/>
      <c r="K468" s="13" t="n"/>
      <c r="L468" s="12" t="inlineStr">
        <is>
          <t>Programada</t>
        </is>
      </c>
      <c r="M468" s="13" t="n"/>
      <c r="N468" s="14">
        <f>SI(O([@[Fecha_Programada_Inicio]]="";[@[Fecha_Inicio_Real]]="");"";SI([@[Fecha_Inicio_Real]]&lt;=[@[Fecha_Programada_Inicio]];"SÍ";"NO"))</f>
        <v/>
      </c>
      <c r="O468" s="14">
        <f>SI(O([@[Fecha_Programada_Fin]]="";[@[Fecha_Cierre_Operativo]]="");"";SI([@[Fecha_Cierre_Operativo]]&lt;=SI([@[Fecha_Nueva_Programada]]&lt;&gt;"";[@[Fecha_Nueva_Programada]];[@[Fecha_Programada_Fin]]);"SÍ";"NO"))</f>
        <v/>
      </c>
      <c r="P468" s="14">
        <f>SI(O([@[Cumpli_Ingreso]]="";[@[Cumpli_Salida]]="");"";SI(Y([@[Cumpli_Ingreso]]="SÍ";[@[Cumpli_Salida]]="SÍ");"SÍ";"NO"))</f>
        <v/>
      </c>
      <c r="Q468" s="15">
        <f>SI(O([@[Fecha_Programada_Fin]]="";[@[Fecha_Cierre_Operativo]]="");"";MAX(0;ENTERO([@[Fecha_Cierre_Operativo]])-ENTERO(SI([@[Fecha_Nueva_Programada]]&lt;&gt;"";[@[Fecha_Nueva_Programada]];[@[Fecha_Programada_Fin]])))</f>
        <v/>
      </c>
      <c r="R468" s="12" t="n"/>
      <c r="S468" s="12" t="n"/>
      <c r="T468" s="13" t="n"/>
      <c r="U468" s="12" t="n">
        <v>12</v>
      </c>
      <c r="V468" s="12" t="n"/>
      <c r="W46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68" s="14">
        <f>SI([@SBAN]="";"";BUSCARV([@SBAN];Cronograma_Maestro!$A:$M;6;FALSO))</f>
        <v/>
      </c>
    </row>
    <row r="469">
      <c r="A469" s="11" t="inlineStr">
        <is>
          <t>4512</t>
        </is>
      </c>
      <c r="B469" s="12">
        <f>SI([@SBAN]="";"";BUSCARV([@SBAN];Cronograma_Maestro!$A:$M;2;FALSO))</f>
        <v/>
      </c>
      <c r="C469" s="12">
        <f>SI([@SBAN]="";"";BUSCARV([@SBAN];Cronograma_Maestro!$A:$M;3;FALSO))</f>
        <v/>
      </c>
      <c r="D469" s="12">
        <f>SI([@SBAN]="";"";BUSCARV([@SBAN];Cronograma_Maestro!$A:$M;4;FALSO))</f>
        <v/>
      </c>
      <c r="E469" s="12">
        <f>SI([@SBAN]="";"";BUSCARV([@SBAN];Cronograma_Maestro!$A:$M;5;FALSO))</f>
        <v/>
      </c>
      <c r="F469" s="12" t="inlineStr">
        <is>
          <t>Andres Felipe Balbin</t>
        </is>
      </c>
      <c r="G469" s="12" t="inlineStr">
        <is>
          <t>PMU COLSOF</t>
        </is>
      </c>
      <c r="H469" s="13" t="n">
        <v>46282</v>
      </c>
      <c r="I469" s="13" t="n">
        <v>46282</v>
      </c>
      <c r="J469" s="13" t="n"/>
      <c r="K469" s="13" t="n"/>
      <c r="L469" s="12" t="inlineStr">
        <is>
          <t>Programada</t>
        </is>
      </c>
      <c r="M469" s="13" t="n"/>
      <c r="N469" s="14">
        <f>SI(O([@[Fecha_Programada_Inicio]]="";[@[Fecha_Inicio_Real]]="");"";SI([@[Fecha_Inicio_Real]]&lt;=[@[Fecha_Programada_Inicio]];"SÍ";"NO"))</f>
        <v/>
      </c>
      <c r="O469" s="14">
        <f>SI(O([@[Fecha_Programada_Fin]]="";[@[Fecha_Cierre_Operativo]]="");"";SI([@[Fecha_Cierre_Operativo]]&lt;=SI([@[Fecha_Nueva_Programada]]&lt;&gt;"";[@[Fecha_Nueva_Programada]];[@[Fecha_Programada_Fin]]);"SÍ";"NO"))</f>
        <v/>
      </c>
      <c r="P469" s="14">
        <f>SI(O([@[Cumpli_Ingreso]]="";[@[Cumpli_Salida]]="");"";SI(Y([@[Cumpli_Ingreso]]="SÍ";[@[Cumpli_Salida]]="SÍ");"SÍ";"NO"))</f>
        <v/>
      </c>
      <c r="Q469" s="15">
        <f>SI(O([@[Fecha_Programada_Fin]]="";[@[Fecha_Cierre_Operativo]]="");"";MAX(0;ENTERO([@[Fecha_Cierre_Operativo]])-ENTERO(SI([@[Fecha_Nueva_Programada]]&lt;&gt;"";[@[Fecha_Nueva_Programada]];[@[Fecha_Programada_Fin]])))</f>
        <v/>
      </c>
      <c r="R469" s="12" t="n"/>
      <c r="S469" s="12" t="n"/>
      <c r="T469" s="13" t="n"/>
      <c r="U469" s="12" t="n">
        <v>14</v>
      </c>
      <c r="V469" s="12" t="n"/>
      <c r="W46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69" s="14">
        <f>SI([@SBAN]="";"";BUSCARV([@SBAN];Cronograma_Maestro!$A:$M;6;FALSO))</f>
        <v/>
      </c>
    </row>
    <row r="470">
      <c r="A470" s="11" t="inlineStr">
        <is>
          <t>4514</t>
        </is>
      </c>
      <c r="B470" s="12">
        <f>SI([@SBAN]="";"";BUSCARV([@SBAN];Cronograma_Maestro!$A:$M;2;FALSO))</f>
        <v/>
      </c>
      <c r="C470" s="12">
        <f>SI([@SBAN]="";"";BUSCARV([@SBAN];Cronograma_Maestro!$A:$M;3;FALSO))</f>
        <v/>
      </c>
      <c r="D470" s="12">
        <f>SI([@SBAN]="";"";BUSCARV([@SBAN];Cronograma_Maestro!$A:$M;4;FALSO))</f>
        <v/>
      </c>
      <c r="E470" s="12">
        <f>SI([@SBAN]="";"";BUSCARV([@SBAN];Cronograma_Maestro!$A:$M;5;FALSO))</f>
        <v/>
      </c>
      <c r="F470" s="12" t="inlineStr">
        <is>
          <t>Andres Felipe Balbin</t>
        </is>
      </c>
      <c r="G470" s="12" t="inlineStr">
        <is>
          <t>PMU COLSOF</t>
        </is>
      </c>
      <c r="H470" s="13" t="n">
        <v>46286</v>
      </c>
      <c r="I470" s="13" t="n">
        <v>46286</v>
      </c>
      <c r="J470" s="13" t="n"/>
      <c r="K470" s="13" t="n"/>
      <c r="L470" s="12" t="inlineStr">
        <is>
          <t>Programada</t>
        </is>
      </c>
      <c r="M470" s="13" t="n"/>
      <c r="N470" s="14">
        <f>SI(O([@[Fecha_Programada_Inicio]]="";[@[Fecha_Inicio_Real]]="");"";SI([@[Fecha_Inicio_Real]]&lt;=[@[Fecha_Programada_Inicio]];"SÍ";"NO"))</f>
        <v/>
      </c>
      <c r="O470" s="14">
        <f>SI(O([@[Fecha_Programada_Fin]]="";[@[Fecha_Cierre_Operativo]]="");"";SI([@[Fecha_Cierre_Operativo]]&lt;=SI([@[Fecha_Nueva_Programada]]&lt;&gt;"";[@[Fecha_Nueva_Programada]];[@[Fecha_Programada_Fin]]);"SÍ";"NO"))</f>
        <v/>
      </c>
      <c r="P470" s="14">
        <f>SI(O([@[Cumpli_Ingreso]]="";[@[Cumpli_Salida]]="");"";SI(Y([@[Cumpli_Ingreso]]="SÍ";[@[Cumpli_Salida]]="SÍ");"SÍ";"NO"))</f>
        <v/>
      </c>
      <c r="Q470" s="15">
        <f>SI(O([@[Fecha_Programada_Fin]]="";[@[Fecha_Cierre_Operativo]]="");"";MAX(0;ENTERO([@[Fecha_Cierre_Operativo]])-ENTERO(SI([@[Fecha_Nueva_Programada]]&lt;&gt;"";[@[Fecha_Nueva_Programada]];[@[Fecha_Programada_Fin]])))</f>
        <v/>
      </c>
      <c r="R470" s="12" t="n"/>
      <c r="S470" s="12" t="n"/>
      <c r="T470" s="13" t="n"/>
      <c r="U470" s="12" t="n">
        <v>17</v>
      </c>
      <c r="V470" s="12" t="n"/>
      <c r="W47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70" s="14">
        <f>SI([@SBAN]="";"";BUSCARV([@SBAN];Cronograma_Maestro!$A:$M;6;FALSO))</f>
        <v/>
      </c>
    </row>
    <row r="471">
      <c r="A471" s="11" t="inlineStr">
        <is>
          <t>4515</t>
        </is>
      </c>
      <c r="B471" s="12">
        <f>SI([@SBAN]="";"";BUSCARV([@SBAN];Cronograma_Maestro!$A:$M;2;FALSO))</f>
        <v/>
      </c>
      <c r="C471" s="12">
        <f>SI([@SBAN]="";"";BUSCARV([@SBAN];Cronograma_Maestro!$A:$M;3;FALSO))</f>
        <v/>
      </c>
      <c r="D471" s="12">
        <f>SI([@SBAN]="";"";BUSCARV([@SBAN];Cronograma_Maestro!$A:$M;4;FALSO))</f>
        <v/>
      </c>
      <c r="E471" s="12">
        <f>SI([@SBAN]="";"";BUSCARV([@SBAN];Cronograma_Maestro!$A:$M;5;FALSO))</f>
        <v/>
      </c>
      <c r="F471" s="12" t="inlineStr">
        <is>
          <t>Andres Felipe Balbin</t>
        </is>
      </c>
      <c r="G471" s="12" t="inlineStr">
        <is>
          <t>PMU COLSOF</t>
        </is>
      </c>
      <c r="H471" s="13" t="n">
        <v>46268</v>
      </c>
      <c r="I471" s="13" t="n">
        <v>46268</v>
      </c>
      <c r="J471" s="13" t="n"/>
      <c r="K471" s="13" t="n"/>
      <c r="L471" s="12" t="inlineStr">
        <is>
          <t>Programada</t>
        </is>
      </c>
      <c r="M471" s="13" t="n"/>
      <c r="N471" s="14">
        <f>SI(O([@[Fecha_Programada_Inicio]]="";[@[Fecha_Inicio_Real]]="");"";SI([@[Fecha_Inicio_Real]]&lt;=[@[Fecha_Programada_Inicio]];"SÍ";"NO"))</f>
        <v/>
      </c>
      <c r="O471" s="14">
        <f>SI(O([@[Fecha_Programada_Fin]]="";[@[Fecha_Cierre_Operativo]]="");"";SI([@[Fecha_Cierre_Operativo]]&lt;=SI([@[Fecha_Nueva_Programada]]&lt;&gt;"";[@[Fecha_Nueva_Programada]];[@[Fecha_Programada_Fin]]);"SÍ";"NO"))</f>
        <v/>
      </c>
      <c r="P471" s="14">
        <f>SI(O([@[Cumpli_Ingreso]]="";[@[Cumpli_Salida]]="");"";SI(Y([@[Cumpli_Ingreso]]="SÍ";[@[Cumpli_Salida]]="SÍ");"SÍ";"NO"))</f>
        <v/>
      </c>
      <c r="Q471" s="15">
        <f>SI(O([@[Fecha_Programada_Fin]]="";[@[Fecha_Cierre_Operativo]]="");"";MAX(0;ENTERO([@[Fecha_Cierre_Operativo]])-ENTERO(SI([@[Fecha_Nueva_Programada]]&lt;&gt;"";[@[Fecha_Nueva_Programada]];[@[Fecha_Programada_Fin]])))</f>
        <v/>
      </c>
      <c r="R471" s="12" t="n"/>
      <c r="S471" s="12" t="n"/>
      <c r="T471" s="13" t="n"/>
      <c r="U471" s="12" t="n">
        <v>17</v>
      </c>
      <c r="V471" s="12" t="n"/>
      <c r="W47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71" s="14">
        <f>SI([@SBAN]="";"";BUSCARV([@SBAN];Cronograma_Maestro!$A:$M;6;FALSO))</f>
        <v/>
      </c>
    </row>
    <row r="472">
      <c r="A472" s="11" t="inlineStr">
        <is>
          <t>4517</t>
        </is>
      </c>
      <c r="B472" s="12">
        <f>SI([@SBAN]="";"";BUSCARV([@SBAN];Cronograma_Maestro!$A:$M;2;FALSO))</f>
        <v/>
      </c>
      <c r="C472" s="12">
        <f>SI([@SBAN]="";"";BUSCARV([@SBAN];Cronograma_Maestro!$A:$M;3;FALSO))</f>
        <v/>
      </c>
      <c r="D472" s="12">
        <f>SI([@SBAN]="";"";BUSCARV([@SBAN];Cronograma_Maestro!$A:$M;4;FALSO))</f>
        <v/>
      </c>
      <c r="E472" s="12">
        <f>SI([@SBAN]="";"";BUSCARV([@SBAN];Cronograma_Maestro!$A:$M;5;FALSO))</f>
        <v/>
      </c>
      <c r="F472" s="12" t="inlineStr">
        <is>
          <t>Andres Felipe Balbin</t>
        </is>
      </c>
      <c r="G472" s="12" t="inlineStr">
        <is>
          <t>PMU COLSOF</t>
        </is>
      </c>
      <c r="H472" s="13" t="n">
        <v>46275</v>
      </c>
      <c r="I472" s="13" t="n">
        <v>46275</v>
      </c>
      <c r="J472" s="13" t="n"/>
      <c r="K472" s="13" t="n"/>
      <c r="L472" s="12" t="inlineStr">
        <is>
          <t>Programada</t>
        </is>
      </c>
      <c r="M472" s="13" t="n"/>
      <c r="N472" s="14">
        <f>SI(O([@[Fecha_Programada_Inicio]]="";[@[Fecha_Inicio_Real]]="");"";SI([@[Fecha_Inicio_Real]]&lt;=[@[Fecha_Programada_Inicio]];"SÍ";"NO"))</f>
        <v/>
      </c>
      <c r="O472" s="14">
        <f>SI(O([@[Fecha_Programada_Fin]]="";[@[Fecha_Cierre_Operativo]]="");"";SI([@[Fecha_Cierre_Operativo]]&lt;=SI([@[Fecha_Nueva_Programada]]&lt;&gt;"";[@[Fecha_Nueva_Programada]];[@[Fecha_Programada_Fin]]);"SÍ";"NO"))</f>
        <v/>
      </c>
      <c r="P472" s="14">
        <f>SI(O([@[Cumpli_Ingreso]]="";[@[Cumpli_Salida]]="");"";SI(Y([@[Cumpli_Ingreso]]="SÍ";[@[Cumpli_Salida]]="SÍ");"SÍ";"NO"))</f>
        <v/>
      </c>
      <c r="Q472" s="15">
        <f>SI(O([@[Fecha_Programada_Fin]]="";[@[Fecha_Cierre_Operativo]]="");"";MAX(0;ENTERO([@[Fecha_Cierre_Operativo]])-ENTERO(SI([@[Fecha_Nueva_Programada]]&lt;&gt;"";[@[Fecha_Nueva_Programada]];[@[Fecha_Programada_Fin]])))</f>
        <v/>
      </c>
      <c r="R472" s="12" t="n"/>
      <c r="S472" s="12" t="n"/>
      <c r="T472" s="13" t="n"/>
      <c r="U472" s="12" t="n">
        <v>34</v>
      </c>
      <c r="V472" s="12" t="n"/>
      <c r="W47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72" s="14">
        <f>SI([@SBAN]="";"";BUSCARV([@SBAN];Cronograma_Maestro!$A:$M;6;FALSO))</f>
        <v/>
      </c>
    </row>
    <row r="473">
      <c r="A473" s="11" t="inlineStr">
        <is>
          <t>4518</t>
        </is>
      </c>
      <c r="B473" s="12">
        <f>SI([@SBAN]="";"";BUSCARV([@SBAN];Cronograma_Maestro!$A:$M;2;FALSO))</f>
        <v/>
      </c>
      <c r="C473" s="12">
        <f>SI([@SBAN]="";"";BUSCARV([@SBAN];Cronograma_Maestro!$A:$M;3;FALSO))</f>
        <v/>
      </c>
      <c r="D473" s="12">
        <f>SI([@SBAN]="";"";BUSCARV([@SBAN];Cronograma_Maestro!$A:$M;4;FALSO))</f>
        <v/>
      </c>
      <c r="E473" s="12">
        <f>SI([@SBAN]="";"";BUSCARV([@SBAN];Cronograma_Maestro!$A:$M;5;FALSO))</f>
        <v/>
      </c>
      <c r="F473" s="12" t="inlineStr">
        <is>
          <t>Andres Felipe Balbin</t>
        </is>
      </c>
      <c r="G473" s="12" t="inlineStr">
        <is>
          <t>PMU COLSOF</t>
        </is>
      </c>
      <c r="H473" s="13" t="n">
        <v>46276</v>
      </c>
      <c r="I473" s="13" t="n">
        <v>46276</v>
      </c>
      <c r="J473" s="13" t="n"/>
      <c r="K473" s="13" t="n"/>
      <c r="L473" s="12" t="inlineStr">
        <is>
          <t>Programada</t>
        </is>
      </c>
      <c r="M473" s="13" t="n"/>
      <c r="N473" s="14">
        <f>SI(O([@[Fecha_Programada_Inicio]]="";[@[Fecha_Inicio_Real]]="");"";SI([@[Fecha_Inicio_Real]]&lt;=[@[Fecha_Programada_Inicio]];"SÍ";"NO"))</f>
        <v/>
      </c>
      <c r="O473" s="14">
        <f>SI(O([@[Fecha_Programada_Fin]]="";[@[Fecha_Cierre_Operativo]]="");"";SI([@[Fecha_Cierre_Operativo]]&lt;=SI([@[Fecha_Nueva_Programada]]&lt;&gt;"";[@[Fecha_Nueva_Programada]];[@[Fecha_Programada_Fin]]);"SÍ";"NO"))</f>
        <v/>
      </c>
      <c r="P473" s="14">
        <f>SI(O([@[Cumpli_Ingreso]]="";[@[Cumpli_Salida]]="");"";SI(Y([@[Cumpli_Ingreso]]="SÍ";[@[Cumpli_Salida]]="SÍ");"SÍ";"NO"))</f>
        <v/>
      </c>
      <c r="Q473" s="15">
        <f>SI(O([@[Fecha_Programada_Fin]]="";[@[Fecha_Cierre_Operativo]]="");"";MAX(0;ENTERO([@[Fecha_Cierre_Operativo]])-ENTERO(SI([@[Fecha_Nueva_Programada]]&lt;&gt;"";[@[Fecha_Nueva_Programada]];[@[Fecha_Programada_Fin]])))</f>
        <v/>
      </c>
      <c r="R473" s="12" t="n"/>
      <c r="S473" s="12" t="n"/>
      <c r="T473" s="13" t="n"/>
      <c r="U473" s="12" t="n">
        <v>14</v>
      </c>
      <c r="V473" s="12" t="n"/>
      <c r="W47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73" s="14">
        <f>SI([@SBAN]="";"";BUSCARV([@SBAN];Cronograma_Maestro!$A:$M;6;FALSO))</f>
        <v/>
      </c>
    </row>
    <row r="474">
      <c r="A474" s="11" t="inlineStr">
        <is>
          <t>4519</t>
        </is>
      </c>
      <c r="B474" s="12">
        <f>SI([@SBAN]="";"";BUSCARV([@SBAN];Cronograma_Maestro!$A:$M;2;FALSO))</f>
        <v/>
      </c>
      <c r="C474" s="12">
        <f>SI([@SBAN]="";"";BUSCARV([@SBAN];Cronograma_Maestro!$A:$M;3;FALSO))</f>
        <v/>
      </c>
      <c r="D474" s="12">
        <f>SI([@SBAN]="";"";BUSCARV([@SBAN];Cronograma_Maestro!$A:$M;4;FALSO))</f>
        <v/>
      </c>
      <c r="E474" s="12">
        <f>SI([@SBAN]="";"";BUSCARV([@SBAN];Cronograma_Maestro!$A:$M;5;FALSO))</f>
        <v/>
      </c>
      <c r="F474" s="12" t="inlineStr">
        <is>
          <t>Javier Camilo Gonzalez Muñoz</t>
        </is>
      </c>
      <c r="G474" s="12" t="inlineStr">
        <is>
          <t>PMU COLSOF</t>
        </is>
      </c>
      <c r="H474" s="13" t="n">
        <v>46276</v>
      </c>
      <c r="I474" s="13" t="n">
        <v>46276</v>
      </c>
      <c r="J474" s="13" t="n"/>
      <c r="K474" s="13" t="n"/>
      <c r="L474" s="12" t="inlineStr">
        <is>
          <t>Programada</t>
        </is>
      </c>
      <c r="M474" s="13" t="n"/>
      <c r="N474" s="14">
        <f>SI(O([@[Fecha_Programada_Inicio]]="";[@[Fecha_Inicio_Real]]="");"";SI([@[Fecha_Inicio_Real]]&lt;=[@[Fecha_Programada_Inicio]];"SÍ";"NO"))</f>
        <v/>
      </c>
      <c r="O474" s="14">
        <f>SI(O([@[Fecha_Programada_Fin]]="";[@[Fecha_Cierre_Operativo]]="");"";SI([@[Fecha_Cierre_Operativo]]&lt;=SI([@[Fecha_Nueva_Programada]]&lt;&gt;"";[@[Fecha_Nueva_Programada]];[@[Fecha_Programada_Fin]]);"SÍ";"NO"))</f>
        <v/>
      </c>
      <c r="P474" s="14">
        <f>SI(O([@[Cumpli_Ingreso]]="";[@[Cumpli_Salida]]="");"";SI(Y([@[Cumpli_Ingreso]]="SÍ";[@[Cumpli_Salida]]="SÍ");"SÍ";"NO"))</f>
        <v/>
      </c>
      <c r="Q474" s="15">
        <f>SI(O([@[Fecha_Programada_Fin]]="";[@[Fecha_Cierre_Operativo]]="");"";MAX(0;ENTERO([@[Fecha_Cierre_Operativo]])-ENTERO(SI([@[Fecha_Nueva_Programada]]&lt;&gt;"";[@[Fecha_Nueva_Programada]];[@[Fecha_Programada_Fin]])))</f>
        <v/>
      </c>
      <c r="R474" s="12" t="n"/>
      <c r="S474" s="12" t="n"/>
      <c r="T474" s="13" t="n"/>
      <c r="U474" s="12" t="n">
        <v>19</v>
      </c>
      <c r="V474" s="12" t="n"/>
      <c r="W47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74" s="14">
        <f>SI([@SBAN]="";"";BUSCARV([@SBAN];Cronograma_Maestro!$A:$M;6;FALSO))</f>
        <v/>
      </c>
    </row>
    <row r="475">
      <c r="A475" s="11" t="inlineStr">
        <is>
          <t>4521</t>
        </is>
      </c>
      <c r="B475" s="12">
        <f>SI([@SBAN]="";"";BUSCARV([@SBAN];Cronograma_Maestro!$A:$M;2;FALSO))</f>
        <v/>
      </c>
      <c r="C475" s="12">
        <f>SI([@SBAN]="";"";BUSCARV([@SBAN];Cronograma_Maestro!$A:$M;3;FALSO))</f>
        <v/>
      </c>
      <c r="D475" s="12">
        <f>SI([@SBAN]="";"";BUSCARV([@SBAN];Cronograma_Maestro!$A:$M;4;FALSO))</f>
        <v/>
      </c>
      <c r="E475" s="12">
        <f>SI([@SBAN]="";"";BUSCARV([@SBAN];Cronograma_Maestro!$A:$M;5;FALSO))</f>
        <v/>
      </c>
      <c r="F475" s="12" t="inlineStr">
        <is>
          <t>Andres Felipe Balbin</t>
        </is>
      </c>
      <c r="G475" s="12" t="inlineStr">
        <is>
          <t>PMU COLSOF</t>
        </is>
      </c>
      <c r="H475" s="13" t="n">
        <v>46280</v>
      </c>
      <c r="I475" s="13" t="n">
        <v>46280</v>
      </c>
      <c r="J475" s="13" t="n"/>
      <c r="K475" s="13" t="n"/>
      <c r="L475" s="12" t="inlineStr">
        <is>
          <t>Programada</t>
        </is>
      </c>
      <c r="M475" s="13" t="n"/>
      <c r="N475" s="14">
        <f>SI(O([@[Fecha_Programada_Inicio]]="";[@[Fecha_Inicio_Real]]="");"";SI([@[Fecha_Inicio_Real]]&lt;=[@[Fecha_Programada_Inicio]];"SÍ";"NO"))</f>
        <v/>
      </c>
      <c r="O475" s="14">
        <f>SI(O([@[Fecha_Programada_Fin]]="";[@[Fecha_Cierre_Operativo]]="");"";SI([@[Fecha_Cierre_Operativo]]&lt;=SI([@[Fecha_Nueva_Programada]]&lt;&gt;"";[@[Fecha_Nueva_Programada]];[@[Fecha_Programada_Fin]]);"SÍ";"NO"))</f>
        <v/>
      </c>
      <c r="P475" s="14">
        <f>SI(O([@[Cumpli_Ingreso]]="";[@[Cumpli_Salida]]="");"";SI(Y([@[Cumpli_Ingreso]]="SÍ";[@[Cumpli_Salida]]="SÍ");"SÍ";"NO"))</f>
        <v/>
      </c>
      <c r="Q475" s="15">
        <f>SI(O([@[Fecha_Programada_Fin]]="";[@[Fecha_Cierre_Operativo]]="");"";MAX(0;ENTERO([@[Fecha_Cierre_Operativo]])-ENTERO(SI([@[Fecha_Nueva_Programada]]&lt;&gt;"";[@[Fecha_Nueva_Programada]];[@[Fecha_Programada_Fin]])))</f>
        <v/>
      </c>
      <c r="R475" s="12" t="n"/>
      <c r="S475" s="12" t="n"/>
      <c r="T475" s="13" t="n"/>
      <c r="U475" s="12" t="n">
        <v>15</v>
      </c>
      <c r="V475" s="12" t="n"/>
      <c r="W47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75" s="14">
        <f>SI([@SBAN]="";"";BUSCARV([@SBAN];Cronograma_Maestro!$A:$M;6;FALSO))</f>
        <v/>
      </c>
    </row>
    <row r="476">
      <c r="A476" s="11" t="inlineStr">
        <is>
          <t>4522</t>
        </is>
      </c>
      <c r="B476" s="12">
        <f>SI([@SBAN]="";"";BUSCARV([@SBAN];Cronograma_Maestro!$A:$M;2;FALSO))</f>
        <v/>
      </c>
      <c r="C476" s="12">
        <f>SI([@SBAN]="";"";BUSCARV([@SBAN];Cronograma_Maestro!$A:$M;3;FALSO))</f>
        <v/>
      </c>
      <c r="D476" s="12">
        <f>SI([@SBAN]="";"";BUSCARV([@SBAN];Cronograma_Maestro!$A:$M;4;FALSO))</f>
        <v/>
      </c>
      <c r="E476" s="12">
        <f>SI([@SBAN]="";"";BUSCARV([@SBAN];Cronograma_Maestro!$A:$M;5;FALSO))</f>
        <v/>
      </c>
      <c r="F476" s="12" t="inlineStr">
        <is>
          <t>Andres Felipe Balbin</t>
        </is>
      </c>
      <c r="G476" s="12" t="inlineStr">
        <is>
          <t>PMU COLSOF</t>
        </is>
      </c>
      <c r="H476" s="13" t="n">
        <v>46288</v>
      </c>
      <c r="I476" s="13" t="n">
        <v>46288</v>
      </c>
      <c r="J476" s="13" t="n"/>
      <c r="K476" s="13" t="n"/>
      <c r="L476" s="12" t="inlineStr">
        <is>
          <t>Programada</t>
        </is>
      </c>
      <c r="M476" s="13" t="n"/>
      <c r="N476" s="14">
        <f>SI(O([@[Fecha_Programada_Inicio]]="";[@[Fecha_Inicio_Real]]="");"";SI([@[Fecha_Inicio_Real]]&lt;=[@[Fecha_Programada_Inicio]];"SÍ";"NO"))</f>
        <v/>
      </c>
      <c r="O476" s="14">
        <f>SI(O([@[Fecha_Programada_Fin]]="";[@[Fecha_Cierre_Operativo]]="");"";SI([@[Fecha_Cierre_Operativo]]&lt;=SI([@[Fecha_Nueva_Programada]]&lt;&gt;"";[@[Fecha_Nueva_Programada]];[@[Fecha_Programada_Fin]]);"SÍ";"NO"))</f>
        <v/>
      </c>
      <c r="P476" s="14">
        <f>SI(O([@[Cumpli_Ingreso]]="";[@[Cumpli_Salida]]="");"";SI(Y([@[Cumpli_Ingreso]]="SÍ";[@[Cumpli_Salida]]="SÍ");"SÍ";"NO"))</f>
        <v/>
      </c>
      <c r="Q476" s="15">
        <f>SI(O([@[Fecha_Programada_Fin]]="";[@[Fecha_Cierre_Operativo]]="");"";MAX(0;ENTERO([@[Fecha_Cierre_Operativo]])-ENTERO(SI([@[Fecha_Nueva_Programada]]&lt;&gt;"";[@[Fecha_Nueva_Programada]];[@[Fecha_Programada_Fin]])))</f>
        <v/>
      </c>
      <c r="R476" s="12" t="n"/>
      <c r="S476" s="12" t="n"/>
      <c r="T476" s="13" t="n"/>
      <c r="U476" s="12" t="n">
        <v>15</v>
      </c>
      <c r="V476" s="12" t="n"/>
      <c r="W47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76" s="14">
        <f>SI([@SBAN]="";"";BUSCARV([@SBAN];Cronograma_Maestro!$A:$M;6;FALSO))</f>
        <v/>
      </c>
    </row>
    <row r="477">
      <c r="A477" s="11" t="inlineStr">
        <is>
          <t>4523</t>
        </is>
      </c>
      <c r="B477" s="12">
        <f>SI([@SBAN]="";"";BUSCARV([@SBAN];Cronograma_Maestro!$A:$M;2;FALSO))</f>
        <v/>
      </c>
      <c r="C477" s="12">
        <f>SI([@SBAN]="";"";BUSCARV([@SBAN];Cronograma_Maestro!$A:$M;3;FALSO))</f>
        <v/>
      </c>
      <c r="D477" s="12">
        <f>SI([@SBAN]="";"";BUSCARV([@SBAN];Cronograma_Maestro!$A:$M;4;FALSO))</f>
        <v/>
      </c>
      <c r="E477" s="12">
        <f>SI([@SBAN]="";"";BUSCARV([@SBAN];Cronograma_Maestro!$A:$M;5;FALSO))</f>
        <v/>
      </c>
      <c r="F477" s="12" t="inlineStr">
        <is>
          <t>Andres Felipe Balbin</t>
        </is>
      </c>
      <c r="G477" s="12" t="inlineStr">
        <is>
          <t>PMU COLSOF</t>
        </is>
      </c>
      <c r="H477" s="13" t="n">
        <v>46287</v>
      </c>
      <c r="I477" s="13" t="n">
        <v>46287</v>
      </c>
      <c r="J477" s="13" t="n"/>
      <c r="K477" s="13" t="n"/>
      <c r="L477" s="12" t="inlineStr">
        <is>
          <t>Programada</t>
        </is>
      </c>
      <c r="M477" s="13" t="n"/>
      <c r="N477" s="14">
        <f>SI(O([@[Fecha_Programada_Inicio]]="";[@[Fecha_Inicio_Real]]="");"";SI([@[Fecha_Inicio_Real]]&lt;=[@[Fecha_Programada_Inicio]];"SÍ";"NO"))</f>
        <v/>
      </c>
      <c r="O477" s="14">
        <f>SI(O([@[Fecha_Programada_Fin]]="";[@[Fecha_Cierre_Operativo]]="");"";SI([@[Fecha_Cierre_Operativo]]&lt;=SI([@[Fecha_Nueva_Programada]]&lt;&gt;"";[@[Fecha_Nueva_Programada]];[@[Fecha_Programada_Fin]]);"SÍ";"NO"))</f>
        <v/>
      </c>
      <c r="P477" s="14">
        <f>SI(O([@[Cumpli_Ingreso]]="";[@[Cumpli_Salida]]="");"";SI(Y([@[Cumpli_Ingreso]]="SÍ";[@[Cumpli_Salida]]="SÍ");"SÍ";"NO"))</f>
        <v/>
      </c>
      <c r="Q477" s="15">
        <f>SI(O([@[Fecha_Programada_Fin]]="";[@[Fecha_Cierre_Operativo]]="");"";MAX(0;ENTERO([@[Fecha_Cierre_Operativo]])-ENTERO(SI([@[Fecha_Nueva_Programada]]&lt;&gt;"";[@[Fecha_Nueva_Programada]];[@[Fecha_Programada_Fin]])))</f>
        <v/>
      </c>
      <c r="R477" s="12" t="n"/>
      <c r="S477" s="12" t="n"/>
      <c r="T477" s="13" t="n"/>
      <c r="U477" s="12" t="n">
        <v>16</v>
      </c>
      <c r="V477" s="12" t="n"/>
      <c r="W47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77" s="14">
        <f>SI([@SBAN]="";"";BUSCARV([@SBAN];Cronograma_Maestro!$A:$M;6;FALSO))</f>
        <v/>
      </c>
    </row>
    <row r="478">
      <c r="A478" s="11" t="inlineStr">
        <is>
          <t>4524</t>
        </is>
      </c>
      <c r="B478" s="12">
        <f>SI([@SBAN]="";"";BUSCARV([@SBAN];Cronograma_Maestro!$A:$M;2;FALSO))</f>
        <v/>
      </c>
      <c r="C478" s="12">
        <f>SI([@SBAN]="";"";BUSCARV([@SBAN];Cronograma_Maestro!$A:$M;3;FALSO))</f>
        <v/>
      </c>
      <c r="D478" s="12">
        <f>SI([@SBAN]="";"";BUSCARV([@SBAN];Cronograma_Maestro!$A:$M;4;FALSO))</f>
        <v/>
      </c>
      <c r="E478" s="12">
        <f>SI([@SBAN]="";"";BUSCARV([@SBAN];Cronograma_Maestro!$A:$M;5;FALSO))</f>
        <v/>
      </c>
      <c r="F478" s="12" t="inlineStr">
        <is>
          <t>Jhon Andres Urrea Peña</t>
        </is>
      </c>
      <c r="G478" s="12" t="inlineStr">
        <is>
          <t>PMU COLSOF</t>
        </is>
      </c>
      <c r="H478" s="13" t="n">
        <v>46268</v>
      </c>
      <c r="I478" s="13" t="n">
        <v>46268</v>
      </c>
      <c r="J478" s="13" t="n"/>
      <c r="K478" s="13" t="n"/>
      <c r="L478" s="12" t="inlineStr">
        <is>
          <t>Programada</t>
        </is>
      </c>
      <c r="M478" s="13" t="n"/>
      <c r="N478" s="14">
        <f>SI(O([@[Fecha_Programada_Inicio]]="";[@[Fecha_Inicio_Real]]="");"";SI([@[Fecha_Inicio_Real]]&lt;=[@[Fecha_Programada_Inicio]];"SÍ";"NO"))</f>
        <v/>
      </c>
      <c r="O478" s="14">
        <f>SI(O([@[Fecha_Programada_Fin]]="";[@[Fecha_Cierre_Operativo]]="");"";SI([@[Fecha_Cierre_Operativo]]&lt;=SI([@[Fecha_Nueva_Programada]]&lt;&gt;"";[@[Fecha_Nueva_Programada]];[@[Fecha_Programada_Fin]]);"SÍ";"NO"))</f>
        <v/>
      </c>
      <c r="P478" s="14">
        <f>SI(O([@[Cumpli_Ingreso]]="";[@[Cumpli_Salida]]="");"";SI(Y([@[Cumpli_Ingreso]]="SÍ";[@[Cumpli_Salida]]="SÍ");"SÍ";"NO"))</f>
        <v/>
      </c>
      <c r="Q478" s="15">
        <f>SI(O([@[Fecha_Programada_Fin]]="";[@[Fecha_Cierre_Operativo]]="");"";MAX(0;ENTERO([@[Fecha_Cierre_Operativo]])-ENTERO(SI([@[Fecha_Nueva_Programada]]&lt;&gt;"";[@[Fecha_Nueva_Programada]];[@[Fecha_Programada_Fin]])))</f>
        <v/>
      </c>
      <c r="R478" s="12" t="n"/>
      <c r="S478" s="12" t="n"/>
      <c r="T478" s="13" t="n"/>
      <c r="U478" s="12" t="n">
        <v>15</v>
      </c>
      <c r="V478" s="12" t="n"/>
      <c r="W47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78" s="14">
        <f>SI([@SBAN]="";"";BUSCARV([@SBAN];Cronograma_Maestro!$A:$M;6;FALSO))</f>
        <v/>
      </c>
    </row>
    <row r="479">
      <c r="A479" s="11" t="inlineStr">
        <is>
          <t>4525</t>
        </is>
      </c>
      <c r="B479" s="12">
        <f>SI([@SBAN]="";"";BUSCARV([@SBAN];Cronograma_Maestro!$A:$M;2;FALSO))</f>
        <v/>
      </c>
      <c r="C479" s="12">
        <f>SI([@SBAN]="";"";BUSCARV([@SBAN];Cronograma_Maestro!$A:$M;3;FALSO))</f>
        <v/>
      </c>
      <c r="D479" s="12">
        <f>SI([@SBAN]="";"";BUSCARV([@SBAN];Cronograma_Maestro!$A:$M;4;FALSO))</f>
        <v/>
      </c>
      <c r="E479" s="12">
        <f>SI([@SBAN]="";"";BUSCARV([@SBAN];Cronograma_Maestro!$A:$M;5;FALSO))</f>
        <v/>
      </c>
      <c r="F479" s="12" t="inlineStr">
        <is>
          <t>Angel Danilo Martinez Tejeiro</t>
        </is>
      </c>
      <c r="G479" s="12" t="inlineStr">
        <is>
          <t>PMU COLSOF</t>
        </is>
      </c>
      <c r="H479" s="13" t="n">
        <v>46275</v>
      </c>
      <c r="I479" s="13" t="n">
        <v>46275</v>
      </c>
      <c r="J479" s="13" t="n"/>
      <c r="K479" s="13" t="n"/>
      <c r="L479" s="12" t="inlineStr">
        <is>
          <t>Programada</t>
        </is>
      </c>
      <c r="M479" s="13" t="n"/>
      <c r="N479" s="14">
        <f>SI(O([@[Fecha_Programada_Inicio]]="";[@[Fecha_Inicio_Real]]="");"";SI([@[Fecha_Inicio_Real]]&lt;=[@[Fecha_Programada_Inicio]];"SÍ";"NO"))</f>
        <v/>
      </c>
      <c r="O479" s="14">
        <f>SI(O([@[Fecha_Programada_Fin]]="";[@[Fecha_Cierre_Operativo]]="");"";SI([@[Fecha_Cierre_Operativo]]&lt;=SI([@[Fecha_Nueva_Programada]]&lt;&gt;"";[@[Fecha_Nueva_Programada]];[@[Fecha_Programada_Fin]]);"SÍ";"NO"))</f>
        <v/>
      </c>
      <c r="P479" s="14">
        <f>SI(O([@[Cumpli_Ingreso]]="";[@[Cumpli_Salida]]="");"";SI(Y([@[Cumpli_Ingreso]]="SÍ";[@[Cumpli_Salida]]="SÍ");"SÍ";"NO"))</f>
        <v/>
      </c>
      <c r="Q479" s="15">
        <f>SI(O([@[Fecha_Programada_Fin]]="";[@[Fecha_Cierre_Operativo]]="");"";MAX(0;ENTERO([@[Fecha_Cierre_Operativo]])-ENTERO(SI([@[Fecha_Nueva_Programada]]&lt;&gt;"";[@[Fecha_Nueva_Programada]];[@[Fecha_Programada_Fin]])))</f>
        <v/>
      </c>
      <c r="R479" s="12" t="n"/>
      <c r="S479" s="12" t="n"/>
      <c r="T479" s="13" t="n"/>
      <c r="U479" s="12" t="n">
        <v>12</v>
      </c>
      <c r="V479" s="12" t="n"/>
      <c r="W47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79" s="14">
        <f>SI([@SBAN]="";"";BUSCARV([@SBAN];Cronograma_Maestro!$A:$M;6;FALSO))</f>
        <v/>
      </c>
    </row>
    <row r="480">
      <c r="A480" s="11" t="inlineStr">
        <is>
          <t>4530</t>
        </is>
      </c>
      <c r="B480" s="12">
        <f>SI([@SBAN]="";"";BUSCARV([@SBAN];Cronograma_Maestro!$A:$M;2;FALSO))</f>
        <v/>
      </c>
      <c r="C480" s="12">
        <f>SI([@SBAN]="";"";BUSCARV([@SBAN];Cronograma_Maestro!$A:$M;3;FALSO))</f>
        <v/>
      </c>
      <c r="D480" s="12">
        <f>SI([@SBAN]="";"";BUSCARV([@SBAN];Cronograma_Maestro!$A:$M;4;FALSO))</f>
        <v/>
      </c>
      <c r="E480" s="12">
        <f>SI([@SBAN]="";"";BUSCARV([@SBAN];Cronograma_Maestro!$A:$M;5;FALSO))</f>
        <v/>
      </c>
      <c r="F480" s="12" t="inlineStr">
        <is>
          <t>Angel Danilo Martinez Tejeiro</t>
        </is>
      </c>
      <c r="G480" s="12" t="inlineStr">
        <is>
          <t>PMU COLSOF</t>
        </is>
      </c>
      <c r="H480" s="13" t="n">
        <v>46274</v>
      </c>
      <c r="I480" s="13" t="n">
        <v>46274</v>
      </c>
      <c r="J480" s="13" t="n"/>
      <c r="K480" s="13" t="n"/>
      <c r="L480" s="12" t="inlineStr">
        <is>
          <t>Programada</t>
        </is>
      </c>
      <c r="M480" s="13" t="n"/>
      <c r="N480" s="14">
        <f>SI(O([@[Fecha_Programada_Inicio]]="";[@[Fecha_Inicio_Real]]="");"";SI([@[Fecha_Inicio_Real]]&lt;=[@[Fecha_Programada_Inicio]];"SÍ";"NO"))</f>
        <v/>
      </c>
      <c r="O480" s="14">
        <f>SI(O([@[Fecha_Programada_Fin]]="";[@[Fecha_Cierre_Operativo]]="");"";SI([@[Fecha_Cierre_Operativo]]&lt;=SI([@[Fecha_Nueva_Programada]]&lt;&gt;"";[@[Fecha_Nueva_Programada]];[@[Fecha_Programada_Fin]]);"SÍ";"NO"))</f>
        <v/>
      </c>
      <c r="P480" s="14">
        <f>SI(O([@[Cumpli_Ingreso]]="";[@[Cumpli_Salida]]="");"";SI(Y([@[Cumpli_Ingreso]]="SÍ";[@[Cumpli_Salida]]="SÍ");"SÍ";"NO"))</f>
        <v/>
      </c>
      <c r="Q480" s="15">
        <f>SI(O([@[Fecha_Programada_Fin]]="";[@[Fecha_Cierre_Operativo]]="");"";MAX(0;ENTERO([@[Fecha_Cierre_Operativo]])-ENTERO(SI([@[Fecha_Nueva_Programada]]&lt;&gt;"";[@[Fecha_Nueva_Programada]];[@[Fecha_Programada_Fin]])))</f>
        <v/>
      </c>
      <c r="R480" s="12" t="n"/>
      <c r="S480" s="12" t="n"/>
      <c r="T480" s="13" t="n"/>
      <c r="U480" s="12" t="n">
        <v>21</v>
      </c>
      <c r="V480" s="12" t="n"/>
      <c r="W48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80" s="14">
        <f>SI([@SBAN]="";"";BUSCARV([@SBAN];Cronograma_Maestro!$A:$M;6;FALSO))</f>
        <v/>
      </c>
    </row>
    <row r="481">
      <c r="A481" s="11" t="inlineStr">
        <is>
          <t>4532</t>
        </is>
      </c>
      <c r="B481" s="12">
        <f>SI([@SBAN]="";"";BUSCARV([@SBAN];Cronograma_Maestro!$A:$M;2;FALSO))</f>
        <v/>
      </c>
      <c r="C481" s="12">
        <f>SI([@SBAN]="";"";BUSCARV([@SBAN];Cronograma_Maestro!$A:$M;3;FALSO))</f>
        <v/>
      </c>
      <c r="D481" s="12">
        <f>SI([@SBAN]="";"";BUSCARV([@SBAN];Cronograma_Maestro!$A:$M;4;FALSO))</f>
        <v/>
      </c>
      <c r="E481" s="12">
        <f>SI([@SBAN]="";"";BUSCARV([@SBAN];Cronograma_Maestro!$A:$M;5;FALSO))</f>
        <v/>
      </c>
      <c r="F481" s="12" t="inlineStr">
        <is>
          <t>Andres Felipe Balbin</t>
        </is>
      </c>
      <c r="G481" s="12" t="inlineStr">
        <is>
          <t>PMU COLSOF</t>
        </is>
      </c>
      <c r="H481" s="13" t="n">
        <v>46274</v>
      </c>
      <c r="I481" s="13" t="n">
        <v>46274</v>
      </c>
      <c r="J481" s="13" t="n"/>
      <c r="K481" s="13" t="n"/>
      <c r="L481" s="12" t="inlineStr">
        <is>
          <t>Programada</t>
        </is>
      </c>
      <c r="M481" s="13" t="n"/>
      <c r="N481" s="14">
        <f>SI(O([@[Fecha_Programada_Inicio]]="";[@[Fecha_Inicio_Real]]="");"";SI([@[Fecha_Inicio_Real]]&lt;=[@[Fecha_Programada_Inicio]];"SÍ";"NO"))</f>
        <v/>
      </c>
      <c r="O481" s="14">
        <f>SI(O([@[Fecha_Programada_Fin]]="";[@[Fecha_Cierre_Operativo]]="");"";SI([@[Fecha_Cierre_Operativo]]&lt;=SI([@[Fecha_Nueva_Programada]]&lt;&gt;"";[@[Fecha_Nueva_Programada]];[@[Fecha_Programada_Fin]]);"SÍ";"NO"))</f>
        <v/>
      </c>
      <c r="P481" s="14">
        <f>SI(O([@[Cumpli_Ingreso]]="";[@[Cumpli_Salida]]="");"";SI(Y([@[Cumpli_Ingreso]]="SÍ";[@[Cumpli_Salida]]="SÍ");"SÍ";"NO"))</f>
        <v/>
      </c>
      <c r="Q481" s="15">
        <f>SI(O([@[Fecha_Programada_Fin]]="";[@[Fecha_Cierre_Operativo]]="");"";MAX(0;ENTERO([@[Fecha_Cierre_Operativo]])-ENTERO(SI([@[Fecha_Nueva_Programada]]&lt;&gt;"";[@[Fecha_Nueva_Programada]];[@[Fecha_Programada_Fin]])))</f>
        <v/>
      </c>
      <c r="R481" s="12" t="n"/>
      <c r="S481" s="12" t="n"/>
      <c r="T481" s="13" t="n"/>
      <c r="U481" s="12" t="n">
        <v>12</v>
      </c>
      <c r="V481" s="12" t="n"/>
      <c r="W48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81" s="14">
        <f>SI([@SBAN]="";"";BUSCARV([@SBAN];Cronograma_Maestro!$A:$M;6;FALSO))</f>
        <v/>
      </c>
    </row>
    <row r="482">
      <c r="A482" s="11" t="inlineStr">
        <is>
          <t>4535</t>
        </is>
      </c>
      <c r="B482" s="12">
        <f>SI([@SBAN]="";"";BUSCARV([@SBAN];Cronograma_Maestro!$A:$M;2;FALSO))</f>
        <v/>
      </c>
      <c r="C482" s="12">
        <f>SI([@SBAN]="";"";BUSCARV([@SBAN];Cronograma_Maestro!$A:$M;3;FALSO))</f>
        <v/>
      </c>
      <c r="D482" s="12">
        <f>SI([@SBAN]="";"";BUSCARV([@SBAN];Cronograma_Maestro!$A:$M;4;FALSO))</f>
        <v/>
      </c>
      <c r="E482" s="12">
        <f>SI([@SBAN]="";"";BUSCARV([@SBAN];Cronograma_Maestro!$A:$M;5;FALSO))</f>
        <v/>
      </c>
      <c r="F482" s="12" t="inlineStr">
        <is>
          <t>Andres Felipe Balbin</t>
        </is>
      </c>
      <c r="G482" s="12" t="inlineStr">
        <is>
          <t>PMU COLSOF</t>
        </is>
      </c>
      <c r="H482" s="13" t="n">
        <v>46283</v>
      </c>
      <c r="I482" s="13" t="n">
        <v>46283</v>
      </c>
      <c r="J482" s="13" t="n"/>
      <c r="K482" s="13" t="n"/>
      <c r="L482" s="12" t="inlineStr">
        <is>
          <t>Programada</t>
        </is>
      </c>
      <c r="M482" s="13" t="n"/>
      <c r="N482" s="14">
        <f>SI(O([@[Fecha_Programada_Inicio]]="";[@[Fecha_Inicio_Real]]="");"";SI([@[Fecha_Inicio_Real]]&lt;=[@[Fecha_Programada_Inicio]];"SÍ";"NO"))</f>
        <v/>
      </c>
      <c r="O482" s="14">
        <f>SI(O([@[Fecha_Programada_Fin]]="";[@[Fecha_Cierre_Operativo]]="");"";SI([@[Fecha_Cierre_Operativo]]&lt;=SI([@[Fecha_Nueva_Programada]]&lt;&gt;"";[@[Fecha_Nueva_Programada]];[@[Fecha_Programada_Fin]]);"SÍ";"NO"))</f>
        <v/>
      </c>
      <c r="P482" s="14">
        <f>SI(O([@[Cumpli_Ingreso]]="";[@[Cumpli_Salida]]="");"";SI(Y([@[Cumpli_Ingreso]]="SÍ";[@[Cumpli_Salida]]="SÍ");"SÍ";"NO"))</f>
        <v/>
      </c>
      <c r="Q482" s="15">
        <f>SI(O([@[Fecha_Programada_Fin]]="";[@[Fecha_Cierre_Operativo]]="");"";MAX(0;ENTERO([@[Fecha_Cierre_Operativo]])-ENTERO(SI([@[Fecha_Nueva_Programada]]&lt;&gt;"";[@[Fecha_Nueva_Programada]];[@[Fecha_Programada_Fin]])))</f>
        <v/>
      </c>
      <c r="R482" s="12" t="n"/>
      <c r="S482" s="12" t="n"/>
      <c r="T482" s="13" t="n"/>
      <c r="U482" s="12" t="n">
        <v>23</v>
      </c>
      <c r="V482" s="12" t="n"/>
      <c r="W48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82" s="14">
        <f>SI([@SBAN]="";"";BUSCARV([@SBAN];Cronograma_Maestro!$A:$M;6;FALSO))</f>
        <v/>
      </c>
    </row>
    <row r="483">
      <c r="A483" s="11" t="inlineStr">
        <is>
          <t>4540</t>
        </is>
      </c>
      <c r="B483" s="12">
        <f>SI([@SBAN]="";"";BUSCARV([@SBAN];Cronograma_Maestro!$A:$M;2;FALSO))</f>
        <v/>
      </c>
      <c r="C483" s="12">
        <f>SI([@SBAN]="";"";BUSCARV([@SBAN];Cronograma_Maestro!$A:$M;3;FALSO))</f>
        <v/>
      </c>
      <c r="D483" s="12">
        <f>SI([@SBAN]="";"";BUSCARV([@SBAN];Cronograma_Maestro!$A:$M;4;FALSO))</f>
        <v/>
      </c>
      <c r="E483" s="12">
        <f>SI([@SBAN]="";"";BUSCARV([@SBAN];Cronograma_Maestro!$A:$M;5;FALSO))</f>
        <v/>
      </c>
      <c r="F483" s="12" t="inlineStr">
        <is>
          <t>Andres Felipe Balbin</t>
        </is>
      </c>
      <c r="G483" s="12" t="inlineStr">
        <is>
          <t>PMU COLSOF</t>
        </is>
      </c>
      <c r="H483" s="13" t="n">
        <v>46266</v>
      </c>
      <c r="I483" s="13" t="n">
        <v>46266</v>
      </c>
      <c r="J483" s="13" t="n">
        <v>46266</v>
      </c>
      <c r="K483" s="13" t="n">
        <v>46266</v>
      </c>
      <c r="L483" s="12" t="inlineStr">
        <is>
          <t>Finalizada</t>
        </is>
      </c>
      <c r="M483" s="13" t="n"/>
      <c r="N483" s="14">
        <f>SI(O([@[Fecha_Programada_Inicio]]="";[@[Fecha_Inicio_Real]]="");"";SI([@[Fecha_Inicio_Real]]&lt;=[@[Fecha_Programada_Inicio]];"SÍ";"NO"))</f>
        <v/>
      </c>
      <c r="O483" s="14">
        <f>SI(O([@[Fecha_Programada_Fin]]="";[@[Fecha_Cierre_Operativo]]="");"";SI([@[Fecha_Cierre_Operativo]]&lt;=SI([@[Fecha_Nueva_Programada]]&lt;&gt;"";[@[Fecha_Nueva_Programada]];[@[Fecha_Programada_Fin]]);"SÍ";"NO"))</f>
        <v/>
      </c>
      <c r="P483" s="14">
        <f>SI(O([@[Cumpli_Ingreso]]="";[@[Cumpli_Salida]]="");"";SI(Y([@[Cumpli_Ingreso]]="SÍ";[@[Cumpli_Salida]]="SÍ");"SÍ";"NO"))</f>
        <v/>
      </c>
      <c r="Q483" s="15">
        <f>SI(O([@[Fecha_Programada_Fin]]="";[@[Fecha_Cierre_Operativo]]="");"";MAX(0;ENTERO([@[Fecha_Cierre_Operativo]])-ENTERO(SI([@[Fecha_Nueva_Programada]]&lt;&gt;"";[@[Fecha_Nueva_Programada]];[@[Fecha_Programada_Fin]])))</f>
        <v/>
      </c>
      <c r="R483" s="12" t="inlineStr">
        <is>
          <t>N/A - A Tiempo</t>
        </is>
      </c>
      <c r="S483" s="12" t="inlineStr">
        <is>
          <t>Pendiente Firma</t>
        </is>
      </c>
      <c r="T483" s="13" t="n"/>
      <c r="U483" s="12" t="n">
        <v>16</v>
      </c>
      <c r="V483" s="12" t="n"/>
      <c r="W48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83" s="14">
        <f>SI([@SBAN]="";"";BUSCARV([@SBAN];Cronograma_Maestro!$A:$M;6;FALSO))</f>
        <v/>
      </c>
    </row>
    <row r="484">
      <c r="A484" s="11" t="inlineStr">
        <is>
          <t>4542</t>
        </is>
      </c>
      <c r="B484" s="12">
        <f>SI([@SBAN]="";"";BUSCARV([@SBAN];Cronograma_Maestro!$A:$M;2;FALSO))</f>
        <v/>
      </c>
      <c r="C484" s="12">
        <f>SI([@SBAN]="";"";BUSCARV([@SBAN];Cronograma_Maestro!$A:$M;3;FALSO))</f>
        <v/>
      </c>
      <c r="D484" s="12">
        <f>SI([@SBAN]="";"";BUSCARV([@SBAN];Cronograma_Maestro!$A:$M;4;FALSO))</f>
        <v/>
      </c>
      <c r="E484" s="12">
        <f>SI([@SBAN]="";"";BUSCARV([@SBAN];Cronograma_Maestro!$A:$M;5;FALSO))</f>
        <v/>
      </c>
      <c r="F484" s="12" t="inlineStr">
        <is>
          <t>Andres Felipe Balbin</t>
        </is>
      </c>
      <c r="G484" s="12" t="inlineStr">
        <is>
          <t>PMU COLSOF</t>
        </is>
      </c>
      <c r="H484" s="13" t="n">
        <v>46293</v>
      </c>
      <c r="I484" s="13" t="n">
        <v>46294</v>
      </c>
      <c r="J484" s="13" t="n"/>
      <c r="K484" s="13" t="n"/>
      <c r="L484" s="12" t="inlineStr">
        <is>
          <t>Programada</t>
        </is>
      </c>
      <c r="M484" s="13" t="n"/>
      <c r="N484" s="14">
        <f>SI(O([@[Fecha_Programada_Inicio]]="";[@[Fecha_Inicio_Real]]="");"";SI([@[Fecha_Inicio_Real]]&lt;=[@[Fecha_Programada_Inicio]];"SÍ";"NO"))</f>
        <v/>
      </c>
      <c r="O484" s="14">
        <f>SI(O([@[Fecha_Programada_Fin]]="";[@[Fecha_Cierre_Operativo]]="");"";SI([@[Fecha_Cierre_Operativo]]&lt;=SI([@[Fecha_Nueva_Programada]]&lt;&gt;"";[@[Fecha_Nueva_Programada]];[@[Fecha_Programada_Fin]]);"SÍ";"NO"))</f>
        <v/>
      </c>
      <c r="P484" s="14">
        <f>SI(O([@[Cumpli_Ingreso]]="";[@[Cumpli_Salida]]="");"";SI(Y([@[Cumpli_Ingreso]]="SÍ";[@[Cumpli_Salida]]="SÍ");"SÍ";"NO"))</f>
        <v/>
      </c>
      <c r="Q484" s="15">
        <f>SI(O([@[Fecha_Programada_Fin]]="";[@[Fecha_Cierre_Operativo]]="");"";MAX(0;ENTERO([@[Fecha_Cierre_Operativo]])-ENTERO(SI([@[Fecha_Nueva_Programada]]&lt;&gt;"";[@[Fecha_Nueva_Programada]];[@[Fecha_Programada_Fin]])))</f>
        <v/>
      </c>
      <c r="R484" s="12" t="n"/>
      <c r="S484" s="12" t="n"/>
      <c r="T484" s="13" t="n"/>
      <c r="U484" s="12" t="n">
        <v>13</v>
      </c>
      <c r="V484" s="12" t="n"/>
      <c r="W48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84" s="14">
        <f>SI([@SBAN]="";"";BUSCARV([@SBAN];Cronograma_Maestro!$A:$M;6;FALSO))</f>
        <v/>
      </c>
    </row>
    <row r="485">
      <c r="A485" s="11" t="inlineStr">
        <is>
          <t>4543</t>
        </is>
      </c>
      <c r="B485" s="12">
        <f>SI([@SBAN]="";"";BUSCARV([@SBAN];Cronograma_Maestro!$A:$M;2;FALSO))</f>
        <v/>
      </c>
      <c r="C485" s="12">
        <f>SI([@SBAN]="";"";BUSCARV([@SBAN];Cronograma_Maestro!$A:$M;3;FALSO))</f>
        <v/>
      </c>
      <c r="D485" s="12">
        <f>SI([@SBAN]="";"";BUSCARV([@SBAN];Cronograma_Maestro!$A:$M;4;FALSO))</f>
        <v/>
      </c>
      <c r="E485" s="12">
        <f>SI([@SBAN]="";"";BUSCARV([@SBAN];Cronograma_Maestro!$A:$M;5;FALSO))</f>
        <v/>
      </c>
      <c r="F485" s="12" t="inlineStr">
        <is>
          <t>Andres Felipe Balbin</t>
        </is>
      </c>
      <c r="G485" s="12" t="inlineStr">
        <is>
          <t>PMU COLSOF</t>
        </is>
      </c>
      <c r="H485" s="13" t="n">
        <v>46295</v>
      </c>
      <c r="I485" s="13" t="n">
        <v>46297</v>
      </c>
      <c r="J485" s="13" t="n"/>
      <c r="K485" s="13" t="n"/>
      <c r="L485" s="12" t="inlineStr">
        <is>
          <t>Programada</t>
        </is>
      </c>
      <c r="M485" s="13" t="n"/>
      <c r="N485" s="14">
        <f>SI(O([@[Fecha_Programada_Inicio]]="";[@[Fecha_Inicio_Real]]="");"";SI([@[Fecha_Inicio_Real]]&lt;=[@[Fecha_Programada_Inicio]];"SÍ";"NO"))</f>
        <v/>
      </c>
      <c r="O485" s="14">
        <f>SI(O([@[Fecha_Programada_Fin]]="";[@[Fecha_Cierre_Operativo]]="");"";SI([@[Fecha_Cierre_Operativo]]&lt;=SI([@[Fecha_Nueva_Programada]]&lt;&gt;"";[@[Fecha_Nueva_Programada]];[@[Fecha_Programada_Fin]]);"SÍ";"NO"))</f>
        <v/>
      </c>
      <c r="P485" s="14">
        <f>SI(O([@[Cumpli_Ingreso]]="";[@[Cumpli_Salida]]="");"";SI(Y([@[Cumpli_Ingreso]]="SÍ";[@[Cumpli_Salida]]="SÍ");"SÍ";"NO"))</f>
        <v/>
      </c>
      <c r="Q485" s="15">
        <f>SI(O([@[Fecha_Programada_Fin]]="";[@[Fecha_Cierre_Operativo]]="");"";MAX(0;ENTERO([@[Fecha_Cierre_Operativo]])-ENTERO(SI([@[Fecha_Nueva_Programada]]&lt;&gt;"";[@[Fecha_Nueva_Programada]];[@[Fecha_Programada_Fin]])))</f>
        <v/>
      </c>
      <c r="R485" s="12" t="n"/>
      <c r="S485" s="12" t="n"/>
      <c r="T485" s="13" t="n"/>
      <c r="U485" s="12" t="n">
        <v>12</v>
      </c>
      <c r="V485" s="12" t="n"/>
      <c r="W48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85" s="14">
        <f>SI([@SBAN]="";"";BUSCARV([@SBAN];Cronograma_Maestro!$A:$M;6;FALSO))</f>
        <v/>
      </c>
    </row>
    <row r="486">
      <c r="A486" s="11" t="inlineStr">
        <is>
          <t>4550</t>
        </is>
      </c>
      <c r="B486" s="12">
        <f>SI([@SBAN]="";"";BUSCARV([@SBAN];Cronograma_Maestro!$A:$M;2;FALSO))</f>
        <v/>
      </c>
      <c r="C486" s="12">
        <f>SI([@SBAN]="";"";BUSCARV([@SBAN];Cronograma_Maestro!$A:$M;3;FALSO))</f>
        <v/>
      </c>
      <c r="D486" s="12">
        <f>SI([@SBAN]="";"";BUSCARV([@SBAN];Cronograma_Maestro!$A:$M;4;FALSO))</f>
        <v/>
      </c>
      <c r="E486" s="12">
        <f>SI([@SBAN]="";"";BUSCARV([@SBAN];Cronograma_Maestro!$A:$M;5;FALSO))</f>
        <v/>
      </c>
      <c r="F486" s="12" t="inlineStr">
        <is>
          <t>Andres Felipe Balbin</t>
        </is>
      </c>
      <c r="G486" s="12" t="inlineStr">
        <is>
          <t>PMU COLSOF</t>
        </is>
      </c>
      <c r="H486" s="13" t="n">
        <v>46273</v>
      </c>
      <c r="I486" s="13" t="n">
        <v>46273</v>
      </c>
      <c r="J486" s="13" t="n"/>
      <c r="K486" s="13" t="n"/>
      <c r="L486" s="12" t="inlineStr">
        <is>
          <t>Programada</t>
        </is>
      </c>
      <c r="M486" s="13" t="n"/>
      <c r="N486" s="14">
        <f>SI(O([@[Fecha_Programada_Inicio]]="";[@[Fecha_Inicio_Real]]="");"";SI([@[Fecha_Inicio_Real]]&lt;=[@[Fecha_Programada_Inicio]];"SÍ";"NO"))</f>
        <v/>
      </c>
      <c r="O486" s="14">
        <f>SI(O([@[Fecha_Programada_Fin]]="";[@[Fecha_Cierre_Operativo]]="");"";SI([@[Fecha_Cierre_Operativo]]&lt;=SI([@[Fecha_Nueva_Programada]]&lt;&gt;"";[@[Fecha_Nueva_Programada]];[@[Fecha_Programada_Fin]]);"SÍ";"NO"))</f>
        <v/>
      </c>
      <c r="P486" s="14">
        <f>SI(O([@[Cumpli_Ingreso]]="";[@[Cumpli_Salida]]="");"";SI(Y([@[Cumpli_Ingreso]]="SÍ";[@[Cumpli_Salida]]="SÍ");"SÍ";"NO"))</f>
        <v/>
      </c>
      <c r="Q486" s="15">
        <f>SI(O([@[Fecha_Programada_Fin]]="";[@[Fecha_Cierre_Operativo]]="");"";MAX(0;ENTERO([@[Fecha_Cierre_Operativo]])-ENTERO(SI([@[Fecha_Nueva_Programada]]&lt;&gt;"";[@[Fecha_Nueva_Programada]];[@[Fecha_Programada_Fin]])))</f>
        <v/>
      </c>
      <c r="R486" s="12" t="n"/>
      <c r="S486" s="12" t="n"/>
      <c r="T486" s="13" t="n"/>
      <c r="U486" s="12" t="n">
        <v>16</v>
      </c>
      <c r="V486" s="12" t="n"/>
      <c r="W48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86" s="14">
        <f>SI([@SBAN]="";"";BUSCARV([@SBAN];Cronograma_Maestro!$A:$M;6;FALSO))</f>
        <v/>
      </c>
    </row>
    <row r="487">
      <c r="A487" s="11" t="inlineStr">
        <is>
          <t>4560</t>
        </is>
      </c>
      <c r="B487" s="12">
        <f>SI([@SBAN]="";"";BUSCARV([@SBAN];Cronograma_Maestro!$A:$M;2;FALSO))</f>
        <v/>
      </c>
      <c r="C487" s="12">
        <f>SI([@SBAN]="";"";BUSCARV([@SBAN];Cronograma_Maestro!$A:$M;3;FALSO))</f>
        <v/>
      </c>
      <c r="D487" s="12">
        <f>SI([@SBAN]="";"";BUSCARV([@SBAN];Cronograma_Maestro!$A:$M;4;FALSO))</f>
        <v/>
      </c>
      <c r="E487" s="12">
        <f>SI([@SBAN]="";"";BUSCARV([@SBAN];Cronograma_Maestro!$A:$M;5;FALSO))</f>
        <v/>
      </c>
      <c r="F487" s="12" t="inlineStr">
        <is>
          <t>Andres Felipe Balbin</t>
        </is>
      </c>
      <c r="G487" s="12" t="inlineStr">
        <is>
          <t>PMU COLSOF</t>
        </is>
      </c>
      <c r="H487" s="13" t="n">
        <v>46279</v>
      </c>
      <c r="I487" s="13" t="n">
        <v>46279</v>
      </c>
      <c r="J487" s="13" t="n"/>
      <c r="K487" s="13" t="n"/>
      <c r="L487" s="12" t="inlineStr">
        <is>
          <t>Programada</t>
        </is>
      </c>
      <c r="M487" s="13" t="n"/>
      <c r="N487" s="14">
        <f>SI(O([@[Fecha_Programada_Inicio]]="";[@[Fecha_Inicio_Real]]="");"";SI([@[Fecha_Inicio_Real]]&lt;=[@[Fecha_Programada_Inicio]];"SÍ";"NO"))</f>
        <v/>
      </c>
      <c r="O487" s="14">
        <f>SI(O([@[Fecha_Programada_Fin]]="";[@[Fecha_Cierre_Operativo]]="");"";SI([@[Fecha_Cierre_Operativo]]&lt;=SI([@[Fecha_Nueva_Programada]]&lt;&gt;"";[@[Fecha_Nueva_Programada]];[@[Fecha_Programada_Fin]]);"SÍ";"NO"))</f>
        <v/>
      </c>
      <c r="P487" s="14">
        <f>SI(O([@[Cumpli_Ingreso]]="";[@[Cumpli_Salida]]="");"";SI(Y([@[Cumpli_Ingreso]]="SÍ";[@[Cumpli_Salida]]="SÍ");"SÍ";"NO"))</f>
        <v/>
      </c>
      <c r="Q487" s="15">
        <f>SI(O([@[Fecha_Programada_Fin]]="";[@[Fecha_Cierre_Operativo]]="");"";MAX(0;ENTERO([@[Fecha_Cierre_Operativo]])-ENTERO(SI([@[Fecha_Nueva_Programada]]&lt;&gt;"";[@[Fecha_Nueva_Programada]];[@[Fecha_Programada_Fin]])))</f>
        <v/>
      </c>
      <c r="R487" s="12" t="n"/>
      <c r="S487" s="12" t="n"/>
      <c r="T487" s="13" t="n"/>
      <c r="U487" s="12" t="n">
        <v>14</v>
      </c>
      <c r="V487" s="12" t="n"/>
      <c r="W48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87" s="14">
        <f>SI([@SBAN]="";"";BUSCARV([@SBAN];Cronograma_Maestro!$A:$M;6;FALSO))</f>
        <v/>
      </c>
    </row>
    <row r="488">
      <c r="A488" s="11" t="inlineStr">
        <is>
          <t>4801</t>
        </is>
      </c>
      <c r="B488" s="12">
        <f>SI([@SBAN]="";"";BUSCARV([@SBAN];Cronograma_Maestro!$A:$M;2;FALSO))</f>
        <v/>
      </c>
      <c r="C488" s="12">
        <f>SI([@SBAN]="";"";BUSCARV([@SBAN];Cronograma_Maestro!$A:$M;3;FALSO))</f>
        <v/>
      </c>
      <c r="D488" s="12">
        <f>SI([@SBAN]="";"";BUSCARV([@SBAN];Cronograma_Maestro!$A:$M;4;FALSO))</f>
        <v/>
      </c>
      <c r="E488" s="12">
        <f>SI([@SBAN]="";"";BUSCARV([@SBAN];Cronograma_Maestro!$A:$M;5;FALSO))</f>
        <v/>
      </c>
      <c r="F488" s="12" t="inlineStr">
        <is>
          <t>JIMMY FABIAN ERAZO CERON</t>
        </is>
      </c>
      <c r="G488" s="12" t="inlineStr">
        <is>
          <t>PMU COLSOF</t>
        </is>
      </c>
      <c r="H488" s="13" t="n">
        <v>46301</v>
      </c>
      <c r="I488" s="13" t="n">
        <v>46311</v>
      </c>
      <c r="J488" s="13" t="n"/>
      <c r="K488" s="13" t="n"/>
      <c r="L488" s="12" t="inlineStr">
        <is>
          <t>Programada</t>
        </is>
      </c>
      <c r="M488" s="13" t="n"/>
      <c r="N488" s="14">
        <f>SI(O([@[Fecha_Programada_Inicio]]="";[@[Fecha_Inicio_Real]]="");"";SI([@[Fecha_Inicio_Real]]&lt;=[@[Fecha_Programada_Inicio]];"SÍ";"NO"))</f>
        <v/>
      </c>
      <c r="O488" s="14">
        <f>SI(O([@[Fecha_Programada_Fin]]="";[@[Fecha_Cierre_Operativo]]="");"";SI([@[Fecha_Cierre_Operativo]]&lt;=SI([@[Fecha_Nueva_Programada]]&lt;&gt;"";[@[Fecha_Nueva_Programada]];[@[Fecha_Programada_Fin]]);"SÍ";"NO"))</f>
        <v/>
      </c>
      <c r="P488" s="14">
        <f>SI(O([@[Cumpli_Ingreso]]="";[@[Cumpli_Salida]]="");"";SI(Y([@[Cumpli_Ingreso]]="SÍ";[@[Cumpli_Salida]]="SÍ");"SÍ";"NO"))</f>
        <v/>
      </c>
      <c r="Q488" s="15">
        <f>SI(O([@[Fecha_Programada_Fin]]="";[@[Fecha_Cierre_Operativo]]="");"";MAX(0;ENTERO([@[Fecha_Cierre_Operativo]])-ENTERO(SI([@[Fecha_Nueva_Programada]]&lt;&gt;"";[@[Fecha_Nueva_Programada]];[@[Fecha_Programada_Fin]])))</f>
        <v/>
      </c>
      <c r="R488" s="12" t="n"/>
      <c r="S488" s="12" t="n"/>
      <c r="T488" s="13" t="n"/>
      <c r="U488" s="12" t="n">
        <v>60</v>
      </c>
      <c r="V488" s="12" t="n"/>
      <c r="W48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88" s="14">
        <f>SI([@SBAN]="";"";BUSCARV([@SBAN];Cronograma_Maestro!$A:$M;6;FALSO))</f>
        <v/>
      </c>
    </row>
    <row r="489">
      <c r="A489" s="11" t="inlineStr">
        <is>
          <t>4805</t>
        </is>
      </c>
      <c r="B489" s="12">
        <f>SI([@SBAN]="";"";BUSCARV([@SBAN];Cronograma_Maestro!$A:$M;2;FALSO))</f>
        <v/>
      </c>
      <c r="C489" s="12">
        <f>SI([@SBAN]="";"";BUSCARV([@SBAN];Cronograma_Maestro!$A:$M;3;FALSO))</f>
        <v/>
      </c>
      <c r="D489" s="12">
        <f>SI([@SBAN]="";"";BUSCARV([@SBAN];Cronograma_Maestro!$A:$M;4;FALSO))</f>
        <v/>
      </c>
      <c r="E489" s="12">
        <f>SI([@SBAN]="";"";BUSCARV([@SBAN];Cronograma_Maestro!$A:$M;5;FALSO))</f>
        <v/>
      </c>
      <c r="F489" s="12" t="inlineStr">
        <is>
          <t>Juan Carlos Narvaez Acosta / Luis Fernando Ibarra Guio</t>
        </is>
      </c>
      <c r="G489" s="12" t="inlineStr">
        <is>
          <t>PMU COLSOF</t>
        </is>
      </c>
      <c r="H489" s="13" t="n">
        <v>46282</v>
      </c>
      <c r="I489" s="13" t="n">
        <v>46282</v>
      </c>
      <c r="J489" s="13" t="n"/>
      <c r="K489" s="13" t="n"/>
      <c r="L489" s="12" t="inlineStr">
        <is>
          <t>Programada</t>
        </is>
      </c>
      <c r="M489" s="13" t="n"/>
      <c r="N489" s="14">
        <f>SI(O([@[Fecha_Programada_Inicio]]="";[@[Fecha_Inicio_Real]]="");"";SI([@[Fecha_Inicio_Real]]&lt;=[@[Fecha_Programada_Inicio]];"SÍ";"NO"))</f>
        <v/>
      </c>
      <c r="O489" s="14">
        <f>SI(O([@[Fecha_Programada_Fin]]="";[@[Fecha_Cierre_Operativo]]="");"";SI([@[Fecha_Cierre_Operativo]]&lt;=SI([@[Fecha_Nueva_Programada]]&lt;&gt;"";[@[Fecha_Nueva_Programada]];[@[Fecha_Programada_Fin]]);"SÍ";"NO"))</f>
        <v/>
      </c>
      <c r="P489" s="14">
        <f>SI(O([@[Cumpli_Ingreso]]="";[@[Cumpli_Salida]]="");"";SI(Y([@[Cumpli_Ingreso]]="SÍ";[@[Cumpli_Salida]]="SÍ");"SÍ";"NO"))</f>
        <v/>
      </c>
      <c r="Q489" s="15">
        <f>SI(O([@[Fecha_Programada_Fin]]="";[@[Fecha_Cierre_Operativo]]="");"";MAX(0;ENTERO([@[Fecha_Cierre_Operativo]])-ENTERO(SI([@[Fecha_Nueva_Programada]]&lt;&gt;"";[@[Fecha_Nueva_Programada]];[@[Fecha_Programada_Fin]])))</f>
        <v/>
      </c>
      <c r="R489" s="12" t="n"/>
      <c r="S489" s="12" t="n"/>
      <c r="T489" s="13" t="n"/>
      <c r="U489" s="12" t="n">
        <v>18</v>
      </c>
      <c r="V489" s="12" t="n"/>
      <c r="W48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89" s="14">
        <f>SI([@SBAN]="";"";BUSCARV([@SBAN];Cronograma_Maestro!$A:$M;6;FALSO))</f>
        <v/>
      </c>
    </row>
    <row r="490">
      <c r="A490" s="11" t="inlineStr">
        <is>
          <t>4806</t>
        </is>
      </c>
      <c r="B490" s="12">
        <f>SI([@SBAN]="";"";BUSCARV([@SBAN];Cronograma_Maestro!$A:$M;2;FALSO))</f>
        <v/>
      </c>
      <c r="C490" s="12">
        <f>SI([@SBAN]="";"";BUSCARV([@SBAN];Cronograma_Maestro!$A:$M;3;FALSO))</f>
        <v/>
      </c>
      <c r="D490" s="12">
        <f>SI([@SBAN]="";"";BUSCARV([@SBAN];Cronograma_Maestro!$A:$M;4;FALSO))</f>
        <v/>
      </c>
      <c r="E490" s="12">
        <f>SI([@SBAN]="";"";BUSCARV([@SBAN];Cronograma_Maestro!$A:$M;5;FALSO))</f>
        <v/>
      </c>
      <c r="F490" s="12" t="inlineStr">
        <is>
          <t>Juan Carlos Narvaez Acosta / Luis Fernando Ibarra Guio</t>
        </is>
      </c>
      <c r="G490" s="12" t="inlineStr">
        <is>
          <t>PMU COLSOF</t>
        </is>
      </c>
      <c r="H490" s="13" t="n">
        <v>46275</v>
      </c>
      <c r="I490" s="13" t="n">
        <v>46275</v>
      </c>
      <c r="J490" s="13" t="n"/>
      <c r="K490" s="13" t="n"/>
      <c r="L490" s="12" t="inlineStr">
        <is>
          <t>Programada</t>
        </is>
      </c>
      <c r="M490" s="13" t="n"/>
      <c r="N490" s="14">
        <f>SI(O([@[Fecha_Programada_Inicio]]="";[@[Fecha_Inicio_Real]]="");"";SI([@[Fecha_Inicio_Real]]&lt;=[@[Fecha_Programada_Inicio]];"SÍ";"NO"))</f>
        <v/>
      </c>
      <c r="O490" s="14">
        <f>SI(O([@[Fecha_Programada_Fin]]="";[@[Fecha_Cierre_Operativo]]="");"";SI([@[Fecha_Cierre_Operativo]]&lt;=SI([@[Fecha_Nueva_Programada]]&lt;&gt;"";[@[Fecha_Nueva_Programada]];[@[Fecha_Programada_Fin]]);"SÍ";"NO"))</f>
        <v/>
      </c>
      <c r="P490" s="14">
        <f>SI(O([@[Cumpli_Ingreso]]="";[@[Cumpli_Salida]]="");"";SI(Y([@[Cumpli_Ingreso]]="SÍ";[@[Cumpli_Salida]]="SÍ");"SÍ";"NO"))</f>
        <v/>
      </c>
      <c r="Q490" s="15">
        <f>SI(O([@[Fecha_Programada_Fin]]="";[@[Fecha_Cierre_Operativo]]="");"";MAX(0;ENTERO([@[Fecha_Cierre_Operativo]])-ENTERO(SI([@[Fecha_Nueva_Programada]]&lt;&gt;"";[@[Fecha_Nueva_Programada]];[@[Fecha_Programada_Fin]])))</f>
        <v/>
      </c>
      <c r="R490" s="12" t="n"/>
      <c r="S490" s="12" t="n"/>
      <c r="T490" s="13" t="n"/>
      <c r="U490" s="12" t="n">
        <v>52</v>
      </c>
      <c r="V490" s="12" t="n"/>
      <c r="W49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90" s="14">
        <f>SI([@SBAN]="";"";BUSCARV([@SBAN];Cronograma_Maestro!$A:$M;6;FALSO))</f>
        <v/>
      </c>
    </row>
    <row r="491">
      <c r="A491" s="11" t="inlineStr">
        <is>
          <t>4808</t>
        </is>
      </c>
      <c r="B491" s="12">
        <f>SI([@SBAN]="";"";BUSCARV([@SBAN];Cronograma_Maestro!$A:$M;2;FALSO))</f>
        <v/>
      </c>
      <c r="C491" s="12">
        <f>SI([@SBAN]="";"";BUSCARV([@SBAN];Cronograma_Maestro!$A:$M;3;FALSO))</f>
        <v/>
      </c>
      <c r="D491" s="12">
        <f>SI([@SBAN]="";"";BUSCARV([@SBAN];Cronograma_Maestro!$A:$M;4;FALSO))</f>
        <v/>
      </c>
      <c r="E491" s="12">
        <f>SI([@SBAN]="";"";BUSCARV([@SBAN];Cronograma_Maestro!$A:$M;5;FALSO))</f>
        <v/>
      </c>
      <c r="F491" s="12" t="inlineStr">
        <is>
          <t>Juan Carlos Narvaez Acosta / Luis Fernando Ibarra Guio</t>
        </is>
      </c>
      <c r="G491" s="12" t="inlineStr">
        <is>
          <t>PMU COLSOF</t>
        </is>
      </c>
      <c r="H491" s="13" t="n">
        <v>46324</v>
      </c>
      <c r="I491" s="13" t="n">
        <v>46324</v>
      </c>
      <c r="J491" s="13" t="n"/>
      <c r="K491" s="13" t="n"/>
      <c r="L491" s="12" t="inlineStr">
        <is>
          <t>Programada</t>
        </is>
      </c>
      <c r="M491" s="13" t="n"/>
      <c r="N491" s="14">
        <f>SI(O([@[Fecha_Programada_Inicio]]="";[@[Fecha_Inicio_Real]]="");"";SI([@[Fecha_Inicio_Real]]&lt;=[@[Fecha_Programada_Inicio]];"SÍ";"NO"))</f>
        <v/>
      </c>
      <c r="O491" s="14">
        <f>SI(O([@[Fecha_Programada_Fin]]="";[@[Fecha_Cierre_Operativo]]="");"";SI([@[Fecha_Cierre_Operativo]]&lt;=SI([@[Fecha_Nueva_Programada]]&lt;&gt;"";[@[Fecha_Nueva_Programada]];[@[Fecha_Programada_Fin]]);"SÍ";"NO"))</f>
        <v/>
      </c>
      <c r="P491" s="14">
        <f>SI(O([@[Cumpli_Ingreso]]="";[@[Cumpli_Salida]]="");"";SI(Y([@[Cumpli_Ingreso]]="SÍ";[@[Cumpli_Salida]]="SÍ");"SÍ";"NO"))</f>
        <v/>
      </c>
      <c r="Q491" s="15">
        <f>SI(O([@[Fecha_Programada_Fin]]="";[@[Fecha_Cierre_Operativo]]="");"";MAX(0;ENTERO([@[Fecha_Cierre_Operativo]])-ENTERO(SI([@[Fecha_Nueva_Programada]]&lt;&gt;"";[@[Fecha_Nueva_Programada]];[@[Fecha_Programada_Fin]])))</f>
        <v/>
      </c>
      <c r="R491" s="12" t="n"/>
      <c r="S491" s="12" t="n"/>
      <c r="T491" s="13" t="n"/>
      <c r="U491" s="12" t="n">
        <v>32</v>
      </c>
      <c r="V491" s="12" t="n"/>
      <c r="W49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91" s="14">
        <f>SI([@SBAN]="";"";BUSCARV([@SBAN];Cronograma_Maestro!$A:$M;6;FALSO))</f>
        <v/>
      </c>
    </row>
    <row r="492">
      <c r="A492" s="11" t="inlineStr">
        <is>
          <t>4810</t>
        </is>
      </c>
      <c r="B492" s="12">
        <f>SI([@SBAN]="";"";BUSCARV([@SBAN];Cronograma_Maestro!$A:$M;2;FALSO))</f>
        <v/>
      </c>
      <c r="C492" s="12">
        <f>SI([@SBAN]="";"";BUSCARV([@SBAN];Cronograma_Maestro!$A:$M;3;FALSO))</f>
        <v/>
      </c>
      <c r="D492" s="12">
        <f>SI([@SBAN]="";"";BUSCARV([@SBAN];Cronograma_Maestro!$A:$M;4;FALSO))</f>
        <v/>
      </c>
      <c r="E492" s="12">
        <f>SI([@SBAN]="";"";BUSCARV([@SBAN];Cronograma_Maestro!$A:$M;5;FALSO))</f>
        <v/>
      </c>
      <c r="F492" s="12" t="inlineStr">
        <is>
          <t>Juan Carlos Narvaez Acosta / Luis Fernando Ibarra Guio</t>
        </is>
      </c>
      <c r="G492" s="12" t="inlineStr">
        <is>
          <t>PMU COLSOF</t>
        </is>
      </c>
      <c r="H492" s="13" t="n">
        <v>46294</v>
      </c>
      <c r="I492" s="13" t="n">
        <v>46294</v>
      </c>
      <c r="J492" s="13" t="n"/>
      <c r="K492" s="13" t="n"/>
      <c r="L492" s="12" t="inlineStr">
        <is>
          <t>Programada</t>
        </is>
      </c>
      <c r="M492" s="13" t="n"/>
      <c r="N492" s="14">
        <f>SI(O([@[Fecha_Programada_Inicio]]="";[@[Fecha_Inicio_Real]]="");"";SI([@[Fecha_Inicio_Real]]&lt;=[@[Fecha_Programada_Inicio]];"SÍ";"NO"))</f>
        <v/>
      </c>
      <c r="O492" s="14">
        <f>SI(O([@[Fecha_Programada_Fin]]="";[@[Fecha_Cierre_Operativo]]="");"";SI([@[Fecha_Cierre_Operativo]]&lt;=SI([@[Fecha_Nueva_Programada]]&lt;&gt;"";[@[Fecha_Nueva_Programada]];[@[Fecha_Programada_Fin]]);"SÍ";"NO"))</f>
        <v/>
      </c>
      <c r="P492" s="14">
        <f>SI(O([@[Cumpli_Ingreso]]="";[@[Cumpli_Salida]]="");"";SI(Y([@[Cumpli_Ingreso]]="SÍ";[@[Cumpli_Salida]]="SÍ");"SÍ";"NO"))</f>
        <v/>
      </c>
      <c r="Q492" s="15">
        <f>SI(O([@[Fecha_Programada_Fin]]="";[@[Fecha_Cierre_Operativo]]="");"";MAX(0;ENTERO([@[Fecha_Cierre_Operativo]])-ENTERO(SI([@[Fecha_Nueva_Programada]]&lt;&gt;"";[@[Fecha_Nueva_Programada]];[@[Fecha_Programada_Fin]])))</f>
        <v/>
      </c>
      <c r="R492" s="12" t="n"/>
      <c r="S492" s="12" t="n"/>
      <c r="T492" s="13" t="n"/>
      <c r="U492" s="12" t="n">
        <v>26</v>
      </c>
      <c r="V492" s="12" t="n"/>
      <c r="W49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92" s="14">
        <f>SI([@SBAN]="";"";BUSCARV([@SBAN];Cronograma_Maestro!$A:$M;6;FALSO))</f>
        <v/>
      </c>
    </row>
    <row r="493">
      <c r="A493" s="11" t="inlineStr">
        <is>
          <t>4811</t>
        </is>
      </c>
      <c r="B493" s="12">
        <f>SI([@SBAN]="";"";BUSCARV([@SBAN];Cronograma_Maestro!$A:$M;2;FALSO))</f>
        <v/>
      </c>
      <c r="C493" s="12">
        <f>SI([@SBAN]="";"";BUSCARV([@SBAN];Cronograma_Maestro!$A:$M;3;FALSO))</f>
        <v/>
      </c>
      <c r="D493" s="12">
        <f>SI([@SBAN]="";"";BUSCARV([@SBAN];Cronograma_Maestro!$A:$M;4;FALSO))</f>
        <v/>
      </c>
      <c r="E493" s="12">
        <f>SI([@SBAN]="";"";BUSCARV([@SBAN];Cronograma_Maestro!$A:$M;5;FALSO))</f>
        <v/>
      </c>
      <c r="F493" s="12" t="inlineStr">
        <is>
          <t>Juan Carlos Narvaez Acosta / Luis Fernando Ibarra Guio</t>
        </is>
      </c>
      <c r="G493" s="12" t="inlineStr">
        <is>
          <t>PMU COLSOF</t>
        </is>
      </c>
      <c r="H493" s="13" t="n">
        <v>46295</v>
      </c>
      <c r="I493" s="13" t="n">
        <v>46295</v>
      </c>
      <c r="J493" s="13" t="n"/>
      <c r="K493" s="13" t="n"/>
      <c r="L493" s="12" t="inlineStr">
        <is>
          <t>Programada</t>
        </is>
      </c>
      <c r="M493" s="13" t="n"/>
      <c r="N493" s="14">
        <f>SI(O([@[Fecha_Programada_Inicio]]="";[@[Fecha_Inicio_Real]]="");"";SI([@[Fecha_Inicio_Real]]&lt;=[@[Fecha_Programada_Inicio]];"SÍ";"NO"))</f>
        <v/>
      </c>
      <c r="O493" s="14">
        <f>SI(O([@[Fecha_Programada_Fin]]="";[@[Fecha_Cierre_Operativo]]="");"";SI([@[Fecha_Cierre_Operativo]]&lt;=SI([@[Fecha_Nueva_Programada]]&lt;&gt;"";[@[Fecha_Nueva_Programada]];[@[Fecha_Programada_Fin]]);"SÍ";"NO"))</f>
        <v/>
      </c>
      <c r="P493" s="14">
        <f>SI(O([@[Cumpli_Ingreso]]="";[@[Cumpli_Salida]]="");"";SI(Y([@[Cumpli_Ingreso]]="SÍ";[@[Cumpli_Salida]]="SÍ");"SÍ";"NO"))</f>
        <v/>
      </c>
      <c r="Q493" s="15">
        <f>SI(O([@[Fecha_Programada_Fin]]="";[@[Fecha_Cierre_Operativo]]="");"";MAX(0;ENTERO([@[Fecha_Cierre_Operativo]])-ENTERO(SI([@[Fecha_Nueva_Programada]]&lt;&gt;"";[@[Fecha_Nueva_Programada]];[@[Fecha_Programada_Fin]])))</f>
        <v/>
      </c>
      <c r="R493" s="12" t="n"/>
      <c r="S493" s="12" t="n"/>
      <c r="T493" s="13" t="n"/>
      <c r="U493" s="12" t="n">
        <v>13</v>
      </c>
      <c r="V493" s="12" t="n"/>
      <c r="W49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93" s="14">
        <f>SI([@SBAN]="";"";BUSCARV([@SBAN];Cronograma_Maestro!$A:$M;6;FALSO))</f>
        <v/>
      </c>
    </row>
    <row r="494">
      <c r="A494" s="11" t="inlineStr">
        <is>
          <t>4812</t>
        </is>
      </c>
      <c r="B494" s="12">
        <f>SI([@SBAN]="";"";BUSCARV([@SBAN];Cronograma_Maestro!$A:$M;2;FALSO))</f>
        <v/>
      </c>
      <c r="C494" s="12">
        <f>SI([@SBAN]="";"";BUSCARV([@SBAN];Cronograma_Maestro!$A:$M;3;FALSO))</f>
        <v/>
      </c>
      <c r="D494" s="12">
        <f>SI([@SBAN]="";"";BUSCARV([@SBAN];Cronograma_Maestro!$A:$M;4;FALSO))</f>
        <v/>
      </c>
      <c r="E494" s="12">
        <f>SI([@SBAN]="";"";BUSCARV([@SBAN];Cronograma_Maestro!$A:$M;5;FALSO))</f>
        <v/>
      </c>
      <c r="F494" s="12" t="inlineStr">
        <is>
          <t>Juan Carlos Narvaez Acosta / Luis Fernando Ibarra Guio</t>
        </is>
      </c>
      <c r="G494" s="12" t="inlineStr">
        <is>
          <t>PMU COLSOF</t>
        </is>
      </c>
      <c r="H494" s="13" t="n">
        <v>46274</v>
      </c>
      <c r="I494" s="13" t="n">
        <v>46274</v>
      </c>
      <c r="J494" s="13" t="n"/>
      <c r="K494" s="13" t="n"/>
      <c r="L494" s="12" t="inlineStr">
        <is>
          <t>Programada</t>
        </is>
      </c>
      <c r="M494" s="13" t="n"/>
      <c r="N494" s="14">
        <f>SI(O([@[Fecha_Programada_Inicio]]="";[@[Fecha_Inicio_Real]]="");"";SI([@[Fecha_Inicio_Real]]&lt;=[@[Fecha_Programada_Inicio]];"SÍ";"NO"))</f>
        <v/>
      </c>
      <c r="O494" s="14">
        <f>SI(O([@[Fecha_Programada_Fin]]="";[@[Fecha_Cierre_Operativo]]="");"";SI([@[Fecha_Cierre_Operativo]]&lt;=SI([@[Fecha_Nueva_Programada]]&lt;&gt;"";[@[Fecha_Nueva_Programada]];[@[Fecha_Programada_Fin]]);"SÍ";"NO"))</f>
        <v/>
      </c>
      <c r="P494" s="14">
        <f>SI(O([@[Cumpli_Ingreso]]="";[@[Cumpli_Salida]]="");"";SI(Y([@[Cumpli_Ingreso]]="SÍ";[@[Cumpli_Salida]]="SÍ");"SÍ";"NO"))</f>
        <v/>
      </c>
      <c r="Q494" s="15">
        <f>SI(O([@[Fecha_Programada_Fin]]="";[@[Fecha_Cierre_Operativo]]="");"";MAX(0;ENTERO([@[Fecha_Cierre_Operativo]])-ENTERO(SI([@[Fecha_Nueva_Programada]]&lt;&gt;"";[@[Fecha_Nueva_Programada]];[@[Fecha_Programada_Fin]])))</f>
        <v/>
      </c>
      <c r="R494" s="12" t="n"/>
      <c r="S494" s="12" t="n"/>
      <c r="T494" s="13" t="n"/>
      <c r="U494" s="12" t="n">
        <v>23</v>
      </c>
      <c r="V494" s="12" t="n"/>
      <c r="W49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94" s="14">
        <f>SI([@SBAN]="";"";BUSCARV([@SBAN];Cronograma_Maestro!$A:$M;6;FALSO))</f>
        <v/>
      </c>
    </row>
    <row r="495">
      <c r="A495" s="11" t="inlineStr">
        <is>
          <t>4814</t>
        </is>
      </c>
      <c r="B495" s="12">
        <f>SI([@SBAN]="";"";BUSCARV([@SBAN];Cronograma_Maestro!$A:$M;2;FALSO))</f>
        <v/>
      </c>
      <c r="C495" s="12">
        <f>SI([@SBAN]="";"";BUSCARV([@SBAN];Cronograma_Maestro!$A:$M;3;FALSO))</f>
        <v/>
      </c>
      <c r="D495" s="12">
        <f>SI([@SBAN]="";"";BUSCARV([@SBAN];Cronograma_Maestro!$A:$M;4;FALSO))</f>
        <v/>
      </c>
      <c r="E495" s="12">
        <f>SI([@SBAN]="";"";BUSCARV([@SBAN];Cronograma_Maestro!$A:$M;5;FALSO))</f>
        <v/>
      </c>
      <c r="F495" s="12" t="inlineStr">
        <is>
          <t>Juan Carlos Narvaez Acosta / Luis Fernando Ibarra Guio</t>
        </is>
      </c>
      <c r="G495" s="12" t="inlineStr">
        <is>
          <t>PMU COLSOF</t>
        </is>
      </c>
      <c r="H495" s="13" t="n">
        <v>46279</v>
      </c>
      <c r="I495" s="13" t="n">
        <v>46279</v>
      </c>
      <c r="J495" s="13" t="n"/>
      <c r="K495" s="13" t="n"/>
      <c r="L495" s="12" t="inlineStr">
        <is>
          <t>Programada</t>
        </is>
      </c>
      <c r="M495" s="13" t="n"/>
      <c r="N495" s="14">
        <f>SI(O([@[Fecha_Programada_Inicio]]="";[@[Fecha_Inicio_Real]]="");"";SI([@[Fecha_Inicio_Real]]&lt;=[@[Fecha_Programada_Inicio]];"SÍ";"NO"))</f>
        <v/>
      </c>
      <c r="O495" s="14">
        <f>SI(O([@[Fecha_Programada_Fin]]="";[@[Fecha_Cierre_Operativo]]="");"";SI([@[Fecha_Cierre_Operativo]]&lt;=SI([@[Fecha_Nueva_Programada]]&lt;&gt;"";[@[Fecha_Nueva_Programada]];[@[Fecha_Programada_Fin]]);"SÍ";"NO"))</f>
        <v/>
      </c>
      <c r="P495" s="14">
        <f>SI(O([@[Cumpli_Ingreso]]="";[@[Cumpli_Salida]]="");"";SI(Y([@[Cumpli_Ingreso]]="SÍ";[@[Cumpli_Salida]]="SÍ");"SÍ";"NO"))</f>
        <v/>
      </c>
      <c r="Q495" s="15">
        <f>SI(O([@[Fecha_Programada_Fin]]="";[@[Fecha_Cierre_Operativo]]="");"";MAX(0;ENTERO([@[Fecha_Cierre_Operativo]])-ENTERO(SI([@[Fecha_Nueva_Programada]]&lt;&gt;"";[@[Fecha_Nueva_Programada]];[@[Fecha_Programada_Fin]])))</f>
        <v/>
      </c>
      <c r="R495" s="12" t="n"/>
      <c r="S495" s="12" t="n"/>
      <c r="T495" s="13" t="n"/>
      <c r="U495" s="12" t="n">
        <v>25</v>
      </c>
      <c r="V495" s="12" t="n"/>
      <c r="W49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95" s="14">
        <f>SI([@SBAN]="";"";BUSCARV([@SBAN];Cronograma_Maestro!$A:$M;6;FALSO))</f>
        <v/>
      </c>
    </row>
    <row r="496">
      <c r="A496" s="11" t="inlineStr">
        <is>
          <t>4816</t>
        </is>
      </c>
      <c r="B496" s="12">
        <f>SI([@SBAN]="";"";BUSCARV([@SBAN];Cronograma_Maestro!$A:$M;2;FALSO))</f>
        <v/>
      </c>
      <c r="C496" s="12">
        <f>SI([@SBAN]="";"";BUSCARV([@SBAN];Cronograma_Maestro!$A:$M;3;FALSO))</f>
        <v/>
      </c>
      <c r="D496" s="12">
        <f>SI([@SBAN]="";"";BUSCARV([@SBAN];Cronograma_Maestro!$A:$M;4;FALSO))</f>
        <v/>
      </c>
      <c r="E496" s="12">
        <f>SI([@SBAN]="";"";BUSCARV([@SBAN];Cronograma_Maestro!$A:$M;5;FALSO))</f>
        <v/>
      </c>
      <c r="F496" s="12" t="inlineStr">
        <is>
          <t>Juan Carlos Narvaez Acosta / Luis Fernando Ibarra Guio</t>
        </is>
      </c>
      <c r="G496" s="12" t="inlineStr">
        <is>
          <t>PMU COLSOF</t>
        </is>
      </c>
      <c r="H496" s="13" t="n">
        <v>46276</v>
      </c>
      <c r="I496" s="13" t="n">
        <v>46276</v>
      </c>
      <c r="J496" s="13" t="n"/>
      <c r="K496" s="13" t="n"/>
      <c r="L496" s="12" t="inlineStr">
        <is>
          <t>Programada</t>
        </is>
      </c>
      <c r="M496" s="13" t="n"/>
      <c r="N496" s="14">
        <f>SI(O([@[Fecha_Programada_Inicio]]="";[@[Fecha_Inicio_Real]]="");"";SI([@[Fecha_Inicio_Real]]&lt;=[@[Fecha_Programada_Inicio]];"SÍ";"NO"))</f>
        <v/>
      </c>
      <c r="O496" s="14">
        <f>SI(O([@[Fecha_Programada_Fin]]="";[@[Fecha_Cierre_Operativo]]="");"";SI([@[Fecha_Cierre_Operativo]]&lt;=SI([@[Fecha_Nueva_Programada]]&lt;&gt;"";[@[Fecha_Nueva_Programada]];[@[Fecha_Programada_Fin]]);"SÍ";"NO"))</f>
        <v/>
      </c>
      <c r="P496" s="14">
        <f>SI(O([@[Cumpli_Ingreso]]="";[@[Cumpli_Salida]]="");"";SI(Y([@[Cumpli_Ingreso]]="SÍ";[@[Cumpli_Salida]]="SÍ");"SÍ";"NO"))</f>
        <v/>
      </c>
      <c r="Q496" s="15">
        <f>SI(O([@[Fecha_Programada_Fin]]="";[@[Fecha_Cierre_Operativo]]="");"";MAX(0;ENTERO([@[Fecha_Cierre_Operativo]])-ENTERO(SI([@[Fecha_Nueva_Programada]]&lt;&gt;"";[@[Fecha_Nueva_Programada]];[@[Fecha_Programada_Fin]])))</f>
        <v/>
      </c>
      <c r="R496" s="12" t="n"/>
      <c r="S496" s="12" t="n"/>
      <c r="T496" s="13" t="n"/>
      <c r="U496" s="12" t="n">
        <v>22</v>
      </c>
      <c r="V496" s="12" t="n"/>
      <c r="W49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96" s="14">
        <f>SI([@SBAN]="";"";BUSCARV([@SBAN];Cronograma_Maestro!$A:$M;6;FALSO))</f>
        <v/>
      </c>
    </row>
    <row r="497">
      <c r="A497" s="11" t="inlineStr">
        <is>
          <t>4818</t>
        </is>
      </c>
      <c r="B497" s="12">
        <f>SI([@SBAN]="";"";BUSCARV([@SBAN];Cronograma_Maestro!$A:$M;2;FALSO))</f>
        <v/>
      </c>
      <c r="C497" s="12">
        <f>SI([@SBAN]="";"";BUSCARV([@SBAN];Cronograma_Maestro!$A:$M;3;FALSO))</f>
        <v/>
      </c>
      <c r="D497" s="12">
        <f>SI([@SBAN]="";"";BUSCARV([@SBAN];Cronograma_Maestro!$A:$M;4;FALSO))</f>
        <v/>
      </c>
      <c r="E497" s="12">
        <f>SI([@SBAN]="";"";BUSCARV([@SBAN];Cronograma_Maestro!$A:$M;5;FALSO))</f>
        <v/>
      </c>
      <c r="F497" s="12" t="inlineStr">
        <is>
          <t>Juan Carlos Narvaez Acosta / Luis Fernando Ibarra Guio</t>
        </is>
      </c>
      <c r="G497" s="12" t="inlineStr">
        <is>
          <t>PMU COLSOF</t>
        </is>
      </c>
      <c r="H497" s="13" t="n">
        <v>46269</v>
      </c>
      <c r="I497" s="13" t="n">
        <v>46269</v>
      </c>
      <c r="J497" s="13" t="n"/>
      <c r="K497" s="13" t="n"/>
      <c r="L497" s="12" t="inlineStr">
        <is>
          <t>Programada</t>
        </is>
      </c>
      <c r="M497" s="13" t="n"/>
      <c r="N497" s="14">
        <f>SI(O([@[Fecha_Programada_Inicio]]="";[@[Fecha_Inicio_Real]]="");"";SI([@[Fecha_Inicio_Real]]&lt;=[@[Fecha_Programada_Inicio]];"SÍ";"NO"))</f>
        <v/>
      </c>
      <c r="O497" s="14">
        <f>SI(O([@[Fecha_Programada_Fin]]="";[@[Fecha_Cierre_Operativo]]="");"";SI([@[Fecha_Cierre_Operativo]]&lt;=SI([@[Fecha_Nueva_Programada]]&lt;&gt;"";[@[Fecha_Nueva_Programada]];[@[Fecha_Programada_Fin]]);"SÍ";"NO"))</f>
        <v/>
      </c>
      <c r="P497" s="14">
        <f>SI(O([@[Cumpli_Ingreso]]="";[@[Cumpli_Salida]]="");"";SI(Y([@[Cumpli_Ingreso]]="SÍ";[@[Cumpli_Salida]]="SÍ");"SÍ";"NO"))</f>
        <v/>
      </c>
      <c r="Q497" s="15">
        <f>SI(O([@[Fecha_Programada_Fin]]="";[@[Fecha_Cierre_Operativo]]="");"";MAX(0;ENTERO([@[Fecha_Cierre_Operativo]])-ENTERO(SI([@[Fecha_Nueva_Programada]]&lt;&gt;"";[@[Fecha_Nueva_Programada]];[@[Fecha_Programada_Fin]])))</f>
        <v/>
      </c>
      <c r="R497" s="12" t="n"/>
      <c r="S497" s="12" t="n"/>
      <c r="T497" s="13" t="n"/>
      <c r="U497" s="12" t="n">
        <v>14</v>
      </c>
      <c r="V497" s="12" t="n"/>
      <c r="W49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97" s="14">
        <f>SI([@SBAN]="";"";BUSCARV([@SBAN];Cronograma_Maestro!$A:$M;6;FALSO))</f>
        <v/>
      </c>
    </row>
    <row r="498">
      <c r="A498" s="11" t="inlineStr">
        <is>
          <t>4820</t>
        </is>
      </c>
      <c r="B498" s="12">
        <f>SI([@SBAN]="";"";BUSCARV([@SBAN];Cronograma_Maestro!$A:$M;2;FALSO))</f>
        <v/>
      </c>
      <c r="C498" s="12">
        <f>SI([@SBAN]="";"";BUSCARV([@SBAN];Cronograma_Maestro!$A:$M;3;FALSO))</f>
        <v/>
      </c>
      <c r="D498" s="12">
        <f>SI([@SBAN]="";"";BUSCARV([@SBAN];Cronograma_Maestro!$A:$M;4;FALSO))</f>
        <v/>
      </c>
      <c r="E498" s="12">
        <f>SI([@SBAN]="";"";BUSCARV([@SBAN];Cronograma_Maestro!$A:$M;5;FALSO))</f>
        <v/>
      </c>
      <c r="F498" s="12" t="inlineStr">
        <is>
          <t>Juan Carlos Narvaez Acosta / Luis Fernando Ibarra Guio</t>
        </is>
      </c>
      <c r="G498" s="12" t="inlineStr">
        <is>
          <t>PMU COLSOF</t>
        </is>
      </c>
      <c r="H498" s="13" t="n">
        <v>46283</v>
      </c>
      <c r="I498" s="13" t="n">
        <v>46283</v>
      </c>
      <c r="J498" s="13" t="n"/>
      <c r="K498" s="13" t="n"/>
      <c r="L498" s="12" t="inlineStr">
        <is>
          <t>Programada</t>
        </is>
      </c>
      <c r="M498" s="13" t="n"/>
      <c r="N498" s="14">
        <f>SI(O([@[Fecha_Programada_Inicio]]="";[@[Fecha_Inicio_Real]]="");"";SI([@[Fecha_Inicio_Real]]&lt;=[@[Fecha_Programada_Inicio]];"SÍ";"NO"))</f>
        <v/>
      </c>
      <c r="O498" s="14">
        <f>SI(O([@[Fecha_Programada_Fin]]="";[@[Fecha_Cierre_Operativo]]="");"";SI([@[Fecha_Cierre_Operativo]]&lt;=SI([@[Fecha_Nueva_Programada]]&lt;&gt;"";[@[Fecha_Nueva_Programada]];[@[Fecha_Programada_Fin]]);"SÍ";"NO"))</f>
        <v/>
      </c>
      <c r="P498" s="14">
        <f>SI(O([@[Cumpli_Ingreso]]="";[@[Cumpli_Salida]]="");"";SI(Y([@[Cumpli_Ingreso]]="SÍ";[@[Cumpli_Salida]]="SÍ");"SÍ";"NO"))</f>
        <v/>
      </c>
      <c r="Q498" s="15">
        <f>SI(O([@[Fecha_Programada_Fin]]="";[@[Fecha_Cierre_Operativo]]="");"";MAX(0;ENTERO([@[Fecha_Cierre_Operativo]])-ENTERO(SI([@[Fecha_Nueva_Programada]]&lt;&gt;"";[@[Fecha_Nueva_Programada]];[@[Fecha_Programada_Fin]])))</f>
        <v/>
      </c>
      <c r="R498" s="12" t="n"/>
      <c r="S498" s="12" t="n"/>
      <c r="T498" s="13" t="n"/>
      <c r="U498" s="12" t="n">
        <v>19</v>
      </c>
      <c r="V498" s="12" t="n"/>
      <c r="W49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98" s="14">
        <f>SI([@SBAN]="";"";BUSCARV([@SBAN];Cronograma_Maestro!$A:$M;6;FALSO))</f>
        <v/>
      </c>
    </row>
    <row r="499">
      <c r="A499" s="11" t="inlineStr">
        <is>
          <t>4822</t>
        </is>
      </c>
      <c r="B499" s="12">
        <f>SI([@SBAN]="";"";BUSCARV([@SBAN];Cronograma_Maestro!$A:$M;2;FALSO))</f>
        <v/>
      </c>
      <c r="C499" s="12">
        <f>SI([@SBAN]="";"";BUSCARV([@SBAN];Cronograma_Maestro!$A:$M;3;FALSO))</f>
        <v/>
      </c>
      <c r="D499" s="12">
        <f>SI([@SBAN]="";"";BUSCARV([@SBAN];Cronograma_Maestro!$A:$M;4;FALSO))</f>
        <v/>
      </c>
      <c r="E499" s="12">
        <f>SI([@SBAN]="";"";BUSCARV([@SBAN];Cronograma_Maestro!$A:$M;5;FALSO))</f>
        <v/>
      </c>
      <c r="F499" s="12" t="inlineStr">
        <is>
          <t>Juan Carlos Narvaez Acosta / Luis Fernando Ibarra Guio</t>
        </is>
      </c>
      <c r="G499" s="12" t="inlineStr">
        <is>
          <t>PMU COLSOF</t>
        </is>
      </c>
      <c r="H499" s="13" t="n">
        <v>46268</v>
      </c>
      <c r="I499" s="13" t="n">
        <v>46268</v>
      </c>
      <c r="J499" s="13" t="n"/>
      <c r="K499" s="13" t="n"/>
      <c r="L499" s="12" t="inlineStr">
        <is>
          <t>Programada</t>
        </is>
      </c>
      <c r="M499" s="13" t="n"/>
      <c r="N499" s="14">
        <f>SI(O([@[Fecha_Programada_Inicio]]="";[@[Fecha_Inicio_Real]]="");"";SI([@[Fecha_Inicio_Real]]&lt;=[@[Fecha_Programada_Inicio]];"SÍ";"NO"))</f>
        <v/>
      </c>
      <c r="O499" s="14">
        <f>SI(O([@[Fecha_Programada_Fin]]="";[@[Fecha_Cierre_Operativo]]="");"";SI([@[Fecha_Cierre_Operativo]]&lt;=SI([@[Fecha_Nueva_Programada]]&lt;&gt;"";[@[Fecha_Nueva_Programada]];[@[Fecha_Programada_Fin]]);"SÍ";"NO"))</f>
        <v/>
      </c>
      <c r="P499" s="14">
        <f>SI(O([@[Cumpli_Ingreso]]="";[@[Cumpli_Salida]]="");"";SI(Y([@[Cumpli_Ingreso]]="SÍ";[@[Cumpli_Salida]]="SÍ");"SÍ";"NO"))</f>
        <v/>
      </c>
      <c r="Q499" s="15">
        <f>SI(O([@[Fecha_Programada_Fin]]="";[@[Fecha_Cierre_Operativo]]="");"";MAX(0;ENTERO([@[Fecha_Cierre_Operativo]])-ENTERO(SI([@[Fecha_Nueva_Programada]]&lt;&gt;"";[@[Fecha_Nueva_Programada]];[@[Fecha_Programada_Fin]])))</f>
        <v/>
      </c>
      <c r="R499" s="12" t="n"/>
      <c r="S499" s="12" t="n"/>
      <c r="T499" s="13" t="n"/>
      <c r="U499" s="12" t="n">
        <v>15</v>
      </c>
      <c r="V499" s="12" t="n"/>
      <c r="W49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499" s="14">
        <f>SI([@SBAN]="";"";BUSCARV([@SBAN];Cronograma_Maestro!$A:$M;6;FALSO))</f>
        <v/>
      </c>
    </row>
    <row r="500">
      <c r="A500" s="11" t="inlineStr">
        <is>
          <t>4824</t>
        </is>
      </c>
      <c r="B500" s="12">
        <f>SI([@SBAN]="";"";BUSCARV([@SBAN];Cronograma_Maestro!$A:$M;2;FALSO))</f>
        <v/>
      </c>
      <c r="C500" s="12">
        <f>SI([@SBAN]="";"";BUSCARV([@SBAN];Cronograma_Maestro!$A:$M;3;FALSO))</f>
        <v/>
      </c>
      <c r="D500" s="12">
        <f>SI([@SBAN]="";"";BUSCARV([@SBAN];Cronograma_Maestro!$A:$M;4;FALSO))</f>
        <v/>
      </c>
      <c r="E500" s="12">
        <f>SI([@SBAN]="";"";BUSCARV([@SBAN];Cronograma_Maestro!$A:$M;5;FALSO))</f>
        <v/>
      </c>
      <c r="F500" s="12" t="inlineStr">
        <is>
          <t>Juan Carlos Narvaez Acosta / Luis Fernando Ibarra Guio</t>
        </is>
      </c>
      <c r="G500" s="12" t="inlineStr">
        <is>
          <t>PMU COLSOF</t>
        </is>
      </c>
      <c r="H500" s="13" t="n">
        <v>46323</v>
      </c>
      <c r="I500" s="13" t="n">
        <v>46323</v>
      </c>
      <c r="J500" s="13" t="n"/>
      <c r="K500" s="13" t="n"/>
      <c r="L500" s="12" t="inlineStr">
        <is>
          <t>Programada</t>
        </is>
      </c>
      <c r="M500" s="13" t="n"/>
      <c r="N500" s="14">
        <f>SI(O([@[Fecha_Programada_Inicio]]="";[@[Fecha_Inicio_Real]]="");"";SI([@[Fecha_Inicio_Real]]&lt;=[@[Fecha_Programada_Inicio]];"SÍ";"NO"))</f>
        <v/>
      </c>
      <c r="O500" s="14">
        <f>SI(O([@[Fecha_Programada_Fin]]="";[@[Fecha_Cierre_Operativo]]="");"";SI([@[Fecha_Cierre_Operativo]]&lt;=SI([@[Fecha_Nueva_Programada]]&lt;&gt;"";[@[Fecha_Nueva_Programada]];[@[Fecha_Programada_Fin]]);"SÍ";"NO"))</f>
        <v/>
      </c>
      <c r="P500" s="14">
        <f>SI(O([@[Cumpli_Ingreso]]="";[@[Cumpli_Salida]]="");"";SI(Y([@[Cumpli_Ingreso]]="SÍ";[@[Cumpli_Salida]]="SÍ");"SÍ";"NO"))</f>
        <v/>
      </c>
      <c r="Q500" s="15">
        <f>SI(O([@[Fecha_Programada_Fin]]="";[@[Fecha_Cierre_Operativo]]="");"";MAX(0;ENTERO([@[Fecha_Cierre_Operativo]])-ENTERO(SI([@[Fecha_Nueva_Programada]]&lt;&gt;"";[@[Fecha_Nueva_Programada]];[@[Fecha_Programada_Fin]])))</f>
        <v/>
      </c>
      <c r="R500" s="12" t="n"/>
      <c r="S500" s="12" t="n"/>
      <c r="T500" s="13" t="n"/>
      <c r="U500" s="12" t="n">
        <v>12</v>
      </c>
      <c r="V500" s="12" t="n"/>
      <c r="W50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00" s="14">
        <f>SI([@SBAN]="";"";BUSCARV([@SBAN];Cronograma_Maestro!$A:$M;6;FALSO))</f>
        <v/>
      </c>
    </row>
    <row r="501">
      <c r="A501" s="11" t="inlineStr">
        <is>
          <t>4826</t>
        </is>
      </c>
      <c r="B501" s="12">
        <f>SI([@SBAN]="";"";BUSCARV([@SBAN];Cronograma_Maestro!$A:$M;2;FALSO))</f>
        <v/>
      </c>
      <c r="C501" s="12">
        <f>SI([@SBAN]="";"";BUSCARV([@SBAN];Cronograma_Maestro!$A:$M;3;FALSO))</f>
        <v/>
      </c>
      <c r="D501" s="12">
        <f>SI([@SBAN]="";"";BUSCARV([@SBAN];Cronograma_Maestro!$A:$M;4;FALSO))</f>
        <v/>
      </c>
      <c r="E501" s="12">
        <f>SI([@SBAN]="";"";BUSCARV([@SBAN];Cronograma_Maestro!$A:$M;5;FALSO))</f>
        <v/>
      </c>
      <c r="F501" s="12" t="inlineStr">
        <is>
          <t>Por asignar</t>
        </is>
      </c>
      <c r="G501" s="12" t="inlineStr">
        <is>
          <t>PMU COLSOF</t>
        </is>
      </c>
      <c r="H501" s="13" t="n">
        <v>46343</v>
      </c>
      <c r="I501" s="13" t="n">
        <v>46346</v>
      </c>
      <c r="J501" s="13" t="n"/>
      <c r="K501" s="13" t="n"/>
      <c r="L501" s="12" t="inlineStr">
        <is>
          <t>Programada</t>
        </is>
      </c>
      <c r="M501" s="13" t="n"/>
      <c r="N501" s="14">
        <f>SI(O([@[Fecha_Programada_Inicio]]="";[@[Fecha_Inicio_Real]]="");"";SI([@[Fecha_Inicio_Real]]&lt;=[@[Fecha_Programada_Inicio]];"SÍ";"NO"))</f>
        <v/>
      </c>
      <c r="O501" s="14">
        <f>SI(O([@[Fecha_Programada_Fin]]="";[@[Fecha_Cierre_Operativo]]="");"";SI([@[Fecha_Cierre_Operativo]]&lt;=SI([@[Fecha_Nueva_Programada]]&lt;&gt;"";[@[Fecha_Nueva_Programada]];[@[Fecha_Programada_Fin]]);"SÍ";"NO"))</f>
        <v/>
      </c>
      <c r="P501" s="14">
        <f>SI(O([@[Cumpli_Ingreso]]="";[@[Cumpli_Salida]]="");"";SI(Y([@[Cumpli_Ingreso]]="SÍ";[@[Cumpli_Salida]]="SÍ");"SÍ";"NO"))</f>
        <v/>
      </c>
      <c r="Q501" s="15">
        <f>SI(O([@[Fecha_Programada_Fin]]="";[@[Fecha_Cierre_Operativo]]="");"";MAX(0;ENTERO([@[Fecha_Cierre_Operativo]])-ENTERO(SI([@[Fecha_Nueva_Programada]]&lt;&gt;"";[@[Fecha_Nueva_Programada]];[@[Fecha_Programada_Fin]])))</f>
        <v/>
      </c>
      <c r="R501" s="12" t="n"/>
      <c r="S501" s="12" t="n"/>
      <c r="T501" s="13" t="n"/>
      <c r="U501" s="12" t="n">
        <v>22</v>
      </c>
      <c r="V501" s="12" t="n"/>
      <c r="W50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01" s="14">
        <f>SI([@SBAN]="";"";BUSCARV([@SBAN];Cronograma_Maestro!$A:$M;6;FALSO))</f>
        <v/>
      </c>
    </row>
    <row r="502">
      <c r="A502" s="11" t="inlineStr">
        <is>
          <t>4828</t>
        </is>
      </c>
      <c r="B502" s="12">
        <f>SI([@SBAN]="";"";BUSCARV([@SBAN];Cronograma_Maestro!$A:$M;2;FALSO))</f>
        <v/>
      </c>
      <c r="C502" s="12">
        <f>SI([@SBAN]="";"";BUSCARV([@SBAN];Cronograma_Maestro!$A:$M;3;FALSO))</f>
        <v/>
      </c>
      <c r="D502" s="12">
        <f>SI([@SBAN]="";"";BUSCARV([@SBAN];Cronograma_Maestro!$A:$M;4;FALSO))</f>
        <v/>
      </c>
      <c r="E502" s="12">
        <f>SI([@SBAN]="";"";BUSCARV([@SBAN];Cronograma_Maestro!$A:$M;5;FALSO))</f>
        <v/>
      </c>
      <c r="F502" s="12" t="inlineStr">
        <is>
          <t>Juan Carlos Narvaez Acosta / Luis Fernando Ibarra Guio</t>
        </is>
      </c>
      <c r="G502" s="12" t="inlineStr">
        <is>
          <t>PMU COLSOF</t>
        </is>
      </c>
      <c r="H502" s="13" t="n">
        <v>46317</v>
      </c>
      <c r="I502" s="13" t="n">
        <v>46317</v>
      </c>
      <c r="J502" s="13" t="n"/>
      <c r="K502" s="13" t="n"/>
      <c r="L502" s="12" t="inlineStr">
        <is>
          <t>Programada</t>
        </is>
      </c>
      <c r="M502" s="13" t="n"/>
      <c r="N502" s="14">
        <f>SI(O([@[Fecha_Programada_Inicio]]="";[@[Fecha_Inicio_Real]]="");"";SI([@[Fecha_Inicio_Real]]&lt;=[@[Fecha_Programada_Inicio]];"SÍ";"NO"))</f>
        <v/>
      </c>
      <c r="O502" s="14">
        <f>SI(O([@[Fecha_Programada_Fin]]="";[@[Fecha_Cierre_Operativo]]="");"";SI([@[Fecha_Cierre_Operativo]]&lt;=SI([@[Fecha_Nueva_Programada]]&lt;&gt;"";[@[Fecha_Nueva_Programada]];[@[Fecha_Programada_Fin]]);"SÍ";"NO"))</f>
        <v/>
      </c>
      <c r="P502" s="14">
        <f>SI(O([@[Cumpli_Ingreso]]="";[@[Cumpli_Salida]]="");"";SI(Y([@[Cumpli_Ingreso]]="SÍ";[@[Cumpli_Salida]]="SÍ");"SÍ";"NO"))</f>
        <v/>
      </c>
      <c r="Q502" s="15">
        <f>SI(O([@[Fecha_Programada_Fin]]="";[@[Fecha_Cierre_Operativo]]="");"";MAX(0;ENTERO([@[Fecha_Cierre_Operativo]])-ENTERO(SI([@[Fecha_Nueva_Programada]]&lt;&gt;"";[@[Fecha_Nueva_Programada]];[@[Fecha_Programada_Fin]])))</f>
        <v/>
      </c>
      <c r="R502" s="12" t="n"/>
      <c r="S502" s="12" t="n"/>
      <c r="T502" s="13" t="n"/>
      <c r="U502" s="12" t="n">
        <v>12</v>
      </c>
      <c r="V502" s="12" t="n"/>
      <c r="W50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02" s="14">
        <f>SI([@SBAN]="";"";BUSCARV([@SBAN];Cronograma_Maestro!$A:$M;6;FALSO))</f>
        <v/>
      </c>
    </row>
    <row r="503">
      <c r="A503" s="11" t="inlineStr">
        <is>
          <t>4830</t>
        </is>
      </c>
      <c r="B503" s="12">
        <f>SI([@SBAN]="";"";BUSCARV([@SBAN];Cronograma_Maestro!$A:$M;2;FALSO))</f>
        <v/>
      </c>
      <c r="C503" s="12">
        <f>SI([@SBAN]="";"";BUSCARV([@SBAN];Cronograma_Maestro!$A:$M;3;FALSO))</f>
        <v/>
      </c>
      <c r="D503" s="12">
        <f>SI([@SBAN]="";"";BUSCARV([@SBAN];Cronograma_Maestro!$A:$M;4;FALSO))</f>
        <v/>
      </c>
      <c r="E503" s="12">
        <f>SI([@SBAN]="";"";BUSCARV([@SBAN];Cronograma_Maestro!$A:$M;5;FALSO))</f>
        <v/>
      </c>
      <c r="F503" s="12" t="inlineStr">
        <is>
          <t>Juan Carlos Narvaez Acosta / Luis Fernando Ibarra Guio</t>
        </is>
      </c>
      <c r="G503" s="12" t="inlineStr">
        <is>
          <t>PMU COLSOF</t>
        </is>
      </c>
      <c r="H503" s="13" t="n">
        <v>46289</v>
      </c>
      <c r="I503" s="13" t="n">
        <v>46289</v>
      </c>
      <c r="J503" s="13" t="n"/>
      <c r="K503" s="13" t="n"/>
      <c r="L503" s="12" t="inlineStr">
        <is>
          <t>Programada</t>
        </is>
      </c>
      <c r="M503" s="13" t="n"/>
      <c r="N503" s="14">
        <f>SI(O([@[Fecha_Programada_Inicio]]="";[@[Fecha_Inicio_Real]]="");"";SI([@[Fecha_Inicio_Real]]&lt;=[@[Fecha_Programada_Inicio]];"SÍ";"NO"))</f>
        <v/>
      </c>
      <c r="O503" s="14">
        <f>SI(O([@[Fecha_Programada_Fin]]="";[@[Fecha_Cierre_Operativo]]="");"";SI([@[Fecha_Cierre_Operativo]]&lt;=SI([@[Fecha_Nueva_Programada]]&lt;&gt;"";[@[Fecha_Nueva_Programada]];[@[Fecha_Programada_Fin]]);"SÍ";"NO"))</f>
        <v/>
      </c>
      <c r="P503" s="14">
        <f>SI(O([@[Cumpli_Ingreso]]="";[@[Cumpli_Salida]]="");"";SI(Y([@[Cumpli_Ingreso]]="SÍ";[@[Cumpli_Salida]]="SÍ");"SÍ";"NO"))</f>
        <v/>
      </c>
      <c r="Q503" s="15">
        <f>SI(O([@[Fecha_Programada_Fin]]="";[@[Fecha_Cierre_Operativo]]="");"";MAX(0;ENTERO([@[Fecha_Cierre_Operativo]])-ENTERO(SI([@[Fecha_Nueva_Programada]]&lt;&gt;"";[@[Fecha_Nueva_Programada]];[@[Fecha_Programada_Fin]])))</f>
        <v/>
      </c>
      <c r="R503" s="12" t="n"/>
      <c r="S503" s="12" t="n"/>
      <c r="T503" s="13" t="n"/>
      <c r="U503" s="12" t="n">
        <v>19</v>
      </c>
      <c r="V503" s="12" t="n"/>
      <c r="W50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03" s="14">
        <f>SI([@SBAN]="";"";BUSCARV([@SBAN];Cronograma_Maestro!$A:$M;6;FALSO))</f>
        <v/>
      </c>
    </row>
    <row r="504">
      <c r="A504" s="11" t="inlineStr">
        <is>
          <t>4832</t>
        </is>
      </c>
      <c r="B504" s="12">
        <f>SI([@SBAN]="";"";BUSCARV([@SBAN];Cronograma_Maestro!$A:$M;2;FALSO))</f>
        <v/>
      </c>
      <c r="C504" s="12">
        <f>SI([@SBAN]="";"";BUSCARV([@SBAN];Cronograma_Maestro!$A:$M;3;FALSO))</f>
        <v/>
      </c>
      <c r="D504" s="12">
        <f>SI([@SBAN]="";"";BUSCARV([@SBAN];Cronograma_Maestro!$A:$M;4;FALSO))</f>
        <v/>
      </c>
      <c r="E504" s="12">
        <f>SI([@SBAN]="";"";BUSCARV([@SBAN];Cronograma_Maestro!$A:$M;5;FALSO))</f>
        <v/>
      </c>
      <c r="F504" s="12" t="inlineStr">
        <is>
          <t>Juan Carlos Narvaez Acosta / Luis Fernando Ibarra Guio</t>
        </is>
      </c>
      <c r="G504" s="12" t="inlineStr">
        <is>
          <t>PMU COLSOF</t>
        </is>
      </c>
      <c r="H504" s="13" t="n">
        <v>46272</v>
      </c>
      <c r="I504" s="13" t="n">
        <v>46272</v>
      </c>
      <c r="J504" s="13" t="n"/>
      <c r="K504" s="13" t="n"/>
      <c r="L504" s="12" t="inlineStr">
        <is>
          <t>Programada</t>
        </is>
      </c>
      <c r="M504" s="13" t="n"/>
      <c r="N504" s="14">
        <f>SI(O([@[Fecha_Programada_Inicio]]="";[@[Fecha_Inicio_Real]]="");"";SI([@[Fecha_Inicio_Real]]&lt;=[@[Fecha_Programada_Inicio]];"SÍ";"NO"))</f>
        <v/>
      </c>
      <c r="O504" s="14">
        <f>SI(O([@[Fecha_Programada_Fin]]="";[@[Fecha_Cierre_Operativo]]="");"";SI([@[Fecha_Cierre_Operativo]]&lt;=SI([@[Fecha_Nueva_Programada]]&lt;&gt;"";[@[Fecha_Nueva_Programada]];[@[Fecha_Programada_Fin]]);"SÍ";"NO"))</f>
        <v/>
      </c>
      <c r="P504" s="14">
        <f>SI(O([@[Cumpli_Ingreso]]="";[@[Cumpli_Salida]]="");"";SI(Y([@[Cumpli_Ingreso]]="SÍ";[@[Cumpli_Salida]]="SÍ");"SÍ";"NO"))</f>
        <v/>
      </c>
      <c r="Q504" s="15">
        <f>SI(O([@[Fecha_Programada_Fin]]="";[@[Fecha_Cierre_Operativo]]="");"";MAX(0;ENTERO([@[Fecha_Cierre_Operativo]])-ENTERO(SI([@[Fecha_Nueva_Programada]]&lt;&gt;"";[@[Fecha_Nueva_Programada]];[@[Fecha_Programada_Fin]])))</f>
        <v/>
      </c>
      <c r="R504" s="12" t="n"/>
      <c r="S504" s="12" t="n"/>
      <c r="T504" s="13" t="n"/>
      <c r="U504" s="12" t="n">
        <v>12</v>
      </c>
      <c r="V504" s="12" t="n"/>
      <c r="W50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04" s="14">
        <f>SI([@SBAN]="";"";BUSCARV([@SBAN];Cronograma_Maestro!$A:$M;6;FALSO))</f>
        <v/>
      </c>
    </row>
    <row r="505">
      <c r="A505" s="11" t="inlineStr">
        <is>
          <t>4834</t>
        </is>
      </c>
      <c r="B505" s="12">
        <f>SI([@SBAN]="";"";BUSCARV([@SBAN];Cronograma_Maestro!$A:$M;2;FALSO))</f>
        <v/>
      </c>
      <c r="C505" s="12">
        <f>SI([@SBAN]="";"";BUSCARV([@SBAN];Cronograma_Maestro!$A:$M;3;FALSO))</f>
        <v/>
      </c>
      <c r="D505" s="12">
        <f>SI([@SBAN]="";"";BUSCARV([@SBAN];Cronograma_Maestro!$A:$M;4;FALSO))</f>
        <v/>
      </c>
      <c r="E505" s="12">
        <f>SI([@SBAN]="";"";BUSCARV([@SBAN];Cronograma_Maestro!$A:$M;5;FALSO))</f>
        <v/>
      </c>
      <c r="F505" s="12" t="inlineStr">
        <is>
          <t>Juan Carlos Narvaez Acosta / Luis Fernando Ibarra Guio</t>
        </is>
      </c>
      <c r="G505" s="12" t="inlineStr">
        <is>
          <t>PMU COLSOF</t>
        </is>
      </c>
      <c r="H505" s="13" t="n">
        <v>46304</v>
      </c>
      <c r="I505" s="13" t="n">
        <v>46304</v>
      </c>
      <c r="J505" s="13" t="n"/>
      <c r="K505" s="13" t="n"/>
      <c r="L505" s="12" t="inlineStr">
        <is>
          <t>Programada</t>
        </is>
      </c>
      <c r="M505" s="13" t="n"/>
      <c r="N505" s="14">
        <f>SI(O([@[Fecha_Programada_Inicio]]="";[@[Fecha_Inicio_Real]]="");"";SI([@[Fecha_Inicio_Real]]&lt;=[@[Fecha_Programada_Inicio]];"SÍ";"NO"))</f>
        <v/>
      </c>
      <c r="O505" s="14">
        <f>SI(O([@[Fecha_Programada_Fin]]="";[@[Fecha_Cierre_Operativo]]="");"";SI([@[Fecha_Cierre_Operativo]]&lt;=SI([@[Fecha_Nueva_Programada]]&lt;&gt;"";[@[Fecha_Nueva_Programada]];[@[Fecha_Programada_Fin]]);"SÍ";"NO"))</f>
        <v/>
      </c>
      <c r="P505" s="14">
        <f>SI(O([@[Cumpli_Ingreso]]="";[@[Cumpli_Salida]]="");"";SI(Y([@[Cumpli_Ingreso]]="SÍ";[@[Cumpli_Salida]]="SÍ");"SÍ";"NO"))</f>
        <v/>
      </c>
      <c r="Q505" s="15">
        <f>SI(O([@[Fecha_Programada_Fin]]="";[@[Fecha_Cierre_Operativo]]="");"";MAX(0;ENTERO([@[Fecha_Cierre_Operativo]])-ENTERO(SI([@[Fecha_Nueva_Programada]]&lt;&gt;"";[@[Fecha_Nueva_Programada]];[@[Fecha_Programada_Fin]])))</f>
        <v/>
      </c>
      <c r="R505" s="12" t="n"/>
      <c r="S505" s="12" t="n"/>
      <c r="T505" s="13" t="n"/>
      <c r="U505" s="12" t="n">
        <v>12</v>
      </c>
      <c r="V505" s="12" t="n"/>
      <c r="W50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05" s="14">
        <f>SI([@SBAN]="";"";BUSCARV([@SBAN];Cronograma_Maestro!$A:$M;6;FALSO))</f>
        <v/>
      </c>
    </row>
    <row r="506">
      <c r="A506" s="11" t="inlineStr">
        <is>
          <t>4836</t>
        </is>
      </c>
      <c r="B506" s="12">
        <f>SI([@SBAN]="";"";BUSCARV([@SBAN];Cronograma_Maestro!$A:$M;2;FALSO))</f>
        <v/>
      </c>
      <c r="C506" s="12">
        <f>SI([@SBAN]="";"";BUSCARV([@SBAN];Cronograma_Maestro!$A:$M;3;FALSO))</f>
        <v/>
      </c>
      <c r="D506" s="12">
        <f>SI([@SBAN]="";"";BUSCARV([@SBAN];Cronograma_Maestro!$A:$M;4;FALSO))</f>
        <v/>
      </c>
      <c r="E506" s="12">
        <f>SI([@SBAN]="";"";BUSCARV([@SBAN];Cronograma_Maestro!$A:$M;5;FALSO))</f>
        <v/>
      </c>
      <c r="F506" s="12" t="inlineStr">
        <is>
          <t>Juan Carlos Narvaez Acosta / Luis Fernando Ibarra Guio</t>
        </is>
      </c>
      <c r="G506" s="12" t="inlineStr">
        <is>
          <t>PMU COLSOF</t>
        </is>
      </c>
      <c r="H506" s="13" t="n">
        <v>46281</v>
      </c>
      <c r="I506" s="13" t="n">
        <v>46281</v>
      </c>
      <c r="J506" s="13" t="n"/>
      <c r="K506" s="13" t="n"/>
      <c r="L506" s="12" t="inlineStr">
        <is>
          <t>Programada</t>
        </is>
      </c>
      <c r="M506" s="13" t="n"/>
      <c r="N506" s="14">
        <f>SI(O([@[Fecha_Programada_Inicio]]="";[@[Fecha_Inicio_Real]]="");"";SI([@[Fecha_Inicio_Real]]&lt;=[@[Fecha_Programada_Inicio]];"SÍ";"NO"))</f>
        <v/>
      </c>
      <c r="O506" s="14">
        <f>SI(O([@[Fecha_Programada_Fin]]="";[@[Fecha_Cierre_Operativo]]="");"";SI([@[Fecha_Cierre_Operativo]]&lt;=SI([@[Fecha_Nueva_Programada]]&lt;&gt;"";[@[Fecha_Nueva_Programada]];[@[Fecha_Programada_Fin]]);"SÍ";"NO"))</f>
        <v/>
      </c>
      <c r="P506" s="14">
        <f>SI(O([@[Cumpli_Ingreso]]="";[@[Cumpli_Salida]]="");"";SI(Y([@[Cumpli_Ingreso]]="SÍ";[@[Cumpli_Salida]]="SÍ");"SÍ";"NO"))</f>
        <v/>
      </c>
      <c r="Q506" s="15">
        <f>SI(O([@[Fecha_Programada_Fin]]="";[@[Fecha_Cierre_Operativo]]="");"";MAX(0;ENTERO([@[Fecha_Cierre_Operativo]])-ENTERO(SI([@[Fecha_Nueva_Programada]]&lt;&gt;"";[@[Fecha_Nueva_Programada]];[@[Fecha_Programada_Fin]])))</f>
        <v/>
      </c>
      <c r="R506" s="12" t="n"/>
      <c r="S506" s="12" t="n"/>
      <c r="T506" s="13" t="n"/>
      <c r="U506" s="12" t="n">
        <v>16</v>
      </c>
      <c r="V506" s="12" t="n"/>
      <c r="W50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06" s="14">
        <f>SI([@SBAN]="";"";BUSCARV([@SBAN];Cronograma_Maestro!$A:$M;6;FALSO))</f>
        <v/>
      </c>
    </row>
    <row r="507">
      <c r="A507" s="11" t="inlineStr">
        <is>
          <t>4838</t>
        </is>
      </c>
      <c r="B507" s="12">
        <f>SI([@SBAN]="";"";BUSCARV([@SBAN];Cronograma_Maestro!$A:$M;2;FALSO))</f>
        <v/>
      </c>
      <c r="C507" s="12">
        <f>SI([@SBAN]="";"";BUSCARV([@SBAN];Cronograma_Maestro!$A:$M;3;FALSO))</f>
        <v/>
      </c>
      <c r="D507" s="12">
        <f>SI([@SBAN]="";"";BUSCARV([@SBAN];Cronograma_Maestro!$A:$M;4;FALSO))</f>
        <v/>
      </c>
      <c r="E507" s="12">
        <f>SI([@SBAN]="";"";BUSCARV([@SBAN];Cronograma_Maestro!$A:$M;5;FALSO))</f>
        <v/>
      </c>
      <c r="F507" s="12" t="inlineStr">
        <is>
          <t>Juan Carlos Narvaez Acosta / Luis Fernando Ibarra Guio</t>
        </is>
      </c>
      <c r="G507" s="12" t="inlineStr">
        <is>
          <t>PMU COLSOF</t>
        </is>
      </c>
      <c r="H507" s="13" t="n">
        <v>46273</v>
      </c>
      <c r="I507" s="13" t="n">
        <v>46273</v>
      </c>
      <c r="J507" s="13" t="n"/>
      <c r="K507" s="13" t="n"/>
      <c r="L507" s="12" t="inlineStr">
        <is>
          <t>Programada</t>
        </is>
      </c>
      <c r="M507" s="13" t="n"/>
      <c r="N507" s="14">
        <f>SI(O([@[Fecha_Programada_Inicio]]="";[@[Fecha_Inicio_Real]]="");"";SI([@[Fecha_Inicio_Real]]&lt;=[@[Fecha_Programada_Inicio]];"SÍ";"NO"))</f>
        <v/>
      </c>
      <c r="O507" s="14">
        <f>SI(O([@[Fecha_Programada_Fin]]="";[@[Fecha_Cierre_Operativo]]="");"";SI([@[Fecha_Cierre_Operativo]]&lt;=SI([@[Fecha_Nueva_Programada]]&lt;&gt;"";[@[Fecha_Nueva_Programada]];[@[Fecha_Programada_Fin]]);"SÍ";"NO"))</f>
        <v/>
      </c>
      <c r="P507" s="14">
        <f>SI(O([@[Cumpli_Ingreso]]="";[@[Cumpli_Salida]]="");"";SI(Y([@[Cumpli_Ingreso]]="SÍ";[@[Cumpli_Salida]]="SÍ");"SÍ";"NO"))</f>
        <v/>
      </c>
      <c r="Q507" s="15">
        <f>SI(O([@[Fecha_Programada_Fin]]="";[@[Fecha_Cierre_Operativo]]="");"";MAX(0;ENTERO([@[Fecha_Cierre_Operativo]])-ENTERO(SI([@[Fecha_Nueva_Programada]]&lt;&gt;"";[@[Fecha_Nueva_Programada]];[@[Fecha_Programada_Fin]])))</f>
        <v/>
      </c>
      <c r="R507" s="12" t="n"/>
      <c r="S507" s="12" t="n"/>
      <c r="T507" s="13" t="n"/>
      <c r="U507" s="12" t="n">
        <v>12</v>
      </c>
      <c r="V507" s="12" t="n"/>
      <c r="W50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07" s="14">
        <f>SI([@SBAN]="";"";BUSCARV([@SBAN];Cronograma_Maestro!$A:$M;6;FALSO))</f>
        <v/>
      </c>
    </row>
    <row r="508">
      <c r="A508" s="11" t="inlineStr">
        <is>
          <t>4840</t>
        </is>
      </c>
      <c r="B508" s="12">
        <f>SI([@SBAN]="";"";BUSCARV([@SBAN];Cronograma_Maestro!$A:$M;2;FALSO))</f>
        <v/>
      </c>
      <c r="C508" s="12">
        <f>SI([@SBAN]="";"";BUSCARV([@SBAN];Cronograma_Maestro!$A:$M;3;FALSO))</f>
        <v/>
      </c>
      <c r="D508" s="12">
        <f>SI([@SBAN]="";"";BUSCARV([@SBAN];Cronograma_Maestro!$A:$M;4;FALSO))</f>
        <v/>
      </c>
      <c r="E508" s="12">
        <f>SI([@SBAN]="";"";BUSCARV([@SBAN];Cronograma_Maestro!$A:$M;5;FALSO))</f>
        <v/>
      </c>
      <c r="F508" s="12" t="inlineStr">
        <is>
          <t>Juan Carlos Narvaez Acosta / Luis Fernando Ibarra Guio</t>
        </is>
      </c>
      <c r="G508" s="12" t="inlineStr">
        <is>
          <t>PMU COLSOF</t>
        </is>
      </c>
      <c r="H508" s="13" t="n">
        <v>46310</v>
      </c>
      <c r="I508" s="13" t="n">
        <v>46310</v>
      </c>
      <c r="J508" s="13" t="n"/>
      <c r="K508" s="13" t="n"/>
      <c r="L508" s="12" t="inlineStr">
        <is>
          <t>Programada</t>
        </is>
      </c>
      <c r="M508" s="13" t="n"/>
      <c r="N508" s="14">
        <f>SI(O([@[Fecha_Programada_Inicio]]="";[@[Fecha_Inicio_Real]]="");"";SI([@[Fecha_Inicio_Real]]&lt;=[@[Fecha_Programada_Inicio]];"SÍ";"NO"))</f>
        <v/>
      </c>
      <c r="O508" s="14">
        <f>SI(O([@[Fecha_Programada_Fin]]="";[@[Fecha_Cierre_Operativo]]="");"";SI([@[Fecha_Cierre_Operativo]]&lt;=SI([@[Fecha_Nueva_Programada]]&lt;&gt;"";[@[Fecha_Nueva_Programada]];[@[Fecha_Programada_Fin]]);"SÍ";"NO"))</f>
        <v/>
      </c>
      <c r="P508" s="14">
        <f>SI(O([@[Cumpli_Ingreso]]="";[@[Cumpli_Salida]]="");"";SI(Y([@[Cumpli_Ingreso]]="SÍ";[@[Cumpli_Salida]]="SÍ");"SÍ";"NO"))</f>
        <v/>
      </c>
      <c r="Q508" s="15">
        <f>SI(O([@[Fecha_Programada_Fin]]="";[@[Fecha_Cierre_Operativo]]="");"";MAX(0;ENTERO([@[Fecha_Cierre_Operativo]])-ENTERO(SI([@[Fecha_Nueva_Programada]]&lt;&gt;"";[@[Fecha_Nueva_Programada]];[@[Fecha_Programada_Fin]])))</f>
        <v/>
      </c>
      <c r="R508" s="12" t="n"/>
      <c r="S508" s="12" t="n"/>
      <c r="T508" s="13" t="n"/>
      <c r="U508" s="12" t="n">
        <v>18</v>
      </c>
      <c r="V508" s="12" t="n"/>
      <c r="W50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08" s="14">
        <f>SI([@SBAN]="";"";BUSCARV([@SBAN];Cronograma_Maestro!$A:$M;6;FALSO))</f>
        <v/>
      </c>
    </row>
    <row r="509">
      <c r="A509" s="11" t="inlineStr">
        <is>
          <t>4842</t>
        </is>
      </c>
      <c r="B509" s="12">
        <f>SI([@SBAN]="";"";BUSCARV([@SBAN];Cronograma_Maestro!$A:$M;2;FALSO))</f>
        <v/>
      </c>
      <c r="C509" s="12">
        <f>SI([@SBAN]="";"";BUSCARV([@SBAN];Cronograma_Maestro!$A:$M;3;FALSO))</f>
        <v/>
      </c>
      <c r="D509" s="12">
        <f>SI([@SBAN]="";"";BUSCARV([@SBAN];Cronograma_Maestro!$A:$M;4;FALSO))</f>
        <v/>
      </c>
      <c r="E509" s="12">
        <f>SI([@SBAN]="";"";BUSCARV([@SBAN];Cronograma_Maestro!$A:$M;5;FALSO))</f>
        <v/>
      </c>
      <c r="F509" s="12" t="inlineStr">
        <is>
          <t>Juan Carlos Narvaez Acosta / Luis Fernando Ibarra Guio</t>
        </is>
      </c>
      <c r="G509" s="12" t="inlineStr">
        <is>
          <t>PMU COLSOF</t>
        </is>
      </c>
      <c r="H509" s="13" t="n">
        <v>46316</v>
      </c>
      <c r="I509" s="13" t="n">
        <v>46316</v>
      </c>
      <c r="J509" s="13" t="n"/>
      <c r="K509" s="13" t="n"/>
      <c r="L509" s="12" t="inlineStr">
        <is>
          <t>Programada</t>
        </is>
      </c>
      <c r="M509" s="13" t="n"/>
      <c r="N509" s="14">
        <f>SI(O([@[Fecha_Programada_Inicio]]="";[@[Fecha_Inicio_Real]]="");"";SI([@[Fecha_Inicio_Real]]&lt;=[@[Fecha_Programada_Inicio]];"SÍ";"NO"))</f>
        <v/>
      </c>
      <c r="O509" s="14">
        <f>SI(O([@[Fecha_Programada_Fin]]="";[@[Fecha_Cierre_Operativo]]="");"";SI([@[Fecha_Cierre_Operativo]]&lt;=SI([@[Fecha_Nueva_Programada]]&lt;&gt;"";[@[Fecha_Nueva_Programada]];[@[Fecha_Programada_Fin]]);"SÍ";"NO"))</f>
        <v/>
      </c>
      <c r="P509" s="14">
        <f>SI(O([@[Cumpli_Ingreso]]="";[@[Cumpli_Salida]]="");"";SI(Y([@[Cumpli_Ingreso]]="SÍ";[@[Cumpli_Salida]]="SÍ");"SÍ";"NO"))</f>
        <v/>
      </c>
      <c r="Q509" s="15">
        <f>SI(O([@[Fecha_Programada_Fin]]="";[@[Fecha_Cierre_Operativo]]="");"";MAX(0;ENTERO([@[Fecha_Cierre_Operativo]])-ENTERO(SI([@[Fecha_Nueva_Programada]]&lt;&gt;"";[@[Fecha_Nueva_Programada]];[@[Fecha_Programada_Fin]])))</f>
        <v/>
      </c>
      <c r="R509" s="12" t="n"/>
      <c r="S509" s="12" t="n"/>
      <c r="T509" s="13" t="n"/>
      <c r="U509" s="12" t="n">
        <v>39</v>
      </c>
      <c r="V509" s="12" t="n"/>
      <c r="W50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09" s="14">
        <f>SI([@SBAN]="";"";BUSCARV([@SBAN];Cronograma_Maestro!$A:$M;6;FALSO))</f>
        <v/>
      </c>
    </row>
    <row r="510">
      <c r="A510" s="11" t="inlineStr">
        <is>
          <t>4844</t>
        </is>
      </c>
      <c r="B510" s="12">
        <f>SI([@SBAN]="";"";BUSCARV([@SBAN];Cronograma_Maestro!$A:$M;2;FALSO))</f>
        <v/>
      </c>
      <c r="C510" s="12">
        <f>SI([@SBAN]="";"";BUSCARV([@SBAN];Cronograma_Maestro!$A:$M;3;FALSO))</f>
        <v/>
      </c>
      <c r="D510" s="12">
        <f>SI([@SBAN]="";"";BUSCARV([@SBAN];Cronograma_Maestro!$A:$M;4;FALSO))</f>
        <v/>
      </c>
      <c r="E510" s="12">
        <f>SI([@SBAN]="";"";BUSCARV([@SBAN];Cronograma_Maestro!$A:$M;5;FALSO))</f>
        <v/>
      </c>
      <c r="F510" s="12" t="inlineStr">
        <is>
          <t>Juan Carlos Narvaez Acosta / Luis Fernando Ibarra Guio</t>
        </is>
      </c>
      <c r="G510" s="12" t="inlineStr">
        <is>
          <t>PMU COLSOF</t>
        </is>
      </c>
      <c r="H510" s="13" t="n">
        <v>46296</v>
      </c>
      <c r="I510" s="13" t="n">
        <v>46296</v>
      </c>
      <c r="J510" s="13" t="n"/>
      <c r="K510" s="13" t="n"/>
      <c r="L510" s="12" t="inlineStr">
        <is>
          <t>Programada</t>
        </is>
      </c>
      <c r="M510" s="13" t="n"/>
      <c r="N510" s="14">
        <f>SI(O([@[Fecha_Programada_Inicio]]="";[@[Fecha_Inicio_Real]]="");"";SI([@[Fecha_Inicio_Real]]&lt;=[@[Fecha_Programada_Inicio]];"SÍ";"NO"))</f>
        <v/>
      </c>
      <c r="O510" s="14">
        <f>SI(O([@[Fecha_Programada_Fin]]="";[@[Fecha_Cierre_Operativo]]="");"";SI([@[Fecha_Cierre_Operativo]]&lt;=SI([@[Fecha_Nueva_Programada]]&lt;&gt;"";[@[Fecha_Nueva_Programada]];[@[Fecha_Programada_Fin]]);"SÍ";"NO"))</f>
        <v/>
      </c>
      <c r="P510" s="14">
        <f>SI(O([@[Cumpli_Ingreso]]="";[@[Cumpli_Salida]]="");"";SI(Y([@[Cumpli_Ingreso]]="SÍ";[@[Cumpli_Salida]]="SÍ");"SÍ";"NO"))</f>
        <v/>
      </c>
      <c r="Q510" s="15">
        <f>SI(O([@[Fecha_Programada_Fin]]="";[@[Fecha_Cierre_Operativo]]="");"";MAX(0;ENTERO([@[Fecha_Cierre_Operativo]])-ENTERO(SI([@[Fecha_Nueva_Programada]]&lt;&gt;"";[@[Fecha_Nueva_Programada]];[@[Fecha_Programada_Fin]])))</f>
        <v/>
      </c>
      <c r="R510" s="12" t="n"/>
      <c r="S510" s="12" t="n"/>
      <c r="T510" s="13" t="n"/>
      <c r="U510" s="12" t="n">
        <v>13</v>
      </c>
      <c r="V510" s="12" t="n"/>
      <c r="W51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10" s="14">
        <f>SI([@SBAN]="";"";BUSCARV([@SBAN];Cronograma_Maestro!$A:$M;6;FALSO))</f>
        <v/>
      </c>
    </row>
    <row r="511">
      <c r="A511" s="11" t="inlineStr">
        <is>
          <t>4845</t>
        </is>
      </c>
      <c r="B511" s="12">
        <f>SI([@SBAN]="";"";BUSCARV([@SBAN];Cronograma_Maestro!$A:$M;2;FALSO))</f>
        <v/>
      </c>
      <c r="C511" s="12">
        <f>SI([@SBAN]="";"";BUSCARV([@SBAN];Cronograma_Maestro!$A:$M;3;FALSO))</f>
        <v/>
      </c>
      <c r="D511" s="12">
        <f>SI([@SBAN]="";"";BUSCARV([@SBAN];Cronograma_Maestro!$A:$M;4;FALSO))</f>
        <v/>
      </c>
      <c r="E511" s="12">
        <f>SI([@SBAN]="";"";BUSCARV([@SBAN];Cronograma_Maestro!$A:$M;5;FALSO))</f>
        <v/>
      </c>
      <c r="F511" s="12" t="inlineStr">
        <is>
          <t>Juan Carlos Narvaez Acosta / Luis Fernando Ibarra Guio</t>
        </is>
      </c>
      <c r="G511" s="12" t="inlineStr">
        <is>
          <t>PMU COLSOF</t>
        </is>
      </c>
      <c r="H511" s="13" t="n">
        <v>46288</v>
      </c>
      <c r="I511" s="13" t="n">
        <v>46288</v>
      </c>
      <c r="J511" s="13" t="n"/>
      <c r="K511" s="13" t="n"/>
      <c r="L511" s="12" t="inlineStr">
        <is>
          <t>Programada</t>
        </is>
      </c>
      <c r="M511" s="13" t="n"/>
      <c r="N511" s="14">
        <f>SI(O([@[Fecha_Programada_Inicio]]="";[@[Fecha_Inicio_Real]]="");"";SI([@[Fecha_Inicio_Real]]&lt;=[@[Fecha_Programada_Inicio]];"SÍ";"NO"))</f>
        <v/>
      </c>
      <c r="O511" s="14">
        <f>SI(O([@[Fecha_Programada_Fin]]="";[@[Fecha_Cierre_Operativo]]="");"";SI([@[Fecha_Cierre_Operativo]]&lt;=SI([@[Fecha_Nueva_Programada]]&lt;&gt;"";[@[Fecha_Nueva_Programada]];[@[Fecha_Programada_Fin]]);"SÍ";"NO"))</f>
        <v/>
      </c>
      <c r="P511" s="14">
        <f>SI(O([@[Cumpli_Ingreso]]="";[@[Cumpli_Salida]]="");"";SI(Y([@[Cumpli_Ingreso]]="SÍ";[@[Cumpli_Salida]]="SÍ");"SÍ";"NO"))</f>
        <v/>
      </c>
      <c r="Q511" s="15">
        <f>SI(O([@[Fecha_Programada_Fin]]="";[@[Fecha_Cierre_Operativo]]="");"";MAX(0;ENTERO([@[Fecha_Cierre_Operativo]])-ENTERO(SI([@[Fecha_Nueva_Programada]]&lt;&gt;"";[@[Fecha_Nueva_Programada]];[@[Fecha_Programada_Fin]])))</f>
        <v/>
      </c>
      <c r="R511" s="12" t="n"/>
      <c r="S511" s="12" t="n"/>
      <c r="T511" s="13" t="n"/>
      <c r="U511" s="12" t="n">
        <v>16</v>
      </c>
      <c r="V511" s="12" t="n"/>
      <c r="W51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11" s="14">
        <f>SI([@SBAN]="";"";BUSCARV([@SBAN];Cronograma_Maestro!$A:$M;6;FALSO))</f>
        <v/>
      </c>
    </row>
    <row r="512">
      <c r="A512" s="11" t="inlineStr">
        <is>
          <t>4860</t>
        </is>
      </c>
      <c r="B512" s="12">
        <f>SI([@SBAN]="";"";BUSCARV([@SBAN];Cronograma_Maestro!$A:$M;2;FALSO))</f>
        <v/>
      </c>
      <c r="C512" s="12">
        <f>SI([@SBAN]="";"";BUSCARV([@SBAN];Cronograma_Maestro!$A:$M;3;FALSO))</f>
        <v/>
      </c>
      <c r="D512" s="12">
        <f>SI([@SBAN]="";"";BUSCARV([@SBAN];Cronograma_Maestro!$A:$M;4;FALSO))</f>
        <v/>
      </c>
      <c r="E512" s="12">
        <f>SI([@SBAN]="";"";BUSCARV([@SBAN];Cronograma_Maestro!$A:$M;5;FALSO))</f>
        <v/>
      </c>
      <c r="F512" s="12" t="inlineStr">
        <is>
          <t>Wilber Bernardo Angulo Quijano</t>
        </is>
      </c>
      <c r="G512" s="12" t="inlineStr">
        <is>
          <t>PMU COLSOF</t>
        </is>
      </c>
      <c r="H512" s="13" t="n">
        <v>46329</v>
      </c>
      <c r="I512" s="13" t="n">
        <v>46329</v>
      </c>
      <c r="J512" s="13" t="n"/>
      <c r="K512" s="13" t="n"/>
      <c r="L512" s="12" t="inlineStr">
        <is>
          <t>Programada</t>
        </is>
      </c>
      <c r="M512" s="13" t="n"/>
      <c r="N512" s="14">
        <f>SI(O([@[Fecha_Programada_Inicio]]="";[@[Fecha_Inicio_Real]]="");"";SI([@[Fecha_Inicio_Real]]&lt;=[@[Fecha_Programada_Inicio]];"SÍ";"NO"))</f>
        <v/>
      </c>
      <c r="O512" s="14">
        <f>SI(O([@[Fecha_Programada_Fin]]="";[@[Fecha_Cierre_Operativo]]="");"";SI([@[Fecha_Cierre_Operativo]]&lt;=SI([@[Fecha_Nueva_Programada]]&lt;&gt;"";[@[Fecha_Nueva_Programada]];[@[Fecha_Programada_Fin]]);"SÍ";"NO"))</f>
        <v/>
      </c>
      <c r="P512" s="14">
        <f>SI(O([@[Cumpli_Ingreso]]="";[@[Cumpli_Salida]]="");"";SI(Y([@[Cumpli_Ingreso]]="SÍ";[@[Cumpli_Salida]]="SÍ");"SÍ";"NO"))</f>
        <v/>
      </c>
      <c r="Q512" s="15">
        <f>SI(O([@[Fecha_Programada_Fin]]="";[@[Fecha_Cierre_Operativo]]="");"";MAX(0;ENTERO([@[Fecha_Cierre_Operativo]])-ENTERO(SI([@[Fecha_Nueva_Programada]]&lt;&gt;"";[@[Fecha_Nueva_Programada]];[@[Fecha_Programada_Fin]])))</f>
        <v/>
      </c>
      <c r="R512" s="12" t="n"/>
      <c r="S512" s="12" t="n"/>
      <c r="T512" s="13" t="n"/>
      <c r="U512" s="12" t="n">
        <v>14</v>
      </c>
      <c r="V512" s="12" t="n"/>
      <c r="W51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12" s="14">
        <f>SI([@SBAN]="";"";BUSCARV([@SBAN];Cronograma_Maestro!$A:$M;6;FALSO))</f>
        <v/>
      </c>
    </row>
    <row r="513">
      <c r="A513" s="11" t="inlineStr">
        <is>
          <t>4862</t>
        </is>
      </c>
      <c r="B513" s="12">
        <f>SI([@SBAN]="";"";BUSCARV([@SBAN];Cronograma_Maestro!$A:$M;2;FALSO))</f>
        <v/>
      </c>
      <c r="C513" s="12">
        <f>SI([@SBAN]="";"";BUSCARV([@SBAN];Cronograma_Maestro!$A:$M;3;FALSO))</f>
        <v/>
      </c>
      <c r="D513" s="12">
        <f>SI([@SBAN]="";"";BUSCARV([@SBAN];Cronograma_Maestro!$A:$M;4;FALSO))</f>
        <v/>
      </c>
      <c r="E513" s="12">
        <f>SI([@SBAN]="";"";BUSCARV([@SBAN];Cronograma_Maestro!$A:$M;5;FALSO))</f>
        <v/>
      </c>
      <c r="F513" s="12" t="inlineStr">
        <is>
          <t>Juan Carlos Narvaez Acosta / Luis Fernando Ibarra Guio</t>
        </is>
      </c>
      <c r="G513" s="12" t="inlineStr">
        <is>
          <t>PMU COLSOF</t>
        </is>
      </c>
      <c r="H513" s="13" t="n">
        <v>46318</v>
      </c>
      <c r="I513" s="13" t="n">
        <v>46318</v>
      </c>
      <c r="J513" s="13" t="n"/>
      <c r="K513" s="13" t="n"/>
      <c r="L513" s="12" t="inlineStr">
        <is>
          <t>Programada</t>
        </is>
      </c>
      <c r="M513" s="13" t="n"/>
      <c r="N513" s="14">
        <f>SI(O([@[Fecha_Programada_Inicio]]="";[@[Fecha_Inicio_Real]]="");"";SI([@[Fecha_Inicio_Real]]&lt;=[@[Fecha_Programada_Inicio]];"SÍ";"NO"))</f>
        <v/>
      </c>
      <c r="O513" s="14">
        <f>SI(O([@[Fecha_Programada_Fin]]="";[@[Fecha_Cierre_Operativo]]="");"";SI([@[Fecha_Cierre_Operativo]]&lt;=SI([@[Fecha_Nueva_Programada]]&lt;&gt;"";[@[Fecha_Nueva_Programada]];[@[Fecha_Programada_Fin]]);"SÍ";"NO"))</f>
        <v/>
      </c>
      <c r="P513" s="14">
        <f>SI(O([@[Cumpli_Ingreso]]="";[@[Cumpli_Salida]]="");"";SI(Y([@[Cumpli_Ingreso]]="SÍ";[@[Cumpli_Salida]]="SÍ");"SÍ";"NO"))</f>
        <v/>
      </c>
      <c r="Q513" s="15">
        <f>SI(O([@[Fecha_Programada_Fin]]="";[@[Fecha_Cierre_Operativo]]="");"";MAX(0;ENTERO([@[Fecha_Cierre_Operativo]])-ENTERO(SI([@[Fecha_Nueva_Programada]]&lt;&gt;"";[@[Fecha_Nueva_Programada]];[@[Fecha_Programada_Fin]])))</f>
        <v/>
      </c>
      <c r="R513" s="12" t="n"/>
      <c r="S513" s="12" t="n"/>
      <c r="T513" s="13" t="n"/>
      <c r="U513" s="12" t="n">
        <v>13</v>
      </c>
      <c r="V513" s="12" t="n"/>
      <c r="W51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13" s="14">
        <f>SI([@SBAN]="";"";BUSCARV([@SBAN];Cronograma_Maestro!$A:$M;6;FALSO))</f>
        <v/>
      </c>
    </row>
    <row r="514">
      <c r="A514" s="11" t="inlineStr">
        <is>
          <t>4864</t>
        </is>
      </c>
      <c r="B514" s="12">
        <f>SI([@SBAN]="";"";BUSCARV([@SBAN];Cronograma_Maestro!$A:$M;2;FALSO))</f>
        <v/>
      </c>
      <c r="C514" s="12">
        <f>SI([@SBAN]="";"";BUSCARV([@SBAN];Cronograma_Maestro!$A:$M;3;FALSO))</f>
        <v/>
      </c>
      <c r="D514" s="12">
        <f>SI([@SBAN]="";"";BUSCARV([@SBAN];Cronograma_Maestro!$A:$M;4;FALSO))</f>
        <v/>
      </c>
      <c r="E514" s="12">
        <f>SI([@SBAN]="";"";BUSCARV([@SBAN];Cronograma_Maestro!$A:$M;5;FALSO))</f>
        <v/>
      </c>
      <c r="F514" s="12" t="inlineStr">
        <is>
          <t>Por asignar</t>
        </is>
      </c>
      <c r="G514" s="12" t="inlineStr">
        <is>
          <t>PMU COLSOF</t>
        </is>
      </c>
      <c r="H514" s="13" t="n">
        <v>46335</v>
      </c>
      <c r="I514" s="13" t="n">
        <v>46339</v>
      </c>
      <c r="J514" s="13" t="n"/>
      <c r="K514" s="13" t="n"/>
      <c r="L514" s="12" t="inlineStr">
        <is>
          <t>Programada</t>
        </is>
      </c>
      <c r="M514" s="13" t="n"/>
      <c r="N514" s="14">
        <f>SI(O([@[Fecha_Programada_Inicio]]="";[@[Fecha_Inicio_Real]]="");"";SI([@[Fecha_Inicio_Real]]&lt;=[@[Fecha_Programada_Inicio]];"SÍ";"NO"))</f>
        <v/>
      </c>
      <c r="O514" s="14">
        <f>SI(O([@[Fecha_Programada_Fin]]="";[@[Fecha_Cierre_Operativo]]="");"";SI([@[Fecha_Cierre_Operativo]]&lt;=SI([@[Fecha_Nueva_Programada]]&lt;&gt;"";[@[Fecha_Nueva_Programada]];[@[Fecha_Programada_Fin]]);"SÍ";"NO"))</f>
        <v/>
      </c>
      <c r="P514" s="14">
        <f>SI(O([@[Cumpli_Ingreso]]="";[@[Cumpli_Salida]]="");"";SI(Y([@[Cumpli_Ingreso]]="SÍ";[@[Cumpli_Salida]]="SÍ");"SÍ";"NO"))</f>
        <v/>
      </c>
      <c r="Q514" s="15">
        <f>SI(O([@[Fecha_Programada_Fin]]="";[@[Fecha_Cierre_Operativo]]="");"";MAX(0;ENTERO([@[Fecha_Cierre_Operativo]])-ENTERO(SI([@[Fecha_Nueva_Programada]]&lt;&gt;"";[@[Fecha_Nueva_Programada]];[@[Fecha_Programada_Fin]])))</f>
        <v/>
      </c>
      <c r="R514" s="12" t="n"/>
      <c r="S514" s="12" t="n"/>
      <c r="T514" s="13" t="n"/>
      <c r="U514" s="12" t="n">
        <v>14</v>
      </c>
      <c r="V514" s="12" t="n"/>
      <c r="W51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14" s="14">
        <f>SI([@SBAN]="";"";BUSCARV([@SBAN];Cronograma_Maestro!$A:$M;6;FALSO))</f>
        <v/>
      </c>
    </row>
    <row r="515">
      <c r="A515" s="11" t="inlineStr">
        <is>
          <t>4866</t>
        </is>
      </c>
      <c r="B515" s="12">
        <f>SI([@SBAN]="";"";BUSCARV([@SBAN];Cronograma_Maestro!$A:$M;2;FALSO))</f>
        <v/>
      </c>
      <c r="C515" s="12">
        <f>SI([@SBAN]="";"";BUSCARV([@SBAN];Cronograma_Maestro!$A:$M;3;FALSO))</f>
        <v/>
      </c>
      <c r="D515" s="12">
        <f>SI([@SBAN]="";"";BUSCARV([@SBAN];Cronograma_Maestro!$A:$M;4;FALSO))</f>
        <v/>
      </c>
      <c r="E515" s="12">
        <f>SI([@SBAN]="";"";BUSCARV([@SBAN];Cronograma_Maestro!$A:$M;5;FALSO))</f>
        <v/>
      </c>
      <c r="F515" s="12" t="inlineStr">
        <is>
          <t>Juan Carlos Narvaez Acosta / Luis Fernando Ibarra Guio</t>
        </is>
      </c>
      <c r="G515" s="12" t="inlineStr">
        <is>
          <t>PMU COLSOF</t>
        </is>
      </c>
      <c r="H515" s="13" t="n">
        <v>46287</v>
      </c>
      <c r="I515" s="13" t="n">
        <v>46287</v>
      </c>
      <c r="J515" s="13" t="n"/>
      <c r="K515" s="13" t="n"/>
      <c r="L515" s="12" t="inlineStr">
        <is>
          <t>Programada</t>
        </is>
      </c>
      <c r="M515" s="13" t="n"/>
      <c r="N515" s="14">
        <f>SI(O([@[Fecha_Programada_Inicio]]="";[@[Fecha_Inicio_Real]]="");"";SI([@[Fecha_Inicio_Real]]&lt;=[@[Fecha_Programada_Inicio]];"SÍ";"NO"))</f>
        <v/>
      </c>
      <c r="O515" s="14">
        <f>SI(O([@[Fecha_Programada_Fin]]="";[@[Fecha_Cierre_Operativo]]="");"";SI([@[Fecha_Cierre_Operativo]]&lt;=SI([@[Fecha_Nueva_Programada]]&lt;&gt;"";[@[Fecha_Nueva_Programada]];[@[Fecha_Programada_Fin]]);"SÍ";"NO"))</f>
        <v/>
      </c>
      <c r="P515" s="14">
        <f>SI(O([@[Cumpli_Ingreso]]="";[@[Cumpli_Salida]]="");"";SI(Y([@[Cumpli_Ingreso]]="SÍ";[@[Cumpli_Salida]]="SÍ");"SÍ";"NO"))</f>
        <v/>
      </c>
      <c r="Q515" s="15">
        <f>SI(O([@[Fecha_Programada_Fin]]="";[@[Fecha_Cierre_Operativo]]="");"";MAX(0;ENTERO([@[Fecha_Cierre_Operativo]])-ENTERO(SI([@[Fecha_Nueva_Programada]]&lt;&gt;"";[@[Fecha_Nueva_Programada]];[@[Fecha_Programada_Fin]])))</f>
        <v/>
      </c>
      <c r="R515" s="12" t="n"/>
      <c r="S515" s="12" t="n"/>
      <c r="T515" s="13" t="n"/>
      <c r="U515" s="12" t="n">
        <v>17</v>
      </c>
      <c r="V515" s="12" t="n"/>
      <c r="W51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15" s="14">
        <f>SI([@SBAN]="";"";BUSCARV([@SBAN];Cronograma_Maestro!$A:$M;6;FALSO))</f>
        <v/>
      </c>
    </row>
    <row r="516">
      <c r="A516" s="11" t="inlineStr">
        <is>
          <t>4868</t>
        </is>
      </c>
      <c r="B516" s="12">
        <f>SI([@SBAN]="";"";BUSCARV([@SBAN];Cronograma_Maestro!$A:$M;2;FALSO))</f>
        <v/>
      </c>
      <c r="C516" s="12">
        <f>SI([@SBAN]="";"";BUSCARV([@SBAN];Cronograma_Maestro!$A:$M;3;FALSO))</f>
        <v/>
      </c>
      <c r="D516" s="12">
        <f>SI([@SBAN]="";"";BUSCARV([@SBAN];Cronograma_Maestro!$A:$M;4;FALSO))</f>
        <v/>
      </c>
      <c r="E516" s="12">
        <f>SI([@SBAN]="";"";BUSCARV([@SBAN];Cronograma_Maestro!$A:$M;5;FALSO))</f>
        <v/>
      </c>
      <c r="F516" s="12" t="inlineStr">
        <is>
          <t>Juan Carlos Narvaez Acosta / Luis Fernando Ibarra Guio</t>
        </is>
      </c>
      <c r="G516" s="12" t="inlineStr">
        <is>
          <t>PMU COLSOF</t>
        </is>
      </c>
      <c r="H516" s="13" t="n">
        <v>46325</v>
      </c>
      <c r="I516" s="13" t="n">
        <v>46325</v>
      </c>
      <c r="J516" s="13" t="n"/>
      <c r="K516" s="13" t="n"/>
      <c r="L516" s="12" t="inlineStr">
        <is>
          <t>Programada</t>
        </is>
      </c>
      <c r="M516" s="13" t="n"/>
      <c r="N516" s="14">
        <f>SI(O([@[Fecha_Programada_Inicio]]="";[@[Fecha_Inicio_Real]]="");"";SI([@[Fecha_Inicio_Real]]&lt;=[@[Fecha_Programada_Inicio]];"SÍ";"NO"))</f>
        <v/>
      </c>
      <c r="O516" s="14">
        <f>SI(O([@[Fecha_Programada_Fin]]="";[@[Fecha_Cierre_Operativo]]="");"";SI([@[Fecha_Cierre_Operativo]]&lt;=SI([@[Fecha_Nueva_Programada]]&lt;&gt;"";[@[Fecha_Nueva_Programada]];[@[Fecha_Programada_Fin]]);"SÍ";"NO"))</f>
        <v/>
      </c>
      <c r="P516" s="14">
        <f>SI(O([@[Cumpli_Ingreso]]="";[@[Cumpli_Salida]]="");"";SI(Y([@[Cumpli_Ingreso]]="SÍ";[@[Cumpli_Salida]]="SÍ");"SÍ";"NO"))</f>
        <v/>
      </c>
      <c r="Q516" s="15">
        <f>SI(O([@[Fecha_Programada_Fin]]="";[@[Fecha_Cierre_Operativo]]="");"";MAX(0;ENTERO([@[Fecha_Cierre_Operativo]])-ENTERO(SI([@[Fecha_Nueva_Programada]]&lt;&gt;"";[@[Fecha_Nueva_Programada]];[@[Fecha_Programada_Fin]])))</f>
        <v/>
      </c>
      <c r="R516" s="12" t="n"/>
      <c r="S516" s="12" t="n"/>
      <c r="T516" s="13" t="n"/>
      <c r="U516" s="12" t="n">
        <v>16</v>
      </c>
      <c r="V516" s="12" t="n"/>
      <c r="W51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16" s="14">
        <f>SI([@SBAN]="";"";BUSCARV([@SBAN];Cronograma_Maestro!$A:$M;6;FALSO))</f>
        <v/>
      </c>
    </row>
    <row r="517">
      <c r="A517" s="11" t="inlineStr">
        <is>
          <t>4870</t>
        </is>
      </c>
      <c r="B517" s="12">
        <f>SI([@SBAN]="";"";BUSCARV([@SBAN];Cronograma_Maestro!$A:$M;2;FALSO))</f>
        <v/>
      </c>
      <c r="C517" s="12">
        <f>SI([@SBAN]="";"";BUSCARV([@SBAN];Cronograma_Maestro!$A:$M;3;FALSO))</f>
        <v/>
      </c>
      <c r="D517" s="12">
        <f>SI([@SBAN]="";"";BUSCARV([@SBAN];Cronograma_Maestro!$A:$M;4;FALSO))</f>
        <v/>
      </c>
      <c r="E517" s="12">
        <f>SI([@SBAN]="";"";BUSCARV([@SBAN];Cronograma_Maestro!$A:$M;5;FALSO))</f>
        <v/>
      </c>
      <c r="F517" s="12" t="inlineStr">
        <is>
          <t>Juan Carlos Narvaez Acosta / Luis Fernando Ibarra Guio</t>
        </is>
      </c>
      <c r="G517" s="12" t="inlineStr">
        <is>
          <t>PMU COLSOF</t>
        </is>
      </c>
      <c r="H517" s="13" t="n">
        <v>46280</v>
      </c>
      <c r="I517" s="13" t="n">
        <v>46280</v>
      </c>
      <c r="J517" s="13" t="n"/>
      <c r="K517" s="13" t="n"/>
      <c r="L517" s="12" t="inlineStr">
        <is>
          <t>Programada</t>
        </is>
      </c>
      <c r="M517" s="13" t="n"/>
      <c r="N517" s="14">
        <f>SI(O([@[Fecha_Programada_Inicio]]="";[@[Fecha_Inicio_Real]]="");"";SI([@[Fecha_Inicio_Real]]&lt;=[@[Fecha_Programada_Inicio]];"SÍ";"NO"))</f>
        <v/>
      </c>
      <c r="O517" s="14">
        <f>SI(O([@[Fecha_Programada_Fin]]="";[@[Fecha_Cierre_Operativo]]="");"";SI([@[Fecha_Cierre_Operativo]]&lt;=SI([@[Fecha_Nueva_Programada]]&lt;&gt;"";[@[Fecha_Nueva_Programada]];[@[Fecha_Programada_Fin]]);"SÍ";"NO"))</f>
        <v/>
      </c>
      <c r="P517" s="14">
        <f>SI(O([@[Cumpli_Ingreso]]="";[@[Cumpli_Salida]]="");"";SI(Y([@[Cumpli_Ingreso]]="SÍ";[@[Cumpli_Salida]]="SÍ");"SÍ";"NO"))</f>
        <v/>
      </c>
      <c r="Q517" s="15">
        <f>SI(O([@[Fecha_Programada_Fin]]="";[@[Fecha_Cierre_Operativo]]="");"";MAX(0;ENTERO([@[Fecha_Cierre_Operativo]])-ENTERO(SI([@[Fecha_Nueva_Programada]]&lt;&gt;"";[@[Fecha_Nueva_Programada]];[@[Fecha_Programada_Fin]])))</f>
        <v/>
      </c>
      <c r="R517" s="12" t="n"/>
      <c r="S517" s="12" t="n"/>
      <c r="T517" s="13" t="n"/>
      <c r="U517" s="12" t="n">
        <v>24</v>
      </c>
      <c r="V517" s="12" t="n"/>
      <c r="W51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17" s="14">
        <f>SI([@SBAN]="";"";BUSCARV([@SBAN];Cronograma_Maestro!$A:$M;6;FALSO))</f>
        <v/>
      </c>
    </row>
    <row r="518">
      <c r="A518" s="11" t="inlineStr">
        <is>
          <t>4872</t>
        </is>
      </c>
      <c r="B518" s="12">
        <f>SI([@SBAN]="";"";BUSCARV([@SBAN];Cronograma_Maestro!$A:$M;2;FALSO))</f>
        <v/>
      </c>
      <c r="C518" s="12">
        <f>SI([@SBAN]="";"";BUSCARV([@SBAN];Cronograma_Maestro!$A:$M;3;FALSO))</f>
        <v/>
      </c>
      <c r="D518" s="12">
        <f>SI([@SBAN]="";"";BUSCARV([@SBAN];Cronograma_Maestro!$A:$M;4;FALSO))</f>
        <v/>
      </c>
      <c r="E518" s="12">
        <f>SI([@SBAN]="";"";BUSCARV([@SBAN];Cronograma_Maestro!$A:$M;5;FALSO))</f>
        <v/>
      </c>
      <c r="F518" s="12" t="inlineStr">
        <is>
          <t>Juan Carlos Narvaez Acosta / Luis Fernando Ibarra Guio</t>
        </is>
      </c>
      <c r="G518" s="12" t="inlineStr">
        <is>
          <t>PMU COLSOF</t>
        </is>
      </c>
      <c r="H518" s="13" t="n">
        <v>46303</v>
      </c>
      <c r="I518" s="13" t="n">
        <v>46303</v>
      </c>
      <c r="J518" s="13" t="n"/>
      <c r="K518" s="13" t="n"/>
      <c r="L518" s="12" t="inlineStr">
        <is>
          <t>Programada</t>
        </is>
      </c>
      <c r="M518" s="13" t="n"/>
      <c r="N518" s="14">
        <f>SI(O([@[Fecha_Programada_Inicio]]="";[@[Fecha_Inicio_Real]]="");"";SI([@[Fecha_Inicio_Real]]&lt;=[@[Fecha_Programada_Inicio]];"SÍ";"NO"))</f>
        <v/>
      </c>
      <c r="O518" s="14">
        <f>SI(O([@[Fecha_Programada_Fin]]="";[@[Fecha_Cierre_Operativo]]="");"";SI([@[Fecha_Cierre_Operativo]]&lt;=SI([@[Fecha_Nueva_Programada]]&lt;&gt;"";[@[Fecha_Nueva_Programada]];[@[Fecha_Programada_Fin]]);"SÍ";"NO"))</f>
        <v/>
      </c>
      <c r="P518" s="14">
        <f>SI(O([@[Cumpli_Ingreso]]="";[@[Cumpli_Salida]]="");"";SI(Y([@[Cumpli_Ingreso]]="SÍ";[@[Cumpli_Salida]]="SÍ");"SÍ";"NO"))</f>
        <v/>
      </c>
      <c r="Q518" s="15">
        <f>SI(O([@[Fecha_Programada_Fin]]="";[@[Fecha_Cierre_Operativo]]="");"";MAX(0;ENTERO([@[Fecha_Cierre_Operativo]])-ENTERO(SI([@[Fecha_Nueva_Programada]]&lt;&gt;"";[@[Fecha_Nueva_Programada]];[@[Fecha_Programada_Fin]])))</f>
        <v/>
      </c>
      <c r="R518" s="12" t="n"/>
      <c r="S518" s="12" t="n"/>
      <c r="T518" s="13" t="n"/>
      <c r="U518" s="12" t="n">
        <v>17</v>
      </c>
      <c r="V518" s="12" t="n"/>
      <c r="W51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18" s="14">
        <f>SI([@SBAN]="";"";BUSCARV([@SBAN];Cronograma_Maestro!$A:$M;6;FALSO))</f>
        <v/>
      </c>
    </row>
    <row r="519">
      <c r="A519" s="11" t="inlineStr">
        <is>
          <t>4874</t>
        </is>
      </c>
      <c r="B519" s="12">
        <f>SI([@SBAN]="";"";BUSCARV([@SBAN];Cronograma_Maestro!$A:$M;2;FALSO))</f>
        <v/>
      </c>
      <c r="C519" s="12">
        <f>SI([@SBAN]="";"";BUSCARV([@SBAN];Cronograma_Maestro!$A:$M;3;FALSO))</f>
        <v/>
      </c>
      <c r="D519" s="12">
        <f>SI([@SBAN]="";"";BUSCARV([@SBAN];Cronograma_Maestro!$A:$M;4;FALSO))</f>
        <v/>
      </c>
      <c r="E519" s="12">
        <f>SI([@SBAN]="";"";BUSCARV([@SBAN];Cronograma_Maestro!$A:$M;5;FALSO))</f>
        <v/>
      </c>
      <c r="F519" s="12" t="inlineStr">
        <is>
          <t>Juan Carlos Narvaez Acosta / Luis Fernando Ibarra Guio</t>
        </is>
      </c>
      <c r="G519" s="12" t="inlineStr">
        <is>
          <t>PMU COLSOF</t>
        </is>
      </c>
      <c r="H519" s="13" t="n">
        <v>46301</v>
      </c>
      <c r="I519" s="13" t="n">
        <v>46301</v>
      </c>
      <c r="J519" s="13" t="n"/>
      <c r="K519" s="13" t="n"/>
      <c r="L519" s="12" t="inlineStr">
        <is>
          <t>Programada</t>
        </is>
      </c>
      <c r="M519" s="13" t="n"/>
      <c r="N519" s="14">
        <f>SI(O([@[Fecha_Programada_Inicio]]="";[@[Fecha_Inicio_Real]]="");"";SI([@[Fecha_Inicio_Real]]&lt;=[@[Fecha_Programada_Inicio]];"SÍ";"NO"))</f>
        <v/>
      </c>
      <c r="O519" s="14">
        <f>SI(O([@[Fecha_Programada_Fin]]="";[@[Fecha_Cierre_Operativo]]="");"";SI([@[Fecha_Cierre_Operativo]]&lt;=SI([@[Fecha_Nueva_Programada]]&lt;&gt;"";[@[Fecha_Nueva_Programada]];[@[Fecha_Programada_Fin]]);"SÍ";"NO"))</f>
        <v/>
      </c>
      <c r="P519" s="14">
        <f>SI(O([@[Cumpli_Ingreso]]="";[@[Cumpli_Salida]]="");"";SI(Y([@[Cumpli_Ingreso]]="SÍ";[@[Cumpli_Salida]]="SÍ");"SÍ";"NO"))</f>
        <v/>
      </c>
      <c r="Q519" s="15">
        <f>SI(O([@[Fecha_Programada_Fin]]="";[@[Fecha_Cierre_Operativo]]="");"";MAX(0;ENTERO([@[Fecha_Cierre_Operativo]])-ENTERO(SI([@[Fecha_Nueva_Programada]]&lt;&gt;"";[@[Fecha_Nueva_Programada]];[@[Fecha_Programada_Fin]])))</f>
        <v/>
      </c>
      <c r="R519" s="12" t="n"/>
      <c r="S519" s="12" t="n"/>
      <c r="T519" s="13" t="n"/>
      <c r="U519" s="12" t="n">
        <v>20</v>
      </c>
      <c r="V519" s="12" t="n"/>
      <c r="W51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19" s="14">
        <f>SI([@SBAN]="";"";BUSCARV([@SBAN];Cronograma_Maestro!$A:$M;6;FALSO))</f>
        <v/>
      </c>
    </row>
    <row r="520">
      <c r="A520" s="11" t="inlineStr">
        <is>
          <t>4875</t>
        </is>
      </c>
      <c r="B520" s="12">
        <f>SI([@SBAN]="";"";BUSCARV([@SBAN];Cronograma_Maestro!$A:$M;2;FALSO))</f>
        <v/>
      </c>
      <c r="C520" s="12">
        <f>SI([@SBAN]="";"";BUSCARV([@SBAN];Cronograma_Maestro!$A:$M;3;FALSO))</f>
        <v/>
      </c>
      <c r="D520" s="12">
        <f>SI([@SBAN]="";"";BUSCARV([@SBAN];Cronograma_Maestro!$A:$M;4;FALSO))</f>
        <v/>
      </c>
      <c r="E520" s="12">
        <f>SI([@SBAN]="";"";BUSCARV([@SBAN];Cronograma_Maestro!$A:$M;5;FALSO))</f>
        <v/>
      </c>
      <c r="F520" s="12" t="inlineStr">
        <is>
          <t>Juan Carlos Narvaez Acosta / Luis Fernando Ibarra Guio</t>
        </is>
      </c>
      <c r="G520" s="12" t="inlineStr">
        <is>
          <t>PMU COLSOF</t>
        </is>
      </c>
      <c r="H520" s="13" t="n">
        <v>46309</v>
      </c>
      <c r="I520" s="13" t="n">
        <v>46309</v>
      </c>
      <c r="J520" s="13" t="n"/>
      <c r="K520" s="13" t="n"/>
      <c r="L520" s="12" t="inlineStr">
        <is>
          <t>Programada</t>
        </is>
      </c>
      <c r="M520" s="13" t="n"/>
      <c r="N520" s="14">
        <f>SI(O([@[Fecha_Programada_Inicio]]="";[@[Fecha_Inicio_Real]]="");"";SI([@[Fecha_Inicio_Real]]&lt;=[@[Fecha_Programada_Inicio]];"SÍ";"NO"))</f>
        <v/>
      </c>
      <c r="O520" s="14">
        <f>SI(O([@[Fecha_Programada_Fin]]="";[@[Fecha_Cierre_Operativo]]="");"";SI([@[Fecha_Cierre_Operativo]]&lt;=SI([@[Fecha_Nueva_Programada]]&lt;&gt;"";[@[Fecha_Nueva_Programada]];[@[Fecha_Programada_Fin]]);"SÍ";"NO"))</f>
        <v/>
      </c>
      <c r="P520" s="14">
        <f>SI(O([@[Cumpli_Ingreso]]="";[@[Cumpli_Salida]]="");"";SI(Y([@[Cumpli_Ingreso]]="SÍ";[@[Cumpli_Salida]]="SÍ");"SÍ";"NO"))</f>
        <v/>
      </c>
      <c r="Q520" s="15">
        <f>SI(O([@[Fecha_Programada_Fin]]="";[@[Fecha_Cierre_Operativo]]="");"";MAX(0;ENTERO([@[Fecha_Cierre_Operativo]])-ENTERO(SI([@[Fecha_Nueva_Programada]]&lt;&gt;"";[@[Fecha_Nueva_Programada]];[@[Fecha_Programada_Fin]])))</f>
        <v/>
      </c>
      <c r="R520" s="12" t="n"/>
      <c r="S520" s="12" t="n"/>
      <c r="T520" s="13" t="n"/>
      <c r="U520" s="12" t="n">
        <v>15</v>
      </c>
      <c r="V520" s="12" t="n"/>
      <c r="W52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20" s="14">
        <f>SI([@SBAN]="";"";BUSCARV([@SBAN];Cronograma_Maestro!$A:$M;6;FALSO))</f>
        <v/>
      </c>
    </row>
    <row r="521">
      <c r="A521" s="11" t="inlineStr">
        <is>
          <t>4876</t>
        </is>
      </c>
      <c r="B521" s="12">
        <f>SI([@SBAN]="";"";BUSCARV([@SBAN];Cronograma_Maestro!$A:$M;2;FALSO))</f>
        <v/>
      </c>
      <c r="C521" s="12">
        <f>SI([@SBAN]="";"";BUSCARV([@SBAN];Cronograma_Maestro!$A:$M;3;FALSO))</f>
        <v/>
      </c>
      <c r="D521" s="12">
        <f>SI([@SBAN]="";"";BUSCARV([@SBAN];Cronograma_Maestro!$A:$M;4;FALSO))</f>
        <v/>
      </c>
      <c r="E521" s="12">
        <f>SI([@SBAN]="";"";BUSCARV([@SBAN];Cronograma_Maestro!$A:$M;5;FALSO))</f>
        <v/>
      </c>
      <c r="F521" s="12" t="inlineStr">
        <is>
          <t>Juan Carlos Narvaez Acosta / Luis Fernando Ibarra Guio</t>
        </is>
      </c>
      <c r="G521" s="12" t="inlineStr">
        <is>
          <t>PMU COLSOF</t>
        </is>
      </c>
      <c r="H521" s="13" t="n">
        <v>46315</v>
      </c>
      <c r="I521" s="13" t="n">
        <v>46315</v>
      </c>
      <c r="J521" s="13" t="n"/>
      <c r="K521" s="13" t="n"/>
      <c r="L521" s="12" t="inlineStr">
        <is>
          <t>Programada</t>
        </is>
      </c>
      <c r="M521" s="13" t="n"/>
      <c r="N521" s="14">
        <f>SI(O([@[Fecha_Programada_Inicio]]="";[@[Fecha_Inicio_Real]]="");"";SI([@[Fecha_Inicio_Real]]&lt;=[@[Fecha_Programada_Inicio]];"SÍ";"NO"))</f>
        <v/>
      </c>
      <c r="O521" s="14">
        <f>SI(O([@[Fecha_Programada_Fin]]="";[@[Fecha_Cierre_Operativo]]="");"";SI([@[Fecha_Cierre_Operativo]]&lt;=SI([@[Fecha_Nueva_Programada]]&lt;&gt;"";[@[Fecha_Nueva_Programada]];[@[Fecha_Programada_Fin]]);"SÍ";"NO"))</f>
        <v/>
      </c>
      <c r="P521" s="14">
        <f>SI(O([@[Cumpli_Ingreso]]="";[@[Cumpli_Salida]]="");"";SI(Y([@[Cumpli_Ingreso]]="SÍ";[@[Cumpli_Salida]]="SÍ");"SÍ";"NO"))</f>
        <v/>
      </c>
      <c r="Q521" s="15">
        <f>SI(O([@[Fecha_Programada_Fin]]="";[@[Fecha_Cierre_Operativo]]="");"";MAX(0;ENTERO([@[Fecha_Cierre_Operativo]])-ENTERO(SI([@[Fecha_Nueva_Programada]]&lt;&gt;"";[@[Fecha_Nueva_Programada]];[@[Fecha_Programada_Fin]])))</f>
        <v/>
      </c>
      <c r="R521" s="12" t="n"/>
      <c r="S521" s="12" t="n"/>
      <c r="T521" s="13" t="n"/>
      <c r="U521" s="12" t="n">
        <v>19</v>
      </c>
      <c r="V521" s="12" t="n"/>
      <c r="W52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21" s="14">
        <f>SI([@SBAN]="";"";BUSCARV([@SBAN];Cronograma_Maestro!$A:$M;6;FALSO))</f>
        <v/>
      </c>
    </row>
    <row r="522">
      <c r="A522" s="11" t="inlineStr">
        <is>
          <t>4878</t>
        </is>
      </c>
      <c r="B522" s="12">
        <f>SI([@SBAN]="";"";BUSCARV([@SBAN];Cronograma_Maestro!$A:$M;2;FALSO))</f>
        <v/>
      </c>
      <c r="C522" s="12">
        <f>SI([@SBAN]="";"";BUSCARV([@SBAN];Cronograma_Maestro!$A:$M;3;FALSO))</f>
        <v/>
      </c>
      <c r="D522" s="12">
        <f>SI([@SBAN]="";"";BUSCARV([@SBAN];Cronograma_Maestro!$A:$M;4;FALSO))</f>
        <v/>
      </c>
      <c r="E522" s="12">
        <f>SI([@SBAN]="";"";BUSCARV([@SBAN];Cronograma_Maestro!$A:$M;5;FALSO))</f>
        <v/>
      </c>
      <c r="F522" s="12" t="inlineStr">
        <is>
          <t>Por asignar</t>
        </is>
      </c>
      <c r="G522" s="12" t="inlineStr">
        <is>
          <t>PMU COLSOF</t>
        </is>
      </c>
      <c r="H522" s="13" t="n">
        <v>46349</v>
      </c>
      <c r="I522" s="13" t="n">
        <v>46353</v>
      </c>
      <c r="J522" s="13" t="n"/>
      <c r="K522" s="13" t="n"/>
      <c r="L522" s="12" t="inlineStr">
        <is>
          <t>Programada</t>
        </is>
      </c>
      <c r="M522" s="13" t="n"/>
      <c r="N522" s="14">
        <f>SI(O([@[Fecha_Programada_Inicio]]="";[@[Fecha_Inicio_Real]]="");"";SI([@[Fecha_Inicio_Real]]&lt;=[@[Fecha_Programada_Inicio]];"SÍ";"NO"))</f>
        <v/>
      </c>
      <c r="O522" s="14">
        <f>SI(O([@[Fecha_Programada_Fin]]="";[@[Fecha_Cierre_Operativo]]="");"";SI([@[Fecha_Cierre_Operativo]]&lt;=SI([@[Fecha_Nueva_Programada]]&lt;&gt;"";[@[Fecha_Nueva_Programada]];[@[Fecha_Programada_Fin]]);"SÍ";"NO"))</f>
        <v/>
      </c>
      <c r="P522" s="14">
        <f>SI(O([@[Cumpli_Ingreso]]="";[@[Cumpli_Salida]]="");"";SI(Y([@[Cumpli_Ingreso]]="SÍ";[@[Cumpli_Salida]]="SÍ");"SÍ";"NO"))</f>
        <v/>
      </c>
      <c r="Q522" s="15">
        <f>SI(O([@[Fecha_Programada_Fin]]="";[@[Fecha_Cierre_Operativo]]="");"";MAX(0;ENTERO([@[Fecha_Cierre_Operativo]])-ENTERO(SI([@[Fecha_Nueva_Programada]]&lt;&gt;"";[@[Fecha_Nueva_Programada]];[@[Fecha_Programada_Fin]])))</f>
        <v/>
      </c>
      <c r="R522" s="12" t="n"/>
      <c r="S522" s="12" t="n"/>
      <c r="T522" s="13" t="n"/>
      <c r="U522" s="12" t="n">
        <v>12</v>
      </c>
      <c r="V522" s="12" t="n"/>
      <c r="W52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22" s="14">
        <f>SI([@SBAN]="";"";BUSCARV([@SBAN];Cronograma_Maestro!$A:$M;6;FALSO))</f>
        <v/>
      </c>
    </row>
    <row r="523">
      <c r="A523" s="11" t="inlineStr">
        <is>
          <t>4880</t>
        </is>
      </c>
      <c r="B523" s="12">
        <f>SI([@SBAN]="";"";BUSCARV([@SBAN];Cronograma_Maestro!$A:$M;2;FALSO))</f>
        <v/>
      </c>
      <c r="C523" s="12">
        <f>SI([@SBAN]="";"";BUSCARV([@SBAN];Cronograma_Maestro!$A:$M;3;FALSO))</f>
        <v/>
      </c>
      <c r="D523" s="12">
        <f>SI([@SBAN]="";"";BUSCARV([@SBAN];Cronograma_Maestro!$A:$M;4;FALSO))</f>
        <v/>
      </c>
      <c r="E523" s="12">
        <f>SI([@SBAN]="";"";BUSCARV([@SBAN];Cronograma_Maestro!$A:$M;5;FALSO))</f>
        <v/>
      </c>
      <c r="F523" s="12" t="inlineStr">
        <is>
          <t>Juan Carlos Narvaez Acosta / Luis Fernando Ibarra Guio</t>
        </is>
      </c>
      <c r="G523" s="12" t="inlineStr">
        <is>
          <t>PMU COLSOF</t>
        </is>
      </c>
      <c r="H523" s="13" t="n">
        <v>46297</v>
      </c>
      <c r="I523" s="13" t="n">
        <v>46297</v>
      </c>
      <c r="J523" s="13" t="n"/>
      <c r="K523" s="13" t="n"/>
      <c r="L523" s="12" t="inlineStr">
        <is>
          <t>Programada</t>
        </is>
      </c>
      <c r="M523" s="13" t="n"/>
      <c r="N523" s="14">
        <f>SI(O([@[Fecha_Programada_Inicio]]="";[@[Fecha_Inicio_Real]]="");"";SI([@[Fecha_Inicio_Real]]&lt;=[@[Fecha_Programada_Inicio]];"SÍ";"NO"))</f>
        <v/>
      </c>
      <c r="O523" s="14">
        <f>SI(O([@[Fecha_Programada_Fin]]="";[@[Fecha_Cierre_Operativo]]="");"";SI([@[Fecha_Cierre_Operativo]]&lt;=SI([@[Fecha_Nueva_Programada]]&lt;&gt;"";[@[Fecha_Nueva_Programada]];[@[Fecha_Programada_Fin]]);"SÍ";"NO"))</f>
        <v/>
      </c>
      <c r="P523" s="14">
        <f>SI(O([@[Cumpli_Ingreso]]="";[@[Cumpli_Salida]]="");"";SI(Y([@[Cumpli_Ingreso]]="SÍ";[@[Cumpli_Salida]]="SÍ");"SÍ";"NO"))</f>
        <v/>
      </c>
      <c r="Q523" s="15">
        <f>SI(O([@[Fecha_Programada_Fin]]="";[@[Fecha_Cierre_Operativo]]="");"";MAX(0;ENTERO([@[Fecha_Cierre_Operativo]])-ENTERO(SI([@[Fecha_Nueva_Programada]]&lt;&gt;"";[@[Fecha_Nueva_Programada]];[@[Fecha_Programada_Fin]])))</f>
        <v/>
      </c>
      <c r="R523" s="12" t="n"/>
      <c r="S523" s="12" t="n"/>
      <c r="T523" s="13" t="n"/>
      <c r="U523" s="12" t="n">
        <v>20</v>
      </c>
      <c r="V523" s="12" t="n"/>
      <c r="W52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23" s="14">
        <f>SI([@SBAN]="";"";BUSCARV([@SBAN];Cronograma_Maestro!$A:$M;6;FALSO))</f>
        <v/>
      </c>
    </row>
    <row r="524">
      <c r="A524" s="11" t="inlineStr">
        <is>
          <t>4882</t>
        </is>
      </c>
      <c r="B524" s="12">
        <f>SI([@SBAN]="";"";BUSCARV([@SBAN];Cronograma_Maestro!$A:$M;2;FALSO))</f>
        <v/>
      </c>
      <c r="C524" s="12">
        <f>SI([@SBAN]="";"";BUSCARV([@SBAN];Cronograma_Maestro!$A:$M;3;FALSO))</f>
        <v/>
      </c>
      <c r="D524" s="12">
        <f>SI([@SBAN]="";"";BUSCARV([@SBAN];Cronograma_Maestro!$A:$M;4;FALSO))</f>
        <v/>
      </c>
      <c r="E524" s="12">
        <f>SI([@SBAN]="";"";BUSCARV([@SBAN];Cronograma_Maestro!$A:$M;5;FALSO))</f>
        <v/>
      </c>
      <c r="F524" s="12" t="inlineStr">
        <is>
          <t>Juan Carlos Narvaez Acosta / Luis Fernando Ibarra Guio</t>
        </is>
      </c>
      <c r="G524" s="12" t="inlineStr">
        <is>
          <t>PMU COLSOF</t>
        </is>
      </c>
      <c r="H524" s="13" t="n">
        <v>46329</v>
      </c>
      <c r="I524" s="13" t="n">
        <v>46329</v>
      </c>
      <c r="J524" s="13" t="n"/>
      <c r="K524" s="13" t="n"/>
      <c r="L524" s="12" t="inlineStr">
        <is>
          <t>Programada</t>
        </is>
      </c>
      <c r="M524" s="13" t="n"/>
      <c r="N524" s="14">
        <f>SI(O([@[Fecha_Programada_Inicio]]="";[@[Fecha_Inicio_Real]]="");"";SI([@[Fecha_Inicio_Real]]&lt;=[@[Fecha_Programada_Inicio]];"SÍ";"NO"))</f>
        <v/>
      </c>
      <c r="O524" s="14">
        <f>SI(O([@[Fecha_Programada_Fin]]="";[@[Fecha_Cierre_Operativo]]="");"";SI([@[Fecha_Cierre_Operativo]]&lt;=SI([@[Fecha_Nueva_Programada]]&lt;&gt;"";[@[Fecha_Nueva_Programada]];[@[Fecha_Programada_Fin]]);"SÍ";"NO"))</f>
        <v/>
      </c>
      <c r="P524" s="14">
        <f>SI(O([@[Cumpli_Ingreso]]="";[@[Cumpli_Salida]]="");"";SI(Y([@[Cumpli_Ingreso]]="SÍ";[@[Cumpli_Salida]]="SÍ");"SÍ";"NO"))</f>
        <v/>
      </c>
      <c r="Q524" s="15">
        <f>SI(O([@[Fecha_Programada_Fin]]="";[@[Fecha_Cierre_Operativo]]="");"";MAX(0;ENTERO([@[Fecha_Cierre_Operativo]])-ENTERO(SI([@[Fecha_Nueva_Programada]]&lt;&gt;"";[@[Fecha_Nueva_Programada]];[@[Fecha_Programada_Fin]])))</f>
        <v/>
      </c>
      <c r="R524" s="12" t="n"/>
      <c r="S524" s="12" t="n"/>
      <c r="T524" s="13" t="n"/>
      <c r="U524" s="12" t="n">
        <v>43</v>
      </c>
      <c r="V524" s="12" t="n"/>
      <c r="W52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24" s="14">
        <f>SI([@SBAN]="";"";BUSCARV([@SBAN];Cronograma_Maestro!$A:$M;6;FALSO))</f>
        <v/>
      </c>
    </row>
    <row r="525">
      <c r="A525" s="11" t="inlineStr">
        <is>
          <t>4884</t>
        </is>
      </c>
      <c r="B525" s="12">
        <f>SI([@SBAN]="";"";BUSCARV([@SBAN];Cronograma_Maestro!$A:$M;2;FALSO))</f>
        <v/>
      </c>
      <c r="C525" s="12">
        <f>SI([@SBAN]="";"";BUSCARV([@SBAN];Cronograma_Maestro!$A:$M;3;FALSO))</f>
        <v/>
      </c>
      <c r="D525" s="12">
        <f>SI([@SBAN]="";"";BUSCARV([@SBAN];Cronograma_Maestro!$A:$M;4;FALSO))</f>
        <v/>
      </c>
      <c r="E525" s="12">
        <f>SI([@SBAN]="";"";BUSCARV([@SBAN];Cronograma_Maestro!$A:$M;5;FALSO))</f>
        <v/>
      </c>
      <c r="F525" s="12" t="inlineStr">
        <is>
          <t>Juan Carlos Narvaez Acosta / Luis Fernando Ibarra Guio</t>
        </is>
      </c>
      <c r="G525" s="12" t="inlineStr">
        <is>
          <t>PMU COLSOF</t>
        </is>
      </c>
      <c r="H525" s="13" t="n">
        <v>46267</v>
      </c>
      <c r="I525" s="13" t="n">
        <v>46267</v>
      </c>
      <c r="J525" s="13" t="n"/>
      <c r="K525" s="13" t="n"/>
      <c r="L525" s="12" t="inlineStr">
        <is>
          <t>Programada</t>
        </is>
      </c>
      <c r="M525" s="13" t="n"/>
      <c r="N525" s="14">
        <f>SI(O([@[Fecha_Programada_Inicio]]="";[@[Fecha_Inicio_Real]]="");"";SI([@[Fecha_Inicio_Real]]&lt;=[@[Fecha_Programada_Inicio]];"SÍ";"NO"))</f>
        <v/>
      </c>
      <c r="O525" s="14">
        <f>SI(O([@[Fecha_Programada_Fin]]="";[@[Fecha_Cierre_Operativo]]="");"";SI([@[Fecha_Cierre_Operativo]]&lt;=SI([@[Fecha_Nueva_Programada]]&lt;&gt;"";[@[Fecha_Nueva_Programada]];[@[Fecha_Programada_Fin]]);"SÍ";"NO"))</f>
        <v/>
      </c>
      <c r="P525" s="14">
        <f>SI(O([@[Cumpli_Ingreso]]="";[@[Cumpli_Salida]]="");"";SI(Y([@[Cumpli_Ingreso]]="SÍ";[@[Cumpli_Salida]]="SÍ");"SÍ";"NO"))</f>
        <v/>
      </c>
      <c r="Q525" s="15">
        <f>SI(O([@[Fecha_Programada_Fin]]="";[@[Fecha_Cierre_Operativo]]="");"";MAX(0;ENTERO([@[Fecha_Cierre_Operativo]])-ENTERO(SI([@[Fecha_Nueva_Programada]]&lt;&gt;"";[@[Fecha_Nueva_Programada]];[@[Fecha_Programada_Fin]])))</f>
        <v/>
      </c>
      <c r="R525" s="12" t="n"/>
      <c r="S525" s="12" t="n"/>
      <c r="T525" s="13" t="n"/>
      <c r="U525" s="12" t="n">
        <v>14</v>
      </c>
      <c r="V525" s="12" t="n"/>
      <c r="W52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25" s="14">
        <f>SI([@SBAN]="";"";BUSCARV([@SBAN];Cronograma_Maestro!$A:$M;6;FALSO))</f>
        <v/>
      </c>
    </row>
    <row r="526">
      <c r="A526" s="11" t="inlineStr">
        <is>
          <t>4890</t>
        </is>
      </c>
      <c r="B526" s="12">
        <f>SI([@SBAN]="";"";BUSCARV([@SBAN];Cronograma_Maestro!$A:$M;2;FALSO))</f>
        <v/>
      </c>
      <c r="C526" s="12">
        <f>SI([@SBAN]="";"";BUSCARV([@SBAN];Cronograma_Maestro!$A:$M;3;FALSO))</f>
        <v/>
      </c>
      <c r="D526" s="12">
        <f>SI([@SBAN]="";"";BUSCARV([@SBAN];Cronograma_Maestro!$A:$M;4;FALSO))</f>
        <v/>
      </c>
      <c r="E526" s="12">
        <f>SI([@SBAN]="";"";BUSCARV([@SBAN];Cronograma_Maestro!$A:$M;5;FALSO))</f>
        <v/>
      </c>
      <c r="F526" s="12" t="inlineStr">
        <is>
          <t>Juan Carlos Narvaez Acosta / Luis Fernando Ibarra Guio</t>
        </is>
      </c>
      <c r="G526" s="12" t="inlineStr">
        <is>
          <t>PMU COLSOF</t>
        </is>
      </c>
      <c r="H526" s="13" t="n">
        <v>46302</v>
      </c>
      <c r="I526" s="13" t="n">
        <v>46302</v>
      </c>
      <c r="J526" s="13" t="n"/>
      <c r="K526" s="13" t="n"/>
      <c r="L526" s="12" t="inlineStr">
        <is>
          <t>Programada</t>
        </is>
      </c>
      <c r="M526" s="13" t="n"/>
      <c r="N526" s="14">
        <f>SI(O([@[Fecha_Programada_Inicio]]="";[@[Fecha_Inicio_Real]]="");"";SI([@[Fecha_Inicio_Real]]&lt;=[@[Fecha_Programada_Inicio]];"SÍ";"NO"))</f>
        <v/>
      </c>
      <c r="O526" s="14">
        <f>SI(O([@[Fecha_Programada_Fin]]="";[@[Fecha_Cierre_Operativo]]="");"";SI([@[Fecha_Cierre_Operativo]]&lt;=SI([@[Fecha_Nueva_Programada]]&lt;&gt;"";[@[Fecha_Nueva_Programada]];[@[Fecha_Programada_Fin]]);"SÍ";"NO"))</f>
        <v/>
      </c>
      <c r="P526" s="14">
        <f>SI(O([@[Cumpli_Ingreso]]="";[@[Cumpli_Salida]]="");"";SI(Y([@[Cumpli_Ingreso]]="SÍ";[@[Cumpli_Salida]]="SÍ");"SÍ";"NO"))</f>
        <v/>
      </c>
      <c r="Q526" s="15">
        <f>SI(O([@[Fecha_Programada_Fin]]="";[@[Fecha_Cierre_Operativo]]="");"";MAX(0;ENTERO([@[Fecha_Cierre_Operativo]])-ENTERO(SI([@[Fecha_Nueva_Programada]]&lt;&gt;"";[@[Fecha_Nueva_Programada]];[@[Fecha_Programada_Fin]])))</f>
        <v/>
      </c>
      <c r="R526" s="12" t="n"/>
      <c r="S526" s="12" t="n"/>
      <c r="T526" s="13" t="n"/>
      <c r="U526" s="12" t="n">
        <v>12</v>
      </c>
      <c r="V526" s="12" t="n"/>
      <c r="W52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26" s="14">
        <f>SI([@SBAN]="";"";BUSCARV([@SBAN];Cronograma_Maestro!$A:$M;6;FALSO))</f>
        <v/>
      </c>
    </row>
    <row r="527">
      <c r="A527" s="11" t="inlineStr">
        <is>
          <t>4891</t>
        </is>
      </c>
      <c r="B527" s="12">
        <f>SI([@SBAN]="";"";BUSCARV([@SBAN];Cronograma_Maestro!$A:$M;2;FALSO))</f>
        <v/>
      </c>
      <c r="C527" s="12">
        <f>SI([@SBAN]="";"";BUSCARV([@SBAN];Cronograma_Maestro!$A:$M;3;FALSO))</f>
        <v/>
      </c>
      <c r="D527" s="12">
        <f>SI([@SBAN]="";"";BUSCARV([@SBAN];Cronograma_Maestro!$A:$M;4;FALSO))</f>
        <v/>
      </c>
      <c r="E527" s="12">
        <f>SI([@SBAN]="";"";BUSCARV([@SBAN];Cronograma_Maestro!$A:$M;5;FALSO))</f>
        <v/>
      </c>
      <c r="F527" s="12" t="inlineStr">
        <is>
          <t>Juan Carlos Narvaez Acosta / Luis Fernando Ibarra Guio</t>
        </is>
      </c>
      <c r="G527" s="12" t="inlineStr">
        <is>
          <t>PMU COLSOF</t>
        </is>
      </c>
      <c r="H527" s="13" t="n">
        <v>46322</v>
      </c>
      <c r="I527" s="13" t="n">
        <v>46322</v>
      </c>
      <c r="J527" s="13" t="n"/>
      <c r="K527" s="13" t="n"/>
      <c r="L527" s="12" t="inlineStr">
        <is>
          <t>Programada</t>
        </is>
      </c>
      <c r="M527" s="13" t="n"/>
      <c r="N527" s="14">
        <f>SI(O([@[Fecha_Programada_Inicio]]="";[@[Fecha_Inicio_Real]]="");"";SI([@[Fecha_Inicio_Real]]&lt;=[@[Fecha_Programada_Inicio]];"SÍ";"NO"))</f>
        <v/>
      </c>
      <c r="O527" s="14">
        <f>SI(O([@[Fecha_Programada_Fin]]="";[@[Fecha_Cierre_Operativo]]="");"";SI([@[Fecha_Cierre_Operativo]]&lt;=SI([@[Fecha_Nueva_Programada]]&lt;&gt;"";[@[Fecha_Nueva_Programada]];[@[Fecha_Programada_Fin]]);"SÍ";"NO"))</f>
        <v/>
      </c>
      <c r="P527" s="14">
        <f>SI(O([@[Cumpli_Ingreso]]="";[@[Cumpli_Salida]]="");"";SI(Y([@[Cumpli_Ingreso]]="SÍ";[@[Cumpli_Salida]]="SÍ");"SÍ";"NO"))</f>
        <v/>
      </c>
      <c r="Q527" s="15">
        <f>SI(O([@[Fecha_Programada_Fin]]="";[@[Fecha_Cierre_Operativo]]="");"";MAX(0;ENTERO([@[Fecha_Cierre_Operativo]])-ENTERO(SI([@[Fecha_Nueva_Programada]]&lt;&gt;"";[@[Fecha_Nueva_Programada]];[@[Fecha_Programada_Fin]])))</f>
        <v/>
      </c>
      <c r="R527" s="12" t="n"/>
      <c r="S527" s="12" t="n"/>
      <c r="T527" s="13" t="n"/>
      <c r="U527" s="12" t="n">
        <v>15</v>
      </c>
      <c r="V527" s="12" t="n"/>
      <c r="W52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27" s="14">
        <f>SI([@SBAN]="";"";BUSCARV([@SBAN];Cronograma_Maestro!$A:$M;6;FALSO))</f>
        <v/>
      </c>
    </row>
    <row r="528">
      <c r="A528" s="11" t="inlineStr">
        <is>
          <t>5101</t>
        </is>
      </c>
      <c r="B528" s="12">
        <f>SI([@SBAN]="";"";BUSCARV([@SBAN];Cronograma_Maestro!$A:$M;2;FALSO))</f>
        <v/>
      </c>
      <c r="C528" s="12">
        <f>SI([@SBAN]="";"";BUSCARV([@SBAN];Cronograma_Maestro!$A:$M;3;FALSO))</f>
        <v/>
      </c>
      <c r="D528" s="12">
        <f>SI([@SBAN]="";"";BUSCARV([@SBAN];Cronograma_Maestro!$A:$M;4;FALSO))</f>
        <v/>
      </c>
      <c r="E528" s="12">
        <f>SI([@SBAN]="";"";BUSCARV([@SBAN];Cronograma_Maestro!$A:$M;5;FALSO))</f>
        <v/>
      </c>
      <c r="F528" s="12" t="inlineStr">
        <is>
          <t>CRISTIAN VARGAS RODRIGUEZ</t>
        </is>
      </c>
      <c r="G528" s="12" t="inlineStr">
        <is>
          <t>PMU COLSOF</t>
        </is>
      </c>
      <c r="H528" s="13" t="n">
        <v>46301</v>
      </c>
      <c r="I528" s="13" t="n">
        <v>46311</v>
      </c>
      <c r="J528" s="13" t="n"/>
      <c r="K528" s="13" t="n"/>
      <c r="L528" s="12" t="inlineStr">
        <is>
          <t>Programada</t>
        </is>
      </c>
      <c r="M528" s="13" t="n"/>
      <c r="N528" s="14">
        <f>SI(O([@[Fecha_Programada_Inicio]]="";[@[Fecha_Inicio_Real]]="");"";SI([@[Fecha_Inicio_Real]]&lt;=[@[Fecha_Programada_Inicio]];"SÍ";"NO"))</f>
        <v/>
      </c>
      <c r="O528" s="14">
        <f>SI(O([@[Fecha_Programada_Fin]]="";[@[Fecha_Cierre_Operativo]]="");"";SI([@[Fecha_Cierre_Operativo]]&lt;=SI([@[Fecha_Nueva_Programada]]&lt;&gt;"";[@[Fecha_Nueva_Programada]];[@[Fecha_Programada_Fin]]);"SÍ";"NO"))</f>
        <v/>
      </c>
      <c r="P528" s="14">
        <f>SI(O([@[Cumpli_Ingreso]]="";[@[Cumpli_Salida]]="");"";SI(Y([@[Cumpli_Ingreso]]="SÍ";[@[Cumpli_Salida]]="SÍ");"SÍ";"NO"))</f>
        <v/>
      </c>
      <c r="Q528" s="15">
        <f>SI(O([@[Fecha_Programada_Fin]]="";[@[Fecha_Cierre_Operativo]]="");"";MAX(0;ENTERO([@[Fecha_Cierre_Operativo]])-ENTERO(SI([@[Fecha_Nueva_Programada]]&lt;&gt;"";[@[Fecha_Nueva_Programada]];[@[Fecha_Programada_Fin]])))</f>
        <v/>
      </c>
      <c r="R528" s="12" t="n"/>
      <c r="S528" s="12" t="n"/>
      <c r="T528" s="13" t="n"/>
      <c r="U528" s="12" t="n">
        <v>67</v>
      </c>
      <c r="V528" s="12" t="n"/>
      <c r="W52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28" s="14">
        <f>SI([@SBAN]="";"";BUSCARV([@SBAN];Cronograma_Maestro!$A:$M;6;FALSO))</f>
        <v/>
      </c>
    </row>
    <row r="529">
      <c r="A529" s="11" t="inlineStr">
        <is>
          <t>5105</t>
        </is>
      </c>
      <c r="B529" s="12">
        <f>SI([@SBAN]="";"";BUSCARV([@SBAN];Cronograma_Maestro!$A:$M;2;FALSO))</f>
        <v/>
      </c>
      <c r="C529" s="12">
        <f>SI([@SBAN]="";"";BUSCARV([@SBAN];Cronograma_Maestro!$A:$M;3;FALSO))</f>
        <v/>
      </c>
      <c r="D529" s="12">
        <f>SI([@SBAN]="";"";BUSCARV([@SBAN];Cronograma_Maestro!$A:$M;4;FALSO))</f>
        <v/>
      </c>
      <c r="E529" s="12">
        <f>SI([@SBAN]="";"";BUSCARV([@SBAN];Cronograma_Maestro!$A:$M;5;FALSO))</f>
        <v/>
      </c>
      <c r="F529" s="12" t="inlineStr">
        <is>
          <t>Ali Kassem Issa Sierra</t>
        </is>
      </c>
      <c r="G529" s="12" t="inlineStr">
        <is>
          <t>PMU COLSOF</t>
        </is>
      </c>
      <c r="H529" s="13" t="n">
        <v>46273</v>
      </c>
      <c r="I529" s="13" t="n">
        <v>46273</v>
      </c>
      <c r="J529" s="13" t="n"/>
      <c r="K529" s="13" t="n"/>
      <c r="L529" s="12" t="inlineStr">
        <is>
          <t>Programada</t>
        </is>
      </c>
      <c r="M529" s="13" t="n"/>
      <c r="N529" s="14">
        <f>SI(O([@[Fecha_Programada_Inicio]]="";[@[Fecha_Inicio_Real]]="");"";SI([@[Fecha_Inicio_Real]]&lt;=[@[Fecha_Programada_Inicio]];"SÍ";"NO"))</f>
        <v/>
      </c>
      <c r="O529" s="14">
        <f>SI(O([@[Fecha_Programada_Fin]]="";[@[Fecha_Cierre_Operativo]]="");"";SI([@[Fecha_Cierre_Operativo]]&lt;=SI([@[Fecha_Nueva_Programada]]&lt;&gt;"";[@[Fecha_Nueva_Programada]];[@[Fecha_Programada_Fin]]);"SÍ";"NO"))</f>
        <v/>
      </c>
      <c r="P529" s="14">
        <f>SI(O([@[Cumpli_Ingreso]]="";[@[Cumpli_Salida]]="");"";SI(Y([@[Cumpli_Ingreso]]="SÍ";[@[Cumpli_Salida]]="SÍ");"SÍ";"NO"))</f>
        <v/>
      </c>
      <c r="Q529" s="15">
        <f>SI(O([@[Fecha_Programada_Fin]]="";[@[Fecha_Cierre_Operativo]]="");"";MAX(0;ENTERO([@[Fecha_Cierre_Operativo]])-ENTERO(SI([@[Fecha_Nueva_Programada]]&lt;&gt;"";[@[Fecha_Nueva_Programada]];[@[Fecha_Programada_Fin]])))</f>
        <v/>
      </c>
      <c r="R529" s="12" t="n"/>
      <c r="S529" s="12" t="n"/>
      <c r="T529" s="13" t="n"/>
      <c r="U529" s="12" t="n">
        <v>13</v>
      </c>
      <c r="V529" s="12" t="n"/>
      <c r="W52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29" s="14">
        <f>SI([@SBAN]="";"";BUSCARV([@SBAN];Cronograma_Maestro!$A:$M;6;FALSO))</f>
        <v/>
      </c>
    </row>
    <row r="530">
      <c r="A530" s="11" t="inlineStr">
        <is>
          <t>5108</t>
        </is>
      </c>
      <c r="B530" s="12">
        <f>SI([@SBAN]="";"";BUSCARV([@SBAN];Cronograma_Maestro!$A:$M;2;FALSO))</f>
        <v/>
      </c>
      <c r="C530" s="12">
        <f>SI([@SBAN]="";"";BUSCARV([@SBAN];Cronograma_Maestro!$A:$M;3;FALSO))</f>
        <v/>
      </c>
      <c r="D530" s="12">
        <f>SI([@SBAN]="";"";BUSCARV([@SBAN];Cronograma_Maestro!$A:$M;4;FALSO))</f>
        <v/>
      </c>
      <c r="E530" s="12">
        <f>SI([@SBAN]="";"";BUSCARV([@SBAN];Cronograma_Maestro!$A:$M;5;FALSO))</f>
        <v/>
      </c>
      <c r="F530" s="12" t="inlineStr">
        <is>
          <t>Juan Alfonso Cuberos Buendia</t>
        </is>
      </c>
      <c r="G530" s="12" t="inlineStr">
        <is>
          <t>PMU COLSOF</t>
        </is>
      </c>
      <c r="H530" s="13" t="n">
        <v>46309</v>
      </c>
      <c r="I530" s="13" t="n">
        <v>46309</v>
      </c>
      <c r="J530" s="13" t="n"/>
      <c r="K530" s="13" t="n"/>
      <c r="L530" s="12" t="inlineStr">
        <is>
          <t>Programada</t>
        </is>
      </c>
      <c r="M530" s="13" t="n"/>
      <c r="N530" s="14">
        <f>SI(O([@[Fecha_Programada_Inicio]]="";[@[Fecha_Inicio_Real]]="");"";SI([@[Fecha_Inicio_Real]]&lt;=[@[Fecha_Programada_Inicio]];"SÍ";"NO"))</f>
        <v/>
      </c>
      <c r="O530" s="14">
        <f>SI(O([@[Fecha_Programada_Fin]]="";[@[Fecha_Cierre_Operativo]]="");"";SI([@[Fecha_Cierre_Operativo]]&lt;=SI([@[Fecha_Nueva_Programada]]&lt;&gt;"";[@[Fecha_Nueva_Programada]];[@[Fecha_Programada_Fin]]);"SÍ";"NO"))</f>
        <v/>
      </c>
      <c r="P530" s="14">
        <f>SI(O([@[Cumpli_Ingreso]]="";[@[Cumpli_Salida]]="");"";SI(Y([@[Cumpli_Ingreso]]="SÍ";[@[Cumpli_Salida]]="SÍ");"SÍ";"NO"))</f>
        <v/>
      </c>
      <c r="Q530" s="15">
        <f>SI(O([@[Fecha_Programada_Fin]]="";[@[Fecha_Cierre_Operativo]]="");"";MAX(0;ENTERO([@[Fecha_Cierre_Operativo]])-ENTERO(SI([@[Fecha_Nueva_Programada]]&lt;&gt;"";[@[Fecha_Nueva_Programada]];[@[Fecha_Programada_Fin]])))</f>
        <v/>
      </c>
      <c r="R530" s="12" t="n"/>
      <c r="S530" s="12" t="n"/>
      <c r="T530" s="13" t="n"/>
      <c r="U530" s="12" t="n">
        <v>12</v>
      </c>
      <c r="V530" s="12" t="n"/>
      <c r="W53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30" s="14">
        <f>SI([@SBAN]="";"";BUSCARV([@SBAN];Cronograma_Maestro!$A:$M;6;FALSO))</f>
        <v/>
      </c>
    </row>
    <row r="531">
      <c r="A531" s="11" t="inlineStr">
        <is>
          <t>5110</t>
        </is>
      </c>
      <c r="B531" s="12">
        <f>SI([@SBAN]="";"";BUSCARV([@SBAN];Cronograma_Maestro!$A:$M;2;FALSO))</f>
        <v/>
      </c>
      <c r="C531" s="12">
        <f>SI([@SBAN]="";"";BUSCARV([@SBAN];Cronograma_Maestro!$A:$M;3;FALSO))</f>
        <v/>
      </c>
      <c r="D531" s="12">
        <f>SI([@SBAN]="";"";BUSCARV([@SBAN];Cronograma_Maestro!$A:$M;4;FALSO))</f>
        <v/>
      </c>
      <c r="E531" s="12">
        <f>SI([@SBAN]="";"";BUSCARV([@SBAN];Cronograma_Maestro!$A:$M;5;FALSO))</f>
        <v/>
      </c>
      <c r="F531" s="12" t="inlineStr">
        <is>
          <t>Ali Kassem Issa Sierra</t>
        </is>
      </c>
      <c r="G531" s="12" t="inlineStr">
        <is>
          <t>PMU COLSOF</t>
        </is>
      </c>
      <c r="H531" s="13" t="n">
        <v>46274</v>
      </c>
      <c r="I531" s="13" t="n">
        <v>46276</v>
      </c>
      <c r="J531" s="13" t="n"/>
      <c r="K531" s="13" t="n"/>
      <c r="L531" s="12" t="inlineStr">
        <is>
          <t>Programada</t>
        </is>
      </c>
      <c r="M531" s="13" t="n"/>
      <c r="N531" s="14">
        <f>SI(O([@[Fecha_Programada_Inicio]]="";[@[Fecha_Inicio_Real]]="");"";SI([@[Fecha_Inicio_Real]]&lt;=[@[Fecha_Programada_Inicio]];"SÍ";"NO"))</f>
        <v/>
      </c>
      <c r="O531" s="14">
        <f>SI(O([@[Fecha_Programada_Fin]]="";[@[Fecha_Cierre_Operativo]]="");"";SI([@[Fecha_Cierre_Operativo]]&lt;=SI([@[Fecha_Nueva_Programada]]&lt;&gt;"";[@[Fecha_Nueva_Programada]];[@[Fecha_Programada_Fin]]);"SÍ";"NO"))</f>
        <v/>
      </c>
      <c r="P531" s="14">
        <f>SI(O([@[Cumpli_Ingreso]]="";[@[Cumpli_Salida]]="");"";SI(Y([@[Cumpli_Ingreso]]="SÍ";[@[Cumpli_Salida]]="SÍ");"SÍ";"NO"))</f>
        <v/>
      </c>
      <c r="Q531" s="15">
        <f>SI(O([@[Fecha_Programada_Fin]]="";[@[Fecha_Cierre_Operativo]]="");"";MAX(0;ENTERO([@[Fecha_Cierre_Operativo]])-ENTERO(SI([@[Fecha_Nueva_Programada]]&lt;&gt;"";[@[Fecha_Nueva_Programada]];[@[Fecha_Programada_Fin]])))</f>
        <v/>
      </c>
      <c r="R531" s="12" t="n"/>
      <c r="S531" s="12" t="n"/>
      <c r="T531" s="13" t="n"/>
      <c r="U531" s="12" t="n">
        <v>26</v>
      </c>
      <c r="V531" s="12" t="n"/>
      <c r="W53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31" s="14">
        <f>SI([@SBAN]="";"";BUSCARV([@SBAN];Cronograma_Maestro!$A:$M;6;FALSO))</f>
        <v/>
      </c>
    </row>
    <row r="532">
      <c r="A532" s="11" t="inlineStr">
        <is>
          <t>5111</t>
        </is>
      </c>
      <c r="B532" s="12">
        <f>SI([@SBAN]="";"";BUSCARV([@SBAN];Cronograma_Maestro!$A:$M;2;FALSO))</f>
        <v/>
      </c>
      <c r="C532" s="12">
        <f>SI([@SBAN]="";"";BUSCARV([@SBAN];Cronograma_Maestro!$A:$M;3;FALSO))</f>
        <v/>
      </c>
      <c r="D532" s="12">
        <f>SI([@SBAN]="";"";BUSCARV([@SBAN];Cronograma_Maestro!$A:$M;4;FALSO))</f>
        <v/>
      </c>
      <c r="E532" s="12">
        <f>SI([@SBAN]="";"";BUSCARV([@SBAN];Cronograma_Maestro!$A:$M;5;FALSO))</f>
        <v/>
      </c>
      <c r="F532" s="12" t="inlineStr">
        <is>
          <t>Juan Alfonso Cuberos Buendia</t>
        </is>
      </c>
      <c r="G532" s="12" t="inlineStr">
        <is>
          <t>PMU COLSOF</t>
        </is>
      </c>
      <c r="H532" s="13" t="n">
        <v>46293</v>
      </c>
      <c r="I532" s="13" t="n">
        <v>46294</v>
      </c>
      <c r="J532" s="13" t="n"/>
      <c r="K532" s="13" t="n"/>
      <c r="L532" s="12" t="inlineStr">
        <is>
          <t>Programada</t>
        </is>
      </c>
      <c r="M532" s="13" t="n"/>
      <c r="N532" s="14">
        <f>SI(O([@[Fecha_Programada_Inicio]]="";[@[Fecha_Inicio_Real]]="");"";SI([@[Fecha_Inicio_Real]]&lt;=[@[Fecha_Programada_Inicio]];"SÍ";"NO"))</f>
        <v/>
      </c>
      <c r="O532" s="14">
        <f>SI(O([@[Fecha_Programada_Fin]]="";[@[Fecha_Cierre_Operativo]]="");"";SI([@[Fecha_Cierre_Operativo]]&lt;=SI([@[Fecha_Nueva_Programada]]&lt;&gt;"";[@[Fecha_Nueva_Programada]];[@[Fecha_Programada_Fin]]);"SÍ";"NO"))</f>
        <v/>
      </c>
      <c r="P532" s="14">
        <f>SI(O([@[Cumpli_Ingreso]]="";[@[Cumpli_Salida]]="");"";SI(Y([@[Cumpli_Ingreso]]="SÍ";[@[Cumpli_Salida]]="SÍ");"SÍ";"NO"))</f>
        <v/>
      </c>
      <c r="Q532" s="15">
        <f>SI(O([@[Fecha_Programada_Fin]]="";[@[Fecha_Cierre_Operativo]]="");"";MAX(0;ENTERO([@[Fecha_Cierre_Operativo]])-ENTERO(SI([@[Fecha_Nueva_Programada]]&lt;&gt;"";[@[Fecha_Nueva_Programada]];[@[Fecha_Programada_Fin]])))</f>
        <v/>
      </c>
      <c r="R532" s="12" t="n"/>
      <c r="S532" s="12" t="n"/>
      <c r="T532" s="13" t="n"/>
      <c r="U532" s="12" t="n">
        <v>19</v>
      </c>
      <c r="V532" s="12" t="n"/>
      <c r="W53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32" s="14">
        <f>SI([@SBAN]="";"";BUSCARV([@SBAN];Cronograma_Maestro!$A:$M;6;FALSO))</f>
        <v/>
      </c>
    </row>
    <row r="533">
      <c r="A533" s="11" t="inlineStr">
        <is>
          <t>5112</t>
        </is>
      </c>
      <c r="B533" s="12">
        <f>SI([@SBAN]="";"";BUSCARV([@SBAN];Cronograma_Maestro!$A:$M;2;FALSO))</f>
        <v/>
      </c>
      <c r="C533" s="12">
        <f>SI([@SBAN]="";"";BUSCARV([@SBAN];Cronograma_Maestro!$A:$M;3;FALSO))</f>
        <v/>
      </c>
      <c r="D533" s="12">
        <f>SI([@SBAN]="";"";BUSCARV([@SBAN];Cronograma_Maestro!$A:$M;4;FALSO))</f>
        <v/>
      </c>
      <c r="E533" s="12">
        <f>SI([@SBAN]="";"";BUSCARV([@SBAN];Cronograma_Maestro!$A:$M;5;FALSO))</f>
        <v/>
      </c>
      <c r="F533" s="12" t="inlineStr">
        <is>
          <t>Ali Kassem Issa Sierra</t>
        </is>
      </c>
      <c r="G533" s="12" t="inlineStr">
        <is>
          <t>PMU COLSOF</t>
        </is>
      </c>
      <c r="H533" s="13" t="n">
        <v>46288</v>
      </c>
      <c r="I533" s="13" t="n">
        <v>46288</v>
      </c>
      <c r="J533" s="13" t="n"/>
      <c r="K533" s="13" t="n"/>
      <c r="L533" s="12" t="inlineStr">
        <is>
          <t>Programada</t>
        </is>
      </c>
      <c r="M533" s="13" t="n"/>
      <c r="N533" s="14">
        <f>SI(O([@[Fecha_Programada_Inicio]]="";[@[Fecha_Inicio_Real]]="");"";SI([@[Fecha_Inicio_Real]]&lt;=[@[Fecha_Programada_Inicio]];"SÍ";"NO"))</f>
        <v/>
      </c>
      <c r="O533" s="14">
        <f>SI(O([@[Fecha_Programada_Fin]]="";[@[Fecha_Cierre_Operativo]]="");"";SI([@[Fecha_Cierre_Operativo]]&lt;=SI([@[Fecha_Nueva_Programada]]&lt;&gt;"";[@[Fecha_Nueva_Programada]];[@[Fecha_Programada_Fin]]);"SÍ";"NO"))</f>
        <v/>
      </c>
      <c r="P533" s="14">
        <f>SI(O([@[Cumpli_Ingreso]]="";[@[Cumpli_Salida]]="");"";SI(Y([@[Cumpli_Ingreso]]="SÍ";[@[Cumpli_Salida]]="SÍ");"SÍ";"NO"))</f>
        <v/>
      </c>
      <c r="Q533" s="15">
        <f>SI(O([@[Fecha_Programada_Fin]]="";[@[Fecha_Cierre_Operativo]]="");"";MAX(0;ENTERO([@[Fecha_Cierre_Operativo]])-ENTERO(SI([@[Fecha_Nueva_Programada]]&lt;&gt;"";[@[Fecha_Nueva_Programada]];[@[Fecha_Programada_Fin]])))</f>
        <v/>
      </c>
      <c r="R533" s="12" t="n"/>
      <c r="S533" s="12" t="n"/>
      <c r="T533" s="13" t="n"/>
      <c r="U533" s="12" t="n">
        <v>12</v>
      </c>
      <c r="V533" s="12" t="n"/>
      <c r="W53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33" s="14">
        <f>SI([@SBAN]="";"";BUSCARV([@SBAN];Cronograma_Maestro!$A:$M;6;FALSO))</f>
        <v/>
      </c>
    </row>
    <row r="534">
      <c r="A534" s="11" t="inlineStr">
        <is>
          <t>5113</t>
        </is>
      </c>
      <c r="B534" s="12">
        <f>SI([@SBAN]="";"";BUSCARV([@SBAN];Cronograma_Maestro!$A:$M;2;FALSO))</f>
        <v/>
      </c>
      <c r="C534" s="12">
        <f>SI([@SBAN]="";"";BUSCARV([@SBAN];Cronograma_Maestro!$A:$M;3;FALSO))</f>
        <v/>
      </c>
      <c r="D534" s="12">
        <f>SI([@SBAN]="";"";BUSCARV([@SBAN];Cronograma_Maestro!$A:$M;4;FALSO))</f>
        <v/>
      </c>
      <c r="E534" s="12">
        <f>SI([@SBAN]="";"";BUSCARV([@SBAN];Cronograma_Maestro!$A:$M;5;FALSO))</f>
        <v/>
      </c>
      <c r="F534" s="12" t="inlineStr">
        <is>
          <t>CRISTIAN VARGAS RODRIGUEZ</t>
        </is>
      </c>
      <c r="G534" s="12" t="inlineStr">
        <is>
          <t>PMU COLSOF</t>
        </is>
      </c>
      <c r="H534" s="13" t="n">
        <v>46315</v>
      </c>
      <c r="I534" s="13" t="n">
        <v>46318</v>
      </c>
      <c r="J534" s="13" t="n"/>
      <c r="K534" s="13" t="n"/>
      <c r="L534" s="12" t="inlineStr">
        <is>
          <t>Programada</t>
        </is>
      </c>
      <c r="M534" s="13" t="n"/>
      <c r="N534" s="14">
        <f>SI(O([@[Fecha_Programada_Inicio]]="";[@[Fecha_Inicio_Real]]="");"";SI([@[Fecha_Inicio_Real]]&lt;=[@[Fecha_Programada_Inicio]];"SÍ";"NO"))</f>
        <v/>
      </c>
      <c r="O534" s="14">
        <f>SI(O([@[Fecha_Programada_Fin]]="";[@[Fecha_Cierre_Operativo]]="");"";SI([@[Fecha_Cierre_Operativo]]&lt;=SI([@[Fecha_Nueva_Programada]]&lt;&gt;"";[@[Fecha_Nueva_Programada]];[@[Fecha_Programada_Fin]]);"SÍ";"NO"))</f>
        <v/>
      </c>
      <c r="P534" s="14">
        <f>SI(O([@[Cumpli_Ingreso]]="";[@[Cumpli_Salida]]="");"";SI(Y([@[Cumpli_Ingreso]]="SÍ";[@[Cumpli_Salida]]="SÍ");"SÍ";"NO"))</f>
        <v/>
      </c>
      <c r="Q534" s="15">
        <f>SI(O([@[Fecha_Programada_Fin]]="";[@[Fecha_Cierre_Operativo]]="");"";MAX(0;ENTERO([@[Fecha_Cierre_Operativo]])-ENTERO(SI([@[Fecha_Nueva_Programada]]&lt;&gt;"";[@[Fecha_Nueva_Programada]];[@[Fecha_Programada_Fin]])))</f>
        <v/>
      </c>
      <c r="R534" s="12" t="n"/>
      <c r="S534" s="12" t="n"/>
      <c r="T534" s="13" t="n"/>
      <c r="U534" s="12" t="n">
        <v>21</v>
      </c>
      <c r="V534" s="12" t="n"/>
      <c r="W53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34" s="14">
        <f>SI([@SBAN]="";"";BUSCARV([@SBAN];Cronograma_Maestro!$A:$M;6;FALSO))</f>
        <v/>
      </c>
    </row>
    <row r="535">
      <c r="A535" s="11" t="inlineStr">
        <is>
          <t>5114</t>
        </is>
      </c>
      <c r="B535" s="12">
        <f>SI([@SBAN]="";"";BUSCARV([@SBAN];Cronograma_Maestro!$A:$M;2;FALSO))</f>
        <v/>
      </c>
      <c r="C535" s="12">
        <f>SI([@SBAN]="";"";BUSCARV([@SBAN];Cronograma_Maestro!$A:$M;3;FALSO))</f>
        <v/>
      </c>
      <c r="D535" s="12">
        <f>SI([@SBAN]="";"";BUSCARV([@SBAN];Cronograma_Maestro!$A:$M;4;FALSO))</f>
        <v/>
      </c>
      <c r="E535" s="12">
        <f>SI([@SBAN]="";"";BUSCARV([@SBAN];Cronograma_Maestro!$A:$M;5;FALSO))</f>
        <v/>
      </c>
      <c r="F535" s="12" t="inlineStr">
        <is>
          <t>Ali Kassem Issa Sierra</t>
        </is>
      </c>
      <c r="G535" s="12" t="inlineStr">
        <is>
          <t>PMU COLSOF</t>
        </is>
      </c>
      <c r="H535" s="13" t="n">
        <v>46309</v>
      </c>
      <c r="I535" s="13" t="n">
        <v>46309</v>
      </c>
      <c r="J535" s="13" t="n"/>
      <c r="K535" s="13" t="n"/>
      <c r="L535" s="12" t="inlineStr">
        <is>
          <t>Programada</t>
        </is>
      </c>
      <c r="M535" s="13" t="n"/>
      <c r="N535" s="14">
        <f>SI(O([@[Fecha_Programada_Inicio]]="";[@[Fecha_Inicio_Real]]="");"";SI([@[Fecha_Inicio_Real]]&lt;=[@[Fecha_Programada_Inicio]];"SÍ";"NO"))</f>
        <v/>
      </c>
      <c r="O535" s="14">
        <f>SI(O([@[Fecha_Programada_Fin]]="";[@[Fecha_Cierre_Operativo]]="");"";SI([@[Fecha_Cierre_Operativo]]&lt;=SI([@[Fecha_Nueva_Programada]]&lt;&gt;"";[@[Fecha_Nueva_Programada]];[@[Fecha_Programada_Fin]]);"SÍ";"NO"))</f>
        <v/>
      </c>
      <c r="P535" s="14">
        <f>SI(O([@[Cumpli_Ingreso]]="";[@[Cumpli_Salida]]="");"";SI(Y([@[Cumpli_Ingreso]]="SÍ";[@[Cumpli_Salida]]="SÍ");"SÍ";"NO"))</f>
        <v/>
      </c>
      <c r="Q535" s="15">
        <f>SI(O([@[Fecha_Programada_Fin]]="";[@[Fecha_Cierre_Operativo]]="");"";MAX(0;ENTERO([@[Fecha_Cierre_Operativo]])-ENTERO(SI([@[Fecha_Nueva_Programada]]&lt;&gt;"";[@[Fecha_Nueva_Programada]];[@[Fecha_Programada_Fin]])))</f>
        <v/>
      </c>
      <c r="R535" s="12" t="n"/>
      <c r="S535" s="12" t="n"/>
      <c r="T535" s="13" t="n"/>
      <c r="U535" s="12" t="n">
        <v>12</v>
      </c>
      <c r="V535" s="12" t="n"/>
      <c r="W53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35" s="14">
        <f>SI([@SBAN]="";"";BUSCARV([@SBAN];Cronograma_Maestro!$A:$M;6;FALSO))</f>
        <v/>
      </c>
    </row>
    <row r="536">
      <c r="A536" s="11" t="inlineStr">
        <is>
          <t>5115</t>
        </is>
      </c>
      <c r="B536" s="12">
        <f>SI([@SBAN]="";"";BUSCARV([@SBAN];Cronograma_Maestro!$A:$M;2;FALSO))</f>
        <v/>
      </c>
      <c r="C536" s="12">
        <f>SI([@SBAN]="";"";BUSCARV([@SBAN];Cronograma_Maestro!$A:$M;3;FALSO))</f>
        <v/>
      </c>
      <c r="D536" s="12">
        <f>SI([@SBAN]="";"";BUSCARV([@SBAN];Cronograma_Maestro!$A:$M;4;FALSO))</f>
        <v/>
      </c>
      <c r="E536" s="12">
        <f>SI([@SBAN]="";"";BUSCARV([@SBAN];Cronograma_Maestro!$A:$M;5;FALSO))</f>
        <v/>
      </c>
      <c r="F536" s="12" t="inlineStr">
        <is>
          <t>Ali Kassem Issa Sierra</t>
        </is>
      </c>
      <c r="G536" s="12" t="inlineStr">
        <is>
          <t>PMU COLSOF</t>
        </is>
      </c>
      <c r="H536" s="13" t="n">
        <v>46336</v>
      </c>
      <c r="I536" s="13" t="n">
        <v>46337</v>
      </c>
      <c r="J536" s="13" t="n"/>
      <c r="K536" s="13" t="n"/>
      <c r="L536" s="12" t="inlineStr">
        <is>
          <t>Programada</t>
        </is>
      </c>
      <c r="M536" s="13" t="n"/>
      <c r="N536" s="14">
        <f>SI(O([@[Fecha_Programada_Inicio]]="";[@[Fecha_Inicio_Real]]="");"";SI([@[Fecha_Inicio_Real]]&lt;=[@[Fecha_Programada_Inicio]];"SÍ";"NO"))</f>
        <v/>
      </c>
      <c r="O536" s="14">
        <f>SI(O([@[Fecha_Programada_Fin]]="";[@[Fecha_Cierre_Operativo]]="");"";SI([@[Fecha_Cierre_Operativo]]&lt;=SI([@[Fecha_Nueva_Programada]]&lt;&gt;"";[@[Fecha_Nueva_Programada]];[@[Fecha_Programada_Fin]]);"SÍ";"NO"))</f>
        <v/>
      </c>
      <c r="P536" s="14">
        <f>SI(O([@[Cumpli_Ingreso]]="";[@[Cumpli_Salida]]="");"";SI(Y([@[Cumpli_Ingreso]]="SÍ";[@[Cumpli_Salida]]="SÍ");"SÍ";"NO"))</f>
        <v/>
      </c>
      <c r="Q536" s="15">
        <f>SI(O([@[Fecha_Programada_Fin]]="";[@[Fecha_Cierre_Operativo]]="");"";MAX(0;ENTERO([@[Fecha_Cierre_Operativo]])-ENTERO(SI([@[Fecha_Nueva_Programada]]&lt;&gt;"";[@[Fecha_Nueva_Programada]];[@[Fecha_Programada_Fin]])))</f>
        <v/>
      </c>
      <c r="R536" s="12" t="n"/>
      <c r="S536" s="12" t="n"/>
      <c r="T536" s="13" t="n"/>
      <c r="U536" s="12" t="n">
        <v>19</v>
      </c>
      <c r="V536" s="12" t="n"/>
      <c r="W53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36" s="14">
        <f>SI([@SBAN]="";"";BUSCARV([@SBAN];Cronograma_Maestro!$A:$M;6;FALSO))</f>
        <v/>
      </c>
    </row>
    <row r="537">
      <c r="A537" s="11" t="inlineStr">
        <is>
          <t>5116</t>
        </is>
      </c>
      <c r="B537" s="12">
        <f>SI([@SBAN]="";"";BUSCARV([@SBAN];Cronograma_Maestro!$A:$M;2;FALSO))</f>
        <v/>
      </c>
      <c r="C537" s="12">
        <f>SI([@SBAN]="";"";BUSCARV([@SBAN];Cronograma_Maestro!$A:$M;3;FALSO))</f>
        <v/>
      </c>
      <c r="D537" s="12">
        <f>SI([@SBAN]="";"";BUSCARV([@SBAN];Cronograma_Maestro!$A:$M;4;FALSO))</f>
        <v/>
      </c>
      <c r="E537" s="12">
        <f>SI([@SBAN]="";"";BUSCARV([@SBAN];Cronograma_Maestro!$A:$M;5;FALSO))</f>
        <v/>
      </c>
      <c r="F537" s="12" t="inlineStr">
        <is>
          <t>Juan Alfonso Cuberos Buendia</t>
        </is>
      </c>
      <c r="G537" s="12" t="inlineStr">
        <is>
          <t>PMU COLSOF</t>
        </is>
      </c>
      <c r="H537" s="13" t="n">
        <v>46279</v>
      </c>
      <c r="I537" s="13" t="n">
        <v>46280</v>
      </c>
      <c r="J537" s="13" t="n"/>
      <c r="K537" s="13" t="n"/>
      <c r="L537" s="12" t="inlineStr">
        <is>
          <t>Programada</t>
        </is>
      </c>
      <c r="M537" s="13" t="n"/>
      <c r="N537" s="14">
        <f>SI(O([@[Fecha_Programada_Inicio]]="";[@[Fecha_Inicio_Real]]="");"";SI([@[Fecha_Inicio_Real]]&lt;=[@[Fecha_Programada_Inicio]];"SÍ";"NO"))</f>
        <v/>
      </c>
      <c r="O537" s="14">
        <f>SI(O([@[Fecha_Programada_Fin]]="";[@[Fecha_Cierre_Operativo]]="");"";SI([@[Fecha_Cierre_Operativo]]&lt;=SI([@[Fecha_Nueva_Programada]]&lt;&gt;"";[@[Fecha_Nueva_Programada]];[@[Fecha_Programada_Fin]]);"SÍ";"NO"))</f>
        <v/>
      </c>
      <c r="P537" s="14">
        <f>SI(O([@[Cumpli_Ingreso]]="";[@[Cumpli_Salida]]="");"";SI(Y([@[Cumpli_Ingreso]]="SÍ";[@[Cumpli_Salida]]="SÍ");"SÍ";"NO"))</f>
        <v/>
      </c>
      <c r="Q537" s="15">
        <f>SI(O([@[Fecha_Programada_Fin]]="";[@[Fecha_Cierre_Operativo]]="");"";MAX(0;ENTERO([@[Fecha_Cierre_Operativo]])-ENTERO(SI([@[Fecha_Nueva_Programada]]&lt;&gt;"";[@[Fecha_Nueva_Programada]];[@[Fecha_Programada_Fin]])))</f>
        <v/>
      </c>
      <c r="R537" s="12" t="n"/>
      <c r="S537" s="12" t="n"/>
      <c r="T537" s="13" t="n"/>
      <c r="U537" s="12" t="n">
        <v>21</v>
      </c>
      <c r="V537" s="12" t="n"/>
      <c r="W53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37" s="14">
        <f>SI([@SBAN]="";"";BUSCARV([@SBAN];Cronograma_Maestro!$A:$M;6;FALSO))</f>
        <v/>
      </c>
    </row>
    <row r="538">
      <c r="A538" s="11" t="inlineStr">
        <is>
          <t>5117</t>
        </is>
      </c>
      <c r="B538" s="12">
        <f>SI([@SBAN]="";"";BUSCARV([@SBAN];Cronograma_Maestro!$A:$M;2;FALSO))</f>
        <v/>
      </c>
      <c r="C538" s="12">
        <f>SI([@SBAN]="";"";BUSCARV([@SBAN];Cronograma_Maestro!$A:$M;3;FALSO))</f>
        <v/>
      </c>
      <c r="D538" s="12">
        <f>SI([@SBAN]="";"";BUSCARV([@SBAN];Cronograma_Maestro!$A:$M;4;FALSO))</f>
        <v/>
      </c>
      <c r="E538" s="12">
        <f>SI([@SBAN]="";"";BUSCARV([@SBAN];Cronograma_Maestro!$A:$M;5;FALSO))</f>
        <v/>
      </c>
      <c r="F538" s="12" t="inlineStr">
        <is>
          <t>Ali Kassem Issa Sierra</t>
        </is>
      </c>
      <c r="G538" s="12" t="inlineStr">
        <is>
          <t>PMU COLSOF</t>
        </is>
      </c>
      <c r="H538" s="13" t="n">
        <v>46289</v>
      </c>
      <c r="I538" s="13" t="n">
        <v>46290</v>
      </c>
      <c r="J538" s="13" t="n"/>
      <c r="K538" s="13" t="n"/>
      <c r="L538" s="12" t="inlineStr">
        <is>
          <t>Programada</t>
        </is>
      </c>
      <c r="M538" s="13" t="n"/>
      <c r="N538" s="14">
        <f>SI(O([@[Fecha_Programada_Inicio]]="";[@[Fecha_Inicio_Real]]="");"";SI([@[Fecha_Inicio_Real]]&lt;=[@[Fecha_Programada_Inicio]];"SÍ";"NO"))</f>
        <v/>
      </c>
      <c r="O538" s="14">
        <f>SI(O([@[Fecha_Programada_Fin]]="";[@[Fecha_Cierre_Operativo]]="");"";SI([@[Fecha_Cierre_Operativo]]&lt;=SI([@[Fecha_Nueva_Programada]]&lt;&gt;"";[@[Fecha_Nueva_Programada]];[@[Fecha_Programada_Fin]]);"SÍ";"NO"))</f>
        <v/>
      </c>
      <c r="P538" s="14">
        <f>SI(O([@[Cumpli_Ingreso]]="";[@[Cumpli_Salida]]="");"";SI(Y([@[Cumpli_Ingreso]]="SÍ";[@[Cumpli_Salida]]="SÍ");"SÍ";"NO"))</f>
        <v/>
      </c>
      <c r="Q538" s="15">
        <f>SI(O([@[Fecha_Programada_Fin]]="";[@[Fecha_Cierre_Operativo]]="");"";MAX(0;ENTERO([@[Fecha_Cierre_Operativo]])-ENTERO(SI([@[Fecha_Nueva_Programada]]&lt;&gt;"";[@[Fecha_Nueva_Programada]];[@[Fecha_Programada_Fin]])))</f>
        <v/>
      </c>
      <c r="R538" s="12" t="n"/>
      <c r="S538" s="12" t="n"/>
      <c r="T538" s="13" t="n"/>
      <c r="U538" s="12" t="n">
        <v>14</v>
      </c>
      <c r="V538" s="12" t="n"/>
      <c r="W53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38" s="14">
        <f>SI([@SBAN]="";"";BUSCARV([@SBAN];Cronograma_Maestro!$A:$M;6;FALSO))</f>
        <v/>
      </c>
    </row>
    <row r="539">
      <c r="A539" s="11" t="inlineStr">
        <is>
          <t>5118</t>
        </is>
      </c>
      <c r="B539" s="12">
        <f>SI([@SBAN]="";"";BUSCARV([@SBAN];Cronograma_Maestro!$A:$M;2;FALSO))</f>
        <v/>
      </c>
      <c r="C539" s="12">
        <f>SI([@SBAN]="";"";BUSCARV([@SBAN];Cronograma_Maestro!$A:$M;3;FALSO))</f>
        <v/>
      </c>
      <c r="D539" s="12">
        <f>SI([@SBAN]="";"";BUSCARV([@SBAN];Cronograma_Maestro!$A:$M;4;FALSO))</f>
        <v/>
      </c>
      <c r="E539" s="12">
        <f>SI([@SBAN]="";"";BUSCARV([@SBAN];Cronograma_Maestro!$A:$M;5;FALSO))</f>
        <v/>
      </c>
      <c r="F539" s="12" t="inlineStr">
        <is>
          <t>Ali Kassem Issa Sierra</t>
        </is>
      </c>
      <c r="G539" s="12" t="inlineStr">
        <is>
          <t>PMU COLSOF</t>
        </is>
      </c>
      <c r="H539" s="13" t="n">
        <v>46280</v>
      </c>
      <c r="I539" s="13" t="n">
        <v>46280</v>
      </c>
      <c r="J539" s="13" t="n"/>
      <c r="K539" s="13" t="n"/>
      <c r="L539" s="12" t="inlineStr">
        <is>
          <t>Programada</t>
        </is>
      </c>
      <c r="M539" s="13" t="n"/>
      <c r="N539" s="14">
        <f>SI(O([@[Fecha_Programada_Inicio]]="";[@[Fecha_Inicio_Real]]="");"";SI([@[Fecha_Inicio_Real]]&lt;=[@[Fecha_Programada_Inicio]];"SÍ";"NO"))</f>
        <v/>
      </c>
      <c r="O539" s="14">
        <f>SI(O([@[Fecha_Programada_Fin]]="";[@[Fecha_Cierre_Operativo]]="");"";SI([@[Fecha_Cierre_Operativo]]&lt;=SI([@[Fecha_Nueva_Programada]]&lt;&gt;"";[@[Fecha_Nueva_Programada]];[@[Fecha_Programada_Fin]]);"SÍ";"NO"))</f>
        <v/>
      </c>
      <c r="P539" s="14">
        <f>SI(O([@[Cumpli_Ingreso]]="";[@[Cumpli_Salida]]="");"";SI(Y([@[Cumpli_Ingreso]]="SÍ";[@[Cumpli_Salida]]="SÍ");"SÍ";"NO"))</f>
        <v/>
      </c>
      <c r="Q539" s="15">
        <f>SI(O([@[Fecha_Programada_Fin]]="";[@[Fecha_Cierre_Operativo]]="");"";MAX(0;ENTERO([@[Fecha_Cierre_Operativo]])-ENTERO(SI([@[Fecha_Nueva_Programada]]&lt;&gt;"";[@[Fecha_Nueva_Programada]];[@[Fecha_Programada_Fin]])))</f>
        <v/>
      </c>
      <c r="R539" s="12" t="n"/>
      <c r="S539" s="12" t="n"/>
      <c r="T539" s="13" t="n"/>
      <c r="U539" s="12" t="n">
        <v>12</v>
      </c>
      <c r="V539" s="12" t="n"/>
      <c r="W53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39" s="14">
        <f>SI([@SBAN]="";"";BUSCARV([@SBAN];Cronograma_Maestro!$A:$M;6;FALSO))</f>
        <v/>
      </c>
    </row>
    <row r="540">
      <c r="A540" s="11" t="inlineStr">
        <is>
          <t>5119</t>
        </is>
      </c>
      <c r="B540" s="12">
        <f>SI([@SBAN]="";"";BUSCARV([@SBAN];Cronograma_Maestro!$A:$M;2;FALSO))</f>
        <v/>
      </c>
      <c r="C540" s="12">
        <f>SI([@SBAN]="";"";BUSCARV([@SBAN];Cronograma_Maestro!$A:$M;3;FALSO))</f>
        <v/>
      </c>
      <c r="D540" s="12">
        <f>SI([@SBAN]="";"";BUSCARV([@SBAN];Cronograma_Maestro!$A:$M;4;FALSO))</f>
        <v/>
      </c>
      <c r="E540" s="12">
        <f>SI([@SBAN]="";"";BUSCARV([@SBAN];Cronograma_Maestro!$A:$M;5;FALSO))</f>
        <v/>
      </c>
      <c r="F540" s="12" t="inlineStr">
        <is>
          <t>Juan Alfonso Cuberos Buendia</t>
        </is>
      </c>
      <c r="G540" s="12" t="inlineStr">
        <is>
          <t>PMU COLSOF</t>
        </is>
      </c>
      <c r="H540" s="13" t="n">
        <v>46315</v>
      </c>
      <c r="I540" s="13" t="n">
        <v>46315</v>
      </c>
      <c r="J540" s="13" t="n"/>
      <c r="K540" s="13" t="n"/>
      <c r="L540" s="12" t="inlineStr">
        <is>
          <t>Programada</t>
        </is>
      </c>
      <c r="M540" s="13" t="n"/>
      <c r="N540" s="14">
        <f>SI(O([@[Fecha_Programada_Inicio]]="";[@[Fecha_Inicio_Real]]="");"";SI([@[Fecha_Inicio_Real]]&lt;=[@[Fecha_Programada_Inicio]];"SÍ";"NO"))</f>
        <v/>
      </c>
      <c r="O540" s="14">
        <f>SI(O([@[Fecha_Programada_Fin]]="";[@[Fecha_Cierre_Operativo]]="");"";SI([@[Fecha_Cierre_Operativo]]&lt;=SI([@[Fecha_Nueva_Programada]]&lt;&gt;"";[@[Fecha_Nueva_Programada]];[@[Fecha_Programada_Fin]]);"SÍ";"NO"))</f>
        <v/>
      </c>
      <c r="P540" s="14">
        <f>SI(O([@[Cumpli_Ingreso]]="";[@[Cumpli_Salida]]="");"";SI(Y([@[Cumpli_Ingreso]]="SÍ";[@[Cumpli_Salida]]="SÍ");"SÍ";"NO"))</f>
        <v/>
      </c>
      <c r="Q540" s="15">
        <f>SI(O([@[Fecha_Programada_Fin]]="";[@[Fecha_Cierre_Operativo]]="");"";MAX(0;ENTERO([@[Fecha_Cierre_Operativo]])-ENTERO(SI([@[Fecha_Nueva_Programada]]&lt;&gt;"";[@[Fecha_Nueva_Programada]];[@[Fecha_Programada_Fin]])))</f>
        <v/>
      </c>
      <c r="R540" s="12" t="n"/>
      <c r="S540" s="12" t="n"/>
      <c r="T540" s="13" t="n"/>
      <c r="U540" s="12" t="n">
        <v>12</v>
      </c>
      <c r="V540" s="12" t="n"/>
      <c r="W54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40" s="14">
        <f>SI([@SBAN]="";"";BUSCARV([@SBAN];Cronograma_Maestro!$A:$M;6;FALSO))</f>
        <v/>
      </c>
    </row>
    <row r="541">
      <c r="A541" s="11" t="inlineStr">
        <is>
          <t>5120</t>
        </is>
      </c>
      <c r="B541" s="12">
        <f>SI([@SBAN]="";"";BUSCARV([@SBAN];Cronograma_Maestro!$A:$M;2;FALSO))</f>
        <v/>
      </c>
      <c r="C541" s="12">
        <f>SI([@SBAN]="";"";BUSCARV([@SBAN];Cronograma_Maestro!$A:$M;3;FALSO))</f>
        <v/>
      </c>
      <c r="D541" s="12">
        <f>SI([@SBAN]="";"";BUSCARV([@SBAN];Cronograma_Maestro!$A:$M;4;FALSO))</f>
        <v/>
      </c>
      <c r="E541" s="12">
        <f>SI([@SBAN]="";"";BUSCARV([@SBAN];Cronograma_Maestro!$A:$M;5;FALSO))</f>
        <v/>
      </c>
      <c r="F541" s="12" t="inlineStr">
        <is>
          <t>Juan Alfonso Cuberos Buendia</t>
        </is>
      </c>
      <c r="G541" s="12" t="inlineStr">
        <is>
          <t>PMU COLSOF</t>
        </is>
      </c>
      <c r="H541" s="13" t="n">
        <v>46273</v>
      </c>
      <c r="I541" s="13" t="n">
        <v>46276</v>
      </c>
      <c r="J541" s="13" t="n"/>
      <c r="K541" s="13" t="n"/>
      <c r="L541" s="12" t="inlineStr">
        <is>
          <t>Programada</t>
        </is>
      </c>
      <c r="M541" s="13" t="n"/>
      <c r="N541" s="14">
        <f>SI(O([@[Fecha_Programada_Inicio]]="";[@[Fecha_Inicio_Real]]="");"";SI([@[Fecha_Inicio_Real]]&lt;=[@[Fecha_Programada_Inicio]];"SÍ";"NO"))</f>
        <v/>
      </c>
      <c r="O541" s="14">
        <f>SI(O([@[Fecha_Programada_Fin]]="";[@[Fecha_Cierre_Operativo]]="");"";SI([@[Fecha_Cierre_Operativo]]&lt;=SI([@[Fecha_Nueva_Programada]]&lt;&gt;"";[@[Fecha_Nueva_Programada]];[@[Fecha_Programada_Fin]]);"SÍ";"NO"))</f>
        <v/>
      </c>
      <c r="P541" s="14">
        <f>SI(O([@[Cumpli_Ingreso]]="";[@[Cumpli_Salida]]="");"";SI(Y([@[Cumpli_Ingreso]]="SÍ";[@[Cumpli_Salida]]="SÍ");"SÍ";"NO"))</f>
        <v/>
      </c>
      <c r="Q541" s="15">
        <f>SI(O([@[Fecha_Programada_Fin]]="";[@[Fecha_Cierre_Operativo]]="");"";MAX(0;ENTERO([@[Fecha_Cierre_Operativo]])-ENTERO(SI([@[Fecha_Nueva_Programada]]&lt;&gt;"";[@[Fecha_Nueva_Programada]];[@[Fecha_Programada_Fin]])))</f>
        <v/>
      </c>
      <c r="R541" s="12" t="n"/>
      <c r="S541" s="12" t="n"/>
      <c r="T541" s="13" t="n"/>
      <c r="U541" s="12" t="n">
        <v>38</v>
      </c>
      <c r="V541" s="12" t="n"/>
      <c r="W54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41" s="14">
        <f>SI([@SBAN]="";"";BUSCARV([@SBAN];Cronograma_Maestro!$A:$M;6;FALSO))</f>
        <v/>
      </c>
    </row>
    <row r="542">
      <c r="A542" s="11" t="inlineStr">
        <is>
          <t>5121</t>
        </is>
      </c>
      <c r="B542" s="12">
        <f>SI([@SBAN]="";"";BUSCARV([@SBAN];Cronograma_Maestro!$A:$M;2;FALSO))</f>
        <v/>
      </c>
      <c r="C542" s="12">
        <f>SI([@SBAN]="";"";BUSCARV([@SBAN];Cronograma_Maestro!$A:$M;3;FALSO))</f>
        <v/>
      </c>
      <c r="D542" s="12">
        <f>SI([@SBAN]="";"";BUSCARV([@SBAN];Cronograma_Maestro!$A:$M;4;FALSO))</f>
        <v/>
      </c>
      <c r="E542" s="12">
        <f>SI([@SBAN]="";"";BUSCARV([@SBAN];Cronograma_Maestro!$A:$M;5;FALSO))</f>
        <v/>
      </c>
      <c r="F542" s="12" t="inlineStr">
        <is>
          <t>Juan Alfonso Cuberos Buendia</t>
        </is>
      </c>
      <c r="G542" s="12" t="inlineStr">
        <is>
          <t>PMU COLSOF</t>
        </is>
      </c>
      <c r="H542" s="13" t="n">
        <v>46336</v>
      </c>
      <c r="I542" s="13" t="n">
        <v>46336</v>
      </c>
      <c r="J542" s="13" t="n"/>
      <c r="K542" s="13" t="n"/>
      <c r="L542" s="12" t="inlineStr">
        <is>
          <t>Programada</t>
        </is>
      </c>
      <c r="M542" s="13" t="n"/>
      <c r="N542" s="14">
        <f>SI(O([@[Fecha_Programada_Inicio]]="";[@[Fecha_Inicio_Real]]="");"";SI([@[Fecha_Inicio_Real]]&lt;=[@[Fecha_Programada_Inicio]];"SÍ";"NO"))</f>
        <v/>
      </c>
      <c r="O542" s="14">
        <f>SI(O([@[Fecha_Programada_Fin]]="";[@[Fecha_Cierre_Operativo]]="");"";SI([@[Fecha_Cierre_Operativo]]&lt;=SI([@[Fecha_Nueva_Programada]]&lt;&gt;"";[@[Fecha_Nueva_Programada]];[@[Fecha_Programada_Fin]]);"SÍ";"NO"))</f>
        <v/>
      </c>
      <c r="P542" s="14">
        <f>SI(O([@[Cumpli_Ingreso]]="";[@[Cumpli_Salida]]="");"";SI(Y([@[Cumpli_Ingreso]]="SÍ";[@[Cumpli_Salida]]="SÍ");"SÍ";"NO"))</f>
        <v/>
      </c>
      <c r="Q542" s="15">
        <f>SI(O([@[Fecha_Programada_Fin]]="";[@[Fecha_Cierre_Operativo]]="");"";MAX(0;ENTERO([@[Fecha_Cierre_Operativo]])-ENTERO(SI([@[Fecha_Nueva_Programada]]&lt;&gt;"";[@[Fecha_Nueva_Programada]];[@[Fecha_Programada_Fin]])))</f>
        <v/>
      </c>
      <c r="R542" s="12" t="n"/>
      <c r="S542" s="12" t="n"/>
      <c r="T542" s="13" t="n"/>
      <c r="U542" s="12" t="n">
        <v>14</v>
      </c>
      <c r="V542" s="12" t="n"/>
      <c r="W54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42" s="14">
        <f>SI([@SBAN]="";"";BUSCARV([@SBAN];Cronograma_Maestro!$A:$M;6;FALSO))</f>
        <v/>
      </c>
    </row>
    <row r="543">
      <c r="A543" s="11" t="inlineStr">
        <is>
          <t>5122</t>
        </is>
      </c>
      <c r="B543" s="12">
        <f>SI([@SBAN]="";"";BUSCARV([@SBAN];Cronograma_Maestro!$A:$M;2;FALSO))</f>
        <v/>
      </c>
      <c r="C543" s="12">
        <f>SI([@SBAN]="";"";BUSCARV([@SBAN];Cronograma_Maestro!$A:$M;3;FALSO))</f>
        <v/>
      </c>
      <c r="D543" s="12">
        <f>SI([@SBAN]="";"";BUSCARV([@SBAN];Cronograma_Maestro!$A:$M;4;FALSO))</f>
        <v/>
      </c>
      <c r="E543" s="12">
        <f>SI([@SBAN]="";"";BUSCARV([@SBAN];Cronograma_Maestro!$A:$M;5;FALSO))</f>
        <v/>
      </c>
      <c r="F543" s="12" t="inlineStr">
        <is>
          <t>Ali Kassem Issa Sierra</t>
        </is>
      </c>
      <c r="G543" s="12" t="inlineStr">
        <is>
          <t>PMU COLSOF</t>
        </is>
      </c>
      <c r="H543" s="13" t="n">
        <v>46315</v>
      </c>
      <c r="I543" s="13" t="n">
        <v>46316</v>
      </c>
      <c r="J543" s="13" t="n"/>
      <c r="K543" s="13" t="n"/>
      <c r="L543" s="12" t="inlineStr">
        <is>
          <t>Programada</t>
        </is>
      </c>
      <c r="M543" s="13" t="n"/>
      <c r="N543" s="14">
        <f>SI(O([@[Fecha_Programada_Inicio]]="";[@[Fecha_Inicio_Real]]="");"";SI([@[Fecha_Inicio_Real]]&lt;=[@[Fecha_Programada_Inicio]];"SÍ";"NO"))</f>
        <v/>
      </c>
      <c r="O543" s="14">
        <f>SI(O([@[Fecha_Programada_Fin]]="";[@[Fecha_Cierre_Operativo]]="");"";SI([@[Fecha_Cierre_Operativo]]&lt;=SI([@[Fecha_Nueva_Programada]]&lt;&gt;"";[@[Fecha_Nueva_Programada]];[@[Fecha_Programada_Fin]]);"SÍ";"NO"))</f>
        <v/>
      </c>
      <c r="P543" s="14">
        <f>SI(O([@[Cumpli_Ingreso]]="";[@[Cumpli_Salida]]="");"";SI(Y([@[Cumpli_Ingreso]]="SÍ";[@[Cumpli_Salida]]="SÍ");"SÍ";"NO"))</f>
        <v/>
      </c>
      <c r="Q543" s="15">
        <f>SI(O([@[Fecha_Programada_Fin]]="";[@[Fecha_Cierre_Operativo]]="");"";MAX(0;ENTERO([@[Fecha_Cierre_Operativo]])-ENTERO(SI([@[Fecha_Nueva_Programada]]&lt;&gt;"";[@[Fecha_Nueva_Programada]];[@[Fecha_Programada_Fin]])))</f>
        <v/>
      </c>
      <c r="R543" s="12" t="n"/>
      <c r="S543" s="12" t="n"/>
      <c r="T543" s="13" t="n"/>
      <c r="U543" s="12" t="n">
        <v>16</v>
      </c>
      <c r="V543" s="12" t="n"/>
      <c r="W54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43" s="14">
        <f>SI([@SBAN]="";"";BUSCARV([@SBAN];Cronograma_Maestro!$A:$M;6;FALSO))</f>
        <v/>
      </c>
    </row>
    <row r="544">
      <c r="A544" s="11" t="inlineStr">
        <is>
          <t>5123</t>
        </is>
      </c>
      <c r="B544" s="12">
        <f>SI([@SBAN]="";"";BUSCARV([@SBAN];Cronograma_Maestro!$A:$M;2;FALSO))</f>
        <v/>
      </c>
      <c r="C544" s="12">
        <f>SI([@SBAN]="";"";BUSCARV([@SBAN];Cronograma_Maestro!$A:$M;3;FALSO))</f>
        <v/>
      </c>
      <c r="D544" s="12">
        <f>SI([@SBAN]="";"";BUSCARV([@SBAN];Cronograma_Maestro!$A:$M;4;FALSO))</f>
        <v/>
      </c>
      <c r="E544" s="12">
        <f>SI([@SBAN]="";"";BUSCARV([@SBAN];Cronograma_Maestro!$A:$M;5;FALSO))</f>
        <v/>
      </c>
      <c r="F544" s="12" t="inlineStr">
        <is>
          <t>Juan Alfonso Cuberos Buendia</t>
        </is>
      </c>
      <c r="G544" s="12" t="inlineStr">
        <is>
          <t>PMU COLSOF</t>
        </is>
      </c>
      <c r="H544" s="13" t="n">
        <v>46282</v>
      </c>
      <c r="I544" s="13" t="n">
        <v>46283</v>
      </c>
      <c r="J544" s="13" t="n"/>
      <c r="K544" s="13" t="n"/>
      <c r="L544" s="12" t="inlineStr">
        <is>
          <t>Programada</t>
        </is>
      </c>
      <c r="M544" s="13" t="n"/>
      <c r="N544" s="14">
        <f>SI(O([@[Fecha_Programada_Inicio]]="";[@[Fecha_Inicio_Real]]="");"";SI([@[Fecha_Inicio_Real]]&lt;=[@[Fecha_Programada_Inicio]];"SÍ";"NO"))</f>
        <v/>
      </c>
      <c r="O544" s="14">
        <f>SI(O([@[Fecha_Programada_Fin]]="";[@[Fecha_Cierre_Operativo]]="");"";SI([@[Fecha_Cierre_Operativo]]&lt;=SI([@[Fecha_Nueva_Programada]]&lt;&gt;"";[@[Fecha_Nueva_Programada]];[@[Fecha_Programada_Fin]]);"SÍ";"NO"))</f>
        <v/>
      </c>
      <c r="P544" s="14">
        <f>SI(O([@[Cumpli_Ingreso]]="";[@[Cumpli_Salida]]="");"";SI(Y([@[Cumpli_Ingreso]]="SÍ";[@[Cumpli_Salida]]="SÍ");"SÍ";"NO"))</f>
        <v/>
      </c>
      <c r="Q544" s="15">
        <f>SI(O([@[Fecha_Programada_Fin]]="";[@[Fecha_Cierre_Operativo]]="");"";MAX(0;ENTERO([@[Fecha_Cierre_Operativo]])-ENTERO(SI([@[Fecha_Nueva_Programada]]&lt;&gt;"";[@[Fecha_Nueva_Programada]];[@[Fecha_Programada_Fin]])))</f>
        <v/>
      </c>
      <c r="R544" s="12" t="n"/>
      <c r="S544" s="12" t="n"/>
      <c r="T544" s="13" t="n"/>
      <c r="U544" s="12" t="n">
        <v>12</v>
      </c>
      <c r="V544" s="12" t="n"/>
      <c r="W54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44" s="14">
        <f>SI([@SBAN]="";"";BUSCARV([@SBAN];Cronograma_Maestro!$A:$M;6;FALSO))</f>
        <v/>
      </c>
    </row>
    <row r="545">
      <c r="A545" s="11" t="inlineStr">
        <is>
          <t>5125</t>
        </is>
      </c>
      <c r="B545" s="12">
        <f>SI([@SBAN]="";"";BUSCARV([@SBAN];Cronograma_Maestro!$A:$M;2;FALSO))</f>
        <v/>
      </c>
      <c r="C545" s="12">
        <f>SI([@SBAN]="";"";BUSCARV([@SBAN];Cronograma_Maestro!$A:$M;3;FALSO))</f>
        <v/>
      </c>
      <c r="D545" s="12">
        <f>SI([@SBAN]="";"";BUSCARV([@SBAN];Cronograma_Maestro!$A:$M;4;FALSO))</f>
        <v/>
      </c>
      <c r="E545" s="12">
        <f>SI([@SBAN]="";"";BUSCARV([@SBAN];Cronograma_Maestro!$A:$M;5;FALSO))</f>
        <v/>
      </c>
      <c r="F545" s="12" t="inlineStr">
        <is>
          <t>Ali Kassem Issa Sierra</t>
        </is>
      </c>
      <c r="G545" s="12" t="inlineStr">
        <is>
          <t>PMU COLSOF</t>
        </is>
      </c>
      <c r="H545" s="13" t="n">
        <v>46322</v>
      </c>
      <c r="I545" s="13" t="n">
        <v>46322</v>
      </c>
      <c r="J545" s="13" t="n"/>
      <c r="K545" s="13" t="n"/>
      <c r="L545" s="12" t="inlineStr">
        <is>
          <t>Programada</t>
        </is>
      </c>
      <c r="M545" s="13" t="n"/>
      <c r="N545" s="14">
        <f>SI(O([@[Fecha_Programada_Inicio]]="";[@[Fecha_Inicio_Real]]="");"";SI([@[Fecha_Inicio_Real]]&lt;=[@[Fecha_Programada_Inicio]];"SÍ";"NO"))</f>
        <v/>
      </c>
      <c r="O545" s="14">
        <f>SI(O([@[Fecha_Programada_Fin]]="";[@[Fecha_Cierre_Operativo]]="");"";SI([@[Fecha_Cierre_Operativo]]&lt;=SI([@[Fecha_Nueva_Programada]]&lt;&gt;"";[@[Fecha_Nueva_Programada]];[@[Fecha_Programada_Fin]]);"SÍ";"NO"))</f>
        <v/>
      </c>
      <c r="P545" s="14">
        <f>SI(O([@[Cumpli_Ingreso]]="";[@[Cumpli_Salida]]="");"";SI(Y([@[Cumpli_Ingreso]]="SÍ";[@[Cumpli_Salida]]="SÍ");"SÍ";"NO"))</f>
        <v/>
      </c>
      <c r="Q545" s="15">
        <f>SI(O([@[Fecha_Programada_Fin]]="";[@[Fecha_Cierre_Operativo]]="");"";MAX(0;ENTERO([@[Fecha_Cierre_Operativo]])-ENTERO(SI([@[Fecha_Nueva_Programada]]&lt;&gt;"";[@[Fecha_Nueva_Programada]];[@[Fecha_Programada_Fin]])))</f>
        <v/>
      </c>
      <c r="R545" s="12" t="n"/>
      <c r="S545" s="12" t="n"/>
      <c r="T545" s="13" t="n"/>
      <c r="U545" s="12" t="n">
        <v>12</v>
      </c>
      <c r="V545" s="12" t="n"/>
      <c r="W54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45" s="14">
        <f>SI([@SBAN]="";"";BUSCARV([@SBAN];Cronograma_Maestro!$A:$M;6;FALSO))</f>
        <v/>
      </c>
    </row>
    <row r="546">
      <c r="A546" s="11" t="inlineStr">
        <is>
          <t>5126</t>
        </is>
      </c>
      <c r="B546" s="12">
        <f>SI([@SBAN]="";"";BUSCARV([@SBAN];Cronograma_Maestro!$A:$M;2;FALSO))</f>
        <v/>
      </c>
      <c r="C546" s="12">
        <f>SI([@SBAN]="";"";BUSCARV([@SBAN];Cronograma_Maestro!$A:$M;3;FALSO))</f>
        <v/>
      </c>
      <c r="D546" s="12">
        <f>SI([@SBAN]="";"";BUSCARV([@SBAN];Cronograma_Maestro!$A:$M;4;FALSO))</f>
        <v/>
      </c>
      <c r="E546" s="12">
        <f>SI([@SBAN]="";"";BUSCARV([@SBAN];Cronograma_Maestro!$A:$M;5;FALSO))</f>
        <v/>
      </c>
      <c r="F546" s="12" t="inlineStr">
        <is>
          <t>Juan Alfonso Cuberos Buendia</t>
        </is>
      </c>
      <c r="G546" s="12" t="inlineStr">
        <is>
          <t>PMU COLSOF</t>
        </is>
      </c>
      <c r="H546" s="13" t="n">
        <v>46286</v>
      </c>
      <c r="I546" s="13" t="n">
        <v>46289</v>
      </c>
      <c r="J546" s="13" t="n"/>
      <c r="K546" s="13" t="n"/>
      <c r="L546" s="12" t="inlineStr">
        <is>
          <t>Programada</t>
        </is>
      </c>
      <c r="M546" s="13" t="n"/>
      <c r="N546" s="14">
        <f>SI(O([@[Fecha_Programada_Inicio]]="";[@[Fecha_Inicio_Real]]="");"";SI([@[Fecha_Inicio_Real]]&lt;=[@[Fecha_Programada_Inicio]];"SÍ";"NO"))</f>
        <v/>
      </c>
      <c r="O546" s="14">
        <f>SI(O([@[Fecha_Programada_Fin]]="";[@[Fecha_Cierre_Operativo]]="");"";SI([@[Fecha_Cierre_Operativo]]&lt;=SI([@[Fecha_Nueva_Programada]]&lt;&gt;"";[@[Fecha_Nueva_Programada]];[@[Fecha_Programada_Fin]]);"SÍ";"NO"))</f>
        <v/>
      </c>
      <c r="P546" s="14">
        <f>SI(O([@[Cumpli_Ingreso]]="";[@[Cumpli_Salida]]="");"";SI(Y([@[Cumpli_Ingreso]]="SÍ";[@[Cumpli_Salida]]="SÍ");"SÍ";"NO"))</f>
        <v/>
      </c>
      <c r="Q546" s="15">
        <f>SI(O([@[Fecha_Programada_Fin]]="";[@[Fecha_Cierre_Operativo]]="");"";MAX(0;ENTERO([@[Fecha_Cierre_Operativo]])-ENTERO(SI([@[Fecha_Nueva_Programada]]&lt;&gt;"";[@[Fecha_Nueva_Programada]];[@[Fecha_Programada_Fin]])))</f>
        <v/>
      </c>
      <c r="R546" s="12" t="n"/>
      <c r="S546" s="12" t="n"/>
      <c r="T546" s="13" t="n"/>
      <c r="U546" s="12" t="n">
        <v>17</v>
      </c>
      <c r="V546" s="12" t="n"/>
      <c r="W54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46" s="14">
        <f>SI([@SBAN]="";"";BUSCARV([@SBAN];Cronograma_Maestro!$A:$M;6;FALSO))</f>
        <v/>
      </c>
    </row>
    <row r="547">
      <c r="A547" s="11" t="inlineStr">
        <is>
          <t>5127</t>
        </is>
      </c>
      <c r="B547" s="12">
        <f>SI([@SBAN]="";"";BUSCARV([@SBAN];Cronograma_Maestro!$A:$M;2;FALSO))</f>
        <v/>
      </c>
      <c r="C547" s="12">
        <f>SI([@SBAN]="";"";BUSCARV([@SBAN];Cronograma_Maestro!$A:$M;3;FALSO))</f>
        <v/>
      </c>
      <c r="D547" s="12">
        <f>SI([@SBAN]="";"";BUSCARV([@SBAN];Cronograma_Maestro!$A:$M;4;FALSO))</f>
        <v/>
      </c>
      <c r="E547" s="12">
        <f>SI([@SBAN]="";"";BUSCARV([@SBAN];Cronograma_Maestro!$A:$M;5;FALSO))</f>
        <v/>
      </c>
      <c r="F547" s="12" t="inlineStr">
        <is>
          <t>Ali Kassem Issa Sierra</t>
        </is>
      </c>
      <c r="G547" s="12" t="inlineStr">
        <is>
          <t>PMU COLSOF</t>
        </is>
      </c>
      <c r="H547" s="13" t="n">
        <v>46301</v>
      </c>
      <c r="I547" s="13" t="n">
        <v>46301</v>
      </c>
      <c r="J547" s="13" t="n"/>
      <c r="K547" s="13" t="n"/>
      <c r="L547" s="12" t="inlineStr">
        <is>
          <t>Programada</t>
        </is>
      </c>
      <c r="M547" s="13" t="n"/>
      <c r="N547" s="14">
        <f>SI(O([@[Fecha_Programada_Inicio]]="";[@[Fecha_Inicio_Real]]="");"";SI([@[Fecha_Inicio_Real]]&lt;=[@[Fecha_Programada_Inicio]];"SÍ";"NO"))</f>
        <v/>
      </c>
      <c r="O547" s="14">
        <f>SI(O([@[Fecha_Programada_Fin]]="";[@[Fecha_Cierre_Operativo]]="");"";SI([@[Fecha_Cierre_Operativo]]&lt;=SI([@[Fecha_Nueva_Programada]]&lt;&gt;"";[@[Fecha_Nueva_Programada]];[@[Fecha_Programada_Fin]]);"SÍ";"NO"))</f>
        <v/>
      </c>
      <c r="P547" s="14">
        <f>SI(O([@[Cumpli_Ingreso]]="";[@[Cumpli_Salida]]="");"";SI(Y([@[Cumpli_Ingreso]]="SÍ";[@[Cumpli_Salida]]="SÍ");"SÍ";"NO"))</f>
        <v/>
      </c>
      <c r="Q547" s="15">
        <f>SI(O([@[Fecha_Programada_Fin]]="";[@[Fecha_Cierre_Operativo]]="");"";MAX(0;ENTERO([@[Fecha_Cierre_Operativo]])-ENTERO(SI([@[Fecha_Nueva_Programada]]&lt;&gt;"";[@[Fecha_Nueva_Programada]];[@[Fecha_Programada_Fin]])))</f>
        <v/>
      </c>
      <c r="R547" s="12" t="n"/>
      <c r="S547" s="12" t="n"/>
      <c r="T547" s="13" t="n"/>
      <c r="U547" s="12" t="n">
        <v>12</v>
      </c>
      <c r="V547" s="12" t="n"/>
      <c r="W54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47" s="14">
        <f>SI([@SBAN]="";"";BUSCARV([@SBAN];Cronograma_Maestro!$A:$M;6;FALSO))</f>
        <v/>
      </c>
    </row>
    <row r="548">
      <c r="A548" s="11" t="inlineStr">
        <is>
          <t>5130</t>
        </is>
      </c>
      <c r="B548" s="12">
        <f>SI([@SBAN]="";"";BUSCARV([@SBAN];Cronograma_Maestro!$A:$M;2;FALSO))</f>
        <v/>
      </c>
      <c r="C548" s="12">
        <f>SI([@SBAN]="";"";BUSCARV([@SBAN];Cronograma_Maestro!$A:$M;3;FALSO))</f>
        <v/>
      </c>
      <c r="D548" s="12">
        <f>SI([@SBAN]="";"";BUSCARV([@SBAN];Cronograma_Maestro!$A:$M;4;FALSO))</f>
        <v/>
      </c>
      <c r="E548" s="12">
        <f>SI([@SBAN]="";"";BUSCARV([@SBAN];Cronograma_Maestro!$A:$M;5;FALSO))</f>
        <v/>
      </c>
      <c r="F548" s="12" t="inlineStr">
        <is>
          <t>Juan Alfonso Cuberos Buendia-Ali Kassem Issa Sierra</t>
        </is>
      </c>
      <c r="G548" s="12" t="inlineStr">
        <is>
          <t>PMU COLSOF</t>
        </is>
      </c>
      <c r="H548" s="13" t="n">
        <v>46329</v>
      </c>
      <c r="I548" s="13" t="n">
        <v>46332</v>
      </c>
      <c r="J548" s="13" t="n"/>
      <c r="K548" s="13" t="n"/>
      <c r="L548" s="12" t="inlineStr">
        <is>
          <t>Programada</t>
        </is>
      </c>
      <c r="M548" s="13" t="n"/>
      <c r="N548" s="14">
        <f>SI(O([@[Fecha_Programada_Inicio]]="";[@[Fecha_Inicio_Real]]="");"";SI([@[Fecha_Inicio_Real]]&lt;=[@[Fecha_Programada_Inicio]];"SÍ";"NO"))</f>
        <v/>
      </c>
      <c r="O548" s="14">
        <f>SI(O([@[Fecha_Programada_Fin]]="";[@[Fecha_Cierre_Operativo]]="");"";SI([@[Fecha_Cierre_Operativo]]&lt;=SI([@[Fecha_Nueva_Programada]]&lt;&gt;"";[@[Fecha_Nueva_Programada]];[@[Fecha_Programada_Fin]]);"SÍ";"NO"))</f>
        <v/>
      </c>
      <c r="P548" s="14">
        <f>SI(O([@[Cumpli_Ingreso]]="";[@[Cumpli_Salida]]="");"";SI(Y([@[Cumpli_Ingreso]]="SÍ";[@[Cumpli_Salida]]="SÍ");"SÍ";"NO"))</f>
        <v/>
      </c>
      <c r="Q548" s="15">
        <f>SI(O([@[Fecha_Programada_Fin]]="";[@[Fecha_Cierre_Operativo]]="");"";MAX(0;ENTERO([@[Fecha_Cierre_Operativo]])-ENTERO(SI([@[Fecha_Nueva_Programada]]&lt;&gt;"";[@[Fecha_Nueva_Programada]];[@[Fecha_Programada_Fin]])))</f>
        <v/>
      </c>
      <c r="R548" s="12" t="n"/>
      <c r="S548" s="12" t="n"/>
      <c r="T548" s="13" t="n"/>
      <c r="U548" s="12" t="n">
        <v>31</v>
      </c>
      <c r="V548" s="12" t="n"/>
      <c r="W54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48" s="14">
        <f>SI([@SBAN]="";"";BUSCARV([@SBAN];Cronograma_Maestro!$A:$M;6;FALSO))</f>
        <v/>
      </c>
    </row>
    <row r="549">
      <c r="A549" s="11" t="inlineStr">
        <is>
          <t>5134</t>
        </is>
      </c>
      <c r="B549" s="12">
        <f>SI([@SBAN]="";"";BUSCARV([@SBAN];Cronograma_Maestro!$A:$M;2;FALSO))</f>
        <v/>
      </c>
      <c r="C549" s="12">
        <f>SI([@SBAN]="";"";BUSCARV([@SBAN];Cronograma_Maestro!$A:$M;3;FALSO))</f>
        <v/>
      </c>
      <c r="D549" s="12">
        <f>SI([@SBAN]="";"";BUSCARV([@SBAN];Cronograma_Maestro!$A:$M;4;FALSO))</f>
        <v/>
      </c>
      <c r="E549" s="12">
        <f>SI([@SBAN]="";"";BUSCARV([@SBAN];Cronograma_Maestro!$A:$M;5;FALSO))</f>
        <v/>
      </c>
      <c r="F549" s="12" t="inlineStr">
        <is>
          <t>Juan Alfonso Cuberos Buendia</t>
        </is>
      </c>
      <c r="G549" s="12" t="inlineStr">
        <is>
          <t>PMU COLSOF</t>
        </is>
      </c>
      <c r="H549" s="13" t="n">
        <v>46322</v>
      </c>
      <c r="I549" s="13" t="n">
        <v>46322</v>
      </c>
      <c r="J549" s="13" t="n"/>
      <c r="K549" s="13" t="n"/>
      <c r="L549" s="12" t="inlineStr">
        <is>
          <t>Programada</t>
        </is>
      </c>
      <c r="M549" s="13" t="n"/>
      <c r="N549" s="14">
        <f>SI(O([@[Fecha_Programada_Inicio]]="";[@[Fecha_Inicio_Real]]="");"";SI([@[Fecha_Inicio_Real]]&lt;=[@[Fecha_Programada_Inicio]];"SÍ";"NO"))</f>
        <v/>
      </c>
      <c r="O549" s="14">
        <f>SI(O([@[Fecha_Programada_Fin]]="";[@[Fecha_Cierre_Operativo]]="");"";SI([@[Fecha_Cierre_Operativo]]&lt;=SI([@[Fecha_Nueva_Programada]]&lt;&gt;"";[@[Fecha_Nueva_Programada]];[@[Fecha_Programada_Fin]]);"SÍ";"NO"))</f>
        <v/>
      </c>
      <c r="P549" s="14">
        <f>SI(O([@[Cumpli_Ingreso]]="";[@[Cumpli_Salida]]="");"";SI(Y([@[Cumpli_Ingreso]]="SÍ";[@[Cumpli_Salida]]="SÍ");"SÍ";"NO"))</f>
        <v/>
      </c>
      <c r="Q549" s="15">
        <f>SI(O([@[Fecha_Programada_Fin]]="";[@[Fecha_Cierre_Operativo]]="");"";MAX(0;ENTERO([@[Fecha_Cierre_Operativo]])-ENTERO(SI([@[Fecha_Nueva_Programada]]&lt;&gt;"";[@[Fecha_Nueva_Programada]];[@[Fecha_Programada_Fin]])))</f>
        <v/>
      </c>
      <c r="R549" s="12" t="n"/>
      <c r="S549" s="12" t="n"/>
      <c r="T549" s="13" t="n"/>
      <c r="U549" s="12" t="n">
        <v>13</v>
      </c>
      <c r="V549" s="12" t="n"/>
      <c r="W54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49" s="14">
        <f>SI([@SBAN]="";"";BUSCARV([@SBAN];Cronograma_Maestro!$A:$M;6;FALSO))</f>
        <v/>
      </c>
    </row>
    <row r="550">
      <c r="A550" s="11" t="inlineStr">
        <is>
          <t>5136</t>
        </is>
      </c>
      <c r="B550" s="12">
        <f>SI([@SBAN]="";"";BUSCARV([@SBAN];Cronograma_Maestro!$A:$M;2;FALSO))</f>
        <v/>
      </c>
      <c r="C550" s="12">
        <f>SI([@SBAN]="";"";BUSCARV([@SBAN];Cronograma_Maestro!$A:$M;3;FALSO))</f>
        <v/>
      </c>
      <c r="D550" s="12">
        <f>SI([@SBAN]="";"";BUSCARV([@SBAN];Cronograma_Maestro!$A:$M;4;FALSO))</f>
        <v/>
      </c>
      <c r="E550" s="12">
        <f>SI([@SBAN]="";"";BUSCARV([@SBAN];Cronograma_Maestro!$A:$M;5;FALSO))</f>
        <v/>
      </c>
      <c r="F550" s="12" t="inlineStr">
        <is>
          <t>Ali Kassem Issa Sierra</t>
        </is>
      </c>
      <c r="G550" s="12" t="inlineStr">
        <is>
          <t>PMU COLSOF</t>
        </is>
      </c>
      <c r="H550" s="13" t="n">
        <v>46310</v>
      </c>
      <c r="I550" s="13" t="n">
        <v>46310</v>
      </c>
      <c r="J550" s="13" t="n"/>
      <c r="K550" s="13" t="n"/>
      <c r="L550" s="12" t="inlineStr">
        <is>
          <t>Programada</t>
        </is>
      </c>
      <c r="M550" s="13" t="n"/>
      <c r="N550" s="14">
        <f>SI(O([@[Fecha_Programada_Inicio]]="";[@[Fecha_Inicio_Real]]="");"";SI([@[Fecha_Inicio_Real]]&lt;=[@[Fecha_Programada_Inicio]];"SÍ";"NO"))</f>
        <v/>
      </c>
      <c r="O550" s="14">
        <f>SI(O([@[Fecha_Programada_Fin]]="";[@[Fecha_Cierre_Operativo]]="");"";SI([@[Fecha_Cierre_Operativo]]&lt;=SI([@[Fecha_Nueva_Programada]]&lt;&gt;"";[@[Fecha_Nueva_Programada]];[@[Fecha_Programada_Fin]]);"SÍ";"NO"))</f>
        <v/>
      </c>
      <c r="P550" s="14">
        <f>SI(O([@[Cumpli_Ingreso]]="";[@[Cumpli_Salida]]="");"";SI(Y([@[Cumpli_Ingreso]]="SÍ";[@[Cumpli_Salida]]="SÍ");"SÍ";"NO"))</f>
        <v/>
      </c>
      <c r="Q550" s="15">
        <f>SI(O([@[Fecha_Programada_Fin]]="";[@[Fecha_Cierre_Operativo]]="");"";MAX(0;ENTERO([@[Fecha_Cierre_Operativo]])-ENTERO(SI([@[Fecha_Nueva_Programada]]&lt;&gt;"";[@[Fecha_Nueva_Programada]];[@[Fecha_Programada_Fin]])))</f>
        <v/>
      </c>
      <c r="R550" s="12" t="n"/>
      <c r="S550" s="12" t="n"/>
      <c r="T550" s="13" t="n"/>
      <c r="U550" s="12" t="n">
        <v>12</v>
      </c>
      <c r="V550" s="12" t="n"/>
      <c r="W55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50" s="14">
        <f>SI([@SBAN]="";"";BUSCARV([@SBAN];Cronograma_Maestro!$A:$M;6;FALSO))</f>
        <v/>
      </c>
    </row>
    <row r="551">
      <c r="A551" s="11" t="inlineStr">
        <is>
          <t>5145</t>
        </is>
      </c>
      <c r="B551" s="12">
        <f>SI([@SBAN]="";"";BUSCARV([@SBAN];Cronograma_Maestro!$A:$M;2;FALSO))</f>
        <v/>
      </c>
      <c r="C551" s="12">
        <f>SI([@SBAN]="";"";BUSCARV([@SBAN];Cronograma_Maestro!$A:$M;3;FALSO))</f>
        <v/>
      </c>
      <c r="D551" s="12">
        <f>SI([@SBAN]="";"";BUSCARV([@SBAN];Cronograma_Maestro!$A:$M;4;FALSO))</f>
        <v/>
      </c>
      <c r="E551" s="12">
        <f>SI([@SBAN]="";"";BUSCARV([@SBAN];Cronograma_Maestro!$A:$M;5;FALSO))</f>
        <v/>
      </c>
      <c r="F551" s="12" t="inlineStr">
        <is>
          <t>Ali Kassem Issa Sierra</t>
        </is>
      </c>
      <c r="G551" s="12" t="inlineStr">
        <is>
          <t>PMU COLSOF</t>
        </is>
      </c>
      <c r="H551" s="13" t="n">
        <v>46302</v>
      </c>
      <c r="I551" s="13" t="n">
        <v>46303</v>
      </c>
      <c r="J551" s="13" t="n"/>
      <c r="K551" s="13" t="n"/>
      <c r="L551" s="12" t="inlineStr">
        <is>
          <t>Programada</t>
        </is>
      </c>
      <c r="M551" s="13" t="n"/>
      <c r="N551" s="14">
        <f>SI(O([@[Fecha_Programada_Inicio]]="";[@[Fecha_Inicio_Real]]="");"";SI([@[Fecha_Inicio_Real]]&lt;=[@[Fecha_Programada_Inicio]];"SÍ";"NO"))</f>
        <v/>
      </c>
      <c r="O551" s="14">
        <f>SI(O([@[Fecha_Programada_Fin]]="";[@[Fecha_Cierre_Operativo]]="");"";SI([@[Fecha_Cierre_Operativo]]&lt;=SI([@[Fecha_Nueva_Programada]]&lt;&gt;"";[@[Fecha_Nueva_Programada]];[@[Fecha_Programada_Fin]]);"SÍ";"NO"))</f>
        <v/>
      </c>
      <c r="P551" s="14">
        <f>SI(O([@[Cumpli_Ingreso]]="";[@[Cumpli_Salida]]="");"";SI(Y([@[Cumpli_Ingreso]]="SÍ";[@[Cumpli_Salida]]="SÍ");"SÍ";"NO"))</f>
        <v/>
      </c>
      <c r="Q551" s="15">
        <f>SI(O([@[Fecha_Programada_Fin]]="";[@[Fecha_Cierre_Operativo]]="");"";MAX(0;ENTERO([@[Fecha_Cierre_Operativo]])-ENTERO(SI([@[Fecha_Nueva_Programada]]&lt;&gt;"";[@[Fecha_Nueva_Programada]];[@[Fecha_Programada_Fin]])))</f>
        <v/>
      </c>
      <c r="R551" s="12" t="n"/>
      <c r="S551" s="12" t="n"/>
      <c r="T551" s="13" t="n"/>
      <c r="U551" s="12" t="n">
        <v>12</v>
      </c>
      <c r="V551" s="12" t="n"/>
      <c r="W55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51" s="14">
        <f>SI([@SBAN]="";"";BUSCARV([@SBAN];Cronograma_Maestro!$A:$M;6;FALSO))</f>
        <v/>
      </c>
    </row>
    <row r="552">
      <c r="A552" s="11" t="inlineStr">
        <is>
          <t>5150</t>
        </is>
      </c>
      <c r="B552" s="12">
        <f>SI([@SBAN]="";"";BUSCARV([@SBAN];Cronograma_Maestro!$A:$M;2;FALSO))</f>
        <v/>
      </c>
      <c r="C552" s="12">
        <f>SI([@SBAN]="";"";BUSCARV([@SBAN];Cronograma_Maestro!$A:$M;3;FALSO))</f>
        <v/>
      </c>
      <c r="D552" s="12">
        <f>SI([@SBAN]="";"";BUSCARV([@SBAN];Cronograma_Maestro!$A:$M;4;FALSO))</f>
        <v/>
      </c>
      <c r="E552" s="12">
        <f>SI([@SBAN]="";"";BUSCARV([@SBAN];Cronograma_Maestro!$A:$M;5;FALSO))</f>
        <v/>
      </c>
      <c r="F552" s="12" t="inlineStr">
        <is>
          <t>Juan Alfonso Cuberos Buendia</t>
        </is>
      </c>
      <c r="G552" s="12" t="inlineStr">
        <is>
          <t>PMU COLSOF</t>
        </is>
      </c>
      <c r="H552" s="13" t="n">
        <v>46301</v>
      </c>
      <c r="I552" s="13" t="n">
        <v>46302</v>
      </c>
      <c r="J552" s="13" t="n"/>
      <c r="K552" s="13" t="n"/>
      <c r="L552" s="12" t="inlineStr">
        <is>
          <t>Programada</t>
        </is>
      </c>
      <c r="M552" s="13" t="n"/>
      <c r="N552" s="14">
        <f>SI(O([@[Fecha_Programada_Inicio]]="";[@[Fecha_Inicio_Real]]="");"";SI([@[Fecha_Inicio_Real]]&lt;=[@[Fecha_Programada_Inicio]];"SÍ";"NO"))</f>
        <v/>
      </c>
      <c r="O552" s="14">
        <f>SI(O([@[Fecha_Programada_Fin]]="";[@[Fecha_Cierre_Operativo]]="");"";SI([@[Fecha_Cierre_Operativo]]&lt;=SI([@[Fecha_Nueva_Programada]]&lt;&gt;"";[@[Fecha_Nueva_Programada]];[@[Fecha_Programada_Fin]]);"SÍ";"NO"))</f>
        <v/>
      </c>
      <c r="P552" s="14">
        <f>SI(O([@[Cumpli_Ingreso]]="";[@[Cumpli_Salida]]="");"";SI(Y([@[Cumpli_Ingreso]]="SÍ";[@[Cumpli_Salida]]="SÍ");"SÍ";"NO"))</f>
        <v/>
      </c>
      <c r="Q552" s="15">
        <f>SI(O([@[Fecha_Programada_Fin]]="";[@[Fecha_Cierre_Operativo]]="");"";MAX(0;ENTERO([@[Fecha_Cierre_Operativo]])-ENTERO(SI([@[Fecha_Nueva_Programada]]&lt;&gt;"";[@[Fecha_Nueva_Programada]];[@[Fecha_Programada_Fin]])))</f>
        <v/>
      </c>
      <c r="R552" s="12" t="n"/>
      <c r="S552" s="12" t="n"/>
      <c r="T552" s="13" t="n"/>
      <c r="U552" s="12" t="n">
        <v>21</v>
      </c>
      <c r="V552" s="12" t="n"/>
      <c r="W55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52" s="14">
        <f>SI([@SBAN]="";"";BUSCARV([@SBAN];Cronograma_Maestro!$A:$M;6;FALSO))</f>
        <v/>
      </c>
    </row>
    <row r="553">
      <c r="A553" s="11" t="inlineStr">
        <is>
          <t>5152</t>
        </is>
      </c>
      <c r="B553" s="12">
        <f>SI([@SBAN]="";"";BUSCARV([@SBAN];Cronograma_Maestro!$A:$M;2;FALSO))</f>
        <v/>
      </c>
      <c r="C553" s="12">
        <f>SI([@SBAN]="";"";BUSCARV([@SBAN];Cronograma_Maestro!$A:$M;3;FALSO))</f>
        <v/>
      </c>
      <c r="D553" s="12">
        <f>SI([@SBAN]="";"";BUSCARV([@SBAN];Cronograma_Maestro!$A:$M;4;FALSO))</f>
        <v/>
      </c>
      <c r="E553" s="12">
        <f>SI([@SBAN]="";"";BUSCARV([@SBAN];Cronograma_Maestro!$A:$M;5;FALSO))</f>
        <v/>
      </c>
      <c r="F553" s="12" t="inlineStr">
        <is>
          <t>Ali Kassem Issa Sierra</t>
        </is>
      </c>
      <c r="G553" s="12" t="inlineStr">
        <is>
          <t>PMU COLSOF</t>
        </is>
      </c>
      <c r="H553" s="13" t="n">
        <v>46287</v>
      </c>
      <c r="I553" s="13" t="n">
        <v>46287</v>
      </c>
      <c r="J553" s="13" t="n"/>
      <c r="K553" s="13" t="n"/>
      <c r="L553" s="12" t="inlineStr">
        <is>
          <t>Programada</t>
        </is>
      </c>
      <c r="M553" s="13" t="n"/>
      <c r="N553" s="14">
        <f>SI(O([@[Fecha_Programada_Inicio]]="";[@[Fecha_Inicio_Real]]="");"";SI([@[Fecha_Inicio_Real]]&lt;=[@[Fecha_Programada_Inicio]];"SÍ";"NO"))</f>
        <v/>
      </c>
      <c r="O553" s="14">
        <f>SI(O([@[Fecha_Programada_Fin]]="";[@[Fecha_Cierre_Operativo]]="");"";SI([@[Fecha_Cierre_Operativo]]&lt;=SI([@[Fecha_Nueva_Programada]]&lt;&gt;"";[@[Fecha_Nueva_Programada]];[@[Fecha_Programada_Fin]]);"SÍ";"NO"))</f>
        <v/>
      </c>
      <c r="P553" s="14">
        <f>SI(O([@[Cumpli_Ingreso]]="";[@[Cumpli_Salida]]="");"";SI(Y([@[Cumpli_Ingreso]]="SÍ";[@[Cumpli_Salida]]="SÍ");"SÍ";"NO"))</f>
        <v/>
      </c>
      <c r="Q553" s="15">
        <f>SI(O([@[Fecha_Programada_Fin]]="";[@[Fecha_Cierre_Operativo]]="");"";MAX(0;ENTERO([@[Fecha_Cierre_Operativo]])-ENTERO(SI([@[Fecha_Nueva_Programada]]&lt;&gt;"";[@[Fecha_Nueva_Programada]];[@[Fecha_Programada_Fin]])))</f>
        <v/>
      </c>
      <c r="R553" s="12" t="n"/>
      <c r="S553" s="12" t="n"/>
      <c r="T553" s="13" t="n"/>
      <c r="U553" s="12" t="n">
        <v>12</v>
      </c>
      <c r="V553" s="12" t="n"/>
      <c r="W55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53" s="14">
        <f>SI([@SBAN]="";"";BUSCARV([@SBAN];Cronograma_Maestro!$A:$M;6;FALSO))</f>
        <v/>
      </c>
    </row>
    <row r="554">
      <c r="A554" s="11" t="inlineStr">
        <is>
          <t>5160</t>
        </is>
      </c>
      <c r="B554" s="12">
        <f>SI([@SBAN]="";"";BUSCARV([@SBAN];Cronograma_Maestro!$A:$M;2;FALSO))</f>
        <v/>
      </c>
      <c r="C554" s="12">
        <f>SI([@SBAN]="";"";BUSCARV([@SBAN];Cronograma_Maestro!$A:$M;3;FALSO))</f>
        <v/>
      </c>
      <c r="D554" s="12">
        <f>SI([@SBAN]="";"";BUSCARV([@SBAN];Cronograma_Maestro!$A:$M;4;FALSO))</f>
        <v/>
      </c>
      <c r="E554" s="12">
        <f>SI([@SBAN]="";"";BUSCARV([@SBAN];Cronograma_Maestro!$A:$M;5;FALSO))</f>
        <v/>
      </c>
      <c r="F554" s="12" t="inlineStr">
        <is>
          <t>Ali Kassem Issa Sierra</t>
        </is>
      </c>
      <c r="G554" s="12" t="inlineStr">
        <is>
          <t>PMU COLSOF</t>
        </is>
      </c>
      <c r="H554" s="13" t="n">
        <v>46281</v>
      </c>
      <c r="I554" s="13" t="n">
        <v>46282</v>
      </c>
      <c r="J554" s="13" t="n"/>
      <c r="K554" s="13" t="n"/>
      <c r="L554" s="12" t="inlineStr">
        <is>
          <t>Programada</t>
        </is>
      </c>
      <c r="M554" s="13" t="n"/>
      <c r="N554" s="14">
        <f>SI(O([@[Fecha_Programada_Inicio]]="";[@[Fecha_Inicio_Real]]="");"";SI([@[Fecha_Inicio_Real]]&lt;=[@[Fecha_Programada_Inicio]];"SÍ";"NO"))</f>
        <v/>
      </c>
      <c r="O554" s="14">
        <f>SI(O([@[Fecha_Programada_Fin]]="";[@[Fecha_Cierre_Operativo]]="");"";SI([@[Fecha_Cierre_Operativo]]&lt;=SI([@[Fecha_Nueva_Programada]]&lt;&gt;"";[@[Fecha_Nueva_Programada]];[@[Fecha_Programada_Fin]]);"SÍ";"NO"))</f>
        <v/>
      </c>
      <c r="P554" s="14">
        <f>SI(O([@[Cumpli_Ingreso]]="";[@[Cumpli_Salida]]="");"";SI(Y([@[Cumpli_Ingreso]]="SÍ";[@[Cumpli_Salida]]="SÍ");"SÍ";"NO"))</f>
        <v/>
      </c>
      <c r="Q554" s="15">
        <f>SI(O([@[Fecha_Programada_Fin]]="";[@[Fecha_Cierre_Operativo]]="");"";MAX(0;ENTERO([@[Fecha_Cierre_Operativo]])-ENTERO(SI([@[Fecha_Nueva_Programada]]&lt;&gt;"";[@[Fecha_Nueva_Programada]];[@[Fecha_Programada_Fin]])))</f>
        <v/>
      </c>
      <c r="R554" s="12" t="n"/>
      <c r="S554" s="12" t="n"/>
      <c r="T554" s="13" t="n"/>
      <c r="U554" s="12" t="n">
        <v>18</v>
      </c>
      <c r="V554" s="12" t="n"/>
      <c r="W55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54" s="14">
        <f>SI([@SBAN]="";"";BUSCARV([@SBAN];Cronograma_Maestro!$A:$M;6;FALSO))</f>
        <v/>
      </c>
    </row>
    <row r="555">
      <c r="A555" s="11" t="inlineStr">
        <is>
          <t>5164</t>
        </is>
      </c>
      <c r="B555" s="12">
        <f>SI([@SBAN]="";"";BUSCARV([@SBAN];Cronograma_Maestro!$A:$M;2;FALSO))</f>
        <v/>
      </c>
      <c r="C555" s="12">
        <f>SI([@SBAN]="";"";BUSCARV([@SBAN];Cronograma_Maestro!$A:$M;3;FALSO))</f>
        <v/>
      </c>
      <c r="D555" s="12">
        <f>SI([@SBAN]="";"";BUSCARV([@SBAN];Cronograma_Maestro!$A:$M;4;FALSO))</f>
        <v/>
      </c>
      <c r="E555" s="12">
        <f>SI([@SBAN]="";"";BUSCARV([@SBAN];Cronograma_Maestro!$A:$M;5;FALSO))</f>
        <v/>
      </c>
      <c r="F555" s="12" t="inlineStr">
        <is>
          <t>Juan Alfonso Cuberos Buendia</t>
        </is>
      </c>
      <c r="G555" s="12" t="inlineStr">
        <is>
          <t>PMU COLSOF</t>
        </is>
      </c>
      <c r="H555" s="13" t="n">
        <v>46310</v>
      </c>
      <c r="I555" s="13" t="n">
        <v>46310</v>
      </c>
      <c r="J555" s="13" t="n"/>
      <c r="K555" s="13" t="n"/>
      <c r="L555" s="12" t="inlineStr">
        <is>
          <t>Programada</t>
        </is>
      </c>
      <c r="M555" s="13" t="n"/>
      <c r="N555" s="14">
        <f>SI(O([@[Fecha_Programada_Inicio]]="";[@[Fecha_Inicio_Real]]="");"";SI([@[Fecha_Inicio_Real]]&lt;=[@[Fecha_Programada_Inicio]];"SÍ";"NO"))</f>
        <v/>
      </c>
      <c r="O555" s="14">
        <f>SI(O([@[Fecha_Programada_Fin]]="";[@[Fecha_Cierre_Operativo]]="");"";SI([@[Fecha_Cierre_Operativo]]&lt;=SI([@[Fecha_Nueva_Programada]]&lt;&gt;"";[@[Fecha_Nueva_Programada]];[@[Fecha_Programada_Fin]]);"SÍ";"NO"))</f>
        <v/>
      </c>
      <c r="P555" s="14">
        <f>SI(O([@[Cumpli_Ingreso]]="";[@[Cumpli_Salida]]="");"";SI(Y([@[Cumpli_Ingreso]]="SÍ";[@[Cumpli_Salida]]="SÍ");"SÍ";"NO"))</f>
        <v/>
      </c>
      <c r="Q555" s="15">
        <f>SI(O([@[Fecha_Programada_Fin]]="";[@[Fecha_Cierre_Operativo]]="");"";MAX(0;ENTERO([@[Fecha_Cierre_Operativo]])-ENTERO(SI([@[Fecha_Nueva_Programada]]&lt;&gt;"";[@[Fecha_Nueva_Programada]];[@[Fecha_Programada_Fin]])))</f>
        <v/>
      </c>
      <c r="R555" s="12" t="n"/>
      <c r="S555" s="12" t="n"/>
      <c r="T555" s="13" t="n"/>
      <c r="U555" s="12" t="n">
        <v>14</v>
      </c>
      <c r="V555" s="12" t="n"/>
      <c r="W55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55" s="14">
        <f>SI([@SBAN]="";"";BUSCARV([@SBAN];Cronograma_Maestro!$A:$M;6;FALSO))</f>
        <v/>
      </c>
    </row>
    <row r="556">
      <c r="A556" s="11" t="inlineStr">
        <is>
          <t>5170</t>
        </is>
      </c>
      <c r="B556" s="12">
        <f>SI([@SBAN]="";"";BUSCARV([@SBAN];Cronograma_Maestro!$A:$M;2;FALSO))</f>
        <v/>
      </c>
      <c r="C556" s="12">
        <f>SI([@SBAN]="";"";BUSCARV([@SBAN];Cronograma_Maestro!$A:$M;3;FALSO))</f>
        <v/>
      </c>
      <c r="D556" s="12">
        <f>SI([@SBAN]="";"";BUSCARV([@SBAN];Cronograma_Maestro!$A:$M;4;FALSO))</f>
        <v/>
      </c>
      <c r="E556" s="12">
        <f>SI([@SBAN]="";"";BUSCARV([@SBAN];Cronograma_Maestro!$A:$M;5;FALSO))</f>
        <v/>
      </c>
      <c r="F556" s="12" t="inlineStr">
        <is>
          <t>Juan Alfonso Cuberos Buendia-Ali Kassem Issa Sierra</t>
        </is>
      </c>
      <c r="G556" s="12" t="inlineStr">
        <is>
          <t>PMU COLSOF</t>
        </is>
      </c>
      <c r="H556" s="13" t="n">
        <v>46266</v>
      </c>
      <c r="I556" s="13" t="n">
        <v>46269</v>
      </c>
      <c r="J556" s="13" t="n">
        <v>46266</v>
      </c>
      <c r="K556" s="13" t="n"/>
      <c r="L556" s="12" t="inlineStr">
        <is>
          <t>En Proceso</t>
        </is>
      </c>
      <c r="M556" s="13" t="n"/>
      <c r="N556" s="14">
        <f>SI(O([@[Fecha_Programada_Inicio]]="";[@[Fecha_Inicio_Real]]="");"";SI([@[Fecha_Inicio_Real]]&lt;=[@[Fecha_Programada_Inicio]];"SÍ";"NO"))</f>
        <v/>
      </c>
      <c r="O556" s="14">
        <f>SI(O([@[Fecha_Programada_Fin]]="";[@[Fecha_Cierre_Operativo]]="");"";SI([@[Fecha_Cierre_Operativo]]&lt;=SI([@[Fecha_Nueva_Programada]]&lt;&gt;"";[@[Fecha_Nueva_Programada]];[@[Fecha_Programada_Fin]]);"SÍ";"NO"))</f>
        <v/>
      </c>
      <c r="P556" s="14">
        <f>SI(O([@[Cumpli_Ingreso]]="";[@[Cumpli_Salida]]="");"";SI(Y([@[Cumpli_Ingreso]]="SÍ";[@[Cumpli_Salida]]="SÍ");"SÍ";"NO"))</f>
        <v/>
      </c>
      <c r="Q556" s="15">
        <f>SI(O([@[Fecha_Programada_Fin]]="";[@[Fecha_Cierre_Operativo]]="");"";MAX(0;ENTERO([@[Fecha_Cierre_Operativo]])-ENTERO(SI([@[Fecha_Nueva_Programada]]&lt;&gt;"";[@[Fecha_Nueva_Programada]];[@[Fecha_Programada_Fin]])))</f>
        <v/>
      </c>
      <c r="R556" s="12" t="n"/>
      <c r="S556" s="12" t="n"/>
      <c r="T556" s="13" t="n"/>
      <c r="U556" s="12" t="n">
        <v>38</v>
      </c>
      <c r="V556" s="12" t="n"/>
      <c r="W55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56" s="14">
        <f>SI([@SBAN]="";"";BUSCARV([@SBAN];Cronograma_Maestro!$A:$M;6;FALSO))</f>
        <v/>
      </c>
    </row>
    <row r="557">
      <c r="A557" s="11" t="inlineStr">
        <is>
          <t>5172</t>
        </is>
      </c>
      <c r="B557" s="12">
        <f>SI([@SBAN]="";"";BUSCARV([@SBAN];Cronograma_Maestro!$A:$M;2;FALSO))</f>
        <v/>
      </c>
      <c r="C557" s="12">
        <f>SI([@SBAN]="";"";BUSCARV([@SBAN];Cronograma_Maestro!$A:$M;3;FALSO))</f>
        <v/>
      </c>
      <c r="D557" s="12">
        <f>SI([@SBAN]="";"";BUSCARV([@SBAN];Cronograma_Maestro!$A:$M;4;FALSO))</f>
        <v/>
      </c>
      <c r="E557" s="12">
        <f>SI([@SBAN]="";"";BUSCARV([@SBAN];Cronograma_Maestro!$A:$M;5;FALSO))</f>
        <v/>
      </c>
      <c r="F557" s="12" t="inlineStr">
        <is>
          <t>Juan Alfonso Cuberos Buendia</t>
        </is>
      </c>
      <c r="G557" s="12" t="inlineStr">
        <is>
          <t>PMU COLSOF</t>
        </is>
      </c>
      <c r="H557" s="13" t="n">
        <v>46281</v>
      </c>
      <c r="I557" s="13" t="n">
        <v>46281</v>
      </c>
      <c r="J557" s="13" t="n"/>
      <c r="K557" s="13" t="n"/>
      <c r="L557" s="12" t="inlineStr">
        <is>
          <t>Programada</t>
        </is>
      </c>
      <c r="M557" s="13" t="n"/>
      <c r="N557" s="14">
        <f>SI(O([@[Fecha_Programada_Inicio]]="";[@[Fecha_Inicio_Real]]="");"";SI([@[Fecha_Inicio_Real]]&lt;=[@[Fecha_Programada_Inicio]];"SÍ";"NO"))</f>
        <v/>
      </c>
      <c r="O557" s="14">
        <f>SI(O([@[Fecha_Programada_Fin]]="";[@[Fecha_Cierre_Operativo]]="");"";SI([@[Fecha_Cierre_Operativo]]&lt;=SI([@[Fecha_Nueva_Programada]]&lt;&gt;"";[@[Fecha_Nueva_Programada]];[@[Fecha_Programada_Fin]]);"SÍ";"NO"))</f>
        <v/>
      </c>
      <c r="P557" s="14">
        <f>SI(O([@[Cumpli_Ingreso]]="";[@[Cumpli_Salida]]="");"";SI(Y([@[Cumpli_Ingreso]]="SÍ";[@[Cumpli_Salida]]="SÍ");"SÍ";"NO"))</f>
        <v/>
      </c>
      <c r="Q557" s="15">
        <f>SI(O([@[Fecha_Programada_Fin]]="";[@[Fecha_Cierre_Operativo]]="");"";MAX(0;ENTERO([@[Fecha_Cierre_Operativo]])-ENTERO(SI([@[Fecha_Nueva_Programada]]&lt;&gt;"";[@[Fecha_Nueva_Programada]];[@[Fecha_Programada_Fin]])))</f>
        <v/>
      </c>
      <c r="R557" s="12" t="n"/>
      <c r="S557" s="12" t="n"/>
      <c r="T557" s="13" t="n"/>
      <c r="U557" s="12" t="n">
        <v>12</v>
      </c>
      <c r="V557" s="12" t="n"/>
      <c r="W55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57" s="14">
        <f>SI([@SBAN]="";"";BUSCARV([@SBAN];Cronograma_Maestro!$A:$M;6;FALSO))</f>
        <v/>
      </c>
    </row>
    <row r="558">
      <c r="A558" s="11" t="inlineStr">
        <is>
          <t>5180</t>
        </is>
      </c>
      <c r="B558" s="12">
        <f>SI([@SBAN]="";"";BUSCARV([@SBAN];Cronograma_Maestro!$A:$M;2;FALSO))</f>
        <v/>
      </c>
      <c r="C558" s="12">
        <f>SI([@SBAN]="";"";BUSCARV([@SBAN];Cronograma_Maestro!$A:$M;3;FALSO))</f>
        <v/>
      </c>
      <c r="D558" s="12">
        <f>SI([@SBAN]="";"";BUSCARV([@SBAN];Cronograma_Maestro!$A:$M;4;FALSO))</f>
        <v/>
      </c>
      <c r="E558" s="12">
        <f>SI([@SBAN]="";"";BUSCARV([@SBAN];Cronograma_Maestro!$A:$M;5;FALSO))</f>
        <v/>
      </c>
      <c r="F558" s="12" t="inlineStr">
        <is>
          <t>Juan Alfonso Cuberos Buendia</t>
        </is>
      </c>
      <c r="G558" s="12" t="inlineStr">
        <is>
          <t>PMU COLSOF</t>
        </is>
      </c>
      <c r="H558" s="13" t="n">
        <v>46296</v>
      </c>
      <c r="I558" s="13" t="n">
        <v>46296</v>
      </c>
      <c r="J558" s="13" t="n"/>
      <c r="K558" s="13" t="n"/>
      <c r="L558" s="12" t="inlineStr">
        <is>
          <t>Programada</t>
        </is>
      </c>
      <c r="M558" s="13" t="n"/>
      <c r="N558" s="14">
        <f>SI(O([@[Fecha_Programada_Inicio]]="";[@[Fecha_Inicio_Real]]="");"";SI([@[Fecha_Inicio_Real]]&lt;=[@[Fecha_Programada_Inicio]];"SÍ";"NO"))</f>
        <v/>
      </c>
      <c r="O558" s="14">
        <f>SI(O([@[Fecha_Programada_Fin]]="";[@[Fecha_Cierre_Operativo]]="");"";SI([@[Fecha_Cierre_Operativo]]&lt;=SI([@[Fecha_Nueva_Programada]]&lt;&gt;"";[@[Fecha_Nueva_Programada]];[@[Fecha_Programada_Fin]]);"SÍ";"NO"))</f>
        <v/>
      </c>
      <c r="P558" s="14">
        <f>SI(O([@[Cumpli_Ingreso]]="";[@[Cumpli_Salida]]="");"";SI(Y([@[Cumpli_Ingreso]]="SÍ";[@[Cumpli_Salida]]="SÍ");"SÍ";"NO"))</f>
        <v/>
      </c>
      <c r="Q558" s="15">
        <f>SI(O([@[Fecha_Programada_Fin]]="";[@[Fecha_Cierre_Operativo]]="");"";MAX(0;ENTERO([@[Fecha_Cierre_Operativo]])-ENTERO(SI([@[Fecha_Nueva_Programada]]&lt;&gt;"";[@[Fecha_Nueva_Programada]];[@[Fecha_Programada_Fin]])))</f>
        <v/>
      </c>
      <c r="R558" s="12" t="n"/>
      <c r="S558" s="12" t="n"/>
      <c r="T558" s="13" t="n"/>
      <c r="U558" s="12" t="n">
        <v>12</v>
      </c>
      <c r="V558" s="12" t="n"/>
      <c r="W55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58" s="14">
        <f>SI([@SBAN]="";"";BUSCARV([@SBAN];Cronograma_Maestro!$A:$M;6;FALSO))</f>
        <v/>
      </c>
    </row>
    <row r="559">
      <c r="A559" s="11" t="inlineStr">
        <is>
          <t>5401</t>
        </is>
      </c>
      <c r="B559" s="12">
        <f>SI([@SBAN]="";"";BUSCARV([@SBAN];Cronograma_Maestro!$A:$M;2;FALSO))</f>
        <v/>
      </c>
      <c r="C559" s="12">
        <f>SI([@SBAN]="";"";BUSCARV([@SBAN];Cronograma_Maestro!$A:$M;3;FALSO))</f>
        <v/>
      </c>
      <c r="D559" s="12">
        <f>SI([@SBAN]="";"";BUSCARV([@SBAN];Cronograma_Maestro!$A:$M;4;FALSO))</f>
        <v/>
      </c>
      <c r="E559" s="12">
        <f>SI([@SBAN]="";"";BUSCARV([@SBAN];Cronograma_Maestro!$A:$M;5;FALSO))</f>
        <v/>
      </c>
      <c r="F559" s="12" t="inlineStr">
        <is>
          <t>Alvaro Augusto Villalba Villamil</t>
        </is>
      </c>
      <c r="G559" s="12" t="inlineStr">
        <is>
          <t>PMU COLSOF</t>
        </is>
      </c>
      <c r="H559" s="13" t="n">
        <v>46296</v>
      </c>
      <c r="I559" s="13" t="n">
        <v>46302</v>
      </c>
      <c r="J559" s="13" t="n"/>
      <c r="K559" s="13" t="n"/>
      <c r="L559" s="12" t="inlineStr">
        <is>
          <t>Sede_Cerrada</t>
        </is>
      </c>
      <c r="M559" s="13" t="n"/>
      <c r="N559" s="14">
        <f>SI(O([@[Fecha_Programada_Inicio]]="";[@[Fecha_Inicio_Real]]="");"";SI([@[Fecha_Inicio_Real]]&lt;=[@[Fecha_Programada_Inicio]];"SÍ";"NO"))</f>
        <v/>
      </c>
      <c r="O559" s="14">
        <f>SI(O([@[Fecha_Programada_Fin]]="";[@[Fecha_Cierre_Operativo]]="");"";SI([@[Fecha_Cierre_Operativo]]&lt;=SI([@[Fecha_Nueva_Programada]]&lt;&gt;"";[@[Fecha_Nueva_Programada]];[@[Fecha_Programada_Fin]]);"SÍ";"NO"))</f>
        <v/>
      </c>
      <c r="P559" s="14">
        <f>SI(O([@[Cumpli_Ingreso]]="";[@[Cumpli_Salida]]="");"";SI(Y([@[Cumpli_Ingreso]]="SÍ";[@[Cumpli_Salida]]="SÍ");"SÍ";"NO"))</f>
        <v/>
      </c>
      <c r="Q559" s="15">
        <f>SI(O([@[Fecha_Programada_Fin]]="";[@[Fecha_Cierre_Operativo]]="");"";MAX(0;ENTERO([@[Fecha_Cierre_Operativo]])-ENTERO(SI([@[Fecha_Nueva_Programada]]&lt;&gt;"";[@[Fecha_Nueva_Programada]];[@[Fecha_Programada_Fin]])))</f>
        <v/>
      </c>
      <c r="R559" s="12" t="inlineStr">
        <is>
          <t>N/A - A Tiempo</t>
        </is>
      </c>
      <c r="S559" s="12" t="inlineStr">
        <is>
          <t>Firmada</t>
        </is>
      </c>
      <c r="T559" s="13" t="n"/>
      <c r="U559" s="12" t="n">
        <v>37</v>
      </c>
      <c r="V559" s="12" t="n"/>
      <c r="W55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59" s="14">
        <f>SI([@SBAN]="";"";BUSCARV([@SBAN];Cronograma_Maestro!$A:$M;6;FALSO))</f>
        <v/>
      </c>
    </row>
    <row r="560">
      <c r="A560" s="11" t="inlineStr">
        <is>
          <t>5410</t>
        </is>
      </c>
      <c r="B560" s="12">
        <f>SI([@SBAN]="";"";BUSCARV([@SBAN];Cronograma_Maestro!$A:$M;2;FALSO))</f>
        <v/>
      </c>
      <c r="C560" s="12">
        <f>SI([@SBAN]="";"";BUSCARV([@SBAN];Cronograma_Maestro!$A:$M;3;FALSO))</f>
        <v/>
      </c>
      <c r="D560" s="12">
        <f>SI([@SBAN]="";"";BUSCARV([@SBAN];Cronograma_Maestro!$A:$M;4;FALSO))</f>
        <v/>
      </c>
      <c r="E560" s="12">
        <f>SI([@SBAN]="";"";BUSCARV([@SBAN];Cronograma_Maestro!$A:$M;5;FALSO))</f>
        <v/>
      </c>
      <c r="F560" s="12" t="inlineStr">
        <is>
          <t>Alvaro Augusto Villalba Villamil</t>
        </is>
      </c>
      <c r="G560" s="12" t="inlineStr">
        <is>
          <t>PMU COLSOF</t>
        </is>
      </c>
      <c r="H560" s="13" t="n">
        <v>46311</v>
      </c>
      <c r="I560" s="13" t="n">
        <v>46311</v>
      </c>
      <c r="J560" s="13" t="n"/>
      <c r="K560" s="13" t="n"/>
      <c r="L560" s="12" t="inlineStr">
        <is>
          <t>Sede_Cerrada</t>
        </is>
      </c>
      <c r="M560" s="13" t="n"/>
      <c r="N560" s="14">
        <f>SI(O([@[Fecha_Programada_Inicio]]="";[@[Fecha_Inicio_Real]]="");"";SI([@[Fecha_Inicio_Real]]&lt;=[@[Fecha_Programada_Inicio]];"SÍ";"NO"))</f>
        <v/>
      </c>
      <c r="O560" s="14">
        <f>SI(O([@[Fecha_Programada_Fin]]="";[@[Fecha_Cierre_Operativo]]="");"";SI([@[Fecha_Cierre_Operativo]]&lt;=SI([@[Fecha_Nueva_Programada]]&lt;&gt;"";[@[Fecha_Nueva_Programada]];[@[Fecha_Programada_Fin]]);"SÍ";"NO"))</f>
        <v/>
      </c>
      <c r="P560" s="14">
        <f>SI(O([@[Cumpli_Ingreso]]="";[@[Cumpli_Salida]]="");"";SI(Y([@[Cumpli_Ingreso]]="SÍ";[@[Cumpli_Salida]]="SÍ");"SÍ";"NO"))</f>
        <v/>
      </c>
      <c r="Q560" s="15">
        <f>SI(O([@[Fecha_Programada_Fin]]="";[@[Fecha_Cierre_Operativo]]="");"";MAX(0;ENTERO([@[Fecha_Cierre_Operativo]])-ENTERO(SI([@[Fecha_Nueva_Programada]]&lt;&gt;"";[@[Fecha_Nueva_Programada]];[@[Fecha_Programada_Fin]])))</f>
        <v/>
      </c>
      <c r="R560" s="12" t="inlineStr">
        <is>
          <t>N/A - A Tiempo</t>
        </is>
      </c>
      <c r="S560" s="12" t="inlineStr">
        <is>
          <t>Firmada</t>
        </is>
      </c>
      <c r="T560" s="13" t="n"/>
      <c r="U560" s="12" t="n">
        <v>24</v>
      </c>
      <c r="V560" s="12" t="n"/>
      <c r="W56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60" s="14">
        <f>SI([@SBAN]="";"";BUSCARV([@SBAN];Cronograma_Maestro!$A:$M;6;FALSO))</f>
        <v/>
      </c>
    </row>
    <row r="561">
      <c r="A561" s="11" t="inlineStr">
        <is>
          <t>5412</t>
        </is>
      </c>
      <c r="B561" s="12">
        <f>SI([@SBAN]="";"";BUSCARV([@SBAN];Cronograma_Maestro!$A:$M;2;FALSO))</f>
        <v/>
      </c>
      <c r="C561" s="12">
        <f>SI([@SBAN]="";"";BUSCARV([@SBAN];Cronograma_Maestro!$A:$M;3;FALSO))</f>
        <v/>
      </c>
      <c r="D561" s="12">
        <f>SI([@SBAN]="";"";BUSCARV([@SBAN];Cronograma_Maestro!$A:$M;4;FALSO))</f>
        <v/>
      </c>
      <c r="E561" s="12">
        <f>SI([@SBAN]="";"";BUSCARV([@SBAN];Cronograma_Maestro!$A:$M;5;FALSO))</f>
        <v/>
      </c>
      <c r="F561" s="12" t="inlineStr">
        <is>
          <t>Alvaro Augusto Villalba Villamil</t>
        </is>
      </c>
      <c r="G561" s="12" t="inlineStr">
        <is>
          <t>PMU COLSOF</t>
        </is>
      </c>
      <c r="H561" s="13" t="n">
        <v>46358</v>
      </c>
      <c r="I561" s="13" t="n">
        <v>46359</v>
      </c>
      <c r="J561" s="13" t="n"/>
      <c r="K561" s="13" t="n"/>
      <c r="L561" s="12" t="inlineStr">
        <is>
          <t>Programada</t>
        </is>
      </c>
      <c r="M561" s="13" t="n"/>
      <c r="N561" s="14">
        <f>SI(O([@[Fecha_Programada_Inicio]]="";[@[Fecha_Inicio_Real]]="");"";SI([@[Fecha_Inicio_Real]]&lt;=[@[Fecha_Programada_Inicio]];"SÍ";"NO"))</f>
        <v/>
      </c>
      <c r="O561" s="14">
        <f>SI(O([@[Fecha_Programada_Fin]]="";[@[Fecha_Cierre_Operativo]]="");"";SI([@[Fecha_Cierre_Operativo]]&lt;=SI([@[Fecha_Nueva_Programada]]&lt;&gt;"";[@[Fecha_Nueva_Programada]];[@[Fecha_Programada_Fin]]);"SÍ";"NO"))</f>
        <v/>
      </c>
      <c r="P561" s="14">
        <f>SI(O([@[Cumpli_Ingreso]]="";[@[Cumpli_Salida]]="");"";SI(Y([@[Cumpli_Ingreso]]="SÍ";[@[Cumpli_Salida]]="SÍ");"SÍ";"NO"))</f>
        <v/>
      </c>
      <c r="Q561" s="15">
        <f>SI(O([@[Fecha_Programada_Fin]]="";[@[Fecha_Cierre_Operativo]]="");"";MAX(0;ENTERO([@[Fecha_Cierre_Operativo]])-ENTERO(SI([@[Fecha_Nueva_Programada]]&lt;&gt;"";[@[Fecha_Nueva_Programada]];[@[Fecha_Programada_Fin]])))</f>
        <v/>
      </c>
      <c r="R561" s="12" t="n"/>
      <c r="S561" s="12" t="n"/>
      <c r="T561" s="13" t="n"/>
      <c r="U561" s="12" t="n">
        <v>17</v>
      </c>
      <c r="V561" s="12" t="n"/>
      <c r="W56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61" s="14">
        <f>SI([@SBAN]="";"";BUSCARV([@SBAN];Cronograma_Maestro!$A:$M;6;FALSO))</f>
        <v/>
      </c>
    </row>
    <row r="562">
      <c r="A562" s="11" t="inlineStr">
        <is>
          <t>5413</t>
        </is>
      </c>
      <c r="B562" s="12">
        <f>SI([@SBAN]="";"";BUSCARV([@SBAN];Cronograma_Maestro!$A:$M;2;FALSO))</f>
        <v/>
      </c>
      <c r="C562" s="12">
        <f>SI([@SBAN]="";"";BUSCARV([@SBAN];Cronograma_Maestro!$A:$M;3;FALSO))</f>
        <v/>
      </c>
      <c r="D562" s="12">
        <f>SI([@SBAN]="";"";BUSCARV([@SBAN];Cronograma_Maestro!$A:$M;4;FALSO))</f>
        <v/>
      </c>
      <c r="E562" s="12">
        <f>SI([@SBAN]="";"";BUSCARV([@SBAN];Cronograma_Maestro!$A:$M;5;FALSO))</f>
        <v/>
      </c>
      <c r="F562" s="12" t="inlineStr">
        <is>
          <t>JULIO  CESAR AUDELO  - ANDRES FELIPE BOTERO</t>
        </is>
      </c>
      <c r="G562" s="12" t="inlineStr">
        <is>
          <t>PMU COLSOF</t>
        </is>
      </c>
      <c r="H562" s="13" t="n">
        <v>46310</v>
      </c>
      <c r="I562" s="13" t="n">
        <v>46311</v>
      </c>
      <c r="J562" s="13" t="n"/>
      <c r="K562" s="13" t="n"/>
      <c r="L562" s="12" t="inlineStr">
        <is>
          <t>Programada</t>
        </is>
      </c>
      <c r="M562" s="13" t="n"/>
      <c r="N562" s="14">
        <f>SI(O([@[Fecha_Programada_Inicio]]="";[@[Fecha_Inicio_Real]]="");"";SI([@[Fecha_Inicio_Real]]&lt;=[@[Fecha_Programada_Inicio]];"SÍ";"NO"))</f>
        <v/>
      </c>
      <c r="O562" s="14">
        <f>SI(O([@[Fecha_Programada_Fin]]="";[@[Fecha_Cierre_Operativo]]="");"";SI([@[Fecha_Cierre_Operativo]]&lt;=SI([@[Fecha_Nueva_Programada]]&lt;&gt;"";[@[Fecha_Nueva_Programada]];[@[Fecha_Programada_Fin]]);"SÍ";"NO"))</f>
        <v/>
      </c>
      <c r="P562" s="14">
        <f>SI(O([@[Cumpli_Ingreso]]="";[@[Cumpli_Salida]]="");"";SI(Y([@[Cumpli_Ingreso]]="SÍ";[@[Cumpli_Salida]]="SÍ");"SÍ";"NO"))</f>
        <v/>
      </c>
      <c r="Q562" s="15">
        <f>SI(O([@[Fecha_Programada_Fin]]="";[@[Fecha_Cierre_Operativo]]="");"";MAX(0;ENTERO([@[Fecha_Cierre_Operativo]])-ENTERO(SI([@[Fecha_Nueva_Programada]]&lt;&gt;"";[@[Fecha_Nueva_Programada]];[@[Fecha_Programada_Fin]])))</f>
        <v/>
      </c>
      <c r="R562" s="12" t="n"/>
      <c r="S562" s="12" t="n"/>
      <c r="T562" s="13" t="n"/>
      <c r="U562" s="12" t="n">
        <v>27</v>
      </c>
      <c r="V562" s="12" t="n"/>
      <c r="W56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62" s="14">
        <f>SI([@SBAN]="";"";BUSCARV([@SBAN];Cronograma_Maestro!$A:$M;6;FALSO))</f>
        <v/>
      </c>
    </row>
    <row r="563">
      <c r="A563" s="11" t="inlineStr">
        <is>
          <t>5414</t>
        </is>
      </c>
      <c r="B563" s="12">
        <f>SI([@SBAN]="";"";BUSCARV([@SBAN];Cronograma_Maestro!$A:$M;2;FALSO))</f>
        <v/>
      </c>
      <c r="C563" s="12">
        <f>SI([@SBAN]="";"";BUSCARV([@SBAN];Cronograma_Maestro!$A:$M;3;FALSO))</f>
        <v/>
      </c>
      <c r="D563" s="12">
        <f>SI([@SBAN]="";"";BUSCARV([@SBAN];Cronograma_Maestro!$A:$M;4;FALSO))</f>
        <v/>
      </c>
      <c r="E563" s="12">
        <f>SI([@SBAN]="";"";BUSCARV([@SBAN];Cronograma_Maestro!$A:$M;5;FALSO))</f>
        <v/>
      </c>
      <c r="F563" s="12" t="inlineStr">
        <is>
          <t>Alvaro Augusto Villalba Villamil</t>
        </is>
      </c>
      <c r="G563" s="12" t="inlineStr">
        <is>
          <t>PMU COLSOF</t>
        </is>
      </c>
      <c r="H563" s="13" t="n">
        <v>46356</v>
      </c>
      <c r="I563" s="13" t="n">
        <v>46357</v>
      </c>
      <c r="J563" s="13" t="n"/>
      <c r="K563" s="13" t="n"/>
      <c r="L563" s="12" t="inlineStr">
        <is>
          <t>Sede_Cerrada</t>
        </is>
      </c>
      <c r="M563" s="13" t="n"/>
      <c r="N563" s="14">
        <f>SI(O([@[Fecha_Programada_Inicio]]="";[@[Fecha_Inicio_Real]]="");"";SI([@[Fecha_Inicio_Real]]&lt;=[@[Fecha_Programada_Inicio]];"SÍ";"NO"))</f>
        <v/>
      </c>
      <c r="O563" s="14">
        <f>SI(O([@[Fecha_Programada_Fin]]="";[@[Fecha_Cierre_Operativo]]="");"";SI([@[Fecha_Cierre_Operativo]]&lt;=SI([@[Fecha_Nueva_Programada]]&lt;&gt;"";[@[Fecha_Nueva_Programada]];[@[Fecha_Programada_Fin]]);"SÍ";"NO"))</f>
        <v/>
      </c>
      <c r="P563" s="14">
        <f>SI(O([@[Cumpli_Ingreso]]="";[@[Cumpli_Salida]]="");"";SI(Y([@[Cumpli_Ingreso]]="SÍ";[@[Cumpli_Salida]]="SÍ");"SÍ";"NO"))</f>
        <v/>
      </c>
      <c r="Q563" s="15">
        <f>SI(O([@[Fecha_Programada_Fin]]="";[@[Fecha_Cierre_Operativo]]="");"";MAX(0;ENTERO([@[Fecha_Cierre_Operativo]])-ENTERO(SI([@[Fecha_Nueva_Programada]]&lt;&gt;"";[@[Fecha_Nueva_Programada]];[@[Fecha_Programada_Fin]])))</f>
        <v/>
      </c>
      <c r="R563" s="12" t="inlineStr">
        <is>
          <t>N/A - A Tiempo</t>
        </is>
      </c>
      <c r="S563" s="12" t="inlineStr">
        <is>
          <t>Firmada</t>
        </is>
      </c>
      <c r="T563" s="13" t="n"/>
      <c r="U563" s="12" t="n">
        <v>20</v>
      </c>
      <c r="V563" s="12" t="n"/>
      <c r="W56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63" s="14">
        <f>SI([@SBAN]="";"";BUSCARV([@SBAN];Cronograma_Maestro!$A:$M;6;FALSO))</f>
        <v/>
      </c>
    </row>
    <row r="564">
      <c r="A564" s="11" t="inlineStr">
        <is>
          <t>5415</t>
        </is>
      </c>
      <c r="B564" s="12">
        <f>SI([@SBAN]="";"";BUSCARV([@SBAN];Cronograma_Maestro!$A:$M;2;FALSO))</f>
        <v/>
      </c>
      <c r="C564" s="12">
        <f>SI([@SBAN]="";"";BUSCARV([@SBAN];Cronograma_Maestro!$A:$M;3;FALSO))</f>
        <v/>
      </c>
      <c r="D564" s="12">
        <f>SI([@SBAN]="";"";BUSCARV([@SBAN];Cronograma_Maestro!$A:$M;4;FALSO))</f>
        <v/>
      </c>
      <c r="E564" s="12">
        <f>SI([@SBAN]="";"";BUSCARV([@SBAN];Cronograma_Maestro!$A:$M;5;FALSO))</f>
        <v/>
      </c>
      <c r="F564" s="12" t="inlineStr">
        <is>
          <t>Alvaro Augusto Villalba Villamil</t>
        </is>
      </c>
      <c r="G564" s="12" t="inlineStr">
        <is>
          <t>PMU COLSOF</t>
        </is>
      </c>
      <c r="H564" s="13" t="n">
        <v>46323</v>
      </c>
      <c r="I564" s="13" t="n">
        <v>46323</v>
      </c>
      <c r="J564" s="13" t="n"/>
      <c r="K564" s="13" t="n"/>
      <c r="L564" s="12" t="inlineStr">
        <is>
          <t>Programada</t>
        </is>
      </c>
      <c r="M564" s="13" t="n"/>
      <c r="N564" s="14">
        <f>SI(O([@[Fecha_Programada_Inicio]]="";[@[Fecha_Inicio_Real]]="");"";SI([@[Fecha_Inicio_Real]]&lt;=[@[Fecha_Programada_Inicio]];"SÍ";"NO"))</f>
        <v/>
      </c>
      <c r="O564" s="14">
        <f>SI(O([@[Fecha_Programada_Fin]]="";[@[Fecha_Cierre_Operativo]]="");"";SI([@[Fecha_Cierre_Operativo]]&lt;=SI([@[Fecha_Nueva_Programada]]&lt;&gt;"";[@[Fecha_Nueva_Programada]];[@[Fecha_Programada_Fin]]);"SÍ";"NO"))</f>
        <v/>
      </c>
      <c r="P564" s="14">
        <f>SI(O([@[Cumpli_Ingreso]]="";[@[Cumpli_Salida]]="");"";SI(Y([@[Cumpli_Ingreso]]="SÍ";[@[Cumpli_Salida]]="SÍ");"SÍ";"NO"))</f>
        <v/>
      </c>
      <c r="Q564" s="15">
        <f>SI(O([@[Fecha_Programada_Fin]]="";[@[Fecha_Cierre_Operativo]]="");"";MAX(0;ENTERO([@[Fecha_Cierre_Operativo]])-ENTERO(SI([@[Fecha_Nueva_Programada]]&lt;&gt;"";[@[Fecha_Nueva_Programada]];[@[Fecha_Programada_Fin]])))</f>
        <v/>
      </c>
      <c r="R564" s="12" t="n"/>
      <c r="S564" s="12" t="n"/>
      <c r="T564" s="13" t="n"/>
      <c r="U564" s="12" t="n">
        <v>20</v>
      </c>
      <c r="V564" s="12" t="n"/>
      <c r="W56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64" s="14">
        <f>SI([@SBAN]="";"";BUSCARV([@SBAN];Cronograma_Maestro!$A:$M;6;FALSO))</f>
        <v/>
      </c>
    </row>
    <row r="565">
      <c r="A565" s="11" t="inlineStr">
        <is>
          <t>5420</t>
        </is>
      </c>
      <c r="B565" s="12">
        <f>SI([@SBAN]="";"";BUSCARV([@SBAN];Cronograma_Maestro!$A:$M;2;FALSO))</f>
        <v/>
      </c>
      <c r="C565" s="12">
        <f>SI([@SBAN]="";"";BUSCARV([@SBAN];Cronograma_Maestro!$A:$M;3;FALSO))</f>
        <v/>
      </c>
      <c r="D565" s="12">
        <f>SI([@SBAN]="";"";BUSCARV([@SBAN];Cronograma_Maestro!$A:$M;4;FALSO))</f>
        <v/>
      </c>
      <c r="E565" s="12">
        <f>SI([@SBAN]="";"";BUSCARV([@SBAN];Cronograma_Maestro!$A:$M;5;FALSO))</f>
        <v/>
      </c>
      <c r="F565" s="12" t="inlineStr">
        <is>
          <t>Alvaro Augusto Villalba Villamil</t>
        </is>
      </c>
      <c r="G565" s="12" t="inlineStr">
        <is>
          <t>PMU COLSOF</t>
        </is>
      </c>
      <c r="H565" s="13" t="n">
        <v>46324</v>
      </c>
      <c r="I565" s="13" t="n">
        <v>46324</v>
      </c>
      <c r="J565" s="13" t="n"/>
      <c r="K565" s="13" t="n"/>
      <c r="L565" s="12" t="inlineStr">
        <is>
          <t>Sede_Cerrada</t>
        </is>
      </c>
      <c r="M565" s="13" t="n"/>
      <c r="N565" s="14">
        <f>SI(O([@[Fecha_Programada_Inicio]]="";[@[Fecha_Inicio_Real]]="");"";SI([@[Fecha_Inicio_Real]]&lt;=[@[Fecha_Programada_Inicio]];"SÍ";"NO"))</f>
        <v/>
      </c>
      <c r="O565" s="14">
        <f>SI(O([@[Fecha_Programada_Fin]]="";[@[Fecha_Cierre_Operativo]]="");"";SI([@[Fecha_Cierre_Operativo]]&lt;=SI([@[Fecha_Nueva_Programada]]&lt;&gt;"";[@[Fecha_Nueva_Programada]];[@[Fecha_Programada_Fin]]);"SÍ";"NO"))</f>
        <v/>
      </c>
      <c r="P565" s="14">
        <f>SI(O([@[Cumpli_Ingreso]]="";[@[Cumpli_Salida]]="");"";SI(Y([@[Cumpli_Ingreso]]="SÍ";[@[Cumpli_Salida]]="SÍ");"SÍ";"NO"))</f>
        <v/>
      </c>
      <c r="Q565" s="15">
        <f>SI(O([@[Fecha_Programada_Fin]]="";[@[Fecha_Cierre_Operativo]]="");"";MAX(0;ENTERO([@[Fecha_Cierre_Operativo]])-ENTERO(SI([@[Fecha_Nueva_Programada]]&lt;&gt;"";[@[Fecha_Nueva_Programada]];[@[Fecha_Programada_Fin]])))</f>
        <v/>
      </c>
      <c r="R565" s="12" t="inlineStr">
        <is>
          <t>N/A - A Tiempo</t>
        </is>
      </c>
      <c r="S565" s="12" t="inlineStr">
        <is>
          <t>Firmada</t>
        </is>
      </c>
      <c r="T565" s="13" t="n"/>
      <c r="U565" s="12" t="n">
        <v>16</v>
      </c>
      <c r="V565" s="12" t="n"/>
      <c r="W56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65" s="14">
        <f>SI([@SBAN]="";"";BUSCARV([@SBAN];Cronograma_Maestro!$A:$M;6;FALSO))</f>
        <v/>
      </c>
    </row>
    <row r="566">
      <c r="A566" s="11" t="inlineStr">
        <is>
          <t>5425</t>
        </is>
      </c>
      <c r="B566" s="12">
        <f>SI([@SBAN]="";"";BUSCARV([@SBAN];Cronograma_Maestro!$A:$M;2;FALSO))</f>
        <v/>
      </c>
      <c r="C566" s="12">
        <f>SI([@SBAN]="";"";BUSCARV([@SBAN];Cronograma_Maestro!$A:$M;3;FALSO))</f>
        <v/>
      </c>
      <c r="D566" s="12">
        <f>SI([@SBAN]="";"";BUSCARV([@SBAN];Cronograma_Maestro!$A:$M;4;FALSO))</f>
        <v/>
      </c>
      <c r="E566" s="12">
        <f>SI([@SBAN]="";"";BUSCARV([@SBAN];Cronograma_Maestro!$A:$M;5;FALSO))</f>
        <v/>
      </c>
      <c r="F566" s="12" t="inlineStr">
        <is>
          <t>Alvaro Augusto Villalba Villamil</t>
        </is>
      </c>
      <c r="G566" s="12" t="inlineStr">
        <is>
          <t>PMU COLSOF</t>
        </is>
      </c>
      <c r="H566" s="13" t="n">
        <v>46332</v>
      </c>
      <c r="I566" s="13" t="n">
        <v>46332</v>
      </c>
      <c r="J566" s="13" t="n"/>
      <c r="K566" s="13" t="n"/>
      <c r="L566" s="12" t="inlineStr">
        <is>
          <t>Sede_Cerrada</t>
        </is>
      </c>
      <c r="M566" s="13" t="n"/>
      <c r="N566" s="14">
        <f>SI(O([@[Fecha_Programada_Inicio]]="";[@[Fecha_Inicio_Real]]="");"";SI([@[Fecha_Inicio_Real]]&lt;=[@[Fecha_Programada_Inicio]];"SÍ";"NO"))</f>
        <v/>
      </c>
      <c r="O566" s="14">
        <f>SI(O([@[Fecha_Programada_Fin]]="";[@[Fecha_Cierre_Operativo]]="");"";SI([@[Fecha_Cierre_Operativo]]&lt;=SI([@[Fecha_Nueva_Programada]]&lt;&gt;"";[@[Fecha_Nueva_Programada]];[@[Fecha_Programada_Fin]]);"SÍ";"NO"))</f>
        <v/>
      </c>
      <c r="P566" s="14">
        <f>SI(O([@[Cumpli_Ingreso]]="";[@[Cumpli_Salida]]="");"";SI(Y([@[Cumpli_Ingreso]]="SÍ";[@[Cumpli_Salida]]="SÍ");"SÍ";"NO"))</f>
        <v/>
      </c>
      <c r="Q566" s="15">
        <f>SI(O([@[Fecha_Programada_Fin]]="";[@[Fecha_Cierre_Operativo]]="");"";MAX(0;ENTERO([@[Fecha_Cierre_Operativo]])-ENTERO(SI([@[Fecha_Nueva_Programada]]&lt;&gt;"";[@[Fecha_Nueva_Programada]];[@[Fecha_Programada_Fin]])))</f>
        <v/>
      </c>
      <c r="R566" s="12" t="inlineStr">
        <is>
          <t>N/A - A Tiempo</t>
        </is>
      </c>
      <c r="S566" s="12" t="inlineStr">
        <is>
          <t>Firmada</t>
        </is>
      </c>
      <c r="T566" s="13" t="n"/>
      <c r="U566" s="12" t="n">
        <v>17</v>
      </c>
      <c r="V566" s="12" t="n"/>
      <c r="W56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66" s="14">
        <f>SI([@SBAN]="";"";BUSCARV([@SBAN];Cronograma_Maestro!$A:$M;6;FALSO))</f>
        <v/>
      </c>
    </row>
    <row r="567">
      <c r="A567" s="11" t="inlineStr">
        <is>
          <t>5430</t>
        </is>
      </c>
      <c r="B567" s="12">
        <f>SI([@SBAN]="";"";BUSCARV([@SBAN];Cronograma_Maestro!$A:$M;2;FALSO))</f>
        <v/>
      </c>
      <c r="C567" s="12">
        <f>SI([@SBAN]="";"";BUSCARV([@SBAN];Cronograma_Maestro!$A:$M;3;FALSO))</f>
        <v/>
      </c>
      <c r="D567" s="12">
        <f>SI([@SBAN]="";"";BUSCARV([@SBAN];Cronograma_Maestro!$A:$M;4;FALSO))</f>
        <v/>
      </c>
      <c r="E567" s="12">
        <f>SI([@SBAN]="";"";BUSCARV([@SBAN];Cronograma_Maestro!$A:$M;5;FALSO))</f>
        <v/>
      </c>
      <c r="F567" s="12" t="inlineStr">
        <is>
          <t>Alvaro Augusto Villalba Villamil</t>
        </is>
      </c>
      <c r="G567" s="12" t="inlineStr">
        <is>
          <t>PMU COLSOF</t>
        </is>
      </c>
      <c r="H567" s="13" t="n">
        <v>46339</v>
      </c>
      <c r="I567" s="13" t="n">
        <v>46339</v>
      </c>
      <c r="J567" s="13" t="n"/>
      <c r="K567" s="13" t="n"/>
      <c r="L567" s="12" t="inlineStr">
        <is>
          <t>Programada</t>
        </is>
      </c>
      <c r="M567" s="13" t="n"/>
      <c r="N567" s="14">
        <f>SI(O([@[Fecha_Programada_Inicio]]="";[@[Fecha_Inicio_Real]]="");"";SI([@[Fecha_Inicio_Real]]&lt;=[@[Fecha_Programada_Inicio]];"SÍ";"NO"))</f>
        <v/>
      </c>
      <c r="O567" s="14">
        <f>SI(O([@[Fecha_Programada_Fin]]="";[@[Fecha_Cierre_Operativo]]="");"";SI([@[Fecha_Cierre_Operativo]]&lt;=SI([@[Fecha_Nueva_Programada]]&lt;&gt;"";[@[Fecha_Nueva_Programada]];[@[Fecha_Programada_Fin]]);"SÍ";"NO"))</f>
        <v/>
      </c>
      <c r="P567" s="14">
        <f>SI(O([@[Cumpli_Ingreso]]="";[@[Cumpli_Salida]]="");"";SI(Y([@[Cumpli_Ingreso]]="SÍ";[@[Cumpli_Salida]]="SÍ");"SÍ";"NO"))</f>
        <v/>
      </c>
      <c r="Q567" s="15">
        <f>SI(O([@[Fecha_Programada_Fin]]="";[@[Fecha_Cierre_Operativo]]="");"";MAX(0;ENTERO([@[Fecha_Cierre_Operativo]])-ENTERO(SI([@[Fecha_Nueva_Programada]]&lt;&gt;"";[@[Fecha_Nueva_Programada]];[@[Fecha_Programada_Fin]])))</f>
        <v/>
      </c>
      <c r="R567" s="12" t="n"/>
      <c r="S567" s="12" t="n"/>
      <c r="T567" s="13" t="n"/>
      <c r="U567" s="12" t="n">
        <v>15</v>
      </c>
      <c r="V567" s="12" t="n"/>
      <c r="W56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67" s="14">
        <f>SI([@SBAN]="";"";BUSCARV([@SBAN];Cronograma_Maestro!$A:$M;6;FALSO))</f>
        <v/>
      </c>
    </row>
    <row r="568">
      <c r="A568" s="11" t="inlineStr">
        <is>
          <t>5440</t>
        </is>
      </c>
      <c r="B568" s="12">
        <f>SI([@SBAN]="";"";BUSCARV([@SBAN];Cronograma_Maestro!$A:$M;2;FALSO))</f>
        <v/>
      </c>
      <c r="C568" s="12">
        <f>SI([@SBAN]="";"";BUSCARV([@SBAN];Cronograma_Maestro!$A:$M;3;FALSO))</f>
        <v/>
      </c>
      <c r="D568" s="12">
        <f>SI([@SBAN]="";"";BUSCARV([@SBAN];Cronograma_Maestro!$A:$M;4;FALSO))</f>
        <v/>
      </c>
      <c r="E568" s="12">
        <f>SI([@SBAN]="";"";BUSCARV([@SBAN];Cronograma_Maestro!$A:$M;5;FALSO))</f>
        <v/>
      </c>
      <c r="F568" s="12" t="inlineStr">
        <is>
          <t>Alvaro Augusto Villalba Villamil</t>
        </is>
      </c>
      <c r="G568" s="12" t="inlineStr">
        <is>
          <t>PMU COLSOF</t>
        </is>
      </c>
      <c r="H568" s="13" t="n">
        <v>46345</v>
      </c>
      <c r="I568" s="13" t="n">
        <v>46345</v>
      </c>
      <c r="J568" s="13" t="n"/>
      <c r="K568" s="13" t="n"/>
      <c r="L568" s="12" t="inlineStr">
        <is>
          <t>Sede_Cerrada</t>
        </is>
      </c>
      <c r="M568" s="13" t="n"/>
      <c r="N568" s="14">
        <f>SI(O([@[Fecha_Programada_Inicio]]="";[@[Fecha_Inicio_Real]]="");"";SI([@[Fecha_Inicio_Real]]&lt;=[@[Fecha_Programada_Inicio]];"SÍ";"NO"))</f>
        <v/>
      </c>
      <c r="O568" s="14">
        <f>SI(O([@[Fecha_Programada_Fin]]="";[@[Fecha_Cierre_Operativo]]="");"";SI([@[Fecha_Cierre_Operativo]]&lt;=SI([@[Fecha_Nueva_Programada]]&lt;&gt;"";[@[Fecha_Nueva_Programada]];[@[Fecha_Programada_Fin]]);"SÍ";"NO"))</f>
        <v/>
      </c>
      <c r="P568" s="14">
        <f>SI(O([@[Cumpli_Ingreso]]="";[@[Cumpli_Salida]]="");"";SI(Y([@[Cumpli_Ingreso]]="SÍ";[@[Cumpli_Salida]]="SÍ");"SÍ";"NO"))</f>
        <v/>
      </c>
      <c r="Q568" s="15">
        <f>SI(O([@[Fecha_Programada_Fin]]="";[@[Fecha_Cierre_Operativo]]="");"";MAX(0;ENTERO([@[Fecha_Cierre_Operativo]])-ENTERO(SI([@[Fecha_Nueva_Programada]]&lt;&gt;"";[@[Fecha_Nueva_Programada]];[@[Fecha_Programada_Fin]])))</f>
        <v/>
      </c>
      <c r="R568" s="12" t="inlineStr">
        <is>
          <t>N/A - A Tiempo</t>
        </is>
      </c>
      <c r="S568" s="12" t="inlineStr">
        <is>
          <t>Firmada</t>
        </is>
      </c>
      <c r="T568" s="13" t="n"/>
      <c r="U568" s="12" t="n">
        <v>12</v>
      </c>
      <c r="V568" s="12" t="n"/>
      <c r="W56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68" s="14">
        <f>SI([@SBAN]="";"";BUSCARV([@SBAN];Cronograma_Maestro!$A:$M;6;FALSO))</f>
        <v/>
      </c>
    </row>
    <row r="569">
      <c r="A569" s="11" t="inlineStr">
        <is>
          <t>5445</t>
        </is>
      </c>
      <c r="B569" s="12">
        <f>SI([@SBAN]="";"";BUSCARV([@SBAN];Cronograma_Maestro!$A:$M;2;FALSO))</f>
        <v/>
      </c>
      <c r="C569" s="12">
        <f>SI([@SBAN]="";"";BUSCARV([@SBAN];Cronograma_Maestro!$A:$M;3;FALSO))</f>
        <v/>
      </c>
      <c r="D569" s="12">
        <f>SI([@SBAN]="";"";BUSCARV([@SBAN];Cronograma_Maestro!$A:$M;4;FALSO))</f>
        <v/>
      </c>
      <c r="E569" s="12">
        <f>SI([@SBAN]="";"";BUSCARV([@SBAN];Cronograma_Maestro!$A:$M;5;FALSO))</f>
        <v/>
      </c>
      <c r="F569" s="12" t="inlineStr">
        <is>
          <t>Alvaro Augusto Villalba Villamil</t>
        </is>
      </c>
      <c r="G569" s="12" t="inlineStr">
        <is>
          <t>PMU COLSOF</t>
        </is>
      </c>
      <c r="H569" s="13" t="n">
        <v>46304</v>
      </c>
      <c r="I569" s="13" t="n">
        <v>46304</v>
      </c>
      <c r="J569" s="13" t="n"/>
      <c r="K569" s="13" t="n"/>
      <c r="L569" s="12" t="inlineStr">
        <is>
          <t>Programada</t>
        </is>
      </c>
      <c r="M569" s="13" t="n"/>
      <c r="N569" s="14">
        <f>SI(O([@[Fecha_Programada_Inicio]]="";[@[Fecha_Inicio_Real]]="");"";SI([@[Fecha_Inicio_Real]]&lt;=[@[Fecha_Programada_Inicio]];"SÍ";"NO"))</f>
        <v/>
      </c>
      <c r="O569" s="14">
        <f>SI(O([@[Fecha_Programada_Fin]]="";[@[Fecha_Cierre_Operativo]]="");"";SI([@[Fecha_Cierre_Operativo]]&lt;=SI([@[Fecha_Nueva_Programada]]&lt;&gt;"";[@[Fecha_Nueva_Programada]];[@[Fecha_Programada_Fin]]);"SÍ";"NO"))</f>
        <v/>
      </c>
      <c r="P569" s="14">
        <f>SI(O([@[Cumpli_Ingreso]]="";[@[Cumpli_Salida]]="");"";SI(Y([@[Cumpli_Ingreso]]="SÍ";[@[Cumpli_Salida]]="SÍ");"SÍ";"NO"))</f>
        <v/>
      </c>
      <c r="Q569" s="15">
        <f>SI(O([@[Fecha_Programada_Fin]]="";[@[Fecha_Cierre_Operativo]]="");"";MAX(0;ENTERO([@[Fecha_Cierre_Operativo]])-ENTERO(SI([@[Fecha_Nueva_Programada]]&lt;&gt;"";[@[Fecha_Nueva_Programada]];[@[Fecha_Programada_Fin]])))</f>
        <v/>
      </c>
      <c r="R569" s="12" t="n"/>
      <c r="S569" s="12" t="n"/>
      <c r="T569" s="13" t="n"/>
      <c r="U569" s="12" t="n">
        <v>19</v>
      </c>
      <c r="V569" s="12" t="n"/>
      <c r="W56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69" s="14">
        <f>SI([@SBAN]="";"";BUSCARV([@SBAN];Cronograma_Maestro!$A:$M;6;FALSO))</f>
        <v/>
      </c>
    </row>
    <row r="570">
      <c r="A570" s="11" t="inlineStr">
        <is>
          <t>5450</t>
        </is>
      </c>
      <c r="B570" s="12">
        <f>SI([@SBAN]="";"";BUSCARV([@SBAN];Cronograma_Maestro!$A:$M;2;FALSO))</f>
        <v/>
      </c>
      <c r="C570" s="12">
        <f>SI([@SBAN]="";"";BUSCARV([@SBAN];Cronograma_Maestro!$A:$M;3;FALSO))</f>
        <v/>
      </c>
      <c r="D570" s="12">
        <f>SI([@SBAN]="";"";BUSCARV([@SBAN];Cronograma_Maestro!$A:$M;4;FALSO))</f>
        <v/>
      </c>
      <c r="E570" s="12">
        <f>SI([@SBAN]="";"";BUSCARV([@SBAN];Cronograma_Maestro!$A:$M;5;FALSO))</f>
        <v/>
      </c>
      <c r="F570" s="12" t="inlineStr">
        <is>
          <t>Alvaro Augusto Villalba Villamil</t>
        </is>
      </c>
      <c r="G570" s="12" t="inlineStr">
        <is>
          <t>PMU COLSOF</t>
        </is>
      </c>
      <c r="H570" s="13" t="n">
        <v>46325</v>
      </c>
      <c r="I570" s="13" t="n">
        <v>46325</v>
      </c>
      <c r="J570" s="13" t="n"/>
      <c r="K570" s="13" t="n"/>
      <c r="L570" s="12" t="inlineStr">
        <is>
          <t>Programada</t>
        </is>
      </c>
      <c r="M570" s="13" t="n"/>
      <c r="N570" s="14">
        <f>SI(O([@[Fecha_Programada_Inicio]]="";[@[Fecha_Inicio_Real]]="");"";SI([@[Fecha_Inicio_Real]]&lt;=[@[Fecha_Programada_Inicio]];"SÍ";"NO"))</f>
        <v/>
      </c>
      <c r="O570" s="14">
        <f>SI(O([@[Fecha_Programada_Fin]]="";[@[Fecha_Cierre_Operativo]]="");"";SI([@[Fecha_Cierre_Operativo]]&lt;=SI([@[Fecha_Nueva_Programada]]&lt;&gt;"";[@[Fecha_Nueva_Programada]];[@[Fecha_Programada_Fin]]);"SÍ";"NO"))</f>
        <v/>
      </c>
      <c r="P570" s="14">
        <f>SI(O([@[Cumpli_Ingreso]]="";[@[Cumpli_Salida]]="");"";SI(Y([@[Cumpli_Ingreso]]="SÍ";[@[Cumpli_Salida]]="SÍ");"SÍ";"NO"))</f>
        <v/>
      </c>
      <c r="Q570" s="15">
        <f>SI(O([@[Fecha_Programada_Fin]]="";[@[Fecha_Cierre_Operativo]]="");"";MAX(0;ENTERO([@[Fecha_Cierre_Operativo]])-ENTERO(SI([@[Fecha_Nueva_Programada]]&lt;&gt;"";[@[Fecha_Nueva_Programada]];[@[Fecha_Programada_Fin]])))</f>
        <v/>
      </c>
      <c r="R570" s="12" t="n"/>
      <c r="S570" s="12" t="n"/>
      <c r="T570" s="13" t="n"/>
      <c r="U570" s="12" t="n">
        <v>14</v>
      </c>
      <c r="V570" s="12" t="n"/>
      <c r="W57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70" s="14">
        <f>SI([@SBAN]="";"";BUSCARV([@SBAN];Cronograma_Maestro!$A:$M;6;FALSO))</f>
        <v/>
      </c>
    </row>
    <row r="571">
      <c r="A571" s="11" t="inlineStr">
        <is>
          <t>5455</t>
        </is>
      </c>
      <c r="B571" s="12">
        <f>SI([@SBAN]="";"";BUSCARV([@SBAN];Cronograma_Maestro!$A:$M;2;FALSO))</f>
        <v/>
      </c>
      <c r="C571" s="12">
        <f>SI([@SBAN]="";"";BUSCARV([@SBAN];Cronograma_Maestro!$A:$M;3;FALSO))</f>
        <v/>
      </c>
      <c r="D571" s="12">
        <f>SI([@SBAN]="";"";BUSCARV([@SBAN];Cronograma_Maestro!$A:$M;4;FALSO))</f>
        <v/>
      </c>
      <c r="E571" s="12">
        <f>SI([@SBAN]="";"";BUSCARV([@SBAN];Cronograma_Maestro!$A:$M;5;FALSO))</f>
        <v/>
      </c>
      <c r="F571" s="12" t="inlineStr">
        <is>
          <t>Alvaro Augusto Villalba Villamil</t>
        </is>
      </c>
      <c r="G571" s="12" t="inlineStr">
        <is>
          <t>PMU COLSOF</t>
        </is>
      </c>
      <c r="H571" s="13" t="n">
        <v>46338</v>
      </c>
      <c r="I571" s="13" t="n">
        <v>46338</v>
      </c>
      <c r="J571" s="13" t="n"/>
      <c r="K571" s="13" t="n"/>
      <c r="L571" s="12" t="inlineStr">
        <is>
          <t>Programada</t>
        </is>
      </c>
      <c r="M571" s="13" t="n"/>
      <c r="N571" s="14">
        <f>SI(O([@[Fecha_Programada_Inicio]]="";[@[Fecha_Inicio_Real]]="");"";SI([@[Fecha_Inicio_Real]]&lt;=[@[Fecha_Programada_Inicio]];"SÍ";"NO"))</f>
        <v/>
      </c>
      <c r="O571" s="14">
        <f>SI(O([@[Fecha_Programada_Fin]]="";[@[Fecha_Cierre_Operativo]]="");"";SI([@[Fecha_Cierre_Operativo]]&lt;=SI([@[Fecha_Nueva_Programada]]&lt;&gt;"";[@[Fecha_Nueva_Programada]];[@[Fecha_Programada_Fin]]);"SÍ";"NO"))</f>
        <v/>
      </c>
      <c r="P571" s="14">
        <f>SI(O([@[Cumpli_Ingreso]]="";[@[Cumpli_Salida]]="");"";SI(Y([@[Cumpli_Ingreso]]="SÍ";[@[Cumpli_Salida]]="SÍ");"SÍ";"NO"))</f>
        <v/>
      </c>
      <c r="Q571" s="15">
        <f>SI(O([@[Fecha_Programada_Fin]]="";[@[Fecha_Cierre_Operativo]]="");"";MAX(0;ENTERO([@[Fecha_Cierre_Operativo]])-ENTERO(SI([@[Fecha_Nueva_Programada]]&lt;&gt;"";[@[Fecha_Nueva_Programada]];[@[Fecha_Programada_Fin]])))</f>
        <v/>
      </c>
      <c r="R571" s="12" t="n"/>
      <c r="S571" s="12" t="n"/>
      <c r="T571" s="13" t="n"/>
      <c r="U571" s="12" t="n">
        <v>12</v>
      </c>
      <c r="V571" s="12" t="n"/>
      <c r="W57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71" s="14">
        <f>SI([@SBAN]="";"";BUSCARV([@SBAN];Cronograma_Maestro!$A:$M;6;FALSO))</f>
        <v/>
      </c>
    </row>
    <row r="572">
      <c r="A572" s="11" t="inlineStr">
        <is>
          <t>5462</t>
        </is>
      </c>
      <c r="B572" s="12">
        <f>SI([@SBAN]="";"";BUSCARV([@SBAN];Cronograma_Maestro!$A:$M;2;FALSO))</f>
        <v/>
      </c>
      <c r="C572" s="12">
        <f>SI([@SBAN]="";"";BUSCARV([@SBAN];Cronograma_Maestro!$A:$M;3;FALSO))</f>
        <v/>
      </c>
      <c r="D572" s="12">
        <f>SI([@SBAN]="";"";BUSCARV([@SBAN];Cronograma_Maestro!$A:$M;4;FALSO))</f>
        <v/>
      </c>
      <c r="E572" s="12">
        <f>SI([@SBAN]="";"";BUSCARV([@SBAN];Cronograma_Maestro!$A:$M;5;FALSO))</f>
        <v/>
      </c>
      <c r="F572" s="12" t="inlineStr">
        <is>
          <t>Alvaro Augusto Villalba Villamil</t>
        </is>
      </c>
      <c r="G572" s="12" t="inlineStr">
        <is>
          <t>PMU COLSOF</t>
        </is>
      </c>
      <c r="H572" s="13" t="n">
        <v>46344</v>
      </c>
      <c r="I572" s="13" t="n">
        <v>46344</v>
      </c>
      <c r="J572" s="13" t="n"/>
      <c r="K572" s="13" t="n"/>
      <c r="L572" s="12" t="inlineStr">
        <is>
          <t>Programada</t>
        </is>
      </c>
      <c r="M572" s="13" t="n"/>
      <c r="N572" s="14">
        <f>SI(O([@[Fecha_Programada_Inicio]]="";[@[Fecha_Inicio_Real]]="");"";SI([@[Fecha_Inicio_Real]]&lt;=[@[Fecha_Programada_Inicio]];"SÍ";"NO"))</f>
        <v/>
      </c>
      <c r="O572" s="14">
        <f>SI(O([@[Fecha_Programada_Fin]]="";[@[Fecha_Cierre_Operativo]]="");"";SI([@[Fecha_Cierre_Operativo]]&lt;=SI([@[Fecha_Nueva_Programada]]&lt;&gt;"";[@[Fecha_Nueva_Programada]];[@[Fecha_Programada_Fin]]);"SÍ";"NO"))</f>
        <v/>
      </c>
      <c r="P572" s="14">
        <f>SI(O([@[Cumpli_Ingreso]]="";[@[Cumpli_Salida]]="");"";SI(Y([@[Cumpli_Ingreso]]="SÍ";[@[Cumpli_Salida]]="SÍ");"SÍ";"NO"))</f>
        <v/>
      </c>
      <c r="Q572" s="15">
        <f>SI(O([@[Fecha_Programada_Fin]]="";[@[Fecha_Cierre_Operativo]]="");"";MAX(0;ENTERO([@[Fecha_Cierre_Operativo]])-ENTERO(SI([@[Fecha_Nueva_Programada]]&lt;&gt;"";[@[Fecha_Nueva_Programada]];[@[Fecha_Programada_Fin]])))</f>
        <v/>
      </c>
      <c r="R572" s="12" t="n"/>
      <c r="S572" s="12" t="n"/>
      <c r="T572" s="13" t="n"/>
      <c r="U572" s="12" t="n">
        <v>12</v>
      </c>
      <c r="V572" s="12" t="n"/>
      <c r="W57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72" s="14">
        <f>SI([@SBAN]="";"";BUSCARV([@SBAN];Cronograma_Maestro!$A:$M;6;FALSO))</f>
        <v/>
      </c>
    </row>
    <row r="573">
      <c r="A573" s="11" t="inlineStr">
        <is>
          <t>5703</t>
        </is>
      </c>
      <c r="B573" s="12">
        <f>SI([@SBAN]="";"";BUSCARV([@SBAN];Cronograma_Maestro!$A:$M;2;FALSO))</f>
        <v/>
      </c>
      <c r="C573" s="12">
        <f>SI([@SBAN]="";"";BUSCARV([@SBAN];Cronograma_Maestro!$A:$M;3;FALSO))</f>
        <v/>
      </c>
      <c r="D573" s="12">
        <f>SI([@SBAN]="";"";BUSCARV([@SBAN];Cronograma_Maestro!$A:$M;4;FALSO))</f>
        <v/>
      </c>
      <c r="E573" s="12">
        <f>SI([@SBAN]="";"";BUSCARV([@SBAN];Cronograma_Maestro!$A:$M;5;FALSO))</f>
        <v/>
      </c>
      <c r="F573" s="12" t="inlineStr">
        <is>
          <t>CESAR AUGUSTO HENAO</t>
        </is>
      </c>
      <c r="G573" s="12" t="inlineStr">
        <is>
          <t>PMU COLSOF</t>
        </is>
      </c>
      <c r="H573" s="13" t="n">
        <v>46330</v>
      </c>
      <c r="I573" s="13" t="n">
        <v>46332</v>
      </c>
      <c r="J573" s="13" t="n"/>
      <c r="K573" s="13" t="n"/>
      <c r="L573" s="12" t="inlineStr">
        <is>
          <t>Sede_Cerrada</t>
        </is>
      </c>
      <c r="M573" s="13" t="n"/>
      <c r="N573" s="14">
        <f>SI(O([@[Fecha_Programada_Inicio]]="";[@[Fecha_Inicio_Real]]="");"";SI([@[Fecha_Inicio_Real]]&lt;=[@[Fecha_Programada_Inicio]];"SÍ";"NO"))</f>
        <v/>
      </c>
      <c r="O573" s="14">
        <f>SI(O([@[Fecha_Programada_Fin]]="";[@[Fecha_Cierre_Operativo]]="");"";SI([@[Fecha_Cierre_Operativo]]&lt;=SI([@[Fecha_Nueva_Programada]]&lt;&gt;"";[@[Fecha_Nueva_Programada]];[@[Fecha_Programada_Fin]]);"SÍ";"NO"))</f>
        <v/>
      </c>
      <c r="P573" s="14">
        <f>SI(O([@[Cumpli_Ingreso]]="";[@[Cumpli_Salida]]="");"";SI(Y([@[Cumpli_Ingreso]]="SÍ";[@[Cumpli_Salida]]="SÍ");"SÍ";"NO"))</f>
        <v/>
      </c>
      <c r="Q573" s="15">
        <f>SI(O([@[Fecha_Programada_Fin]]="";[@[Fecha_Cierre_Operativo]]="");"";MAX(0;ENTERO([@[Fecha_Cierre_Operativo]])-ENTERO(SI([@[Fecha_Nueva_Programada]]&lt;&gt;"";[@[Fecha_Nueva_Programada]];[@[Fecha_Programada_Fin]])))</f>
        <v/>
      </c>
      <c r="R573" s="12" t="inlineStr">
        <is>
          <t>N/A - A Tiempo</t>
        </is>
      </c>
      <c r="S573" s="12" t="inlineStr">
        <is>
          <t>Firmada</t>
        </is>
      </c>
      <c r="T573" s="13" t="n"/>
      <c r="U573" s="12" t="n">
        <v>49</v>
      </c>
      <c r="V573" s="12" t="n"/>
      <c r="W57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73" s="14">
        <f>SI([@SBAN]="";"";BUSCARV([@SBAN];Cronograma_Maestro!$A:$M;6;FALSO))</f>
        <v/>
      </c>
    </row>
    <row r="574">
      <c r="A574" s="11" t="inlineStr">
        <is>
          <t>5704</t>
        </is>
      </c>
      <c r="B574" s="12">
        <f>SI([@SBAN]="";"";BUSCARV([@SBAN];Cronograma_Maestro!$A:$M;2;FALSO))</f>
        <v/>
      </c>
      <c r="C574" s="12">
        <f>SI([@SBAN]="";"";BUSCARV([@SBAN];Cronograma_Maestro!$A:$M;3;FALSO))</f>
        <v/>
      </c>
      <c r="D574" s="12">
        <f>SI([@SBAN]="";"";BUSCARV([@SBAN];Cronograma_Maestro!$A:$M;4;FALSO))</f>
        <v/>
      </c>
      <c r="E574" s="12">
        <f>SI([@SBAN]="";"";BUSCARV([@SBAN];Cronograma_Maestro!$A:$M;5;FALSO))</f>
        <v/>
      </c>
      <c r="F574" s="12" t="inlineStr">
        <is>
          <t>CESAR AUGUSTO HENAO</t>
        </is>
      </c>
      <c r="G574" s="12" t="inlineStr">
        <is>
          <t>PMU COLSOF</t>
        </is>
      </c>
      <c r="H574" s="13" t="n">
        <v>46310</v>
      </c>
      <c r="I574" s="13" t="n">
        <v>46311</v>
      </c>
      <c r="J574" s="13" t="n"/>
      <c r="K574" s="13" t="n"/>
      <c r="L574" s="12" t="inlineStr">
        <is>
          <t>Programada</t>
        </is>
      </c>
      <c r="M574" s="13" t="n"/>
      <c r="N574" s="14">
        <f>SI(O([@[Fecha_Programada_Inicio]]="";[@[Fecha_Inicio_Real]]="");"";SI([@[Fecha_Inicio_Real]]&lt;=[@[Fecha_Programada_Inicio]];"SÍ";"NO"))</f>
        <v/>
      </c>
      <c r="O574" s="14">
        <f>SI(O([@[Fecha_Programada_Fin]]="";[@[Fecha_Cierre_Operativo]]="");"";SI([@[Fecha_Cierre_Operativo]]&lt;=SI([@[Fecha_Nueva_Programada]]&lt;&gt;"";[@[Fecha_Nueva_Programada]];[@[Fecha_Programada_Fin]]);"SÍ";"NO"))</f>
        <v/>
      </c>
      <c r="P574" s="14">
        <f>SI(O([@[Cumpli_Ingreso]]="";[@[Cumpli_Salida]]="");"";SI(Y([@[Cumpli_Ingreso]]="SÍ";[@[Cumpli_Salida]]="SÍ");"SÍ";"NO"))</f>
        <v/>
      </c>
      <c r="Q574" s="15">
        <f>SI(O([@[Fecha_Programada_Fin]]="";[@[Fecha_Cierre_Operativo]]="");"";MAX(0;ENTERO([@[Fecha_Cierre_Operativo]])-ENTERO(SI([@[Fecha_Nueva_Programada]]&lt;&gt;"";[@[Fecha_Nueva_Programada]];[@[Fecha_Programada_Fin]])))</f>
        <v/>
      </c>
      <c r="R574" s="12" t="n"/>
      <c r="S574" s="12" t="n"/>
      <c r="T574" s="13" t="n"/>
      <c r="U574" s="12" t="n">
        <v>15</v>
      </c>
      <c r="V574" s="12" t="n"/>
      <c r="W57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74" s="14">
        <f>SI([@SBAN]="";"";BUSCARV([@SBAN];Cronograma_Maestro!$A:$M;6;FALSO))</f>
        <v/>
      </c>
    </row>
    <row r="575">
      <c r="A575" s="11" t="inlineStr">
        <is>
          <t>5712</t>
        </is>
      </c>
      <c r="B575" s="12">
        <f>SI([@SBAN]="";"";BUSCARV([@SBAN];Cronograma_Maestro!$A:$M;2;FALSO))</f>
        <v/>
      </c>
      <c r="C575" s="12">
        <f>SI([@SBAN]="";"";BUSCARV([@SBAN];Cronograma_Maestro!$A:$M;3;FALSO))</f>
        <v/>
      </c>
      <c r="D575" s="12">
        <f>SI([@SBAN]="";"";BUSCARV([@SBAN];Cronograma_Maestro!$A:$M;4;FALSO))</f>
        <v/>
      </c>
      <c r="E575" s="12">
        <f>SI([@SBAN]="";"";BUSCARV([@SBAN];Cronograma_Maestro!$A:$M;5;FALSO))</f>
        <v/>
      </c>
      <c r="F575" s="12" t="inlineStr">
        <is>
          <t>CESAR AUGUSTO HENAO</t>
        </is>
      </c>
      <c r="G575" s="12" t="inlineStr">
        <is>
          <t>PMU COLSOF</t>
        </is>
      </c>
      <c r="H575" s="13" t="n">
        <v>46308</v>
      </c>
      <c r="I575" s="13" t="n">
        <v>46309</v>
      </c>
      <c r="J575" s="13" t="n"/>
      <c r="K575" s="13" t="n"/>
      <c r="L575" s="12" t="inlineStr">
        <is>
          <t>Sede_Cerrada</t>
        </is>
      </c>
      <c r="M575" s="13" t="n"/>
      <c r="N575" s="14">
        <f>SI(O([@[Fecha_Programada_Inicio]]="";[@[Fecha_Inicio_Real]]="");"";SI([@[Fecha_Inicio_Real]]&lt;=[@[Fecha_Programada_Inicio]];"SÍ";"NO"))</f>
        <v/>
      </c>
      <c r="O575" s="14">
        <f>SI(O([@[Fecha_Programada_Fin]]="";[@[Fecha_Cierre_Operativo]]="");"";SI([@[Fecha_Cierre_Operativo]]&lt;=SI([@[Fecha_Nueva_Programada]]&lt;&gt;"";[@[Fecha_Nueva_Programada]];[@[Fecha_Programada_Fin]]);"SÍ";"NO"))</f>
        <v/>
      </c>
      <c r="P575" s="14">
        <f>SI(O([@[Cumpli_Ingreso]]="";[@[Cumpli_Salida]]="");"";SI(Y([@[Cumpli_Ingreso]]="SÍ";[@[Cumpli_Salida]]="SÍ");"SÍ";"NO"))</f>
        <v/>
      </c>
      <c r="Q575" s="15">
        <f>SI(O([@[Fecha_Programada_Fin]]="";[@[Fecha_Cierre_Operativo]]="");"";MAX(0;ENTERO([@[Fecha_Cierre_Operativo]])-ENTERO(SI([@[Fecha_Nueva_Programada]]&lt;&gt;"";[@[Fecha_Nueva_Programada]];[@[Fecha_Programada_Fin]])))</f>
        <v/>
      </c>
      <c r="R575" s="12" t="inlineStr">
        <is>
          <t>N/A - A Tiempo</t>
        </is>
      </c>
      <c r="S575" s="12" t="inlineStr">
        <is>
          <t>Firmada</t>
        </is>
      </c>
      <c r="T575" s="13" t="n"/>
      <c r="U575" s="12" t="n">
        <v>22</v>
      </c>
      <c r="V575" s="12" t="n"/>
      <c r="W57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75" s="14">
        <f>SI([@SBAN]="";"";BUSCARV([@SBAN];Cronograma_Maestro!$A:$M;6;FALSO))</f>
        <v/>
      </c>
    </row>
    <row r="576">
      <c r="A576" s="11" t="inlineStr">
        <is>
          <t>5715</t>
        </is>
      </c>
      <c r="B576" s="12">
        <f>SI([@SBAN]="";"";BUSCARV([@SBAN];Cronograma_Maestro!$A:$M;2;FALSO))</f>
        <v/>
      </c>
      <c r="C576" s="12">
        <f>SI([@SBAN]="";"";BUSCARV([@SBAN];Cronograma_Maestro!$A:$M;3;FALSO))</f>
        <v/>
      </c>
      <c r="D576" s="12">
        <f>SI([@SBAN]="";"";BUSCARV([@SBAN];Cronograma_Maestro!$A:$M;4;FALSO))</f>
        <v/>
      </c>
      <c r="E576" s="12">
        <f>SI([@SBAN]="";"";BUSCARV([@SBAN];Cronograma_Maestro!$A:$M;5;FALSO))</f>
        <v/>
      </c>
      <c r="F576" s="12" t="inlineStr">
        <is>
          <t>CESAR AUGUSTO HENAO</t>
        </is>
      </c>
      <c r="G576" s="12" t="inlineStr">
        <is>
          <t>PMU COLSOF</t>
        </is>
      </c>
      <c r="H576" s="13" t="n">
        <v>46324</v>
      </c>
      <c r="I576" s="13" t="n">
        <v>46325</v>
      </c>
      <c r="J576" s="13" t="n"/>
      <c r="K576" s="13" t="n"/>
      <c r="L576" s="12" t="inlineStr">
        <is>
          <t>Sede_Cerrada</t>
        </is>
      </c>
      <c r="M576" s="13" t="n"/>
      <c r="N576" s="14">
        <f>SI(O([@[Fecha_Programada_Inicio]]="";[@[Fecha_Inicio_Real]]="");"";SI([@[Fecha_Inicio_Real]]&lt;=[@[Fecha_Programada_Inicio]];"SÍ";"NO"))</f>
        <v/>
      </c>
      <c r="O576" s="14">
        <f>SI(O([@[Fecha_Programada_Fin]]="";[@[Fecha_Cierre_Operativo]]="");"";SI([@[Fecha_Cierre_Operativo]]&lt;=SI([@[Fecha_Nueva_Programada]]&lt;&gt;"";[@[Fecha_Nueva_Programada]];[@[Fecha_Programada_Fin]]);"SÍ";"NO"))</f>
        <v/>
      </c>
      <c r="P576" s="14">
        <f>SI(O([@[Cumpli_Ingreso]]="";[@[Cumpli_Salida]]="");"";SI(Y([@[Cumpli_Ingreso]]="SÍ";[@[Cumpli_Salida]]="SÍ");"SÍ";"NO"))</f>
        <v/>
      </c>
      <c r="Q576" s="15">
        <f>SI(O([@[Fecha_Programada_Fin]]="";[@[Fecha_Cierre_Operativo]]="");"";MAX(0;ENTERO([@[Fecha_Cierre_Operativo]])-ENTERO(SI([@[Fecha_Nueva_Programada]]&lt;&gt;"";[@[Fecha_Nueva_Programada]];[@[Fecha_Programada_Fin]])))</f>
        <v/>
      </c>
      <c r="R576" s="12" t="inlineStr">
        <is>
          <t>N/A - A Tiempo</t>
        </is>
      </c>
      <c r="S576" s="12" t="inlineStr">
        <is>
          <t>Firmada</t>
        </is>
      </c>
      <c r="T576" s="13" t="n"/>
      <c r="U576" s="12" t="n">
        <v>18</v>
      </c>
      <c r="V576" s="12" t="n"/>
      <c r="W57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76" s="14">
        <f>SI([@SBAN]="";"";BUSCARV([@SBAN];Cronograma_Maestro!$A:$M;6;FALSO))</f>
        <v/>
      </c>
    </row>
    <row r="577">
      <c r="A577" s="11" t="inlineStr">
        <is>
          <t>5725</t>
        </is>
      </c>
      <c r="B577" s="12">
        <f>SI([@SBAN]="";"";BUSCARV([@SBAN];Cronograma_Maestro!$A:$M;2;FALSO))</f>
        <v/>
      </c>
      <c r="C577" s="12">
        <f>SI([@SBAN]="";"";BUSCARV([@SBAN];Cronograma_Maestro!$A:$M;3;FALSO))</f>
        <v/>
      </c>
      <c r="D577" s="12">
        <f>SI([@SBAN]="";"";BUSCARV([@SBAN];Cronograma_Maestro!$A:$M;4;FALSO))</f>
        <v/>
      </c>
      <c r="E577" s="12">
        <f>SI([@SBAN]="";"";BUSCARV([@SBAN];Cronograma_Maestro!$A:$M;5;FALSO))</f>
        <v/>
      </c>
      <c r="F577" s="12" t="inlineStr">
        <is>
          <t>CESAR AUGUSTO HENAO</t>
        </is>
      </c>
      <c r="G577" s="12" t="inlineStr">
        <is>
          <t>PMU COLSOF</t>
        </is>
      </c>
      <c r="H577" s="13" t="n">
        <v>46287</v>
      </c>
      <c r="I577" s="13" t="n">
        <v>46288</v>
      </c>
      <c r="J577" s="13" t="n"/>
      <c r="K577" s="13" t="n"/>
      <c r="L577" s="12" t="inlineStr">
        <is>
          <t>Programada</t>
        </is>
      </c>
      <c r="M577" s="13" t="n"/>
      <c r="N577" s="14">
        <f>SI(O([@[Fecha_Programada_Inicio]]="";[@[Fecha_Inicio_Real]]="");"";SI([@[Fecha_Inicio_Real]]&lt;=[@[Fecha_Programada_Inicio]];"SÍ";"NO"))</f>
        <v/>
      </c>
      <c r="O577" s="14">
        <f>SI(O([@[Fecha_Programada_Fin]]="";[@[Fecha_Cierre_Operativo]]="");"";SI([@[Fecha_Cierre_Operativo]]&lt;=SI([@[Fecha_Nueva_Programada]]&lt;&gt;"";[@[Fecha_Nueva_Programada]];[@[Fecha_Programada_Fin]]);"SÍ";"NO"))</f>
        <v/>
      </c>
      <c r="P577" s="14">
        <f>SI(O([@[Cumpli_Ingreso]]="";[@[Cumpli_Salida]]="");"";SI(Y([@[Cumpli_Ingreso]]="SÍ";[@[Cumpli_Salida]]="SÍ");"SÍ";"NO"))</f>
        <v/>
      </c>
      <c r="Q577" s="15">
        <f>SI(O([@[Fecha_Programada_Fin]]="";[@[Fecha_Cierre_Operativo]]="");"";MAX(0;ENTERO([@[Fecha_Cierre_Operativo]])-ENTERO(SI([@[Fecha_Nueva_Programada]]&lt;&gt;"";[@[Fecha_Nueva_Programada]];[@[Fecha_Programada_Fin]])))</f>
        <v/>
      </c>
      <c r="R577" s="12" t="n"/>
      <c r="S577" s="12" t="n"/>
      <c r="T577" s="13" t="n"/>
      <c r="U577" s="12" t="n">
        <v>13</v>
      </c>
      <c r="V577" s="12" t="n"/>
      <c r="W57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77" s="14">
        <f>SI([@SBAN]="";"";BUSCARV([@SBAN];Cronograma_Maestro!$A:$M;6;FALSO))</f>
        <v/>
      </c>
    </row>
    <row r="578">
      <c r="A578" s="11" t="inlineStr">
        <is>
          <t>5732</t>
        </is>
      </c>
      <c r="B578" s="12">
        <f>SI([@SBAN]="";"";BUSCARV([@SBAN];Cronograma_Maestro!$A:$M;2;FALSO))</f>
        <v/>
      </c>
      <c r="C578" s="12">
        <f>SI([@SBAN]="";"";BUSCARV([@SBAN];Cronograma_Maestro!$A:$M;3;FALSO))</f>
        <v/>
      </c>
      <c r="D578" s="12">
        <f>SI([@SBAN]="";"";BUSCARV([@SBAN];Cronograma_Maestro!$A:$M;4;FALSO))</f>
        <v/>
      </c>
      <c r="E578" s="12">
        <f>SI([@SBAN]="";"";BUSCARV([@SBAN];Cronograma_Maestro!$A:$M;5;FALSO))</f>
        <v/>
      </c>
      <c r="F578" s="12" t="inlineStr">
        <is>
          <t>CESAR AUGUSTO HENAO</t>
        </is>
      </c>
      <c r="G578" s="12" t="inlineStr">
        <is>
          <t>PMU COLSOF</t>
        </is>
      </c>
      <c r="H578" s="13" t="n">
        <v>46315</v>
      </c>
      <c r="I578" s="13" t="n">
        <v>46316</v>
      </c>
      <c r="J578" s="13" t="n"/>
      <c r="K578" s="13" t="n"/>
      <c r="L578" s="12" t="inlineStr">
        <is>
          <t>Sede_Cerrada</t>
        </is>
      </c>
      <c r="M578" s="13" t="n"/>
      <c r="N578" s="14">
        <f>SI(O([@[Fecha_Programada_Inicio]]="";[@[Fecha_Inicio_Real]]="");"";SI([@[Fecha_Inicio_Real]]&lt;=[@[Fecha_Programada_Inicio]];"SÍ";"NO"))</f>
        <v/>
      </c>
      <c r="O578" s="14">
        <f>SI(O([@[Fecha_Programada_Fin]]="";[@[Fecha_Cierre_Operativo]]="");"";SI([@[Fecha_Cierre_Operativo]]&lt;=SI([@[Fecha_Nueva_Programada]]&lt;&gt;"";[@[Fecha_Nueva_Programada]];[@[Fecha_Programada_Fin]]);"SÍ";"NO"))</f>
        <v/>
      </c>
      <c r="P578" s="14">
        <f>SI(O([@[Cumpli_Ingreso]]="";[@[Cumpli_Salida]]="");"";SI(Y([@[Cumpli_Ingreso]]="SÍ";[@[Cumpli_Salida]]="SÍ");"SÍ";"NO"))</f>
        <v/>
      </c>
      <c r="Q578" s="15">
        <f>SI(O([@[Fecha_Programada_Fin]]="";[@[Fecha_Cierre_Operativo]]="");"";MAX(0;ENTERO([@[Fecha_Cierre_Operativo]])-ENTERO(SI([@[Fecha_Nueva_Programada]]&lt;&gt;"";[@[Fecha_Nueva_Programada]];[@[Fecha_Programada_Fin]])))</f>
        <v/>
      </c>
      <c r="R578" s="12" t="inlineStr">
        <is>
          <t>N/A - A Tiempo</t>
        </is>
      </c>
      <c r="S578" s="12" t="inlineStr">
        <is>
          <t>Firmada</t>
        </is>
      </c>
      <c r="T578" s="13" t="n"/>
      <c r="U578" s="12" t="n">
        <v>14</v>
      </c>
      <c r="V578" s="12" t="n"/>
      <c r="W57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78" s="14">
        <f>SI([@SBAN]="";"";BUSCARV([@SBAN];Cronograma_Maestro!$A:$M;6;FALSO))</f>
        <v/>
      </c>
    </row>
    <row r="579">
      <c r="A579" s="11" t="inlineStr">
        <is>
          <t>5740</t>
        </is>
      </c>
      <c r="B579" s="12">
        <f>SI([@SBAN]="";"";BUSCARV([@SBAN];Cronograma_Maestro!$A:$M;2;FALSO))</f>
        <v/>
      </c>
      <c r="C579" s="12">
        <f>SI([@SBAN]="";"";BUSCARV([@SBAN];Cronograma_Maestro!$A:$M;3;FALSO))</f>
        <v/>
      </c>
      <c r="D579" s="12">
        <f>SI([@SBAN]="";"";BUSCARV([@SBAN];Cronograma_Maestro!$A:$M;4;FALSO))</f>
        <v/>
      </c>
      <c r="E579" s="12">
        <f>SI([@SBAN]="";"";BUSCARV([@SBAN];Cronograma_Maestro!$A:$M;5;FALSO))</f>
        <v/>
      </c>
      <c r="F579" s="12" t="inlineStr">
        <is>
          <t>CESAR AUGUSTO HENAO</t>
        </is>
      </c>
      <c r="G579" s="12" t="inlineStr">
        <is>
          <t>PMU COLSOF</t>
        </is>
      </c>
      <c r="H579" s="13" t="n">
        <v>46280</v>
      </c>
      <c r="I579" s="13" t="n">
        <v>46281</v>
      </c>
      <c r="J579" s="13" t="n"/>
      <c r="K579" s="13" t="n"/>
      <c r="L579" s="12" t="inlineStr">
        <is>
          <t>Programada</t>
        </is>
      </c>
      <c r="M579" s="13" t="n"/>
      <c r="N579" s="14">
        <f>SI(O([@[Fecha_Programada_Inicio]]="";[@[Fecha_Inicio_Real]]="");"";SI([@[Fecha_Inicio_Real]]&lt;=[@[Fecha_Programada_Inicio]];"SÍ";"NO"))</f>
        <v/>
      </c>
      <c r="O579" s="14">
        <f>SI(O([@[Fecha_Programada_Fin]]="";[@[Fecha_Cierre_Operativo]]="");"";SI([@[Fecha_Cierre_Operativo]]&lt;=SI([@[Fecha_Nueva_Programada]]&lt;&gt;"";[@[Fecha_Nueva_Programada]];[@[Fecha_Programada_Fin]]);"SÍ";"NO"))</f>
        <v/>
      </c>
      <c r="P579" s="14">
        <f>SI(O([@[Cumpli_Ingreso]]="";[@[Cumpli_Salida]]="");"";SI(Y([@[Cumpli_Ingreso]]="SÍ";[@[Cumpli_Salida]]="SÍ");"SÍ";"NO"))</f>
        <v/>
      </c>
      <c r="Q579" s="15">
        <f>SI(O([@[Fecha_Programada_Fin]]="";[@[Fecha_Cierre_Operativo]]="");"";MAX(0;ENTERO([@[Fecha_Cierre_Operativo]])-ENTERO(SI([@[Fecha_Nueva_Programada]]&lt;&gt;"";[@[Fecha_Nueva_Programada]];[@[Fecha_Programada_Fin]])))</f>
        <v/>
      </c>
      <c r="R579" s="12" t="n"/>
      <c r="S579" s="12" t="n"/>
      <c r="T579" s="13" t="n"/>
      <c r="U579" s="12" t="n">
        <v>18</v>
      </c>
      <c r="V579" s="12" t="n"/>
      <c r="W57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79" s="14">
        <f>SI([@SBAN]="";"";BUSCARV([@SBAN];Cronograma_Maestro!$A:$M;6;FALSO))</f>
        <v/>
      </c>
    </row>
    <row r="580">
      <c r="A580" s="11" t="inlineStr">
        <is>
          <t>5746</t>
        </is>
      </c>
      <c r="B580" s="12">
        <f>SI([@SBAN]="";"";BUSCARV([@SBAN];Cronograma_Maestro!$A:$M;2;FALSO))</f>
        <v/>
      </c>
      <c r="C580" s="12">
        <f>SI([@SBAN]="";"";BUSCARV([@SBAN];Cronograma_Maestro!$A:$M;3;FALSO))</f>
        <v/>
      </c>
      <c r="D580" s="12">
        <f>SI([@SBAN]="";"";BUSCARV([@SBAN];Cronograma_Maestro!$A:$M;4;FALSO))</f>
        <v/>
      </c>
      <c r="E580" s="12">
        <f>SI([@SBAN]="";"";BUSCARV([@SBAN];Cronograma_Maestro!$A:$M;5;FALSO))</f>
        <v/>
      </c>
      <c r="F580" s="12" t="inlineStr">
        <is>
          <t>CESAR AUGUSTO HENAO</t>
        </is>
      </c>
      <c r="G580" s="12" t="inlineStr">
        <is>
          <t>PMU COLSOF</t>
        </is>
      </c>
      <c r="H580" s="13" t="n">
        <v>46282</v>
      </c>
      <c r="I580" s="13" t="n">
        <v>46283</v>
      </c>
      <c r="J580" s="13" t="n"/>
      <c r="K580" s="13" t="n"/>
      <c r="L580" s="12" t="inlineStr">
        <is>
          <t>Programada</t>
        </is>
      </c>
      <c r="M580" s="13" t="n"/>
      <c r="N580" s="14">
        <f>SI(O([@[Fecha_Programada_Inicio]]="";[@[Fecha_Inicio_Real]]="");"";SI([@[Fecha_Inicio_Real]]&lt;=[@[Fecha_Programada_Inicio]];"SÍ";"NO"))</f>
        <v/>
      </c>
      <c r="O580" s="14">
        <f>SI(O([@[Fecha_Programada_Fin]]="";[@[Fecha_Cierre_Operativo]]="");"";SI([@[Fecha_Cierre_Operativo]]&lt;=SI([@[Fecha_Nueva_Programada]]&lt;&gt;"";[@[Fecha_Nueva_Programada]];[@[Fecha_Programada_Fin]]);"SÍ";"NO"))</f>
        <v/>
      </c>
      <c r="P580" s="14">
        <f>SI(O([@[Cumpli_Ingreso]]="";[@[Cumpli_Salida]]="");"";SI(Y([@[Cumpli_Ingreso]]="SÍ";[@[Cumpli_Salida]]="SÍ");"SÍ";"NO"))</f>
        <v/>
      </c>
      <c r="Q580" s="15">
        <f>SI(O([@[Fecha_Programada_Fin]]="";[@[Fecha_Cierre_Operativo]]="");"";MAX(0;ENTERO([@[Fecha_Cierre_Operativo]])-ENTERO(SI([@[Fecha_Nueva_Programada]]&lt;&gt;"";[@[Fecha_Nueva_Programada]];[@[Fecha_Programada_Fin]])))</f>
        <v/>
      </c>
      <c r="R580" s="12" t="n"/>
      <c r="S580" s="12" t="n"/>
      <c r="T580" s="13" t="n"/>
      <c r="U580" s="12" t="n">
        <v>17</v>
      </c>
      <c r="V580" s="12" t="n"/>
      <c r="W58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80" s="14">
        <f>SI([@SBAN]="";"";BUSCARV([@SBAN];Cronograma_Maestro!$A:$M;6;FALSO))</f>
        <v/>
      </c>
    </row>
    <row r="581">
      <c r="A581" s="11" t="inlineStr">
        <is>
          <t>5750</t>
        </is>
      </c>
      <c r="B581" s="12">
        <f>SI([@SBAN]="";"";BUSCARV([@SBAN];Cronograma_Maestro!$A:$M;2;FALSO))</f>
        <v/>
      </c>
      <c r="C581" s="12">
        <f>SI([@SBAN]="";"";BUSCARV([@SBAN];Cronograma_Maestro!$A:$M;3;FALSO))</f>
        <v/>
      </c>
      <c r="D581" s="12">
        <f>SI([@SBAN]="";"";BUSCARV([@SBAN];Cronograma_Maestro!$A:$M;4;FALSO))</f>
        <v/>
      </c>
      <c r="E581" s="12">
        <f>SI([@SBAN]="";"";BUSCARV([@SBAN];Cronograma_Maestro!$A:$M;5;FALSO))</f>
        <v/>
      </c>
      <c r="F581" s="12" t="inlineStr">
        <is>
          <t>CESAR AUGUSTO HENAO</t>
        </is>
      </c>
      <c r="G581" s="12" t="inlineStr">
        <is>
          <t>PMU COLSOF</t>
        </is>
      </c>
      <c r="H581" s="13" t="n">
        <v>46289</v>
      </c>
      <c r="I581" s="13" t="n">
        <v>46290</v>
      </c>
      <c r="J581" s="13" t="n"/>
      <c r="K581" s="13" t="n"/>
      <c r="L581" s="12" t="inlineStr">
        <is>
          <t>Programada</t>
        </is>
      </c>
      <c r="M581" s="13" t="n"/>
      <c r="N581" s="14">
        <f>SI(O([@[Fecha_Programada_Inicio]]="";[@[Fecha_Inicio_Real]]="");"";SI([@[Fecha_Inicio_Real]]&lt;=[@[Fecha_Programada_Inicio]];"SÍ";"NO"))</f>
        <v/>
      </c>
      <c r="O581" s="14">
        <f>SI(O([@[Fecha_Programada_Fin]]="";[@[Fecha_Cierre_Operativo]]="");"";SI([@[Fecha_Cierre_Operativo]]&lt;=SI([@[Fecha_Nueva_Programada]]&lt;&gt;"";[@[Fecha_Nueva_Programada]];[@[Fecha_Programada_Fin]]);"SÍ";"NO"))</f>
        <v/>
      </c>
      <c r="P581" s="14">
        <f>SI(O([@[Cumpli_Ingreso]]="";[@[Cumpli_Salida]]="");"";SI(Y([@[Cumpli_Ingreso]]="SÍ";[@[Cumpli_Salida]]="SÍ");"SÍ";"NO"))</f>
        <v/>
      </c>
      <c r="Q581" s="15">
        <f>SI(O([@[Fecha_Programada_Fin]]="";[@[Fecha_Cierre_Operativo]]="");"";MAX(0;ENTERO([@[Fecha_Cierre_Operativo]])-ENTERO(SI([@[Fecha_Nueva_Programada]]&lt;&gt;"";[@[Fecha_Nueva_Programada]];[@[Fecha_Programada_Fin]])))</f>
        <v/>
      </c>
      <c r="R581" s="12" t="n"/>
      <c r="S581" s="12" t="n"/>
      <c r="T581" s="13" t="n"/>
      <c r="U581" s="12" t="n">
        <v>13</v>
      </c>
      <c r="V581" s="12" t="n"/>
      <c r="W58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81" s="14">
        <f>SI([@SBAN]="";"";BUSCARV([@SBAN];Cronograma_Maestro!$A:$M;6;FALSO))</f>
        <v/>
      </c>
    </row>
    <row r="582">
      <c r="A582" s="11" t="inlineStr">
        <is>
          <t>5755</t>
        </is>
      </c>
      <c r="B582" s="12">
        <f>SI([@SBAN]="";"";BUSCARV([@SBAN];Cronograma_Maestro!$A:$M;2;FALSO))</f>
        <v/>
      </c>
      <c r="C582" s="12">
        <f>SI([@SBAN]="";"";BUSCARV([@SBAN];Cronograma_Maestro!$A:$M;3;FALSO))</f>
        <v/>
      </c>
      <c r="D582" s="12">
        <f>SI([@SBAN]="";"";BUSCARV([@SBAN];Cronograma_Maestro!$A:$M;4;FALSO))</f>
        <v/>
      </c>
      <c r="E582" s="12">
        <f>SI([@SBAN]="";"";BUSCARV([@SBAN];Cronograma_Maestro!$A:$M;5;FALSO))</f>
        <v/>
      </c>
      <c r="F582" s="12" t="inlineStr">
        <is>
          <t>CESAR AUGUSTO HENAO</t>
        </is>
      </c>
      <c r="G582" s="12" t="inlineStr">
        <is>
          <t>PMU COLSOF</t>
        </is>
      </c>
      <c r="H582" s="13" t="n">
        <v>46317</v>
      </c>
      <c r="I582" s="13" t="n">
        <v>46318</v>
      </c>
      <c r="J582" s="13" t="n"/>
      <c r="K582" s="13" t="n"/>
      <c r="L582" s="12" t="inlineStr">
        <is>
          <t>Sede_Cerrada</t>
        </is>
      </c>
      <c r="M582" s="13" t="n"/>
      <c r="N582" s="14">
        <f>SI(O([@[Fecha_Programada_Inicio]]="";[@[Fecha_Inicio_Real]]="");"";SI([@[Fecha_Inicio_Real]]&lt;=[@[Fecha_Programada_Inicio]];"SÍ";"NO"))</f>
        <v/>
      </c>
      <c r="O582" s="14">
        <f>SI(O([@[Fecha_Programada_Fin]]="";[@[Fecha_Cierre_Operativo]]="");"";SI([@[Fecha_Cierre_Operativo]]&lt;=SI([@[Fecha_Nueva_Programada]]&lt;&gt;"";[@[Fecha_Nueva_Programada]];[@[Fecha_Programada_Fin]]);"SÍ";"NO"))</f>
        <v/>
      </c>
      <c r="P582" s="14">
        <f>SI(O([@[Cumpli_Ingreso]]="";[@[Cumpli_Salida]]="");"";SI(Y([@[Cumpli_Ingreso]]="SÍ";[@[Cumpli_Salida]]="SÍ");"SÍ";"NO"))</f>
        <v/>
      </c>
      <c r="Q582" s="15">
        <f>SI(O([@[Fecha_Programada_Fin]]="";[@[Fecha_Cierre_Operativo]]="");"";MAX(0;ENTERO([@[Fecha_Cierre_Operativo]])-ENTERO(SI([@[Fecha_Nueva_Programada]]&lt;&gt;"";[@[Fecha_Nueva_Programada]];[@[Fecha_Programada_Fin]])))</f>
        <v/>
      </c>
      <c r="R582" s="12" t="inlineStr">
        <is>
          <t>N/A - A Tiempo</t>
        </is>
      </c>
      <c r="S582" s="12" t="inlineStr">
        <is>
          <t>Firmada</t>
        </is>
      </c>
      <c r="T582" s="13" t="n"/>
      <c r="U582" s="12" t="n">
        <v>13</v>
      </c>
      <c r="V582" s="12" t="n"/>
      <c r="W58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82" s="14">
        <f>SI([@SBAN]="";"";BUSCARV([@SBAN];Cronograma_Maestro!$A:$M;6;FALSO))</f>
        <v/>
      </c>
    </row>
    <row r="583">
      <c r="A583" s="11" t="inlineStr">
        <is>
          <t>5765</t>
        </is>
      </c>
      <c r="B583" s="12">
        <f>SI([@SBAN]="";"";BUSCARV([@SBAN];Cronograma_Maestro!$A:$M;2;FALSO))</f>
        <v/>
      </c>
      <c r="C583" s="12">
        <f>SI([@SBAN]="";"";BUSCARV([@SBAN];Cronograma_Maestro!$A:$M;3;FALSO))</f>
        <v/>
      </c>
      <c r="D583" s="12">
        <f>SI([@SBAN]="";"";BUSCARV([@SBAN];Cronograma_Maestro!$A:$M;4;FALSO))</f>
        <v/>
      </c>
      <c r="E583" s="12">
        <f>SI([@SBAN]="";"";BUSCARV([@SBAN];Cronograma_Maestro!$A:$M;5;FALSO))</f>
        <v/>
      </c>
      <c r="F583" s="12" t="inlineStr">
        <is>
          <t>CESAR AUGUSTO HENAO</t>
        </is>
      </c>
      <c r="G583" s="12" t="inlineStr">
        <is>
          <t>PMU COLSOF</t>
        </is>
      </c>
      <c r="H583" s="13" t="n">
        <v>46296</v>
      </c>
      <c r="I583" s="13" t="n">
        <v>46297</v>
      </c>
      <c r="J583" s="13" t="n"/>
      <c r="K583" s="13" t="n"/>
      <c r="L583" s="12" t="inlineStr">
        <is>
          <t>Programada</t>
        </is>
      </c>
      <c r="M583" s="13" t="n"/>
      <c r="N583" s="14">
        <f>SI(O([@[Fecha_Programada_Inicio]]="";[@[Fecha_Inicio_Real]]="");"";SI([@[Fecha_Inicio_Real]]&lt;=[@[Fecha_Programada_Inicio]];"SÍ";"NO"))</f>
        <v/>
      </c>
      <c r="O583" s="14">
        <f>SI(O([@[Fecha_Programada_Fin]]="";[@[Fecha_Cierre_Operativo]]="");"";SI([@[Fecha_Cierre_Operativo]]&lt;=SI([@[Fecha_Nueva_Programada]]&lt;&gt;"";[@[Fecha_Nueva_Programada]];[@[Fecha_Programada_Fin]]);"SÍ";"NO"))</f>
        <v/>
      </c>
      <c r="P583" s="14">
        <f>SI(O([@[Cumpli_Ingreso]]="";[@[Cumpli_Salida]]="");"";SI(Y([@[Cumpli_Ingreso]]="SÍ";[@[Cumpli_Salida]]="SÍ");"SÍ";"NO"))</f>
        <v/>
      </c>
      <c r="Q583" s="15">
        <f>SI(O([@[Fecha_Programada_Fin]]="";[@[Fecha_Cierre_Operativo]]="");"";MAX(0;ENTERO([@[Fecha_Cierre_Operativo]])-ENTERO(SI([@[Fecha_Nueva_Programada]]&lt;&gt;"";[@[Fecha_Nueva_Programada]];[@[Fecha_Programada_Fin]])))</f>
        <v/>
      </c>
      <c r="R583" s="12" t="n"/>
      <c r="S583" s="12" t="n"/>
      <c r="T583" s="13" t="n"/>
      <c r="U583" s="12" t="n">
        <v>16</v>
      </c>
      <c r="V583" s="12" t="n"/>
      <c r="W58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83" s="14">
        <f>SI([@SBAN]="";"";BUSCARV([@SBAN];Cronograma_Maestro!$A:$M;6;FALSO))</f>
        <v/>
      </c>
    </row>
    <row r="584">
      <c r="A584" s="11" t="inlineStr">
        <is>
          <t>6001</t>
        </is>
      </c>
      <c r="B584" s="12">
        <f>SI([@SBAN]="";"";BUSCARV([@SBAN];Cronograma_Maestro!$A:$M;2;FALSO))</f>
        <v/>
      </c>
      <c r="C584" s="12">
        <f>SI([@SBAN]="";"";BUSCARV([@SBAN];Cronograma_Maestro!$A:$M;3;FALSO))</f>
        <v/>
      </c>
      <c r="D584" s="12">
        <f>SI([@SBAN]="";"";BUSCARV([@SBAN];Cronograma_Maestro!$A:$M;4;FALSO))</f>
        <v/>
      </c>
      <c r="E584" s="12">
        <f>SI([@SBAN]="";"";BUSCARV([@SBAN];Cronograma_Maestro!$A:$M;5;FALSO))</f>
        <v/>
      </c>
      <c r="F584" s="12" t="inlineStr">
        <is>
          <t>CARLOS MIGUEL JIMENEZ</t>
        </is>
      </c>
      <c r="G584" s="12" t="inlineStr">
        <is>
          <t>PMU COLSOF</t>
        </is>
      </c>
      <c r="H584" s="13" t="n">
        <v>46301</v>
      </c>
      <c r="I584" s="13" t="n">
        <v>46311</v>
      </c>
      <c r="J584" s="13" t="n"/>
      <c r="K584" s="13" t="n"/>
      <c r="L584" s="12" t="inlineStr">
        <is>
          <t>Programada</t>
        </is>
      </c>
      <c r="M584" s="13" t="n"/>
      <c r="N584" s="14">
        <f>SI(O([@[Fecha_Programada_Inicio]]="";[@[Fecha_Inicio_Real]]="");"";SI([@[Fecha_Inicio_Real]]&lt;=[@[Fecha_Programada_Inicio]];"SÍ";"NO"))</f>
        <v/>
      </c>
      <c r="O584" s="14">
        <f>SI(O([@[Fecha_Programada_Fin]]="";[@[Fecha_Cierre_Operativo]]="");"";SI([@[Fecha_Cierre_Operativo]]&lt;=SI([@[Fecha_Nueva_Programada]]&lt;&gt;"";[@[Fecha_Nueva_Programada]];[@[Fecha_Programada_Fin]]);"SÍ";"NO"))</f>
        <v/>
      </c>
      <c r="P584" s="14">
        <f>SI(O([@[Cumpli_Ingreso]]="";[@[Cumpli_Salida]]="");"";SI(Y([@[Cumpli_Ingreso]]="SÍ";[@[Cumpli_Salida]]="SÍ");"SÍ";"NO"))</f>
        <v/>
      </c>
      <c r="Q584" s="15">
        <f>SI(O([@[Fecha_Programada_Fin]]="";[@[Fecha_Cierre_Operativo]]="");"";MAX(0;ENTERO([@[Fecha_Cierre_Operativo]])-ENTERO(SI([@[Fecha_Nueva_Programada]]&lt;&gt;"";[@[Fecha_Nueva_Programada]];[@[Fecha_Programada_Fin]])))</f>
        <v/>
      </c>
      <c r="R584" s="12" t="n"/>
      <c r="S584" s="12" t="n"/>
      <c r="T584" s="13" t="n"/>
      <c r="U584" s="12" t="n">
        <v>68</v>
      </c>
      <c r="V584" s="12" t="n"/>
      <c r="W58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84" s="14">
        <f>SI([@SBAN]="";"";BUSCARV([@SBAN];Cronograma_Maestro!$A:$M;6;FALSO))</f>
        <v/>
      </c>
    </row>
    <row r="585">
      <c r="A585" s="11" t="inlineStr">
        <is>
          <t>6005</t>
        </is>
      </c>
      <c r="B585" s="12">
        <f>SI([@SBAN]="";"";BUSCARV([@SBAN];Cronograma_Maestro!$A:$M;2;FALSO))</f>
        <v/>
      </c>
      <c r="C585" s="12">
        <f>SI([@SBAN]="";"";BUSCARV([@SBAN];Cronograma_Maestro!$A:$M;3;FALSO))</f>
        <v/>
      </c>
      <c r="D585" s="12">
        <f>SI([@SBAN]="";"";BUSCARV([@SBAN];Cronograma_Maestro!$A:$M;4;FALSO))</f>
        <v/>
      </c>
      <c r="E585" s="12">
        <f>SI([@SBAN]="";"";BUSCARV([@SBAN];Cronograma_Maestro!$A:$M;5;FALSO))</f>
        <v/>
      </c>
      <c r="F585" s="12" t="inlineStr">
        <is>
          <t>Mauricio Andrés Rivera Páez</t>
        </is>
      </c>
      <c r="G585" s="12" t="inlineStr">
        <is>
          <t>PMU COLSOF</t>
        </is>
      </c>
      <c r="H585" s="13" t="n">
        <v>46295</v>
      </c>
      <c r="I585" s="13" t="n">
        <v>46296</v>
      </c>
      <c r="J585" s="13" t="n"/>
      <c r="K585" s="13" t="n"/>
      <c r="L585" s="12" t="inlineStr">
        <is>
          <t>Programada</t>
        </is>
      </c>
      <c r="M585" s="13" t="n"/>
      <c r="N585" s="14">
        <f>SI(O([@[Fecha_Programada_Inicio]]="";[@[Fecha_Inicio_Real]]="");"";SI([@[Fecha_Inicio_Real]]&lt;=[@[Fecha_Programada_Inicio]];"SÍ";"NO"))</f>
        <v/>
      </c>
      <c r="O585" s="14">
        <f>SI(O([@[Fecha_Programada_Fin]]="";[@[Fecha_Cierre_Operativo]]="");"";SI([@[Fecha_Cierre_Operativo]]&lt;=SI([@[Fecha_Nueva_Programada]]&lt;&gt;"";[@[Fecha_Nueva_Programada]];[@[Fecha_Programada_Fin]]);"SÍ";"NO"))</f>
        <v/>
      </c>
      <c r="P585" s="14">
        <f>SI(O([@[Cumpli_Ingreso]]="";[@[Cumpli_Salida]]="");"";SI(Y([@[Cumpli_Ingreso]]="SÍ";[@[Cumpli_Salida]]="SÍ");"SÍ";"NO"))</f>
        <v/>
      </c>
      <c r="Q585" s="15">
        <f>SI(O([@[Fecha_Programada_Fin]]="";[@[Fecha_Cierre_Operativo]]="");"";MAX(0;ENTERO([@[Fecha_Cierre_Operativo]])-ENTERO(SI([@[Fecha_Nueva_Programada]]&lt;&gt;"";[@[Fecha_Nueva_Programada]];[@[Fecha_Programada_Fin]])))</f>
        <v/>
      </c>
      <c r="R585" s="12" t="n"/>
      <c r="S585" s="12" t="n"/>
      <c r="T585" s="13" t="n"/>
      <c r="U585" s="12" t="n">
        <v>20</v>
      </c>
      <c r="V585" s="12" t="n"/>
      <c r="W58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85" s="14">
        <f>SI([@SBAN]="";"";BUSCARV([@SBAN];Cronograma_Maestro!$A:$M;6;FALSO))</f>
        <v/>
      </c>
    </row>
    <row r="586">
      <c r="A586" s="11" t="inlineStr">
        <is>
          <t>6010</t>
        </is>
      </c>
      <c r="B586" s="12">
        <f>SI([@SBAN]="";"";BUSCARV([@SBAN];Cronograma_Maestro!$A:$M;2;FALSO))</f>
        <v/>
      </c>
      <c r="C586" s="12">
        <f>SI([@SBAN]="";"";BUSCARV([@SBAN];Cronograma_Maestro!$A:$M;3;FALSO))</f>
        <v/>
      </c>
      <c r="D586" s="12">
        <f>SI([@SBAN]="";"";BUSCARV([@SBAN];Cronograma_Maestro!$A:$M;4;FALSO))</f>
        <v/>
      </c>
      <c r="E586" s="12">
        <f>SI([@SBAN]="";"";BUSCARV([@SBAN];Cronograma_Maestro!$A:$M;5;FALSO))</f>
        <v/>
      </c>
      <c r="F586" s="12" t="inlineStr">
        <is>
          <t>Luz Nélida Barragán Toro</t>
        </is>
      </c>
      <c r="G586" s="12" t="inlineStr">
        <is>
          <t>PMU COLSOF</t>
        </is>
      </c>
      <c r="H586" s="13" t="n">
        <v>46304</v>
      </c>
      <c r="I586" s="13" t="n">
        <v>46308</v>
      </c>
      <c r="J586" s="13" t="n"/>
      <c r="K586" s="13" t="n"/>
      <c r="L586" s="12" t="inlineStr">
        <is>
          <t>Programada</t>
        </is>
      </c>
      <c r="M586" s="13" t="n"/>
      <c r="N586" s="14">
        <f>SI(O([@[Fecha_Programada_Inicio]]="";[@[Fecha_Inicio_Real]]="");"";SI([@[Fecha_Inicio_Real]]&lt;=[@[Fecha_Programada_Inicio]];"SÍ";"NO"))</f>
        <v/>
      </c>
      <c r="O586" s="14">
        <f>SI(O([@[Fecha_Programada_Fin]]="";[@[Fecha_Cierre_Operativo]]="");"";SI([@[Fecha_Cierre_Operativo]]&lt;=SI([@[Fecha_Nueva_Programada]]&lt;&gt;"";[@[Fecha_Nueva_Programada]];[@[Fecha_Programada_Fin]]);"SÍ";"NO"))</f>
        <v/>
      </c>
      <c r="P586" s="14">
        <f>SI(O([@[Cumpli_Ingreso]]="";[@[Cumpli_Salida]]="");"";SI(Y([@[Cumpli_Ingreso]]="SÍ";[@[Cumpli_Salida]]="SÍ");"SÍ";"NO"))</f>
        <v/>
      </c>
      <c r="Q586" s="15">
        <f>SI(O([@[Fecha_Programada_Fin]]="";[@[Fecha_Cierre_Operativo]]="");"";MAX(0;ENTERO([@[Fecha_Cierre_Operativo]])-ENTERO(SI([@[Fecha_Nueva_Programada]]&lt;&gt;"";[@[Fecha_Nueva_Programada]];[@[Fecha_Programada_Fin]])))</f>
        <v/>
      </c>
      <c r="R586" s="12" t="n"/>
      <c r="S586" s="12" t="n"/>
      <c r="T586" s="13" t="n"/>
      <c r="U586" s="12" t="n">
        <v>16</v>
      </c>
      <c r="V586" s="12" t="n"/>
      <c r="W58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86" s="14">
        <f>SI([@SBAN]="";"";BUSCARV([@SBAN];Cronograma_Maestro!$A:$M;6;FALSO))</f>
        <v/>
      </c>
    </row>
    <row r="587">
      <c r="A587" s="11" t="inlineStr">
        <is>
          <t>6011</t>
        </is>
      </c>
      <c r="B587" s="12">
        <f>SI([@SBAN]="";"";BUSCARV([@SBAN];Cronograma_Maestro!$A:$M;2;FALSO))</f>
        <v/>
      </c>
      <c r="C587" s="12">
        <f>SI([@SBAN]="";"";BUSCARV([@SBAN];Cronograma_Maestro!$A:$M;3;FALSO))</f>
        <v/>
      </c>
      <c r="D587" s="12">
        <f>SI([@SBAN]="";"";BUSCARV([@SBAN];Cronograma_Maestro!$A:$M;4;FALSO))</f>
        <v/>
      </c>
      <c r="E587" s="12">
        <f>SI([@SBAN]="";"";BUSCARV([@SBAN];Cronograma_Maestro!$A:$M;5;FALSO))</f>
        <v/>
      </c>
      <c r="F587" s="12" t="inlineStr">
        <is>
          <t>Andrés Felipe Díaz Noy</t>
        </is>
      </c>
      <c r="G587" s="12" t="inlineStr">
        <is>
          <t>PMU COLSOF</t>
        </is>
      </c>
      <c r="H587" s="13" t="n">
        <v>46295</v>
      </c>
      <c r="I587" s="13" t="n">
        <v>46296</v>
      </c>
      <c r="J587" s="13" t="n"/>
      <c r="K587" s="13" t="n"/>
      <c r="L587" s="12" t="inlineStr">
        <is>
          <t>Programada</t>
        </is>
      </c>
      <c r="M587" s="13" t="n"/>
      <c r="N587" s="14">
        <f>SI(O([@[Fecha_Programada_Inicio]]="";[@[Fecha_Inicio_Real]]="");"";SI([@[Fecha_Inicio_Real]]&lt;=[@[Fecha_Programada_Inicio]];"SÍ";"NO"))</f>
        <v/>
      </c>
      <c r="O587" s="14">
        <f>SI(O([@[Fecha_Programada_Fin]]="";[@[Fecha_Cierre_Operativo]]="");"";SI([@[Fecha_Cierre_Operativo]]&lt;=SI([@[Fecha_Nueva_Programada]]&lt;&gt;"";[@[Fecha_Nueva_Programada]];[@[Fecha_Programada_Fin]]);"SÍ";"NO"))</f>
        <v/>
      </c>
      <c r="P587" s="14">
        <f>SI(O([@[Cumpli_Ingreso]]="";[@[Cumpli_Salida]]="");"";SI(Y([@[Cumpli_Ingreso]]="SÍ";[@[Cumpli_Salida]]="SÍ");"SÍ";"NO"))</f>
        <v/>
      </c>
      <c r="Q587" s="15">
        <f>SI(O([@[Fecha_Programada_Fin]]="";[@[Fecha_Cierre_Operativo]]="");"";MAX(0;ENTERO([@[Fecha_Cierre_Operativo]])-ENTERO(SI([@[Fecha_Nueva_Programada]]&lt;&gt;"";[@[Fecha_Nueva_Programada]];[@[Fecha_Programada_Fin]])))</f>
        <v/>
      </c>
      <c r="R587" s="12" t="n"/>
      <c r="S587" s="12" t="n"/>
      <c r="T587" s="13" t="n"/>
      <c r="U587" s="12" t="n">
        <v>31</v>
      </c>
      <c r="V587" s="12" t="n"/>
      <c r="W58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87" s="14">
        <f>SI([@SBAN]="";"";BUSCARV([@SBAN];Cronograma_Maestro!$A:$M;6;FALSO))</f>
        <v/>
      </c>
    </row>
    <row r="588">
      <c r="A588" s="11" t="inlineStr">
        <is>
          <t>6012</t>
        </is>
      </c>
      <c r="B588" s="12">
        <f>SI([@SBAN]="";"";BUSCARV([@SBAN];Cronograma_Maestro!$A:$M;2;FALSO))</f>
        <v/>
      </c>
      <c r="C588" s="12">
        <f>SI([@SBAN]="";"";BUSCARV([@SBAN];Cronograma_Maestro!$A:$M;3;FALSO))</f>
        <v/>
      </c>
      <c r="D588" s="12">
        <f>SI([@SBAN]="";"";BUSCARV([@SBAN];Cronograma_Maestro!$A:$M;4;FALSO))</f>
        <v/>
      </c>
      <c r="E588" s="12">
        <f>SI([@SBAN]="";"";BUSCARV([@SBAN];Cronograma_Maestro!$A:$M;5;FALSO))</f>
        <v/>
      </c>
      <c r="F588" s="12" t="inlineStr">
        <is>
          <t>CARLOS MIGUEL JIMENEZ</t>
        </is>
      </c>
      <c r="G588" s="12" t="inlineStr">
        <is>
          <t>PMU COLSOF</t>
        </is>
      </c>
      <c r="H588" s="13" t="n">
        <v>46315</v>
      </c>
      <c r="I588" s="13" t="n">
        <v>46318</v>
      </c>
      <c r="J588" s="13" t="n"/>
      <c r="K588" s="13" t="n"/>
      <c r="L588" s="12" t="inlineStr">
        <is>
          <t>Programada</t>
        </is>
      </c>
      <c r="M588" s="13" t="n"/>
      <c r="N588" s="14">
        <f>SI(O([@[Fecha_Programada_Inicio]]="";[@[Fecha_Inicio_Real]]="");"";SI([@[Fecha_Inicio_Real]]&lt;=[@[Fecha_Programada_Inicio]];"SÍ";"NO"))</f>
        <v/>
      </c>
      <c r="O588" s="14">
        <f>SI(O([@[Fecha_Programada_Fin]]="";[@[Fecha_Cierre_Operativo]]="");"";SI([@[Fecha_Cierre_Operativo]]&lt;=SI([@[Fecha_Nueva_Programada]]&lt;&gt;"";[@[Fecha_Nueva_Programada]];[@[Fecha_Programada_Fin]]);"SÍ";"NO"))</f>
        <v/>
      </c>
      <c r="P588" s="14">
        <f>SI(O([@[Cumpli_Ingreso]]="";[@[Cumpli_Salida]]="");"";SI(Y([@[Cumpli_Ingreso]]="SÍ";[@[Cumpli_Salida]]="SÍ");"SÍ";"NO"))</f>
        <v/>
      </c>
      <c r="Q588" s="15">
        <f>SI(O([@[Fecha_Programada_Fin]]="";[@[Fecha_Cierre_Operativo]]="");"";MAX(0;ENTERO([@[Fecha_Cierre_Operativo]])-ENTERO(SI([@[Fecha_Nueva_Programada]]&lt;&gt;"";[@[Fecha_Nueva_Programada]];[@[Fecha_Programada_Fin]])))</f>
        <v/>
      </c>
      <c r="R588" s="12" t="n"/>
      <c r="S588" s="12" t="n"/>
      <c r="T588" s="13" t="n"/>
      <c r="U588" s="12" t="n">
        <v>18</v>
      </c>
      <c r="V588" s="12" t="n"/>
      <c r="W58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88" s="14">
        <f>SI([@SBAN]="";"";BUSCARV([@SBAN];Cronograma_Maestro!$A:$M;6;FALSO))</f>
        <v/>
      </c>
    </row>
    <row r="589">
      <c r="A589" s="11" t="inlineStr">
        <is>
          <t>6013</t>
        </is>
      </c>
      <c r="B589" s="12">
        <f>SI([@SBAN]="";"";BUSCARV([@SBAN];Cronograma_Maestro!$A:$M;2;FALSO))</f>
        <v/>
      </c>
      <c r="C589" s="12">
        <f>SI([@SBAN]="";"";BUSCARV([@SBAN];Cronograma_Maestro!$A:$M;3;FALSO))</f>
        <v/>
      </c>
      <c r="D589" s="12">
        <f>SI([@SBAN]="";"";BUSCARV([@SBAN];Cronograma_Maestro!$A:$M;4;FALSO))</f>
        <v/>
      </c>
      <c r="E589" s="12">
        <f>SI([@SBAN]="";"";BUSCARV([@SBAN];Cronograma_Maestro!$A:$M;5;FALSO))</f>
        <v/>
      </c>
      <c r="F589" s="12" t="inlineStr">
        <is>
          <t>Andrés Felipe Carvajal Pire</t>
        </is>
      </c>
      <c r="G589" s="12" t="inlineStr">
        <is>
          <t>PMU COLSOF</t>
        </is>
      </c>
      <c r="H589" s="13" t="n">
        <v>46295</v>
      </c>
      <c r="I589" s="13" t="n">
        <v>46296</v>
      </c>
      <c r="J589" s="13" t="n"/>
      <c r="K589" s="13" t="n"/>
      <c r="L589" s="12" t="inlineStr">
        <is>
          <t>Programada</t>
        </is>
      </c>
      <c r="M589" s="13" t="n"/>
      <c r="N589" s="14">
        <f>SI(O([@[Fecha_Programada_Inicio]]="";[@[Fecha_Inicio_Real]]="");"";SI([@[Fecha_Inicio_Real]]&lt;=[@[Fecha_Programada_Inicio]];"SÍ";"NO"))</f>
        <v/>
      </c>
      <c r="O589" s="14">
        <f>SI(O([@[Fecha_Programada_Fin]]="";[@[Fecha_Cierre_Operativo]]="");"";SI([@[Fecha_Cierre_Operativo]]&lt;=SI([@[Fecha_Nueva_Programada]]&lt;&gt;"";[@[Fecha_Nueva_Programada]];[@[Fecha_Programada_Fin]]);"SÍ";"NO"))</f>
        <v/>
      </c>
      <c r="P589" s="14">
        <f>SI(O([@[Cumpli_Ingreso]]="";[@[Cumpli_Salida]]="");"";SI(Y([@[Cumpli_Ingreso]]="SÍ";[@[Cumpli_Salida]]="SÍ");"SÍ";"NO"))</f>
        <v/>
      </c>
      <c r="Q589" s="15">
        <f>SI(O([@[Fecha_Programada_Fin]]="";[@[Fecha_Cierre_Operativo]]="");"";MAX(0;ENTERO([@[Fecha_Cierre_Operativo]])-ENTERO(SI([@[Fecha_Nueva_Programada]]&lt;&gt;"";[@[Fecha_Nueva_Programada]];[@[Fecha_Programada_Fin]])))</f>
        <v/>
      </c>
      <c r="R589" s="12" t="n"/>
      <c r="S589" s="12" t="n"/>
      <c r="T589" s="13" t="n"/>
      <c r="U589" s="12" t="n">
        <v>27</v>
      </c>
      <c r="V589" s="12" t="n"/>
      <c r="W58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89" s="14">
        <f>SI([@SBAN]="";"";BUSCARV([@SBAN];Cronograma_Maestro!$A:$M;6;FALSO))</f>
        <v/>
      </c>
    </row>
    <row r="590">
      <c r="A590" s="11" t="inlineStr">
        <is>
          <t>6014</t>
        </is>
      </c>
      <c r="B590" s="12">
        <f>SI([@SBAN]="";"";BUSCARV([@SBAN];Cronograma_Maestro!$A:$M;2;FALSO))</f>
        <v/>
      </c>
      <c r="C590" s="12">
        <f>SI([@SBAN]="";"";BUSCARV([@SBAN];Cronograma_Maestro!$A:$M;3;FALSO))</f>
        <v/>
      </c>
      <c r="D590" s="12">
        <f>SI([@SBAN]="";"";BUSCARV([@SBAN];Cronograma_Maestro!$A:$M;4;FALSO))</f>
        <v/>
      </c>
      <c r="E590" s="12">
        <f>SI([@SBAN]="";"";BUSCARV([@SBAN];Cronograma_Maestro!$A:$M;5;FALSO))</f>
        <v/>
      </c>
      <c r="F590" s="12" t="inlineStr">
        <is>
          <t>Andrés Felipe Díaz Noy</t>
        </is>
      </c>
      <c r="G590" s="12" t="inlineStr">
        <is>
          <t>PMU COLSOF</t>
        </is>
      </c>
      <c r="H590" s="13" t="n">
        <v>46303</v>
      </c>
      <c r="I590" s="13" t="n">
        <v>46304</v>
      </c>
      <c r="J590" s="13" t="n"/>
      <c r="K590" s="13" t="n"/>
      <c r="L590" s="12" t="inlineStr">
        <is>
          <t>Programada</t>
        </is>
      </c>
      <c r="M590" s="13" t="n"/>
      <c r="N590" s="14">
        <f>SI(O([@[Fecha_Programada_Inicio]]="";[@[Fecha_Inicio_Real]]="");"";SI([@[Fecha_Inicio_Real]]&lt;=[@[Fecha_Programada_Inicio]];"SÍ";"NO"))</f>
        <v/>
      </c>
      <c r="O590" s="14">
        <f>SI(O([@[Fecha_Programada_Fin]]="";[@[Fecha_Cierre_Operativo]]="");"";SI([@[Fecha_Cierre_Operativo]]&lt;=SI([@[Fecha_Nueva_Programada]]&lt;&gt;"";[@[Fecha_Nueva_Programada]];[@[Fecha_Programada_Fin]]);"SÍ";"NO"))</f>
        <v/>
      </c>
      <c r="P590" s="14">
        <f>SI(O([@[Cumpli_Ingreso]]="";[@[Cumpli_Salida]]="");"";SI(Y([@[Cumpli_Ingreso]]="SÍ";[@[Cumpli_Salida]]="SÍ");"SÍ";"NO"))</f>
        <v/>
      </c>
      <c r="Q590" s="15">
        <f>SI(O([@[Fecha_Programada_Fin]]="";[@[Fecha_Cierre_Operativo]]="");"";MAX(0;ENTERO([@[Fecha_Cierre_Operativo]])-ENTERO(SI([@[Fecha_Nueva_Programada]]&lt;&gt;"";[@[Fecha_Nueva_Programada]];[@[Fecha_Programada_Fin]])))</f>
        <v/>
      </c>
      <c r="R590" s="12" t="n"/>
      <c r="S590" s="12" t="n"/>
      <c r="T590" s="13" t="n"/>
      <c r="U590" s="12" t="n">
        <v>20</v>
      </c>
      <c r="V590" s="12" t="n"/>
      <c r="W59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90" s="14">
        <f>SI([@SBAN]="";"";BUSCARV([@SBAN];Cronograma_Maestro!$A:$M;6;FALSO))</f>
        <v/>
      </c>
    </row>
    <row r="591">
      <c r="A591" s="11" t="inlineStr">
        <is>
          <t>6015</t>
        </is>
      </c>
      <c r="B591" s="12">
        <f>SI([@SBAN]="";"";BUSCARV([@SBAN];Cronograma_Maestro!$A:$M;2;FALSO))</f>
        <v/>
      </c>
      <c r="C591" s="12">
        <f>SI([@SBAN]="";"";BUSCARV([@SBAN];Cronograma_Maestro!$A:$M;3;FALSO))</f>
        <v/>
      </c>
      <c r="D591" s="12">
        <f>SI([@SBAN]="";"";BUSCARV([@SBAN];Cronograma_Maestro!$A:$M;4;FALSO))</f>
        <v/>
      </c>
      <c r="E591" s="12">
        <f>SI([@SBAN]="";"";BUSCARV([@SBAN];Cronograma_Maestro!$A:$M;5;FALSO))</f>
        <v/>
      </c>
      <c r="F591" s="12" t="inlineStr">
        <is>
          <t>Luz Nélida Barragán Toro</t>
        </is>
      </c>
      <c r="G591" s="12" t="inlineStr">
        <is>
          <t>PMU COLSOF</t>
        </is>
      </c>
      <c r="H591" s="13" t="n">
        <v>46295</v>
      </c>
      <c r="I591" s="13" t="n">
        <v>46296</v>
      </c>
      <c r="J591" s="13" t="n"/>
      <c r="K591" s="13" t="n"/>
      <c r="L591" s="12" t="inlineStr">
        <is>
          <t>Programada</t>
        </is>
      </c>
      <c r="M591" s="13" t="n"/>
      <c r="N591" s="14">
        <f>SI(O([@[Fecha_Programada_Inicio]]="";[@[Fecha_Inicio_Real]]="");"";SI([@[Fecha_Inicio_Real]]&lt;=[@[Fecha_Programada_Inicio]];"SÍ";"NO"))</f>
        <v/>
      </c>
      <c r="O591" s="14">
        <f>SI(O([@[Fecha_Programada_Fin]]="";[@[Fecha_Cierre_Operativo]]="");"";SI([@[Fecha_Cierre_Operativo]]&lt;=SI([@[Fecha_Nueva_Programada]]&lt;&gt;"";[@[Fecha_Nueva_Programada]];[@[Fecha_Programada_Fin]]);"SÍ";"NO"))</f>
        <v/>
      </c>
      <c r="P591" s="14">
        <f>SI(O([@[Cumpli_Ingreso]]="";[@[Cumpli_Salida]]="");"";SI(Y([@[Cumpli_Ingreso]]="SÍ";[@[Cumpli_Salida]]="SÍ");"SÍ";"NO"))</f>
        <v/>
      </c>
      <c r="Q591" s="15">
        <f>SI(O([@[Fecha_Programada_Fin]]="";[@[Fecha_Cierre_Operativo]]="");"";MAX(0;ENTERO([@[Fecha_Cierre_Operativo]])-ENTERO(SI([@[Fecha_Nueva_Programada]]&lt;&gt;"";[@[Fecha_Nueva_Programada]];[@[Fecha_Programada_Fin]])))</f>
        <v/>
      </c>
      <c r="R591" s="12" t="n"/>
      <c r="S591" s="12" t="n"/>
      <c r="T591" s="13" t="n"/>
      <c r="U591" s="12" t="n">
        <v>37</v>
      </c>
      <c r="V591" s="12" t="n"/>
      <c r="W59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91" s="14">
        <f>SI([@SBAN]="";"";BUSCARV([@SBAN];Cronograma_Maestro!$A:$M;6;FALSO))</f>
        <v/>
      </c>
    </row>
    <row r="592">
      <c r="A592" s="11" t="inlineStr">
        <is>
          <t>6016</t>
        </is>
      </c>
      <c r="B592" s="12">
        <f>SI([@SBAN]="";"";BUSCARV([@SBAN];Cronograma_Maestro!$A:$M;2;FALSO))</f>
        <v/>
      </c>
      <c r="C592" s="12">
        <f>SI([@SBAN]="";"";BUSCARV([@SBAN];Cronograma_Maestro!$A:$M;3;FALSO))</f>
        <v/>
      </c>
      <c r="D592" s="12">
        <f>SI([@SBAN]="";"";BUSCARV([@SBAN];Cronograma_Maestro!$A:$M;4;FALSO))</f>
        <v/>
      </c>
      <c r="E592" s="12">
        <f>SI([@SBAN]="";"";BUSCARV([@SBAN];Cronograma_Maestro!$A:$M;5;FALSO))</f>
        <v/>
      </c>
      <c r="F592" s="12" t="inlineStr">
        <is>
          <t>Mauricio Andrés Rivera Páez</t>
        </is>
      </c>
      <c r="G592" s="12" t="inlineStr">
        <is>
          <t>PMU COLSOF</t>
        </is>
      </c>
      <c r="H592" s="13" t="n">
        <v>46308</v>
      </c>
      <c r="I592" s="13" t="n">
        <v>46310</v>
      </c>
      <c r="J592" s="13" t="n"/>
      <c r="K592" s="13" t="n"/>
      <c r="L592" s="12" t="inlineStr">
        <is>
          <t>Programada</t>
        </is>
      </c>
      <c r="M592" s="13" t="n"/>
      <c r="N592" s="14">
        <f>SI(O([@[Fecha_Programada_Inicio]]="";[@[Fecha_Inicio_Real]]="");"";SI([@[Fecha_Inicio_Real]]&lt;=[@[Fecha_Programada_Inicio]];"SÍ";"NO"))</f>
        <v/>
      </c>
      <c r="O592" s="14">
        <f>SI(O([@[Fecha_Programada_Fin]]="";[@[Fecha_Cierre_Operativo]]="");"";SI([@[Fecha_Cierre_Operativo]]&lt;=SI([@[Fecha_Nueva_Programada]]&lt;&gt;"";[@[Fecha_Nueva_Programada]];[@[Fecha_Programada_Fin]]);"SÍ";"NO"))</f>
        <v/>
      </c>
      <c r="P592" s="14">
        <f>SI(O([@[Cumpli_Ingreso]]="";[@[Cumpli_Salida]]="");"";SI(Y([@[Cumpli_Ingreso]]="SÍ";[@[Cumpli_Salida]]="SÍ");"SÍ";"NO"))</f>
        <v/>
      </c>
      <c r="Q592" s="15">
        <f>SI(O([@[Fecha_Programada_Fin]]="";[@[Fecha_Cierre_Operativo]]="");"";MAX(0;ENTERO([@[Fecha_Cierre_Operativo]])-ENTERO(SI([@[Fecha_Nueva_Programada]]&lt;&gt;"";[@[Fecha_Nueva_Programada]];[@[Fecha_Programada_Fin]])))</f>
        <v/>
      </c>
      <c r="R592" s="12" t="n"/>
      <c r="S592" s="12" t="n"/>
      <c r="T592" s="13" t="n"/>
      <c r="U592" s="12" t="n">
        <v>22</v>
      </c>
      <c r="V592" s="12" t="n"/>
      <c r="W59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92" s="14">
        <f>SI([@SBAN]="";"";BUSCARV([@SBAN];Cronograma_Maestro!$A:$M;6;FALSO))</f>
        <v/>
      </c>
    </row>
    <row r="593">
      <c r="A593" s="11" t="inlineStr">
        <is>
          <t>6017</t>
        </is>
      </c>
      <c r="B593" s="12">
        <f>SI([@SBAN]="";"";BUSCARV([@SBAN];Cronograma_Maestro!$A:$M;2;FALSO))</f>
        <v/>
      </c>
      <c r="C593" s="12">
        <f>SI([@SBAN]="";"";BUSCARV([@SBAN];Cronograma_Maestro!$A:$M;3;FALSO))</f>
        <v/>
      </c>
      <c r="D593" s="12">
        <f>SI([@SBAN]="";"";BUSCARV([@SBAN];Cronograma_Maestro!$A:$M;4;FALSO))</f>
        <v/>
      </c>
      <c r="E593" s="12">
        <f>SI([@SBAN]="";"";BUSCARV([@SBAN];Cronograma_Maestro!$A:$M;5;FALSO))</f>
        <v/>
      </c>
      <c r="F593" s="12" t="inlineStr">
        <is>
          <t>Mauricio Andrés Rivera Páez</t>
        </is>
      </c>
      <c r="G593" s="12" t="inlineStr">
        <is>
          <t>PMU COLSOF</t>
        </is>
      </c>
      <c r="H593" s="13" t="n">
        <v>46296</v>
      </c>
      <c r="I593" s="13" t="n">
        <v>46297</v>
      </c>
      <c r="J593" s="13" t="n"/>
      <c r="K593" s="13" t="n"/>
      <c r="L593" s="12" t="inlineStr">
        <is>
          <t>Programada</t>
        </is>
      </c>
      <c r="M593" s="13" t="n"/>
      <c r="N593" s="14">
        <f>SI(O([@[Fecha_Programada_Inicio]]="";[@[Fecha_Inicio_Real]]="");"";SI([@[Fecha_Inicio_Real]]&lt;=[@[Fecha_Programada_Inicio]];"SÍ";"NO"))</f>
        <v/>
      </c>
      <c r="O593" s="14">
        <f>SI(O([@[Fecha_Programada_Fin]]="";[@[Fecha_Cierre_Operativo]]="");"";SI([@[Fecha_Cierre_Operativo]]&lt;=SI([@[Fecha_Nueva_Programada]]&lt;&gt;"";[@[Fecha_Nueva_Programada]];[@[Fecha_Programada_Fin]]);"SÍ";"NO"))</f>
        <v/>
      </c>
      <c r="P593" s="14">
        <f>SI(O([@[Cumpli_Ingreso]]="";[@[Cumpli_Salida]]="");"";SI(Y([@[Cumpli_Ingreso]]="SÍ";[@[Cumpli_Salida]]="SÍ");"SÍ";"NO"))</f>
        <v/>
      </c>
      <c r="Q593" s="15">
        <f>SI(O([@[Fecha_Programada_Fin]]="";[@[Fecha_Cierre_Operativo]]="");"";MAX(0;ENTERO([@[Fecha_Cierre_Operativo]])-ENTERO(SI([@[Fecha_Nueva_Programada]]&lt;&gt;"";[@[Fecha_Nueva_Programada]];[@[Fecha_Programada_Fin]])))</f>
        <v/>
      </c>
      <c r="R593" s="12" t="n"/>
      <c r="S593" s="12" t="n"/>
      <c r="T593" s="13" t="n"/>
      <c r="U593" s="12" t="n">
        <v>33</v>
      </c>
      <c r="V593" s="12" t="n"/>
      <c r="W59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93" s="14">
        <f>SI([@SBAN]="";"";BUSCARV([@SBAN];Cronograma_Maestro!$A:$M;6;FALSO))</f>
        <v/>
      </c>
    </row>
    <row r="594">
      <c r="A594" s="11" t="inlineStr">
        <is>
          <t>6020</t>
        </is>
      </c>
      <c r="B594" s="12">
        <f>SI([@SBAN]="";"";BUSCARV([@SBAN];Cronograma_Maestro!$A:$M;2;FALSO))</f>
        <v/>
      </c>
      <c r="C594" s="12">
        <f>SI([@SBAN]="";"";BUSCARV([@SBAN];Cronograma_Maestro!$A:$M;3;FALSO))</f>
        <v/>
      </c>
      <c r="D594" s="12">
        <f>SI([@SBAN]="";"";BUSCARV([@SBAN];Cronograma_Maestro!$A:$M;4;FALSO))</f>
        <v/>
      </c>
      <c r="E594" s="12">
        <f>SI([@SBAN]="";"";BUSCARV([@SBAN];Cronograma_Maestro!$A:$M;5;FALSO))</f>
        <v/>
      </c>
      <c r="F594" s="12" t="inlineStr">
        <is>
          <t>Luz Nélida Barragán Toro</t>
        </is>
      </c>
      <c r="G594" s="12" t="inlineStr">
        <is>
          <t>PMU COLSOF</t>
        </is>
      </c>
      <c r="H594" s="13" t="n">
        <v>46316</v>
      </c>
      <c r="I594" s="13" t="n">
        <v>46316</v>
      </c>
      <c r="J594" s="13" t="n"/>
      <c r="K594" s="13" t="n"/>
      <c r="L594" s="12" t="inlineStr">
        <is>
          <t>Programada</t>
        </is>
      </c>
      <c r="M594" s="13" t="n"/>
      <c r="N594" s="14">
        <f>SI(O([@[Fecha_Programada_Inicio]]="";[@[Fecha_Inicio_Real]]="");"";SI([@[Fecha_Inicio_Real]]&lt;=[@[Fecha_Programada_Inicio]];"SÍ";"NO"))</f>
        <v/>
      </c>
      <c r="O594" s="14">
        <f>SI(O([@[Fecha_Programada_Fin]]="";[@[Fecha_Cierre_Operativo]]="");"";SI([@[Fecha_Cierre_Operativo]]&lt;=SI([@[Fecha_Nueva_Programada]]&lt;&gt;"";[@[Fecha_Nueva_Programada]];[@[Fecha_Programada_Fin]]);"SÍ";"NO"))</f>
        <v/>
      </c>
      <c r="P594" s="14">
        <f>SI(O([@[Cumpli_Ingreso]]="";[@[Cumpli_Salida]]="");"";SI(Y([@[Cumpli_Ingreso]]="SÍ";[@[Cumpli_Salida]]="SÍ");"SÍ";"NO"))</f>
        <v/>
      </c>
      <c r="Q594" s="15">
        <f>SI(O([@[Fecha_Programada_Fin]]="";[@[Fecha_Cierre_Operativo]]="");"";MAX(0;ENTERO([@[Fecha_Cierre_Operativo]])-ENTERO(SI([@[Fecha_Nueva_Programada]]&lt;&gt;"";[@[Fecha_Nueva_Programada]];[@[Fecha_Programada_Fin]])))</f>
        <v/>
      </c>
      <c r="R594" s="12" t="n"/>
      <c r="S594" s="12" t="n"/>
      <c r="T594" s="13" t="n"/>
      <c r="U594" s="12" t="n">
        <v>43</v>
      </c>
      <c r="V594" s="12" t="n"/>
      <c r="W59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94" s="14">
        <f>SI([@SBAN]="";"";BUSCARV([@SBAN];Cronograma_Maestro!$A:$M;6;FALSO))</f>
        <v/>
      </c>
    </row>
    <row r="595">
      <c r="A595" s="11" t="inlineStr">
        <is>
          <t>6022</t>
        </is>
      </c>
      <c r="B595" s="12">
        <f>SI([@SBAN]="";"";BUSCARV([@SBAN];Cronograma_Maestro!$A:$M;2;FALSO))</f>
        <v/>
      </c>
      <c r="C595" s="12">
        <f>SI([@SBAN]="";"";BUSCARV([@SBAN];Cronograma_Maestro!$A:$M;3;FALSO))</f>
        <v/>
      </c>
      <c r="D595" s="12">
        <f>SI([@SBAN]="";"";BUSCARV([@SBAN];Cronograma_Maestro!$A:$M;4;FALSO))</f>
        <v/>
      </c>
      <c r="E595" s="12">
        <f>SI([@SBAN]="";"";BUSCARV([@SBAN];Cronograma_Maestro!$A:$M;5;FALSO))</f>
        <v/>
      </c>
      <c r="F595" s="12" t="inlineStr">
        <is>
          <t>Mauricio Andrés Rivera Páez</t>
        </is>
      </c>
      <c r="G595" s="12" t="inlineStr">
        <is>
          <t>PMU COLSOF</t>
        </is>
      </c>
      <c r="H595" s="13" t="n">
        <v>46316</v>
      </c>
      <c r="I595" s="13" t="n">
        <v>46316</v>
      </c>
      <c r="J595" s="13" t="n"/>
      <c r="K595" s="13" t="n"/>
      <c r="L595" s="12" t="inlineStr">
        <is>
          <t>Programada</t>
        </is>
      </c>
      <c r="M595" s="13" t="n"/>
      <c r="N595" s="14">
        <f>SI(O([@[Fecha_Programada_Inicio]]="";[@[Fecha_Inicio_Real]]="");"";SI([@[Fecha_Inicio_Real]]&lt;=[@[Fecha_Programada_Inicio]];"SÍ";"NO"))</f>
        <v/>
      </c>
      <c r="O595" s="14">
        <f>SI(O([@[Fecha_Programada_Fin]]="";[@[Fecha_Cierre_Operativo]]="");"";SI([@[Fecha_Cierre_Operativo]]&lt;=SI([@[Fecha_Nueva_Programada]]&lt;&gt;"";[@[Fecha_Nueva_Programada]];[@[Fecha_Programada_Fin]]);"SÍ";"NO"))</f>
        <v/>
      </c>
      <c r="P595" s="14">
        <f>SI(O([@[Cumpli_Ingreso]]="";[@[Cumpli_Salida]]="");"";SI(Y([@[Cumpli_Ingreso]]="SÍ";[@[Cumpli_Salida]]="SÍ");"SÍ";"NO"))</f>
        <v/>
      </c>
      <c r="Q595" s="15">
        <f>SI(O([@[Fecha_Programada_Fin]]="";[@[Fecha_Cierre_Operativo]]="");"";MAX(0;ENTERO([@[Fecha_Cierre_Operativo]])-ENTERO(SI([@[Fecha_Nueva_Programada]]&lt;&gt;"";[@[Fecha_Nueva_Programada]];[@[Fecha_Programada_Fin]])))</f>
        <v/>
      </c>
      <c r="R595" s="12" t="n"/>
      <c r="S595" s="12" t="n"/>
      <c r="T595" s="13" t="n"/>
      <c r="U595" s="12" t="n">
        <v>27</v>
      </c>
      <c r="V595" s="12" t="n"/>
      <c r="W59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95" s="14">
        <f>SI([@SBAN]="";"";BUSCARV([@SBAN];Cronograma_Maestro!$A:$M;6;FALSO))</f>
        <v/>
      </c>
    </row>
    <row r="596">
      <c r="A596" s="11" t="inlineStr">
        <is>
          <t>6024</t>
        </is>
      </c>
      <c r="B596" s="12">
        <f>SI([@SBAN]="";"";BUSCARV([@SBAN];Cronograma_Maestro!$A:$M;2;FALSO))</f>
        <v/>
      </c>
      <c r="C596" s="12">
        <f>SI([@SBAN]="";"";BUSCARV([@SBAN];Cronograma_Maestro!$A:$M;3;FALSO))</f>
        <v/>
      </c>
      <c r="D596" s="12">
        <f>SI([@SBAN]="";"";BUSCARV([@SBAN];Cronograma_Maestro!$A:$M;4;FALSO))</f>
        <v/>
      </c>
      <c r="E596" s="12">
        <f>SI([@SBAN]="";"";BUSCARV([@SBAN];Cronograma_Maestro!$A:$M;5;FALSO))</f>
        <v/>
      </c>
      <c r="F596" s="12" t="inlineStr">
        <is>
          <t>Mauricio Andrés Rivera Páez</t>
        </is>
      </c>
      <c r="G596" s="12" t="inlineStr">
        <is>
          <t>PMU COLSOF</t>
        </is>
      </c>
      <c r="H596" s="13" t="n">
        <v>46310</v>
      </c>
      <c r="I596" s="13" t="n">
        <v>46311</v>
      </c>
      <c r="J596" s="13" t="n"/>
      <c r="K596" s="13" t="n"/>
      <c r="L596" s="12" t="inlineStr">
        <is>
          <t>Programada</t>
        </is>
      </c>
      <c r="M596" s="13" t="n"/>
      <c r="N596" s="14">
        <f>SI(O([@[Fecha_Programada_Inicio]]="";[@[Fecha_Inicio_Real]]="");"";SI([@[Fecha_Inicio_Real]]&lt;=[@[Fecha_Programada_Inicio]];"SÍ";"NO"))</f>
        <v/>
      </c>
      <c r="O596" s="14">
        <f>SI(O([@[Fecha_Programada_Fin]]="";[@[Fecha_Cierre_Operativo]]="");"";SI([@[Fecha_Cierre_Operativo]]&lt;=SI([@[Fecha_Nueva_Programada]]&lt;&gt;"";[@[Fecha_Nueva_Programada]];[@[Fecha_Programada_Fin]]);"SÍ";"NO"))</f>
        <v/>
      </c>
      <c r="P596" s="14">
        <f>SI(O([@[Cumpli_Ingreso]]="";[@[Cumpli_Salida]]="");"";SI(Y([@[Cumpli_Ingreso]]="SÍ";[@[Cumpli_Salida]]="SÍ");"SÍ";"NO"))</f>
        <v/>
      </c>
      <c r="Q596" s="15">
        <f>SI(O([@[Fecha_Programada_Fin]]="";[@[Fecha_Cierre_Operativo]]="");"";MAX(0;ENTERO([@[Fecha_Cierre_Operativo]])-ENTERO(SI([@[Fecha_Nueva_Programada]]&lt;&gt;"";[@[Fecha_Nueva_Programada]];[@[Fecha_Programada_Fin]])))</f>
        <v/>
      </c>
      <c r="R596" s="12" t="n"/>
      <c r="S596" s="12" t="n"/>
      <c r="T596" s="13" t="n"/>
      <c r="U596" s="12" t="n">
        <v>27</v>
      </c>
      <c r="V596" s="12" t="n"/>
      <c r="W59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96" s="14">
        <f>SI([@SBAN]="";"";BUSCARV([@SBAN];Cronograma_Maestro!$A:$M;6;FALSO))</f>
        <v/>
      </c>
    </row>
    <row r="597">
      <c r="A597" s="11" t="inlineStr">
        <is>
          <t>6025</t>
        </is>
      </c>
      <c r="B597" s="12">
        <f>SI([@SBAN]="";"";BUSCARV([@SBAN];Cronograma_Maestro!$A:$M;2;FALSO))</f>
        <v/>
      </c>
      <c r="C597" s="12">
        <f>SI([@SBAN]="";"";BUSCARV([@SBAN];Cronograma_Maestro!$A:$M;3;FALSO))</f>
        <v/>
      </c>
      <c r="D597" s="12">
        <f>SI([@SBAN]="";"";BUSCARV([@SBAN];Cronograma_Maestro!$A:$M;4;FALSO))</f>
        <v/>
      </c>
      <c r="E597" s="12">
        <f>SI([@SBAN]="";"";BUSCARV([@SBAN];Cronograma_Maestro!$A:$M;5;FALSO))</f>
        <v/>
      </c>
      <c r="F597" s="12" t="inlineStr">
        <is>
          <t>Luz Nélida Barragán Toro</t>
        </is>
      </c>
      <c r="G597" s="12" t="inlineStr">
        <is>
          <t>PMU COLSOF</t>
        </is>
      </c>
      <c r="H597" s="13" t="n">
        <v>46303</v>
      </c>
      <c r="I597" s="13" t="n">
        <v>46304</v>
      </c>
      <c r="J597" s="13" t="n"/>
      <c r="K597" s="13" t="n"/>
      <c r="L597" s="12" t="inlineStr">
        <is>
          <t>Programada</t>
        </is>
      </c>
      <c r="M597" s="13" t="n"/>
      <c r="N597" s="14">
        <f>SI(O([@[Fecha_Programada_Inicio]]="";[@[Fecha_Inicio_Real]]="");"";SI([@[Fecha_Inicio_Real]]&lt;=[@[Fecha_Programada_Inicio]];"SÍ";"NO"))</f>
        <v/>
      </c>
      <c r="O597" s="14">
        <f>SI(O([@[Fecha_Programada_Fin]]="";[@[Fecha_Cierre_Operativo]]="");"";SI([@[Fecha_Cierre_Operativo]]&lt;=SI([@[Fecha_Nueva_Programada]]&lt;&gt;"";[@[Fecha_Nueva_Programada]];[@[Fecha_Programada_Fin]]);"SÍ";"NO"))</f>
        <v/>
      </c>
      <c r="P597" s="14">
        <f>SI(O([@[Cumpli_Ingreso]]="";[@[Cumpli_Salida]]="");"";SI(Y([@[Cumpli_Ingreso]]="SÍ";[@[Cumpli_Salida]]="SÍ");"SÍ";"NO"))</f>
        <v/>
      </c>
      <c r="Q597" s="15">
        <f>SI(O([@[Fecha_Programada_Fin]]="";[@[Fecha_Cierre_Operativo]]="");"";MAX(0;ENTERO([@[Fecha_Cierre_Operativo]])-ENTERO(SI([@[Fecha_Nueva_Programada]]&lt;&gt;"";[@[Fecha_Nueva_Programada]];[@[Fecha_Programada_Fin]])))</f>
        <v/>
      </c>
      <c r="R597" s="12" t="n"/>
      <c r="S597" s="12" t="n"/>
      <c r="T597" s="13" t="n"/>
      <c r="U597" s="12" t="n">
        <v>13</v>
      </c>
      <c r="V597" s="12" t="n"/>
      <c r="W59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97" s="14">
        <f>SI([@SBAN]="";"";BUSCARV([@SBAN];Cronograma_Maestro!$A:$M;6;FALSO))</f>
        <v/>
      </c>
    </row>
    <row r="598">
      <c r="A598" s="11" t="inlineStr">
        <is>
          <t>6026</t>
        </is>
      </c>
      <c r="B598" s="12">
        <f>SI([@SBAN]="";"";BUSCARV([@SBAN];Cronograma_Maestro!$A:$M;2;FALSO))</f>
        <v/>
      </c>
      <c r="C598" s="12">
        <f>SI([@SBAN]="";"";BUSCARV([@SBAN];Cronograma_Maestro!$A:$M;3;FALSO))</f>
        <v/>
      </c>
      <c r="D598" s="12">
        <f>SI([@SBAN]="";"";BUSCARV([@SBAN];Cronograma_Maestro!$A:$M;4;FALSO))</f>
        <v/>
      </c>
      <c r="E598" s="12">
        <f>SI([@SBAN]="";"";BUSCARV([@SBAN];Cronograma_Maestro!$A:$M;5;FALSO))</f>
        <v/>
      </c>
      <c r="F598" s="12" t="inlineStr">
        <is>
          <t>Andrés Felipe Díaz Noy</t>
        </is>
      </c>
      <c r="G598" s="12" t="inlineStr">
        <is>
          <t>PMU COLSOF</t>
        </is>
      </c>
      <c r="H598" s="13" t="n">
        <v>46314</v>
      </c>
      <c r="I598" s="13" t="n">
        <v>46318</v>
      </c>
      <c r="J598" s="13" t="n"/>
      <c r="K598" s="13" t="n"/>
      <c r="L598" s="12" t="inlineStr">
        <is>
          <t>Programada</t>
        </is>
      </c>
      <c r="M598" s="13" t="n"/>
      <c r="N598" s="14">
        <f>SI(O([@[Fecha_Programada_Inicio]]="";[@[Fecha_Inicio_Real]]="");"";SI([@[Fecha_Inicio_Real]]&lt;=[@[Fecha_Programada_Inicio]];"SÍ";"NO"))</f>
        <v/>
      </c>
      <c r="O598" s="14">
        <f>SI(O([@[Fecha_Programada_Fin]]="";[@[Fecha_Cierre_Operativo]]="");"";SI([@[Fecha_Cierre_Operativo]]&lt;=SI([@[Fecha_Nueva_Programada]]&lt;&gt;"";[@[Fecha_Nueva_Programada]];[@[Fecha_Programada_Fin]]);"SÍ";"NO"))</f>
        <v/>
      </c>
      <c r="P598" s="14">
        <f>SI(O([@[Cumpli_Ingreso]]="";[@[Cumpli_Salida]]="");"";SI(Y([@[Cumpli_Ingreso]]="SÍ";[@[Cumpli_Salida]]="SÍ");"SÍ";"NO"))</f>
        <v/>
      </c>
      <c r="Q598" s="15">
        <f>SI(O([@[Fecha_Programada_Fin]]="";[@[Fecha_Cierre_Operativo]]="");"";MAX(0;ENTERO([@[Fecha_Cierre_Operativo]])-ENTERO(SI([@[Fecha_Nueva_Programada]]&lt;&gt;"";[@[Fecha_Nueva_Programada]];[@[Fecha_Programada_Fin]])))</f>
        <v/>
      </c>
      <c r="R598" s="12" t="n"/>
      <c r="S598" s="12" t="n"/>
      <c r="T598" s="13" t="n"/>
      <c r="U598" s="12" t="n">
        <v>23</v>
      </c>
      <c r="V598" s="12" t="n"/>
      <c r="W59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98" s="14">
        <f>SI([@SBAN]="";"";BUSCARV([@SBAN];Cronograma_Maestro!$A:$M;6;FALSO))</f>
        <v/>
      </c>
    </row>
    <row r="599">
      <c r="A599" s="11" t="inlineStr">
        <is>
          <t>6027</t>
        </is>
      </c>
      <c r="B599" s="12">
        <f>SI([@SBAN]="";"";BUSCARV([@SBAN];Cronograma_Maestro!$A:$M;2;FALSO))</f>
        <v/>
      </c>
      <c r="C599" s="12">
        <f>SI([@SBAN]="";"";BUSCARV([@SBAN];Cronograma_Maestro!$A:$M;3;FALSO))</f>
        <v/>
      </c>
      <c r="D599" s="12">
        <f>SI([@SBAN]="";"";BUSCARV([@SBAN];Cronograma_Maestro!$A:$M;4;FALSO))</f>
        <v/>
      </c>
      <c r="E599" s="12">
        <f>SI([@SBAN]="";"";BUSCARV([@SBAN];Cronograma_Maestro!$A:$M;5;FALSO))</f>
        <v/>
      </c>
      <c r="F599" s="12" t="inlineStr">
        <is>
          <t>Andrés Felipe Díaz Noy</t>
        </is>
      </c>
      <c r="G599" s="12" t="inlineStr">
        <is>
          <t>PMU COLSOF</t>
        </is>
      </c>
      <c r="H599" s="13" t="n">
        <v>46301</v>
      </c>
      <c r="I599" s="13" t="n">
        <v>46302</v>
      </c>
      <c r="J599" s="13" t="n"/>
      <c r="K599" s="13" t="n"/>
      <c r="L599" s="12" t="inlineStr">
        <is>
          <t>Programada</t>
        </is>
      </c>
      <c r="M599" s="13" t="n"/>
      <c r="N599" s="14">
        <f>SI(O([@[Fecha_Programada_Inicio]]="";[@[Fecha_Inicio_Real]]="");"";SI([@[Fecha_Inicio_Real]]&lt;=[@[Fecha_Programada_Inicio]];"SÍ";"NO"))</f>
        <v/>
      </c>
      <c r="O599" s="14">
        <f>SI(O([@[Fecha_Programada_Fin]]="";[@[Fecha_Cierre_Operativo]]="");"";SI([@[Fecha_Cierre_Operativo]]&lt;=SI([@[Fecha_Nueva_Programada]]&lt;&gt;"";[@[Fecha_Nueva_Programada]];[@[Fecha_Programada_Fin]]);"SÍ";"NO"))</f>
        <v/>
      </c>
      <c r="P599" s="14">
        <f>SI(O([@[Cumpli_Ingreso]]="";[@[Cumpli_Salida]]="");"";SI(Y([@[Cumpli_Ingreso]]="SÍ";[@[Cumpli_Salida]]="SÍ");"SÍ";"NO"))</f>
        <v/>
      </c>
      <c r="Q599" s="15">
        <f>SI(O([@[Fecha_Programada_Fin]]="";[@[Fecha_Cierre_Operativo]]="");"";MAX(0;ENTERO([@[Fecha_Cierre_Operativo]])-ENTERO(SI([@[Fecha_Nueva_Programada]]&lt;&gt;"";[@[Fecha_Nueva_Programada]];[@[Fecha_Programada_Fin]])))</f>
        <v/>
      </c>
      <c r="R599" s="12" t="n"/>
      <c r="S599" s="12" t="n"/>
      <c r="T599" s="13" t="n"/>
      <c r="U599" s="12" t="n">
        <v>12</v>
      </c>
      <c r="V599" s="12" t="n"/>
      <c r="W59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599" s="14">
        <f>SI([@SBAN]="";"";BUSCARV([@SBAN];Cronograma_Maestro!$A:$M;6;FALSO))</f>
        <v/>
      </c>
    </row>
    <row r="600">
      <c r="A600" s="11" t="inlineStr">
        <is>
          <t>6029</t>
        </is>
      </c>
      <c r="B600" s="12">
        <f>SI([@SBAN]="";"";BUSCARV([@SBAN];Cronograma_Maestro!$A:$M;2;FALSO))</f>
        <v/>
      </c>
      <c r="C600" s="12">
        <f>SI([@SBAN]="";"";BUSCARV([@SBAN];Cronograma_Maestro!$A:$M;3;FALSO))</f>
        <v/>
      </c>
      <c r="D600" s="12">
        <f>SI([@SBAN]="";"";BUSCARV([@SBAN];Cronograma_Maestro!$A:$M;4;FALSO))</f>
        <v/>
      </c>
      <c r="E600" s="12">
        <f>SI([@SBAN]="";"";BUSCARV([@SBAN];Cronograma_Maestro!$A:$M;5;FALSO))</f>
        <v/>
      </c>
      <c r="F600" s="12" t="inlineStr">
        <is>
          <t>Mauricio Andrés Rivera Páez</t>
        </is>
      </c>
      <c r="G600" s="12" t="inlineStr">
        <is>
          <t>PMU COLSOF</t>
        </is>
      </c>
      <c r="H600" s="13" t="n">
        <v>46311</v>
      </c>
      <c r="I600" s="13" t="n">
        <v>46311</v>
      </c>
      <c r="J600" s="13" t="n"/>
      <c r="K600" s="13" t="n"/>
      <c r="L600" s="12" t="inlineStr">
        <is>
          <t>Programada</t>
        </is>
      </c>
      <c r="M600" s="13" t="n"/>
      <c r="N600" s="14">
        <f>SI(O([@[Fecha_Programada_Inicio]]="";[@[Fecha_Inicio_Real]]="");"";SI([@[Fecha_Inicio_Real]]&lt;=[@[Fecha_Programada_Inicio]];"SÍ";"NO"))</f>
        <v/>
      </c>
      <c r="O600" s="14">
        <f>SI(O([@[Fecha_Programada_Fin]]="";[@[Fecha_Cierre_Operativo]]="");"";SI([@[Fecha_Cierre_Operativo]]&lt;=SI([@[Fecha_Nueva_Programada]]&lt;&gt;"";[@[Fecha_Nueva_Programada]];[@[Fecha_Programada_Fin]]);"SÍ";"NO"))</f>
        <v/>
      </c>
      <c r="P600" s="14">
        <f>SI(O([@[Cumpli_Ingreso]]="";[@[Cumpli_Salida]]="");"";SI(Y([@[Cumpli_Ingreso]]="SÍ";[@[Cumpli_Salida]]="SÍ");"SÍ";"NO"))</f>
        <v/>
      </c>
      <c r="Q600" s="15">
        <f>SI(O([@[Fecha_Programada_Fin]]="";[@[Fecha_Cierre_Operativo]]="");"";MAX(0;ENTERO([@[Fecha_Cierre_Operativo]])-ENTERO(SI([@[Fecha_Nueva_Programada]]&lt;&gt;"";[@[Fecha_Nueva_Programada]];[@[Fecha_Programada_Fin]])))</f>
        <v/>
      </c>
      <c r="R600" s="12" t="n"/>
      <c r="S600" s="12" t="n"/>
      <c r="T600" s="13" t="n"/>
      <c r="U600" s="12" t="n">
        <v>22</v>
      </c>
      <c r="V600" s="12" t="n"/>
      <c r="W60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00" s="14">
        <f>SI([@SBAN]="";"";BUSCARV([@SBAN];Cronograma_Maestro!$A:$M;6;FALSO))</f>
        <v/>
      </c>
    </row>
    <row r="601">
      <c r="A601" s="11" t="inlineStr">
        <is>
          <t>6030</t>
        </is>
      </c>
      <c r="B601" s="12">
        <f>SI([@SBAN]="";"";BUSCARV([@SBAN];Cronograma_Maestro!$A:$M;2;FALSO))</f>
        <v/>
      </c>
      <c r="C601" s="12">
        <f>SI([@SBAN]="";"";BUSCARV([@SBAN];Cronograma_Maestro!$A:$M;3;FALSO))</f>
        <v/>
      </c>
      <c r="D601" s="12">
        <f>SI([@SBAN]="";"";BUSCARV([@SBAN];Cronograma_Maestro!$A:$M;4;FALSO))</f>
        <v/>
      </c>
      <c r="E601" s="12">
        <f>SI([@SBAN]="";"";BUSCARV([@SBAN];Cronograma_Maestro!$A:$M;5;FALSO))</f>
        <v/>
      </c>
      <c r="F601" s="12" t="inlineStr">
        <is>
          <t>CRISTIAN CAMILO DIAZ NOY</t>
        </is>
      </c>
      <c r="G601" s="12" t="inlineStr">
        <is>
          <t>PMU COLSOF</t>
        </is>
      </c>
      <c r="H601" s="13" t="n">
        <v>46303</v>
      </c>
      <c r="I601" s="13" t="n">
        <v>46304</v>
      </c>
      <c r="J601" s="13" t="n"/>
      <c r="K601" s="13" t="n"/>
      <c r="L601" s="12" t="inlineStr">
        <is>
          <t>Programada</t>
        </is>
      </c>
      <c r="M601" s="13" t="n"/>
      <c r="N601" s="14">
        <f>SI(O([@[Fecha_Programada_Inicio]]="";[@[Fecha_Inicio_Real]]="");"";SI([@[Fecha_Inicio_Real]]&lt;=[@[Fecha_Programada_Inicio]];"SÍ";"NO"))</f>
        <v/>
      </c>
      <c r="O601" s="14">
        <f>SI(O([@[Fecha_Programada_Fin]]="";[@[Fecha_Cierre_Operativo]]="");"";SI([@[Fecha_Cierre_Operativo]]&lt;=SI([@[Fecha_Nueva_Programada]]&lt;&gt;"";[@[Fecha_Nueva_Programada]];[@[Fecha_Programada_Fin]]);"SÍ";"NO"))</f>
        <v/>
      </c>
      <c r="P601" s="14">
        <f>SI(O([@[Cumpli_Ingreso]]="";[@[Cumpli_Salida]]="");"";SI(Y([@[Cumpli_Ingreso]]="SÍ";[@[Cumpli_Salida]]="SÍ");"SÍ";"NO"))</f>
        <v/>
      </c>
      <c r="Q601" s="15">
        <f>SI(O([@[Fecha_Programada_Fin]]="";[@[Fecha_Cierre_Operativo]]="");"";MAX(0;ENTERO([@[Fecha_Cierre_Operativo]])-ENTERO(SI([@[Fecha_Nueva_Programada]]&lt;&gt;"";[@[Fecha_Nueva_Programada]];[@[Fecha_Programada_Fin]])))</f>
        <v/>
      </c>
      <c r="R601" s="12" t="n"/>
      <c r="S601" s="12" t="n"/>
      <c r="T601" s="13" t="n"/>
      <c r="U601" s="12" t="n">
        <v>15</v>
      </c>
      <c r="V601" s="12" t="n"/>
      <c r="W60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01" s="14">
        <f>SI([@SBAN]="";"";BUSCARV([@SBAN];Cronograma_Maestro!$A:$M;6;FALSO))</f>
        <v/>
      </c>
    </row>
    <row r="602">
      <c r="A602" s="11" t="inlineStr">
        <is>
          <t>6032</t>
        </is>
      </c>
      <c r="B602" s="12">
        <f>SI([@SBAN]="";"";BUSCARV([@SBAN];Cronograma_Maestro!$A:$M;2;FALSO))</f>
        <v/>
      </c>
      <c r="C602" s="12">
        <f>SI([@SBAN]="";"";BUSCARV([@SBAN];Cronograma_Maestro!$A:$M;3;FALSO))</f>
        <v/>
      </c>
      <c r="D602" s="12">
        <f>SI([@SBAN]="";"";BUSCARV([@SBAN];Cronograma_Maestro!$A:$M;4;FALSO))</f>
        <v/>
      </c>
      <c r="E602" s="12">
        <f>SI([@SBAN]="";"";BUSCARV([@SBAN];Cronograma_Maestro!$A:$M;5;FALSO))</f>
        <v/>
      </c>
      <c r="F602" s="12" t="inlineStr">
        <is>
          <t>Luz Nélida Barragán Toro</t>
        </is>
      </c>
      <c r="G602" s="12" t="inlineStr">
        <is>
          <t>PMU COLSOF</t>
        </is>
      </c>
      <c r="H602" s="13" t="n">
        <v>46293</v>
      </c>
      <c r="I602" s="13" t="n">
        <v>46294</v>
      </c>
      <c r="J602" s="13" t="n"/>
      <c r="K602" s="13" t="n"/>
      <c r="L602" s="12" t="inlineStr">
        <is>
          <t>Programada</t>
        </is>
      </c>
      <c r="M602" s="13" t="n"/>
      <c r="N602" s="14">
        <f>SI(O([@[Fecha_Programada_Inicio]]="";[@[Fecha_Inicio_Real]]="");"";SI([@[Fecha_Inicio_Real]]&lt;=[@[Fecha_Programada_Inicio]];"SÍ";"NO"))</f>
        <v/>
      </c>
      <c r="O602" s="14">
        <f>SI(O([@[Fecha_Programada_Fin]]="";[@[Fecha_Cierre_Operativo]]="");"";SI([@[Fecha_Cierre_Operativo]]&lt;=SI([@[Fecha_Nueva_Programada]]&lt;&gt;"";[@[Fecha_Nueva_Programada]];[@[Fecha_Programada_Fin]]);"SÍ";"NO"))</f>
        <v/>
      </c>
      <c r="P602" s="14">
        <f>SI(O([@[Cumpli_Ingreso]]="";[@[Cumpli_Salida]]="");"";SI(Y([@[Cumpli_Ingreso]]="SÍ";[@[Cumpli_Salida]]="SÍ");"SÍ";"NO"))</f>
        <v/>
      </c>
      <c r="Q602" s="15">
        <f>SI(O([@[Fecha_Programada_Fin]]="";[@[Fecha_Cierre_Operativo]]="");"";MAX(0;ENTERO([@[Fecha_Cierre_Operativo]])-ENTERO(SI([@[Fecha_Nueva_Programada]]&lt;&gt;"";[@[Fecha_Nueva_Programada]];[@[Fecha_Programada_Fin]])))</f>
        <v/>
      </c>
      <c r="R602" s="12" t="n"/>
      <c r="S602" s="12" t="n"/>
      <c r="T602" s="13" t="n"/>
      <c r="U602" s="12" t="n">
        <v>27</v>
      </c>
      <c r="V602" s="12" t="n"/>
      <c r="W60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02" s="14">
        <f>SI([@SBAN]="";"";BUSCARV([@SBAN];Cronograma_Maestro!$A:$M;6;FALSO))</f>
        <v/>
      </c>
    </row>
    <row r="603">
      <c r="A603" s="11" t="inlineStr">
        <is>
          <t>6033</t>
        </is>
      </c>
      <c r="B603" s="12">
        <f>SI([@SBAN]="";"";BUSCARV([@SBAN];Cronograma_Maestro!$A:$M;2;FALSO))</f>
        <v/>
      </c>
      <c r="C603" s="12">
        <f>SI([@SBAN]="";"";BUSCARV([@SBAN];Cronograma_Maestro!$A:$M;3;FALSO))</f>
        <v/>
      </c>
      <c r="D603" s="12">
        <f>SI([@SBAN]="";"";BUSCARV([@SBAN];Cronograma_Maestro!$A:$M;4;FALSO))</f>
        <v/>
      </c>
      <c r="E603" s="12">
        <f>SI([@SBAN]="";"";BUSCARV([@SBAN];Cronograma_Maestro!$A:$M;5;FALSO))</f>
        <v/>
      </c>
      <c r="F603" s="12" t="inlineStr">
        <is>
          <t>Andrés Felipe Díaz Noy</t>
        </is>
      </c>
      <c r="G603" s="12" t="inlineStr">
        <is>
          <t>PMU COLSOF</t>
        </is>
      </c>
      <c r="H603" s="13" t="n">
        <v>46293</v>
      </c>
      <c r="I603" s="13" t="n">
        <v>46294</v>
      </c>
      <c r="J603" s="13" t="n"/>
      <c r="K603" s="13" t="n"/>
      <c r="L603" s="12" t="inlineStr">
        <is>
          <t>Programada</t>
        </is>
      </c>
      <c r="M603" s="13" t="n"/>
      <c r="N603" s="14">
        <f>SI(O([@[Fecha_Programada_Inicio]]="";[@[Fecha_Inicio_Real]]="");"";SI([@[Fecha_Inicio_Real]]&lt;=[@[Fecha_Programada_Inicio]];"SÍ";"NO"))</f>
        <v/>
      </c>
      <c r="O603" s="14">
        <f>SI(O([@[Fecha_Programada_Fin]]="";[@[Fecha_Cierre_Operativo]]="");"";SI([@[Fecha_Cierre_Operativo]]&lt;=SI([@[Fecha_Nueva_Programada]]&lt;&gt;"";[@[Fecha_Nueva_Programada]];[@[Fecha_Programada_Fin]]);"SÍ";"NO"))</f>
        <v/>
      </c>
      <c r="P603" s="14">
        <f>SI(O([@[Cumpli_Ingreso]]="";[@[Cumpli_Salida]]="");"";SI(Y([@[Cumpli_Ingreso]]="SÍ";[@[Cumpli_Salida]]="SÍ");"SÍ";"NO"))</f>
        <v/>
      </c>
      <c r="Q603" s="15">
        <f>SI(O([@[Fecha_Programada_Fin]]="";[@[Fecha_Cierre_Operativo]]="");"";MAX(0;ENTERO([@[Fecha_Cierre_Operativo]])-ENTERO(SI([@[Fecha_Nueva_Programada]]&lt;&gt;"";[@[Fecha_Nueva_Programada]];[@[Fecha_Programada_Fin]])))</f>
        <v/>
      </c>
      <c r="R603" s="12" t="n"/>
      <c r="S603" s="12" t="n"/>
      <c r="T603" s="13" t="n"/>
      <c r="U603" s="12" t="n">
        <v>14</v>
      </c>
      <c r="V603" s="12" t="n"/>
      <c r="W60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03" s="14">
        <f>SI([@SBAN]="";"";BUSCARV([@SBAN];Cronograma_Maestro!$A:$M;6;FALSO))</f>
        <v/>
      </c>
    </row>
    <row r="604">
      <c r="A604" s="11" t="inlineStr">
        <is>
          <t>6035</t>
        </is>
      </c>
      <c r="B604" s="12">
        <f>SI([@SBAN]="";"";BUSCARV([@SBAN];Cronograma_Maestro!$A:$M;2;FALSO))</f>
        <v/>
      </c>
      <c r="C604" s="12">
        <f>SI([@SBAN]="";"";BUSCARV([@SBAN];Cronograma_Maestro!$A:$M;3;FALSO))</f>
        <v/>
      </c>
      <c r="D604" s="12">
        <f>SI([@SBAN]="";"";BUSCARV([@SBAN];Cronograma_Maestro!$A:$M;4;FALSO))</f>
        <v/>
      </c>
      <c r="E604" s="12">
        <f>SI([@SBAN]="";"";BUSCARV([@SBAN];Cronograma_Maestro!$A:$M;5;FALSO))</f>
        <v/>
      </c>
      <c r="F604" s="12" t="inlineStr">
        <is>
          <t>Andrés Felipe Díaz Noy</t>
        </is>
      </c>
      <c r="G604" s="12" t="inlineStr">
        <is>
          <t>PMU COLSOF</t>
        </is>
      </c>
      <c r="H604" s="13" t="n">
        <v>46294</v>
      </c>
      <c r="I604" s="13" t="n">
        <v>46295</v>
      </c>
      <c r="J604" s="13" t="n"/>
      <c r="K604" s="13" t="n"/>
      <c r="L604" s="12" t="inlineStr">
        <is>
          <t>Programada</t>
        </is>
      </c>
      <c r="M604" s="13" t="n"/>
      <c r="N604" s="14">
        <f>SI(O([@[Fecha_Programada_Inicio]]="";[@[Fecha_Inicio_Real]]="");"";SI([@[Fecha_Inicio_Real]]&lt;=[@[Fecha_Programada_Inicio]];"SÍ";"NO"))</f>
        <v/>
      </c>
      <c r="O604" s="14">
        <f>SI(O([@[Fecha_Programada_Fin]]="";[@[Fecha_Cierre_Operativo]]="");"";SI([@[Fecha_Cierre_Operativo]]&lt;=SI([@[Fecha_Nueva_Programada]]&lt;&gt;"";[@[Fecha_Nueva_Programada]];[@[Fecha_Programada_Fin]]);"SÍ";"NO"))</f>
        <v/>
      </c>
      <c r="P604" s="14">
        <f>SI(O([@[Cumpli_Ingreso]]="";[@[Cumpli_Salida]]="");"";SI(Y([@[Cumpli_Ingreso]]="SÍ";[@[Cumpli_Salida]]="SÍ");"SÍ";"NO"))</f>
        <v/>
      </c>
      <c r="Q604" s="15">
        <f>SI(O([@[Fecha_Programada_Fin]]="";[@[Fecha_Cierre_Operativo]]="");"";MAX(0;ENTERO([@[Fecha_Cierre_Operativo]])-ENTERO(SI([@[Fecha_Nueva_Programada]]&lt;&gt;"";[@[Fecha_Nueva_Programada]];[@[Fecha_Programada_Fin]])))</f>
        <v/>
      </c>
      <c r="R604" s="12" t="n"/>
      <c r="S604" s="12" t="n"/>
      <c r="T604" s="13" t="n"/>
      <c r="U604" s="12" t="n">
        <v>14</v>
      </c>
      <c r="V604" s="12" t="n"/>
      <c r="W60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04" s="14">
        <f>SI([@SBAN]="";"";BUSCARV([@SBAN];Cronograma_Maestro!$A:$M;6;FALSO))</f>
        <v/>
      </c>
    </row>
    <row r="605">
      <c r="A605" s="11" t="inlineStr">
        <is>
          <t>6037</t>
        </is>
      </c>
      <c r="B605" s="12">
        <f>SI([@SBAN]="";"";BUSCARV([@SBAN];Cronograma_Maestro!$A:$M;2;FALSO))</f>
        <v/>
      </c>
      <c r="C605" s="12">
        <f>SI([@SBAN]="";"";BUSCARV([@SBAN];Cronograma_Maestro!$A:$M;3;FALSO))</f>
        <v/>
      </c>
      <c r="D605" s="12">
        <f>SI([@SBAN]="";"";BUSCARV([@SBAN];Cronograma_Maestro!$A:$M;4;FALSO))</f>
        <v/>
      </c>
      <c r="E605" s="12">
        <f>SI([@SBAN]="";"";BUSCARV([@SBAN];Cronograma_Maestro!$A:$M;5;FALSO))</f>
        <v/>
      </c>
      <c r="F605" s="12" t="inlineStr">
        <is>
          <t>Mauricio Andrés Rivera Páez</t>
        </is>
      </c>
      <c r="G605" s="12" t="inlineStr">
        <is>
          <t>PMU COLSOF</t>
        </is>
      </c>
      <c r="H605" s="13" t="n">
        <v>46293</v>
      </c>
      <c r="I605" s="13" t="n">
        <v>46294</v>
      </c>
      <c r="J605" s="13" t="n"/>
      <c r="K605" s="13" t="n"/>
      <c r="L605" s="12" t="inlineStr">
        <is>
          <t>Programada</t>
        </is>
      </c>
      <c r="M605" s="13" t="n"/>
      <c r="N605" s="14">
        <f>SI(O([@[Fecha_Programada_Inicio]]="";[@[Fecha_Inicio_Real]]="");"";SI([@[Fecha_Inicio_Real]]&lt;=[@[Fecha_Programada_Inicio]];"SÍ";"NO"))</f>
        <v/>
      </c>
      <c r="O605" s="14">
        <f>SI(O([@[Fecha_Programada_Fin]]="";[@[Fecha_Cierre_Operativo]]="");"";SI([@[Fecha_Cierre_Operativo]]&lt;=SI([@[Fecha_Nueva_Programada]]&lt;&gt;"";[@[Fecha_Nueva_Programada]];[@[Fecha_Programada_Fin]]);"SÍ";"NO"))</f>
        <v/>
      </c>
      <c r="P605" s="14">
        <f>SI(O([@[Cumpli_Ingreso]]="";[@[Cumpli_Salida]]="");"";SI(Y([@[Cumpli_Ingreso]]="SÍ";[@[Cumpli_Salida]]="SÍ");"SÍ";"NO"))</f>
        <v/>
      </c>
      <c r="Q605" s="15">
        <f>SI(O([@[Fecha_Programada_Fin]]="";[@[Fecha_Cierre_Operativo]]="");"";MAX(0;ENTERO([@[Fecha_Cierre_Operativo]])-ENTERO(SI([@[Fecha_Nueva_Programada]]&lt;&gt;"";[@[Fecha_Nueva_Programada]];[@[Fecha_Programada_Fin]])))</f>
        <v/>
      </c>
      <c r="R605" s="12" t="n"/>
      <c r="S605" s="12" t="n"/>
      <c r="T605" s="13" t="n"/>
      <c r="U605" s="12" t="n">
        <v>16</v>
      </c>
      <c r="V605" s="12" t="n"/>
      <c r="W60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05" s="14">
        <f>SI([@SBAN]="";"";BUSCARV([@SBAN];Cronograma_Maestro!$A:$M;6;FALSO))</f>
        <v/>
      </c>
    </row>
    <row r="606">
      <c r="A606" s="11" t="inlineStr">
        <is>
          <t>6038</t>
        </is>
      </c>
      <c r="B606" s="12">
        <f>SI([@SBAN]="";"";BUSCARV([@SBAN];Cronograma_Maestro!$A:$M;2;FALSO))</f>
        <v/>
      </c>
      <c r="C606" s="12">
        <f>SI([@SBAN]="";"";BUSCARV([@SBAN];Cronograma_Maestro!$A:$M;3;FALSO))</f>
        <v/>
      </c>
      <c r="D606" s="12">
        <f>SI([@SBAN]="";"";BUSCARV([@SBAN];Cronograma_Maestro!$A:$M;4;FALSO))</f>
        <v/>
      </c>
      <c r="E606" s="12">
        <f>SI([@SBAN]="";"";BUSCARV([@SBAN];Cronograma_Maestro!$A:$M;5;FALSO))</f>
        <v/>
      </c>
      <c r="F606" s="12" t="inlineStr">
        <is>
          <t>Andrés Felipe Carvajal Pire</t>
        </is>
      </c>
      <c r="G606" s="12" t="inlineStr">
        <is>
          <t>PMU COLSOF</t>
        </is>
      </c>
      <c r="H606" s="13" t="n">
        <v>46316</v>
      </c>
      <c r="I606" s="13" t="n">
        <v>46316</v>
      </c>
      <c r="J606" s="13" t="n"/>
      <c r="K606" s="13" t="n"/>
      <c r="L606" s="12" t="inlineStr">
        <is>
          <t>Programada</t>
        </is>
      </c>
      <c r="M606" s="13" t="n"/>
      <c r="N606" s="14">
        <f>SI(O([@[Fecha_Programada_Inicio]]="";[@[Fecha_Inicio_Real]]="");"";SI([@[Fecha_Inicio_Real]]&lt;=[@[Fecha_Programada_Inicio]];"SÍ";"NO"))</f>
        <v/>
      </c>
      <c r="O606" s="14">
        <f>SI(O([@[Fecha_Programada_Fin]]="";[@[Fecha_Cierre_Operativo]]="");"";SI([@[Fecha_Cierre_Operativo]]&lt;=SI([@[Fecha_Nueva_Programada]]&lt;&gt;"";[@[Fecha_Nueva_Programada]];[@[Fecha_Programada_Fin]]);"SÍ";"NO"))</f>
        <v/>
      </c>
      <c r="P606" s="14">
        <f>SI(O([@[Cumpli_Ingreso]]="";[@[Cumpli_Salida]]="");"";SI(Y([@[Cumpli_Ingreso]]="SÍ";[@[Cumpli_Salida]]="SÍ");"SÍ";"NO"))</f>
        <v/>
      </c>
      <c r="Q606" s="15">
        <f>SI(O([@[Fecha_Programada_Fin]]="";[@[Fecha_Cierre_Operativo]]="");"";MAX(0;ENTERO([@[Fecha_Cierre_Operativo]])-ENTERO(SI([@[Fecha_Nueva_Programada]]&lt;&gt;"";[@[Fecha_Nueva_Programada]];[@[Fecha_Programada_Fin]])))</f>
        <v/>
      </c>
      <c r="R606" s="12" t="n"/>
      <c r="S606" s="12" t="n"/>
      <c r="T606" s="13" t="n"/>
      <c r="U606" s="12" t="n">
        <v>23</v>
      </c>
      <c r="V606" s="12" t="n"/>
      <c r="W60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06" s="14">
        <f>SI([@SBAN]="";"";BUSCARV([@SBAN];Cronograma_Maestro!$A:$M;6;FALSO))</f>
        <v/>
      </c>
    </row>
    <row r="607">
      <c r="A607" s="11" t="inlineStr">
        <is>
          <t>6039</t>
        </is>
      </c>
      <c r="B607" s="12">
        <f>SI([@SBAN]="";"";BUSCARV([@SBAN];Cronograma_Maestro!$A:$M;2;FALSO))</f>
        <v/>
      </c>
      <c r="C607" s="12">
        <f>SI([@SBAN]="";"";BUSCARV([@SBAN];Cronograma_Maestro!$A:$M;3;FALSO))</f>
        <v/>
      </c>
      <c r="D607" s="12">
        <f>SI([@SBAN]="";"";BUSCARV([@SBAN];Cronograma_Maestro!$A:$M;4;FALSO))</f>
        <v/>
      </c>
      <c r="E607" s="12">
        <f>SI([@SBAN]="";"";BUSCARV([@SBAN];Cronograma_Maestro!$A:$M;5;FALSO))</f>
        <v/>
      </c>
      <c r="F607" s="12" t="inlineStr">
        <is>
          <t>CRISTIAN CAMILO DIAZ NOY</t>
        </is>
      </c>
      <c r="G607" s="12" t="inlineStr">
        <is>
          <t>PMU COLSOF</t>
        </is>
      </c>
      <c r="H607" s="13" t="n">
        <v>46293</v>
      </c>
      <c r="I607" s="13" t="n">
        <v>46294</v>
      </c>
      <c r="J607" s="13" t="n"/>
      <c r="K607" s="13" t="n"/>
      <c r="L607" s="12" t="inlineStr">
        <is>
          <t>Programada</t>
        </is>
      </c>
      <c r="M607" s="13" t="n"/>
      <c r="N607" s="14">
        <f>SI(O([@[Fecha_Programada_Inicio]]="";[@[Fecha_Inicio_Real]]="");"";SI([@[Fecha_Inicio_Real]]&lt;=[@[Fecha_Programada_Inicio]];"SÍ";"NO"))</f>
        <v/>
      </c>
      <c r="O607" s="14">
        <f>SI(O([@[Fecha_Programada_Fin]]="";[@[Fecha_Cierre_Operativo]]="");"";SI([@[Fecha_Cierre_Operativo]]&lt;=SI([@[Fecha_Nueva_Programada]]&lt;&gt;"";[@[Fecha_Nueva_Programada]];[@[Fecha_Programada_Fin]]);"SÍ";"NO"))</f>
        <v/>
      </c>
      <c r="P607" s="14">
        <f>SI(O([@[Cumpli_Ingreso]]="";[@[Cumpli_Salida]]="");"";SI(Y([@[Cumpli_Ingreso]]="SÍ";[@[Cumpli_Salida]]="SÍ");"SÍ";"NO"))</f>
        <v/>
      </c>
      <c r="Q607" s="15">
        <f>SI(O([@[Fecha_Programada_Fin]]="";[@[Fecha_Cierre_Operativo]]="");"";MAX(0;ENTERO([@[Fecha_Cierre_Operativo]])-ENTERO(SI([@[Fecha_Nueva_Programada]]&lt;&gt;"";[@[Fecha_Nueva_Programada]];[@[Fecha_Programada_Fin]])))</f>
        <v/>
      </c>
      <c r="R607" s="12" t="n"/>
      <c r="S607" s="12" t="n"/>
      <c r="T607" s="13" t="n"/>
      <c r="U607" s="12" t="n">
        <v>14</v>
      </c>
      <c r="V607" s="12" t="n"/>
      <c r="W60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07" s="14">
        <f>SI([@SBAN]="";"";BUSCARV([@SBAN];Cronograma_Maestro!$A:$M;6;FALSO))</f>
        <v/>
      </c>
    </row>
    <row r="608">
      <c r="A608" s="11" t="inlineStr">
        <is>
          <t>6040</t>
        </is>
      </c>
      <c r="B608" s="12">
        <f>SI([@SBAN]="";"";BUSCARV([@SBAN];Cronograma_Maestro!$A:$M;2;FALSO))</f>
        <v/>
      </c>
      <c r="C608" s="12">
        <f>SI([@SBAN]="";"";BUSCARV([@SBAN];Cronograma_Maestro!$A:$M;3;FALSO))</f>
        <v/>
      </c>
      <c r="D608" s="12">
        <f>SI([@SBAN]="";"";BUSCARV([@SBAN];Cronograma_Maestro!$A:$M;4;FALSO))</f>
        <v/>
      </c>
      <c r="E608" s="12">
        <f>SI([@SBAN]="";"";BUSCARV([@SBAN];Cronograma_Maestro!$A:$M;5;FALSO))</f>
        <v/>
      </c>
      <c r="F608" s="12" t="inlineStr">
        <is>
          <t>Mauricio Andrés Rivera Páez</t>
        </is>
      </c>
      <c r="G608" s="12" t="inlineStr">
        <is>
          <t>PMU COLSOF</t>
        </is>
      </c>
      <c r="H608" s="13" t="n">
        <v>46314</v>
      </c>
      <c r="I608" s="13" t="n">
        <v>46318</v>
      </c>
      <c r="J608" s="13" t="n"/>
      <c r="K608" s="13" t="n"/>
      <c r="L608" s="12" t="inlineStr">
        <is>
          <t>Programada</t>
        </is>
      </c>
      <c r="M608" s="13" t="n"/>
      <c r="N608" s="14">
        <f>SI(O([@[Fecha_Programada_Inicio]]="";[@[Fecha_Inicio_Real]]="");"";SI([@[Fecha_Inicio_Real]]&lt;=[@[Fecha_Programada_Inicio]];"SÍ";"NO"))</f>
        <v/>
      </c>
      <c r="O608" s="14">
        <f>SI(O([@[Fecha_Programada_Fin]]="";[@[Fecha_Cierre_Operativo]]="");"";SI([@[Fecha_Cierre_Operativo]]&lt;=SI([@[Fecha_Nueva_Programada]]&lt;&gt;"";[@[Fecha_Nueva_Programada]];[@[Fecha_Programada_Fin]]);"SÍ";"NO"))</f>
        <v/>
      </c>
      <c r="P608" s="14">
        <f>SI(O([@[Cumpli_Ingreso]]="";[@[Cumpli_Salida]]="");"";SI(Y([@[Cumpli_Ingreso]]="SÍ";[@[Cumpli_Salida]]="SÍ");"SÍ";"NO"))</f>
        <v/>
      </c>
      <c r="Q608" s="15">
        <f>SI(O([@[Fecha_Programada_Fin]]="";[@[Fecha_Cierre_Operativo]]="");"";MAX(0;ENTERO([@[Fecha_Cierre_Operativo]])-ENTERO(SI([@[Fecha_Nueva_Programada]]&lt;&gt;"";[@[Fecha_Nueva_Programada]];[@[Fecha_Programada_Fin]])))</f>
        <v/>
      </c>
      <c r="R608" s="12" t="n"/>
      <c r="S608" s="12" t="n"/>
      <c r="T608" s="13" t="n"/>
      <c r="U608" s="12" t="n">
        <v>20</v>
      </c>
      <c r="V608" s="12" t="n"/>
      <c r="W60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08" s="14">
        <f>SI([@SBAN]="";"";BUSCARV([@SBAN];Cronograma_Maestro!$A:$M;6;FALSO))</f>
        <v/>
      </c>
    </row>
    <row r="609">
      <c r="A609" s="11" t="inlineStr">
        <is>
          <t>6041</t>
        </is>
      </c>
      <c r="B609" s="12">
        <f>SI([@SBAN]="";"";BUSCARV([@SBAN];Cronograma_Maestro!$A:$M;2;FALSO))</f>
        <v/>
      </c>
      <c r="C609" s="12">
        <f>SI([@SBAN]="";"";BUSCARV([@SBAN];Cronograma_Maestro!$A:$M;3;FALSO))</f>
        <v/>
      </c>
      <c r="D609" s="12">
        <f>SI([@SBAN]="";"";BUSCARV([@SBAN];Cronograma_Maestro!$A:$M;4;FALSO))</f>
        <v/>
      </c>
      <c r="E609" s="12">
        <f>SI([@SBAN]="";"";BUSCARV([@SBAN];Cronograma_Maestro!$A:$M;5;FALSO))</f>
        <v/>
      </c>
      <c r="F609" s="12" t="inlineStr">
        <is>
          <t>Andrés Felipe Díaz Noy</t>
        </is>
      </c>
      <c r="G609" s="12" t="inlineStr">
        <is>
          <t>PMU COLSOF</t>
        </is>
      </c>
      <c r="H609" s="13" t="n">
        <v>46308</v>
      </c>
      <c r="I609" s="13" t="n">
        <v>46309</v>
      </c>
      <c r="J609" s="13" t="n"/>
      <c r="K609" s="13" t="n"/>
      <c r="L609" s="12" t="inlineStr">
        <is>
          <t>Programada</t>
        </is>
      </c>
      <c r="M609" s="13" t="n"/>
      <c r="N609" s="14">
        <f>SI(O([@[Fecha_Programada_Inicio]]="";[@[Fecha_Inicio_Real]]="");"";SI([@[Fecha_Inicio_Real]]&lt;=[@[Fecha_Programada_Inicio]];"SÍ";"NO"))</f>
        <v/>
      </c>
      <c r="O609" s="14">
        <f>SI(O([@[Fecha_Programada_Fin]]="";[@[Fecha_Cierre_Operativo]]="");"";SI([@[Fecha_Cierre_Operativo]]&lt;=SI([@[Fecha_Nueva_Programada]]&lt;&gt;"";[@[Fecha_Nueva_Programada]];[@[Fecha_Programada_Fin]]);"SÍ";"NO"))</f>
        <v/>
      </c>
      <c r="P609" s="14">
        <f>SI(O([@[Cumpli_Ingreso]]="";[@[Cumpli_Salida]]="");"";SI(Y([@[Cumpli_Ingreso]]="SÍ";[@[Cumpli_Salida]]="SÍ");"SÍ";"NO"))</f>
        <v/>
      </c>
      <c r="Q609" s="15">
        <f>SI(O([@[Fecha_Programada_Fin]]="";[@[Fecha_Cierre_Operativo]]="");"";MAX(0;ENTERO([@[Fecha_Cierre_Operativo]])-ENTERO(SI([@[Fecha_Nueva_Programada]]&lt;&gt;"";[@[Fecha_Nueva_Programada]];[@[Fecha_Programada_Fin]])))</f>
        <v/>
      </c>
      <c r="R609" s="12" t="n"/>
      <c r="S609" s="12" t="n"/>
      <c r="T609" s="13" t="n"/>
      <c r="U609" s="12" t="n">
        <v>12</v>
      </c>
      <c r="V609" s="12" t="n"/>
      <c r="W60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09" s="14">
        <f>SI([@SBAN]="";"";BUSCARV([@SBAN];Cronograma_Maestro!$A:$M;6;FALSO))</f>
        <v/>
      </c>
    </row>
    <row r="610">
      <c r="A610" s="11" t="inlineStr">
        <is>
          <t>6042</t>
        </is>
      </c>
      <c r="B610" s="12">
        <f>SI([@SBAN]="";"";BUSCARV([@SBAN];Cronograma_Maestro!$A:$M;2;FALSO))</f>
        <v/>
      </c>
      <c r="C610" s="12">
        <f>SI([@SBAN]="";"";BUSCARV([@SBAN];Cronograma_Maestro!$A:$M;3;FALSO))</f>
        <v/>
      </c>
      <c r="D610" s="12">
        <f>SI([@SBAN]="";"";BUSCARV([@SBAN];Cronograma_Maestro!$A:$M;4;FALSO))</f>
        <v/>
      </c>
      <c r="E610" s="12">
        <f>SI([@SBAN]="";"";BUSCARV([@SBAN];Cronograma_Maestro!$A:$M;5;FALSO))</f>
        <v/>
      </c>
      <c r="F610" s="12" t="inlineStr">
        <is>
          <t>Andrés Felipe Carvajal Pire</t>
        </is>
      </c>
      <c r="G610" s="12" t="inlineStr">
        <is>
          <t>PMU COLSOF</t>
        </is>
      </c>
      <c r="H610" s="13" t="n">
        <v>46300</v>
      </c>
      <c r="I610" s="13" t="n">
        <v>46302</v>
      </c>
      <c r="J610" s="13" t="n"/>
      <c r="K610" s="13" t="n"/>
      <c r="L610" s="12" t="inlineStr">
        <is>
          <t>Programada</t>
        </is>
      </c>
      <c r="M610" s="13" t="n"/>
      <c r="N610" s="14">
        <f>SI(O([@[Fecha_Programada_Inicio]]="";[@[Fecha_Inicio_Real]]="");"";SI([@[Fecha_Inicio_Real]]&lt;=[@[Fecha_Programada_Inicio]];"SÍ";"NO"))</f>
        <v/>
      </c>
      <c r="O610" s="14">
        <f>SI(O([@[Fecha_Programada_Fin]]="";[@[Fecha_Cierre_Operativo]]="");"";SI([@[Fecha_Cierre_Operativo]]&lt;=SI([@[Fecha_Nueva_Programada]]&lt;&gt;"";[@[Fecha_Nueva_Programada]];[@[Fecha_Programada_Fin]]);"SÍ";"NO"))</f>
        <v/>
      </c>
      <c r="P610" s="14">
        <f>SI(O([@[Cumpli_Ingreso]]="";[@[Cumpli_Salida]]="");"";SI(Y([@[Cumpli_Ingreso]]="SÍ";[@[Cumpli_Salida]]="SÍ");"SÍ";"NO"))</f>
        <v/>
      </c>
      <c r="Q610" s="15">
        <f>SI(O([@[Fecha_Programada_Fin]]="";[@[Fecha_Cierre_Operativo]]="");"";MAX(0;ENTERO([@[Fecha_Cierre_Operativo]])-ENTERO(SI([@[Fecha_Nueva_Programada]]&lt;&gt;"";[@[Fecha_Nueva_Programada]];[@[Fecha_Programada_Fin]])))</f>
        <v/>
      </c>
      <c r="R610" s="12" t="n"/>
      <c r="S610" s="12" t="n"/>
      <c r="T610" s="13" t="n"/>
      <c r="U610" s="12" t="n">
        <v>43</v>
      </c>
      <c r="V610" s="12" t="n"/>
      <c r="W61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10" s="14">
        <f>SI([@SBAN]="";"";BUSCARV([@SBAN];Cronograma_Maestro!$A:$M;6;FALSO))</f>
        <v/>
      </c>
    </row>
    <row r="611">
      <c r="A611" s="11" t="inlineStr">
        <is>
          <t>6043</t>
        </is>
      </c>
      <c r="B611" s="12">
        <f>SI([@SBAN]="";"";BUSCARV([@SBAN];Cronograma_Maestro!$A:$M;2;FALSO))</f>
        <v/>
      </c>
      <c r="C611" s="12">
        <f>SI([@SBAN]="";"";BUSCARV([@SBAN];Cronograma_Maestro!$A:$M;3;FALSO))</f>
        <v/>
      </c>
      <c r="D611" s="12">
        <f>SI([@SBAN]="";"";BUSCARV([@SBAN];Cronograma_Maestro!$A:$M;4;FALSO))</f>
        <v/>
      </c>
      <c r="E611" s="12">
        <f>SI([@SBAN]="";"";BUSCARV([@SBAN];Cronograma_Maestro!$A:$M;5;FALSO))</f>
        <v/>
      </c>
      <c r="F611" s="12" t="inlineStr">
        <is>
          <t>Andrés Felipe Díaz Noy</t>
        </is>
      </c>
      <c r="G611" s="12" t="inlineStr">
        <is>
          <t>PMU COLSOF</t>
        </is>
      </c>
      <c r="H611" s="13" t="n">
        <v>46304</v>
      </c>
      <c r="I611" s="13" t="n">
        <v>46308</v>
      </c>
      <c r="J611" s="13" t="n"/>
      <c r="K611" s="13" t="n"/>
      <c r="L611" s="12" t="inlineStr">
        <is>
          <t>Programada</t>
        </is>
      </c>
      <c r="M611" s="13" t="n"/>
      <c r="N611" s="14">
        <f>SI(O([@[Fecha_Programada_Inicio]]="";[@[Fecha_Inicio_Real]]="");"";SI([@[Fecha_Inicio_Real]]&lt;=[@[Fecha_Programada_Inicio]];"SÍ";"NO"))</f>
        <v/>
      </c>
      <c r="O611" s="14">
        <f>SI(O([@[Fecha_Programada_Fin]]="";[@[Fecha_Cierre_Operativo]]="");"";SI([@[Fecha_Cierre_Operativo]]&lt;=SI([@[Fecha_Nueva_Programada]]&lt;&gt;"";[@[Fecha_Nueva_Programada]];[@[Fecha_Programada_Fin]]);"SÍ";"NO"))</f>
        <v/>
      </c>
      <c r="P611" s="14">
        <f>SI(O([@[Cumpli_Ingreso]]="";[@[Cumpli_Salida]]="");"";SI(Y([@[Cumpli_Ingreso]]="SÍ";[@[Cumpli_Salida]]="SÍ");"SÍ";"NO"))</f>
        <v/>
      </c>
      <c r="Q611" s="15">
        <f>SI(O([@[Fecha_Programada_Fin]]="";[@[Fecha_Cierre_Operativo]]="");"";MAX(0;ENTERO([@[Fecha_Cierre_Operativo]])-ENTERO(SI([@[Fecha_Nueva_Programada]]&lt;&gt;"";[@[Fecha_Nueva_Programada]];[@[Fecha_Programada_Fin]])))</f>
        <v/>
      </c>
      <c r="R611" s="12" t="n"/>
      <c r="S611" s="12" t="n"/>
      <c r="T611" s="13" t="n"/>
      <c r="U611" s="12" t="n">
        <v>12</v>
      </c>
      <c r="V611" s="12" t="n"/>
      <c r="W61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11" s="14">
        <f>SI([@SBAN]="";"";BUSCARV([@SBAN];Cronograma_Maestro!$A:$M;6;FALSO))</f>
        <v/>
      </c>
    </row>
    <row r="612">
      <c r="A612" s="11" t="inlineStr">
        <is>
          <t>6044</t>
        </is>
      </c>
      <c r="B612" s="12">
        <f>SI([@SBAN]="";"";BUSCARV([@SBAN];Cronograma_Maestro!$A:$M;2;FALSO))</f>
        <v/>
      </c>
      <c r="C612" s="12">
        <f>SI([@SBAN]="";"";BUSCARV([@SBAN];Cronograma_Maestro!$A:$M;3;FALSO))</f>
        <v/>
      </c>
      <c r="D612" s="12">
        <f>SI([@SBAN]="";"";BUSCARV([@SBAN];Cronograma_Maestro!$A:$M;4;FALSO))</f>
        <v/>
      </c>
      <c r="E612" s="12">
        <f>SI([@SBAN]="";"";BUSCARV([@SBAN];Cronograma_Maestro!$A:$M;5;FALSO))</f>
        <v/>
      </c>
      <c r="F612" s="12" t="inlineStr">
        <is>
          <t>Mauricio Andrés Rivera Páez</t>
        </is>
      </c>
      <c r="G612" s="12" t="inlineStr">
        <is>
          <t>PMU COLSOF</t>
        </is>
      </c>
      <c r="H612" s="13" t="n">
        <v>46304</v>
      </c>
      <c r="I612" s="13" t="n">
        <v>46308</v>
      </c>
      <c r="J612" s="13" t="n"/>
      <c r="K612" s="13" t="n"/>
      <c r="L612" s="12" t="inlineStr">
        <is>
          <t>Programada</t>
        </is>
      </c>
      <c r="M612" s="13" t="n"/>
      <c r="N612" s="14">
        <f>SI(O([@[Fecha_Programada_Inicio]]="";[@[Fecha_Inicio_Real]]="");"";SI([@[Fecha_Inicio_Real]]&lt;=[@[Fecha_Programada_Inicio]];"SÍ";"NO"))</f>
        <v/>
      </c>
      <c r="O612" s="14">
        <f>SI(O([@[Fecha_Programada_Fin]]="";[@[Fecha_Cierre_Operativo]]="");"";SI([@[Fecha_Cierre_Operativo]]&lt;=SI([@[Fecha_Nueva_Programada]]&lt;&gt;"";[@[Fecha_Nueva_Programada]];[@[Fecha_Programada_Fin]]);"SÍ";"NO"))</f>
        <v/>
      </c>
      <c r="P612" s="14">
        <f>SI(O([@[Cumpli_Ingreso]]="";[@[Cumpli_Salida]]="");"";SI(Y([@[Cumpli_Ingreso]]="SÍ";[@[Cumpli_Salida]]="SÍ");"SÍ";"NO"))</f>
        <v/>
      </c>
      <c r="Q612" s="15">
        <f>SI(O([@[Fecha_Programada_Fin]]="";[@[Fecha_Cierre_Operativo]]="");"";MAX(0;ENTERO([@[Fecha_Cierre_Operativo]])-ENTERO(SI([@[Fecha_Nueva_Programada]]&lt;&gt;"";[@[Fecha_Nueva_Programada]];[@[Fecha_Programada_Fin]])))</f>
        <v/>
      </c>
      <c r="R612" s="12" t="n"/>
      <c r="S612" s="12" t="n"/>
      <c r="T612" s="13" t="n"/>
      <c r="U612" s="12" t="n">
        <v>40</v>
      </c>
      <c r="V612" s="12" t="n"/>
      <c r="W61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12" s="14">
        <f>SI([@SBAN]="";"";BUSCARV([@SBAN];Cronograma_Maestro!$A:$M;6;FALSO))</f>
        <v/>
      </c>
    </row>
    <row r="613">
      <c r="A613" s="11" t="inlineStr">
        <is>
          <t>6045</t>
        </is>
      </c>
      <c r="B613" s="12">
        <f>SI([@SBAN]="";"";BUSCARV([@SBAN];Cronograma_Maestro!$A:$M;2;FALSO))</f>
        <v/>
      </c>
      <c r="C613" s="12">
        <f>SI([@SBAN]="";"";BUSCARV([@SBAN];Cronograma_Maestro!$A:$M;3;FALSO))</f>
        <v/>
      </c>
      <c r="D613" s="12">
        <f>SI([@SBAN]="";"";BUSCARV([@SBAN];Cronograma_Maestro!$A:$M;4;FALSO))</f>
        <v/>
      </c>
      <c r="E613" s="12">
        <f>SI([@SBAN]="";"";BUSCARV([@SBAN];Cronograma_Maestro!$A:$M;5;FALSO))</f>
        <v/>
      </c>
      <c r="F613" s="12" t="inlineStr">
        <is>
          <t>CRISTIAN CAMILO DIAZ NOY</t>
        </is>
      </c>
      <c r="G613" s="12" t="inlineStr">
        <is>
          <t>PMU COLSOF</t>
        </is>
      </c>
      <c r="H613" s="13" t="n">
        <v>46308</v>
      </c>
      <c r="I613" s="13" t="n">
        <v>46309</v>
      </c>
      <c r="J613" s="13" t="n"/>
      <c r="K613" s="13" t="n"/>
      <c r="L613" s="12" t="inlineStr">
        <is>
          <t>Programada</t>
        </is>
      </c>
      <c r="M613" s="13" t="n"/>
      <c r="N613" s="14">
        <f>SI(O([@[Fecha_Programada_Inicio]]="";[@[Fecha_Inicio_Real]]="");"";SI([@[Fecha_Inicio_Real]]&lt;=[@[Fecha_Programada_Inicio]];"SÍ";"NO"))</f>
        <v/>
      </c>
      <c r="O613" s="14">
        <f>SI(O([@[Fecha_Programada_Fin]]="";[@[Fecha_Cierre_Operativo]]="");"";SI([@[Fecha_Cierre_Operativo]]&lt;=SI([@[Fecha_Nueva_Programada]]&lt;&gt;"";[@[Fecha_Nueva_Programada]];[@[Fecha_Programada_Fin]]);"SÍ";"NO"))</f>
        <v/>
      </c>
      <c r="P613" s="14">
        <f>SI(O([@[Cumpli_Ingreso]]="";[@[Cumpli_Salida]]="");"";SI(Y([@[Cumpli_Ingreso]]="SÍ";[@[Cumpli_Salida]]="SÍ");"SÍ";"NO"))</f>
        <v/>
      </c>
      <c r="Q613" s="15">
        <f>SI(O([@[Fecha_Programada_Fin]]="";[@[Fecha_Cierre_Operativo]]="");"";MAX(0;ENTERO([@[Fecha_Cierre_Operativo]])-ENTERO(SI([@[Fecha_Nueva_Programada]]&lt;&gt;"";[@[Fecha_Nueva_Programada]];[@[Fecha_Programada_Fin]])))</f>
        <v/>
      </c>
      <c r="R613" s="12" t="n"/>
      <c r="S613" s="12" t="n"/>
      <c r="T613" s="13" t="n"/>
      <c r="U613" s="12" t="n">
        <v>13</v>
      </c>
      <c r="V613" s="12" t="n"/>
      <c r="W61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13" s="14">
        <f>SI([@SBAN]="";"";BUSCARV([@SBAN];Cronograma_Maestro!$A:$M;6;FALSO))</f>
        <v/>
      </c>
    </row>
    <row r="614">
      <c r="A614" s="11" t="inlineStr">
        <is>
          <t>6046</t>
        </is>
      </c>
      <c r="B614" s="12">
        <f>SI([@SBAN]="";"";BUSCARV([@SBAN];Cronograma_Maestro!$A:$M;2;FALSO))</f>
        <v/>
      </c>
      <c r="C614" s="12">
        <f>SI([@SBAN]="";"";BUSCARV([@SBAN];Cronograma_Maestro!$A:$M;3;FALSO))</f>
        <v/>
      </c>
      <c r="D614" s="12">
        <f>SI([@SBAN]="";"";BUSCARV([@SBAN];Cronograma_Maestro!$A:$M;4;FALSO))</f>
        <v/>
      </c>
      <c r="E614" s="12">
        <f>SI([@SBAN]="";"";BUSCARV([@SBAN];Cronograma_Maestro!$A:$M;5;FALSO))</f>
        <v/>
      </c>
      <c r="F614" s="12" t="inlineStr">
        <is>
          <t>Luz Nélida Barragán Toro</t>
        </is>
      </c>
      <c r="G614" s="12" t="inlineStr">
        <is>
          <t>PMU COLSOF</t>
        </is>
      </c>
      <c r="H614" s="13" t="n">
        <v>46309</v>
      </c>
      <c r="I614" s="13" t="n">
        <v>46310</v>
      </c>
      <c r="J614" s="13" t="n"/>
      <c r="K614" s="13" t="n"/>
      <c r="L614" s="12" t="inlineStr">
        <is>
          <t>Programada</t>
        </is>
      </c>
      <c r="M614" s="13" t="n"/>
      <c r="N614" s="14">
        <f>SI(O([@[Fecha_Programada_Inicio]]="";[@[Fecha_Inicio_Real]]="");"";SI([@[Fecha_Inicio_Real]]&lt;=[@[Fecha_Programada_Inicio]];"SÍ";"NO"))</f>
        <v/>
      </c>
      <c r="O614" s="14">
        <f>SI(O([@[Fecha_Programada_Fin]]="";[@[Fecha_Cierre_Operativo]]="");"";SI([@[Fecha_Cierre_Operativo]]&lt;=SI([@[Fecha_Nueva_Programada]]&lt;&gt;"";[@[Fecha_Nueva_Programada]];[@[Fecha_Programada_Fin]]);"SÍ";"NO"))</f>
        <v/>
      </c>
      <c r="P614" s="14">
        <f>SI(O([@[Cumpli_Ingreso]]="";[@[Cumpli_Salida]]="");"";SI(Y([@[Cumpli_Ingreso]]="SÍ";[@[Cumpli_Salida]]="SÍ");"SÍ";"NO"))</f>
        <v/>
      </c>
      <c r="Q614" s="15">
        <f>SI(O([@[Fecha_Programada_Fin]]="";[@[Fecha_Cierre_Operativo]]="");"";MAX(0;ENTERO([@[Fecha_Cierre_Operativo]])-ENTERO(SI([@[Fecha_Nueva_Programada]]&lt;&gt;"";[@[Fecha_Nueva_Programada]];[@[Fecha_Programada_Fin]])))</f>
        <v/>
      </c>
      <c r="R614" s="12" t="n"/>
      <c r="S614" s="12" t="n"/>
      <c r="T614" s="13" t="n"/>
      <c r="U614" s="12" t="n">
        <v>20</v>
      </c>
      <c r="V614" s="12" t="n"/>
      <c r="W61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14" s="14">
        <f>SI([@SBAN]="";"";BUSCARV([@SBAN];Cronograma_Maestro!$A:$M;6;FALSO))</f>
        <v/>
      </c>
    </row>
    <row r="615">
      <c r="A615" s="11" t="inlineStr">
        <is>
          <t>6048</t>
        </is>
      </c>
      <c r="B615" s="12">
        <f>SI([@SBAN]="";"";BUSCARV([@SBAN];Cronograma_Maestro!$A:$M;2;FALSO))</f>
        <v/>
      </c>
      <c r="C615" s="12">
        <f>SI([@SBAN]="";"";BUSCARV([@SBAN];Cronograma_Maestro!$A:$M;3;FALSO))</f>
        <v/>
      </c>
      <c r="D615" s="12">
        <f>SI([@SBAN]="";"";BUSCARV([@SBAN];Cronograma_Maestro!$A:$M;4;FALSO))</f>
        <v/>
      </c>
      <c r="E615" s="12">
        <f>SI([@SBAN]="";"";BUSCARV([@SBAN];Cronograma_Maestro!$A:$M;5;FALSO))</f>
        <v/>
      </c>
      <c r="F615" s="12" t="inlineStr">
        <is>
          <t>Andrés Felipe Díaz Noy</t>
        </is>
      </c>
      <c r="G615" s="12" t="inlineStr">
        <is>
          <t>PMU COLSOF</t>
        </is>
      </c>
      <c r="H615" s="13" t="n">
        <v>46300</v>
      </c>
      <c r="I615" s="13" t="n">
        <v>46301</v>
      </c>
      <c r="J615" s="13" t="n"/>
      <c r="K615" s="13" t="n"/>
      <c r="L615" s="12" t="inlineStr">
        <is>
          <t>Programada</t>
        </is>
      </c>
      <c r="M615" s="13" t="n"/>
      <c r="N615" s="14">
        <f>SI(O([@[Fecha_Programada_Inicio]]="";[@[Fecha_Inicio_Real]]="");"";SI([@[Fecha_Inicio_Real]]&lt;=[@[Fecha_Programada_Inicio]];"SÍ";"NO"))</f>
        <v/>
      </c>
      <c r="O615" s="14">
        <f>SI(O([@[Fecha_Programada_Fin]]="";[@[Fecha_Cierre_Operativo]]="");"";SI([@[Fecha_Cierre_Operativo]]&lt;=SI([@[Fecha_Nueva_Programada]]&lt;&gt;"";[@[Fecha_Nueva_Programada]];[@[Fecha_Programada_Fin]]);"SÍ";"NO"))</f>
        <v/>
      </c>
      <c r="P615" s="14">
        <f>SI(O([@[Cumpli_Ingreso]]="";[@[Cumpli_Salida]]="");"";SI(Y([@[Cumpli_Ingreso]]="SÍ";[@[Cumpli_Salida]]="SÍ");"SÍ";"NO"))</f>
        <v/>
      </c>
      <c r="Q615" s="15">
        <f>SI(O([@[Fecha_Programada_Fin]]="";[@[Fecha_Cierre_Operativo]]="");"";MAX(0;ENTERO([@[Fecha_Cierre_Operativo]])-ENTERO(SI([@[Fecha_Nueva_Programada]]&lt;&gt;"";[@[Fecha_Nueva_Programada]];[@[Fecha_Programada_Fin]])))</f>
        <v/>
      </c>
      <c r="R615" s="12" t="n"/>
      <c r="S615" s="12" t="n"/>
      <c r="T615" s="13" t="n"/>
      <c r="U615" s="12" t="n">
        <v>21</v>
      </c>
      <c r="V615" s="12" t="n"/>
      <c r="W61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15" s="14">
        <f>SI([@SBAN]="";"";BUSCARV([@SBAN];Cronograma_Maestro!$A:$M;6;FALSO))</f>
        <v/>
      </c>
    </row>
    <row r="616">
      <c r="A616" s="11" t="inlineStr">
        <is>
          <t>6050</t>
        </is>
      </c>
      <c r="B616" s="12">
        <f>SI([@SBAN]="";"";BUSCARV([@SBAN];Cronograma_Maestro!$A:$M;2;FALSO))</f>
        <v/>
      </c>
      <c r="C616" s="12">
        <f>SI([@SBAN]="";"";BUSCARV([@SBAN];Cronograma_Maestro!$A:$M;3;FALSO))</f>
        <v/>
      </c>
      <c r="D616" s="12">
        <f>SI([@SBAN]="";"";BUSCARV([@SBAN];Cronograma_Maestro!$A:$M;4;FALSO))</f>
        <v/>
      </c>
      <c r="E616" s="12">
        <f>SI([@SBAN]="";"";BUSCARV([@SBAN];Cronograma_Maestro!$A:$M;5;FALSO))</f>
        <v/>
      </c>
      <c r="F616" s="12" t="inlineStr">
        <is>
          <t>Andrés Felipe Díaz Noy</t>
        </is>
      </c>
      <c r="G616" s="12" t="inlineStr">
        <is>
          <t>PMU COLSOF</t>
        </is>
      </c>
      <c r="H616" s="13" t="n">
        <v>46311</v>
      </c>
      <c r="I616" s="13" t="n">
        <v>46311</v>
      </c>
      <c r="J616" s="13" t="n"/>
      <c r="K616" s="13" t="n"/>
      <c r="L616" s="12" t="inlineStr">
        <is>
          <t>Programada</t>
        </is>
      </c>
      <c r="M616" s="13" t="n"/>
      <c r="N616" s="14">
        <f>SI(O([@[Fecha_Programada_Inicio]]="";[@[Fecha_Inicio_Real]]="");"";SI([@[Fecha_Inicio_Real]]&lt;=[@[Fecha_Programada_Inicio]];"SÍ";"NO"))</f>
        <v/>
      </c>
      <c r="O616" s="14">
        <f>SI(O([@[Fecha_Programada_Fin]]="";[@[Fecha_Cierre_Operativo]]="");"";SI([@[Fecha_Cierre_Operativo]]&lt;=SI([@[Fecha_Nueva_Programada]]&lt;&gt;"";[@[Fecha_Nueva_Programada]];[@[Fecha_Programada_Fin]]);"SÍ";"NO"))</f>
        <v/>
      </c>
      <c r="P616" s="14">
        <f>SI(O([@[Cumpli_Ingreso]]="";[@[Cumpli_Salida]]="");"";SI(Y([@[Cumpli_Ingreso]]="SÍ";[@[Cumpli_Salida]]="SÍ");"SÍ";"NO"))</f>
        <v/>
      </c>
      <c r="Q616" s="15">
        <f>SI(O([@[Fecha_Programada_Fin]]="";[@[Fecha_Cierre_Operativo]]="");"";MAX(0;ENTERO([@[Fecha_Cierre_Operativo]])-ENTERO(SI([@[Fecha_Nueva_Programada]]&lt;&gt;"";[@[Fecha_Nueva_Programada]];[@[Fecha_Programada_Fin]])))</f>
        <v/>
      </c>
      <c r="R616" s="12" t="n"/>
      <c r="S616" s="12" t="n"/>
      <c r="T616" s="13" t="n"/>
      <c r="U616" s="12" t="n">
        <v>12</v>
      </c>
      <c r="V616" s="12" t="n"/>
      <c r="W61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16" s="14">
        <f>SI([@SBAN]="";"";BUSCARV([@SBAN];Cronograma_Maestro!$A:$M;6;FALSO))</f>
        <v/>
      </c>
    </row>
    <row r="617">
      <c r="A617" s="11" t="inlineStr">
        <is>
          <t>6052</t>
        </is>
      </c>
      <c r="B617" s="12">
        <f>SI([@SBAN]="";"";BUSCARV([@SBAN];Cronograma_Maestro!$A:$M;2;FALSO))</f>
        <v/>
      </c>
      <c r="C617" s="12">
        <f>SI([@SBAN]="";"";BUSCARV([@SBAN];Cronograma_Maestro!$A:$M;3;FALSO))</f>
        <v/>
      </c>
      <c r="D617" s="12">
        <f>SI([@SBAN]="";"";BUSCARV([@SBAN];Cronograma_Maestro!$A:$M;4;FALSO))</f>
        <v/>
      </c>
      <c r="E617" s="12">
        <f>SI([@SBAN]="";"";BUSCARV([@SBAN];Cronograma_Maestro!$A:$M;5;FALSO))</f>
        <v/>
      </c>
      <c r="F617" s="12" t="inlineStr">
        <is>
          <t>Andrés Felipe Carvajal Pire</t>
        </is>
      </c>
      <c r="G617" s="12" t="inlineStr">
        <is>
          <t>PMU COLSOF</t>
        </is>
      </c>
      <c r="H617" s="13" t="n">
        <v>46311</v>
      </c>
      <c r="I617" s="13" t="n">
        <v>46311</v>
      </c>
      <c r="J617" s="13" t="n"/>
      <c r="K617" s="13" t="n"/>
      <c r="L617" s="12" t="inlineStr">
        <is>
          <t>Programada</t>
        </is>
      </c>
      <c r="M617" s="13" t="n"/>
      <c r="N617" s="14">
        <f>SI(O([@[Fecha_Programada_Inicio]]="";[@[Fecha_Inicio_Real]]="");"";SI([@[Fecha_Inicio_Real]]&lt;=[@[Fecha_Programada_Inicio]];"SÍ";"NO"))</f>
        <v/>
      </c>
      <c r="O617" s="14">
        <f>SI(O([@[Fecha_Programada_Fin]]="";[@[Fecha_Cierre_Operativo]]="");"";SI([@[Fecha_Cierre_Operativo]]&lt;=SI([@[Fecha_Nueva_Programada]]&lt;&gt;"";[@[Fecha_Nueva_Programada]];[@[Fecha_Programada_Fin]]);"SÍ";"NO"))</f>
        <v/>
      </c>
      <c r="P617" s="14">
        <f>SI(O([@[Cumpli_Ingreso]]="";[@[Cumpli_Salida]]="");"";SI(Y([@[Cumpli_Ingreso]]="SÍ";[@[Cumpli_Salida]]="SÍ");"SÍ";"NO"))</f>
        <v/>
      </c>
      <c r="Q617" s="15">
        <f>SI(O([@[Fecha_Programada_Fin]]="";[@[Fecha_Cierre_Operativo]]="");"";MAX(0;ENTERO([@[Fecha_Cierre_Operativo]])-ENTERO(SI([@[Fecha_Nueva_Programada]]&lt;&gt;"";[@[Fecha_Nueva_Programada]];[@[Fecha_Programada_Fin]])))</f>
        <v/>
      </c>
      <c r="R617" s="12" t="n"/>
      <c r="S617" s="12" t="n"/>
      <c r="T617" s="13" t="n"/>
      <c r="U617" s="12" t="n">
        <v>12</v>
      </c>
      <c r="V617" s="12" t="n"/>
      <c r="W61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17" s="14">
        <f>SI([@SBAN]="";"";BUSCARV([@SBAN];Cronograma_Maestro!$A:$M;6;FALSO))</f>
        <v/>
      </c>
    </row>
    <row r="618">
      <c r="A618" s="11" t="inlineStr">
        <is>
          <t>6053</t>
        </is>
      </c>
      <c r="B618" s="12">
        <f>SI([@SBAN]="";"";BUSCARV([@SBAN];Cronograma_Maestro!$A:$M;2;FALSO))</f>
        <v/>
      </c>
      <c r="C618" s="12">
        <f>SI([@SBAN]="";"";BUSCARV([@SBAN];Cronograma_Maestro!$A:$M;3;FALSO))</f>
        <v/>
      </c>
      <c r="D618" s="12">
        <f>SI([@SBAN]="";"";BUSCARV([@SBAN];Cronograma_Maestro!$A:$M;4;FALSO))</f>
        <v/>
      </c>
      <c r="E618" s="12">
        <f>SI([@SBAN]="";"";BUSCARV([@SBAN];Cronograma_Maestro!$A:$M;5;FALSO))</f>
        <v/>
      </c>
      <c r="F618" s="12" t="inlineStr">
        <is>
          <t>Mauricio Andrés Rivera Páez</t>
        </is>
      </c>
      <c r="G618" s="12" t="inlineStr">
        <is>
          <t>PMU COLSOF</t>
        </is>
      </c>
      <c r="H618" s="13" t="n">
        <v>46294</v>
      </c>
      <c r="I618" s="13" t="n">
        <v>46295</v>
      </c>
      <c r="J618" s="13" t="n"/>
      <c r="K618" s="13" t="n"/>
      <c r="L618" s="12" t="inlineStr">
        <is>
          <t>Programada</t>
        </is>
      </c>
      <c r="M618" s="13" t="n"/>
      <c r="N618" s="14">
        <f>SI(O([@[Fecha_Programada_Inicio]]="";[@[Fecha_Inicio_Real]]="");"";SI([@[Fecha_Inicio_Real]]&lt;=[@[Fecha_Programada_Inicio]];"SÍ";"NO"))</f>
        <v/>
      </c>
      <c r="O618" s="14">
        <f>SI(O([@[Fecha_Programada_Fin]]="";[@[Fecha_Cierre_Operativo]]="");"";SI([@[Fecha_Cierre_Operativo]]&lt;=SI([@[Fecha_Nueva_Programada]]&lt;&gt;"";[@[Fecha_Nueva_Programada]];[@[Fecha_Programada_Fin]]);"SÍ";"NO"))</f>
        <v/>
      </c>
      <c r="P618" s="14">
        <f>SI(O([@[Cumpli_Ingreso]]="";[@[Cumpli_Salida]]="");"";SI(Y([@[Cumpli_Ingreso]]="SÍ";[@[Cumpli_Salida]]="SÍ");"SÍ";"NO"))</f>
        <v/>
      </c>
      <c r="Q618" s="15">
        <f>SI(O([@[Fecha_Programada_Fin]]="";[@[Fecha_Cierre_Operativo]]="");"";MAX(0;ENTERO([@[Fecha_Cierre_Operativo]])-ENTERO(SI([@[Fecha_Nueva_Programada]]&lt;&gt;"";[@[Fecha_Nueva_Programada]];[@[Fecha_Programada_Fin]])))</f>
        <v/>
      </c>
      <c r="R618" s="12" t="n"/>
      <c r="S618" s="12" t="n"/>
      <c r="T618" s="13" t="n"/>
      <c r="U618" s="12" t="n">
        <v>12</v>
      </c>
      <c r="V618" s="12" t="n"/>
      <c r="W61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18" s="14">
        <f>SI([@SBAN]="";"";BUSCARV([@SBAN];Cronograma_Maestro!$A:$M;6;FALSO))</f>
        <v/>
      </c>
    </row>
    <row r="619">
      <c r="A619" s="11" t="inlineStr">
        <is>
          <t>6054</t>
        </is>
      </c>
      <c r="B619" s="12">
        <f>SI([@SBAN]="";"";BUSCARV([@SBAN];Cronograma_Maestro!$A:$M;2;FALSO))</f>
        <v/>
      </c>
      <c r="C619" s="12">
        <f>SI([@SBAN]="";"";BUSCARV([@SBAN];Cronograma_Maestro!$A:$M;3;FALSO))</f>
        <v/>
      </c>
      <c r="D619" s="12">
        <f>SI([@SBAN]="";"";BUSCARV([@SBAN];Cronograma_Maestro!$A:$M;4;FALSO))</f>
        <v/>
      </c>
      <c r="E619" s="12">
        <f>SI([@SBAN]="";"";BUSCARV([@SBAN];Cronograma_Maestro!$A:$M;5;FALSO))</f>
        <v/>
      </c>
      <c r="F619" s="12" t="inlineStr">
        <is>
          <t>Andrés Felipe Carvajal Pire</t>
        </is>
      </c>
      <c r="G619" s="12" t="inlineStr">
        <is>
          <t>PMU COLSOF</t>
        </is>
      </c>
      <c r="H619" s="13" t="n">
        <v>46308</v>
      </c>
      <c r="I619" s="13" t="n">
        <v>46309</v>
      </c>
      <c r="J619" s="13" t="n"/>
      <c r="K619" s="13" t="n"/>
      <c r="L619" s="12" t="inlineStr">
        <is>
          <t>Programada</t>
        </is>
      </c>
      <c r="M619" s="13" t="n"/>
      <c r="N619" s="14">
        <f>SI(O([@[Fecha_Programada_Inicio]]="";[@[Fecha_Inicio_Real]]="");"";SI([@[Fecha_Inicio_Real]]&lt;=[@[Fecha_Programada_Inicio]];"SÍ";"NO"))</f>
        <v/>
      </c>
      <c r="O619" s="14">
        <f>SI(O([@[Fecha_Programada_Fin]]="";[@[Fecha_Cierre_Operativo]]="");"";SI([@[Fecha_Cierre_Operativo]]&lt;=SI([@[Fecha_Nueva_Programada]]&lt;&gt;"";[@[Fecha_Nueva_Programada]];[@[Fecha_Programada_Fin]]);"SÍ";"NO"))</f>
        <v/>
      </c>
      <c r="P619" s="14">
        <f>SI(O([@[Cumpli_Ingreso]]="";[@[Cumpli_Salida]]="");"";SI(Y([@[Cumpli_Ingreso]]="SÍ";[@[Cumpli_Salida]]="SÍ");"SÍ";"NO"))</f>
        <v/>
      </c>
      <c r="Q619" s="15">
        <f>SI(O([@[Fecha_Programada_Fin]]="";[@[Fecha_Cierre_Operativo]]="");"";MAX(0;ENTERO([@[Fecha_Cierre_Operativo]])-ENTERO(SI([@[Fecha_Nueva_Programada]]&lt;&gt;"";[@[Fecha_Nueva_Programada]];[@[Fecha_Programada_Fin]])))</f>
        <v/>
      </c>
      <c r="R619" s="12" t="n"/>
      <c r="S619" s="12" t="n"/>
      <c r="T619" s="13" t="n"/>
      <c r="U619" s="12" t="n">
        <v>13</v>
      </c>
      <c r="V619" s="12" t="n"/>
      <c r="W61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19" s="14">
        <f>SI([@SBAN]="";"";BUSCARV([@SBAN];Cronograma_Maestro!$A:$M;6;FALSO))</f>
        <v/>
      </c>
    </row>
    <row r="620">
      <c r="A620" s="11" t="inlineStr">
        <is>
          <t>6055</t>
        </is>
      </c>
      <c r="B620" s="12">
        <f>SI([@SBAN]="";"";BUSCARV([@SBAN];Cronograma_Maestro!$A:$M;2;FALSO))</f>
        <v/>
      </c>
      <c r="C620" s="12">
        <f>SI([@SBAN]="";"";BUSCARV([@SBAN];Cronograma_Maestro!$A:$M;3;FALSO))</f>
        <v/>
      </c>
      <c r="D620" s="12">
        <f>SI([@SBAN]="";"";BUSCARV([@SBAN];Cronograma_Maestro!$A:$M;4;FALSO))</f>
        <v/>
      </c>
      <c r="E620" s="12">
        <f>SI([@SBAN]="";"";BUSCARV([@SBAN];Cronograma_Maestro!$A:$M;5;FALSO))</f>
        <v/>
      </c>
      <c r="F620" s="12" t="inlineStr">
        <is>
          <t>CRISTIAN CAMILO DIAZ NOY</t>
        </is>
      </c>
      <c r="G620" s="12" t="inlineStr">
        <is>
          <t>PMU COLSOF</t>
        </is>
      </c>
      <c r="H620" s="13" t="n">
        <v>46311</v>
      </c>
      <c r="I620" s="13" t="n">
        <v>46311</v>
      </c>
      <c r="J620" s="13" t="n"/>
      <c r="K620" s="13" t="n"/>
      <c r="L620" s="12" t="inlineStr">
        <is>
          <t>Programada</t>
        </is>
      </c>
      <c r="M620" s="13" t="n"/>
      <c r="N620" s="14">
        <f>SI(O([@[Fecha_Programada_Inicio]]="";[@[Fecha_Inicio_Real]]="");"";SI([@[Fecha_Inicio_Real]]&lt;=[@[Fecha_Programada_Inicio]];"SÍ";"NO"))</f>
        <v/>
      </c>
      <c r="O620" s="14">
        <f>SI(O([@[Fecha_Programada_Fin]]="";[@[Fecha_Cierre_Operativo]]="");"";SI([@[Fecha_Cierre_Operativo]]&lt;=SI([@[Fecha_Nueva_Programada]]&lt;&gt;"";[@[Fecha_Nueva_Programada]];[@[Fecha_Programada_Fin]]);"SÍ";"NO"))</f>
        <v/>
      </c>
      <c r="P620" s="14">
        <f>SI(O([@[Cumpli_Ingreso]]="";[@[Cumpli_Salida]]="");"";SI(Y([@[Cumpli_Ingreso]]="SÍ";[@[Cumpli_Salida]]="SÍ");"SÍ";"NO"))</f>
        <v/>
      </c>
      <c r="Q620" s="15">
        <f>SI(O([@[Fecha_Programada_Fin]]="";[@[Fecha_Cierre_Operativo]]="");"";MAX(0;ENTERO([@[Fecha_Cierre_Operativo]])-ENTERO(SI([@[Fecha_Nueva_Programada]]&lt;&gt;"";[@[Fecha_Nueva_Programada]];[@[Fecha_Programada_Fin]])))</f>
        <v/>
      </c>
      <c r="R620" s="12" t="n"/>
      <c r="S620" s="12" t="n"/>
      <c r="T620" s="13" t="n"/>
      <c r="U620" s="12" t="n">
        <v>12</v>
      </c>
      <c r="V620" s="12" t="n"/>
      <c r="W62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20" s="14">
        <f>SI([@SBAN]="";"";BUSCARV([@SBAN];Cronograma_Maestro!$A:$M;6;FALSO))</f>
        <v/>
      </c>
    </row>
    <row r="621">
      <c r="A621" s="11" t="inlineStr">
        <is>
          <t>6056</t>
        </is>
      </c>
      <c r="B621" s="12">
        <f>SI([@SBAN]="";"";BUSCARV([@SBAN];Cronograma_Maestro!$A:$M;2;FALSO))</f>
        <v/>
      </c>
      <c r="C621" s="12">
        <f>SI([@SBAN]="";"";BUSCARV([@SBAN];Cronograma_Maestro!$A:$M;3;FALSO))</f>
        <v/>
      </c>
      <c r="D621" s="12">
        <f>SI([@SBAN]="";"";BUSCARV([@SBAN];Cronograma_Maestro!$A:$M;4;FALSO))</f>
        <v/>
      </c>
      <c r="E621" s="12">
        <f>SI([@SBAN]="";"";BUSCARV([@SBAN];Cronograma_Maestro!$A:$M;5;FALSO))</f>
        <v/>
      </c>
      <c r="F621" s="12" t="inlineStr">
        <is>
          <t>Andrés Felipe Carvajal Pire</t>
        </is>
      </c>
      <c r="G621" s="12" t="inlineStr">
        <is>
          <t>PMU COLSOF</t>
        </is>
      </c>
      <c r="H621" s="13" t="n">
        <v>46309</v>
      </c>
      <c r="I621" s="13" t="n">
        <v>46310</v>
      </c>
      <c r="J621" s="13" t="n"/>
      <c r="K621" s="13" t="n"/>
      <c r="L621" s="12" t="inlineStr">
        <is>
          <t>Programada</t>
        </is>
      </c>
      <c r="M621" s="13" t="n"/>
      <c r="N621" s="14">
        <f>SI(O([@[Fecha_Programada_Inicio]]="";[@[Fecha_Inicio_Real]]="");"";SI([@[Fecha_Inicio_Real]]&lt;=[@[Fecha_Programada_Inicio]];"SÍ";"NO"))</f>
        <v/>
      </c>
      <c r="O621" s="14">
        <f>SI(O([@[Fecha_Programada_Fin]]="";[@[Fecha_Cierre_Operativo]]="");"";SI([@[Fecha_Cierre_Operativo]]&lt;=SI([@[Fecha_Nueva_Programada]]&lt;&gt;"";[@[Fecha_Nueva_Programada]];[@[Fecha_Programada_Fin]]);"SÍ";"NO"))</f>
        <v/>
      </c>
      <c r="P621" s="14">
        <f>SI(O([@[Cumpli_Ingreso]]="";[@[Cumpli_Salida]]="");"";SI(Y([@[Cumpli_Ingreso]]="SÍ";[@[Cumpli_Salida]]="SÍ");"SÍ";"NO"))</f>
        <v/>
      </c>
      <c r="Q621" s="15">
        <f>SI(O([@[Fecha_Programada_Fin]]="";[@[Fecha_Cierre_Operativo]]="");"";MAX(0;ENTERO([@[Fecha_Cierre_Operativo]])-ENTERO(SI([@[Fecha_Nueva_Programada]]&lt;&gt;"";[@[Fecha_Nueva_Programada]];[@[Fecha_Programada_Fin]])))</f>
        <v/>
      </c>
      <c r="R621" s="12" t="n"/>
      <c r="S621" s="12" t="n"/>
      <c r="T621" s="13" t="n"/>
      <c r="U621" s="12" t="n">
        <v>12</v>
      </c>
      <c r="V621" s="12" t="n"/>
      <c r="W62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21" s="14">
        <f>SI([@SBAN]="";"";BUSCARV([@SBAN];Cronograma_Maestro!$A:$M;6;FALSO))</f>
        <v/>
      </c>
    </row>
    <row r="622">
      <c r="A622" s="11" t="inlineStr">
        <is>
          <t>6057</t>
        </is>
      </c>
      <c r="B622" s="12">
        <f>SI([@SBAN]="";"";BUSCARV([@SBAN];Cronograma_Maestro!$A:$M;2;FALSO))</f>
        <v/>
      </c>
      <c r="C622" s="12">
        <f>SI([@SBAN]="";"";BUSCARV([@SBAN];Cronograma_Maestro!$A:$M;3;FALSO))</f>
        <v/>
      </c>
      <c r="D622" s="12">
        <f>SI([@SBAN]="";"";BUSCARV([@SBAN];Cronograma_Maestro!$A:$M;4;FALSO))</f>
        <v/>
      </c>
      <c r="E622" s="12">
        <f>SI([@SBAN]="";"";BUSCARV([@SBAN];Cronograma_Maestro!$A:$M;5;FALSO))</f>
        <v/>
      </c>
      <c r="F622" s="12" t="inlineStr">
        <is>
          <t>Andrés Felipe Díaz Noy</t>
        </is>
      </c>
      <c r="G622" s="12" t="inlineStr">
        <is>
          <t>PMU COLSOF</t>
        </is>
      </c>
      <c r="H622" s="13" t="n">
        <v>46310</v>
      </c>
      <c r="I622" s="13" t="n">
        <v>46311</v>
      </c>
      <c r="J622" s="13" t="n"/>
      <c r="K622" s="13" t="n"/>
      <c r="L622" s="12" t="inlineStr">
        <is>
          <t>Programada</t>
        </is>
      </c>
      <c r="M622" s="13" t="n"/>
      <c r="N622" s="14">
        <f>SI(O([@[Fecha_Programada_Inicio]]="";[@[Fecha_Inicio_Real]]="");"";SI([@[Fecha_Inicio_Real]]&lt;=[@[Fecha_Programada_Inicio]];"SÍ";"NO"))</f>
        <v/>
      </c>
      <c r="O622" s="14">
        <f>SI(O([@[Fecha_Programada_Fin]]="";[@[Fecha_Cierre_Operativo]]="");"";SI([@[Fecha_Cierre_Operativo]]&lt;=SI([@[Fecha_Nueva_Programada]]&lt;&gt;"";[@[Fecha_Nueva_Programada]];[@[Fecha_Programada_Fin]]);"SÍ";"NO"))</f>
        <v/>
      </c>
      <c r="P622" s="14">
        <f>SI(O([@[Cumpli_Ingreso]]="";[@[Cumpli_Salida]]="");"";SI(Y([@[Cumpli_Ingreso]]="SÍ";[@[Cumpli_Salida]]="SÍ");"SÍ";"NO"))</f>
        <v/>
      </c>
      <c r="Q622" s="15">
        <f>SI(O([@[Fecha_Programada_Fin]]="";[@[Fecha_Cierre_Operativo]]="");"";MAX(0;ENTERO([@[Fecha_Cierre_Operativo]])-ENTERO(SI([@[Fecha_Nueva_Programada]]&lt;&gt;"";[@[Fecha_Nueva_Programada]];[@[Fecha_Programada_Fin]])))</f>
        <v/>
      </c>
      <c r="R622" s="12" t="n"/>
      <c r="S622" s="12" t="n"/>
      <c r="T622" s="13" t="n"/>
      <c r="U622" s="12" t="n">
        <v>12</v>
      </c>
      <c r="V622" s="12" t="n"/>
      <c r="W62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22" s="14">
        <f>SI([@SBAN]="";"";BUSCARV([@SBAN];Cronograma_Maestro!$A:$M;6;FALSO))</f>
        <v/>
      </c>
    </row>
    <row r="623">
      <c r="A623" s="11" t="inlineStr">
        <is>
          <t>6058</t>
        </is>
      </c>
      <c r="B623" s="12">
        <f>SI([@SBAN]="";"";BUSCARV([@SBAN];Cronograma_Maestro!$A:$M;2;FALSO))</f>
        <v/>
      </c>
      <c r="C623" s="12">
        <f>SI([@SBAN]="";"";BUSCARV([@SBAN];Cronograma_Maestro!$A:$M;3;FALSO))</f>
        <v/>
      </c>
      <c r="D623" s="12">
        <f>SI([@SBAN]="";"";BUSCARV([@SBAN];Cronograma_Maestro!$A:$M;4;FALSO))</f>
        <v/>
      </c>
      <c r="E623" s="12">
        <f>SI([@SBAN]="";"";BUSCARV([@SBAN];Cronograma_Maestro!$A:$M;5;FALSO))</f>
        <v/>
      </c>
      <c r="F623" s="12" t="inlineStr">
        <is>
          <t>Andrés Felipe Carvajal Pire</t>
        </is>
      </c>
      <c r="G623" s="12" t="inlineStr">
        <is>
          <t>PMU COLSOF</t>
        </is>
      </c>
      <c r="H623" s="13" t="n">
        <v>46310</v>
      </c>
      <c r="I623" s="13" t="n">
        <v>46311</v>
      </c>
      <c r="J623" s="13" t="n"/>
      <c r="K623" s="13" t="n"/>
      <c r="L623" s="12" t="inlineStr">
        <is>
          <t>Programada</t>
        </is>
      </c>
      <c r="M623" s="13" t="n"/>
      <c r="N623" s="14">
        <f>SI(O([@[Fecha_Programada_Inicio]]="";[@[Fecha_Inicio_Real]]="");"";SI([@[Fecha_Inicio_Real]]&lt;=[@[Fecha_Programada_Inicio]];"SÍ";"NO"))</f>
        <v/>
      </c>
      <c r="O623" s="14">
        <f>SI(O([@[Fecha_Programada_Fin]]="";[@[Fecha_Cierre_Operativo]]="");"";SI([@[Fecha_Cierre_Operativo]]&lt;=SI([@[Fecha_Nueva_Programada]]&lt;&gt;"";[@[Fecha_Nueva_Programada]];[@[Fecha_Programada_Fin]]);"SÍ";"NO"))</f>
        <v/>
      </c>
      <c r="P623" s="14">
        <f>SI(O([@[Cumpli_Ingreso]]="";[@[Cumpli_Salida]]="");"";SI(Y([@[Cumpli_Ingreso]]="SÍ";[@[Cumpli_Salida]]="SÍ");"SÍ";"NO"))</f>
        <v/>
      </c>
      <c r="Q623" s="15">
        <f>SI(O([@[Fecha_Programada_Fin]]="";[@[Fecha_Cierre_Operativo]]="");"";MAX(0;ENTERO([@[Fecha_Cierre_Operativo]])-ENTERO(SI([@[Fecha_Nueva_Programada]]&lt;&gt;"";[@[Fecha_Nueva_Programada]];[@[Fecha_Programada_Fin]])))</f>
        <v/>
      </c>
      <c r="R623" s="12" t="n"/>
      <c r="S623" s="12" t="n"/>
      <c r="T623" s="13" t="n"/>
      <c r="U623" s="12" t="n">
        <v>15</v>
      </c>
      <c r="V623" s="12" t="n"/>
      <c r="W62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23" s="14">
        <f>SI([@SBAN]="";"";BUSCARV([@SBAN];Cronograma_Maestro!$A:$M;6;FALSO))</f>
        <v/>
      </c>
    </row>
    <row r="624">
      <c r="A624" s="11" t="inlineStr">
        <is>
          <t>6060</t>
        </is>
      </c>
      <c r="B624" s="12">
        <f>SI([@SBAN]="";"";BUSCARV([@SBAN];Cronograma_Maestro!$A:$M;2;FALSO))</f>
        <v/>
      </c>
      <c r="C624" s="12">
        <f>SI([@SBAN]="";"";BUSCARV([@SBAN];Cronograma_Maestro!$A:$M;3;FALSO))</f>
        <v/>
      </c>
      <c r="D624" s="12">
        <f>SI([@SBAN]="";"";BUSCARV([@SBAN];Cronograma_Maestro!$A:$M;4;FALSO))</f>
        <v/>
      </c>
      <c r="E624" s="12">
        <f>SI([@SBAN]="";"";BUSCARV([@SBAN];Cronograma_Maestro!$A:$M;5;FALSO))</f>
        <v/>
      </c>
      <c r="F624" s="12" t="inlineStr">
        <is>
          <t>Luz Nélida Barragán Toro</t>
        </is>
      </c>
      <c r="G624" s="12" t="inlineStr">
        <is>
          <t>PMU COLSOF</t>
        </is>
      </c>
      <c r="H624" s="13" t="n">
        <v>46310</v>
      </c>
      <c r="I624" s="13" t="n">
        <v>46311</v>
      </c>
      <c r="J624" s="13" t="n"/>
      <c r="K624" s="13" t="n"/>
      <c r="L624" s="12" t="inlineStr">
        <is>
          <t>Programada</t>
        </is>
      </c>
      <c r="M624" s="13" t="n"/>
      <c r="N624" s="14">
        <f>SI(O([@[Fecha_Programada_Inicio]]="";[@[Fecha_Inicio_Real]]="");"";SI([@[Fecha_Inicio_Real]]&lt;=[@[Fecha_Programada_Inicio]];"SÍ";"NO"))</f>
        <v/>
      </c>
      <c r="O624" s="14">
        <f>SI(O([@[Fecha_Programada_Fin]]="";[@[Fecha_Cierre_Operativo]]="");"";SI([@[Fecha_Cierre_Operativo]]&lt;=SI([@[Fecha_Nueva_Programada]]&lt;&gt;"";[@[Fecha_Nueva_Programada]];[@[Fecha_Programada_Fin]]);"SÍ";"NO"))</f>
        <v/>
      </c>
      <c r="P624" s="14">
        <f>SI(O([@[Cumpli_Ingreso]]="";[@[Cumpli_Salida]]="");"";SI(Y([@[Cumpli_Ingreso]]="SÍ";[@[Cumpli_Salida]]="SÍ");"SÍ";"NO"))</f>
        <v/>
      </c>
      <c r="Q624" s="15">
        <f>SI(O([@[Fecha_Programada_Fin]]="";[@[Fecha_Cierre_Operativo]]="");"";MAX(0;ENTERO([@[Fecha_Cierre_Operativo]])-ENTERO(SI([@[Fecha_Nueva_Programada]]&lt;&gt;"";[@[Fecha_Nueva_Programada]];[@[Fecha_Programada_Fin]])))</f>
        <v/>
      </c>
      <c r="R624" s="12" t="n"/>
      <c r="S624" s="12" t="n"/>
      <c r="T624" s="13" t="n"/>
      <c r="U624" s="12" t="n">
        <v>13</v>
      </c>
      <c r="V624" s="12" t="n"/>
      <c r="W62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24" s="14">
        <f>SI([@SBAN]="";"";BUSCARV([@SBAN];Cronograma_Maestro!$A:$M;6;FALSO))</f>
        <v/>
      </c>
    </row>
    <row r="625">
      <c r="A625" s="11" t="inlineStr">
        <is>
          <t>6062</t>
        </is>
      </c>
      <c r="B625" s="12">
        <f>SI([@SBAN]="";"";BUSCARV([@SBAN];Cronograma_Maestro!$A:$M;2;FALSO))</f>
        <v/>
      </c>
      <c r="C625" s="12">
        <f>SI([@SBAN]="";"";BUSCARV([@SBAN];Cronograma_Maestro!$A:$M;3;FALSO))</f>
        <v/>
      </c>
      <c r="D625" s="12">
        <f>SI([@SBAN]="";"";BUSCARV([@SBAN];Cronograma_Maestro!$A:$M;4;FALSO))</f>
        <v/>
      </c>
      <c r="E625" s="12">
        <f>SI([@SBAN]="";"";BUSCARV([@SBAN];Cronograma_Maestro!$A:$M;5;FALSO))</f>
        <v/>
      </c>
      <c r="F625" s="12" t="inlineStr">
        <is>
          <t>Andrés Felipe Carvajal Pire</t>
        </is>
      </c>
      <c r="G625" s="12" t="inlineStr">
        <is>
          <t>PMU COLSOF</t>
        </is>
      </c>
      <c r="H625" s="13" t="n">
        <v>46314</v>
      </c>
      <c r="I625" s="13" t="n">
        <v>46318</v>
      </c>
      <c r="J625" s="13" t="n"/>
      <c r="K625" s="13" t="n"/>
      <c r="L625" s="12" t="inlineStr">
        <is>
          <t>Programada</t>
        </is>
      </c>
      <c r="M625" s="13" t="n"/>
      <c r="N625" s="14">
        <f>SI(O([@[Fecha_Programada_Inicio]]="";[@[Fecha_Inicio_Real]]="");"";SI([@[Fecha_Inicio_Real]]&lt;=[@[Fecha_Programada_Inicio]];"SÍ";"NO"))</f>
        <v/>
      </c>
      <c r="O625" s="14">
        <f>SI(O([@[Fecha_Programada_Fin]]="";[@[Fecha_Cierre_Operativo]]="");"";SI([@[Fecha_Cierre_Operativo]]&lt;=SI([@[Fecha_Nueva_Programada]]&lt;&gt;"";[@[Fecha_Nueva_Programada]];[@[Fecha_Programada_Fin]]);"SÍ";"NO"))</f>
        <v/>
      </c>
      <c r="P625" s="14">
        <f>SI(O([@[Cumpli_Ingreso]]="";[@[Cumpli_Salida]]="");"";SI(Y([@[Cumpli_Ingreso]]="SÍ";[@[Cumpli_Salida]]="SÍ");"SÍ";"NO"))</f>
        <v/>
      </c>
      <c r="Q625" s="15">
        <f>SI(O([@[Fecha_Programada_Fin]]="";[@[Fecha_Cierre_Operativo]]="");"";MAX(0;ENTERO([@[Fecha_Cierre_Operativo]])-ENTERO(SI([@[Fecha_Nueva_Programada]]&lt;&gt;"";[@[Fecha_Nueva_Programada]];[@[Fecha_Programada_Fin]])))</f>
        <v/>
      </c>
      <c r="R625" s="12" t="n"/>
      <c r="S625" s="12" t="n"/>
      <c r="T625" s="13" t="n"/>
      <c r="U625" s="12" t="n">
        <v>14</v>
      </c>
      <c r="V625" s="12" t="n"/>
      <c r="W62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25" s="14">
        <f>SI([@SBAN]="";"";BUSCARV([@SBAN];Cronograma_Maestro!$A:$M;6;FALSO))</f>
        <v/>
      </c>
    </row>
    <row r="626">
      <c r="A626" s="11" t="inlineStr">
        <is>
          <t>6063</t>
        </is>
      </c>
      <c r="B626" s="12">
        <f>SI([@SBAN]="";"";BUSCARV([@SBAN];Cronograma_Maestro!$A:$M;2;FALSO))</f>
        <v/>
      </c>
      <c r="C626" s="12">
        <f>SI([@SBAN]="";"";BUSCARV([@SBAN];Cronograma_Maestro!$A:$M;3;FALSO))</f>
        <v/>
      </c>
      <c r="D626" s="12">
        <f>SI([@SBAN]="";"";BUSCARV([@SBAN];Cronograma_Maestro!$A:$M;4;FALSO))</f>
        <v/>
      </c>
      <c r="E626" s="12">
        <f>SI([@SBAN]="";"";BUSCARV([@SBAN];Cronograma_Maestro!$A:$M;5;FALSO))</f>
        <v/>
      </c>
      <c r="F626" s="12" t="inlineStr">
        <is>
          <t>Andrés Felipe Díaz Noy</t>
        </is>
      </c>
      <c r="G626" s="12" t="inlineStr">
        <is>
          <t>PMU COLSOF</t>
        </is>
      </c>
      <c r="H626" s="13" t="n">
        <v>46297</v>
      </c>
      <c r="I626" s="13" t="n">
        <v>46297</v>
      </c>
      <c r="J626" s="13" t="n"/>
      <c r="K626" s="13" t="n"/>
      <c r="L626" s="12" t="inlineStr">
        <is>
          <t>Programada</t>
        </is>
      </c>
      <c r="M626" s="13" t="n"/>
      <c r="N626" s="14">
        <f>SI(O([@[Fecha_Programada_Inicio]]="";[@[Fecha_Inicio_Real]]="");"";SI([@[Fecha_Inicio_Real]]&lt;=[@[Fecha_Programada_Inicio]];"SÍ";"NO"))</f>
        <v/>
      </c>
      <c r="O626" s="14">
        <f>SI(O([@[Fecha_Programada_Fin]]="";[@[Fecha_Cierre_Operativo]]="");"";SI([@[Fecha_Cierre_Operativo]]&lt;=SI([@[Fecha_Nueva_Programada]]&lt;&gt;"";[@[Fecha_Nueva_Programada]];[@[Fecha_Programada_Fin]]);"SÍ";"NO"))</f>
        <v/>
      </c>
      <c r="P626" s="14">
        <f>SI(O([@[Cumpli_Ingreso]]="";[@[Cumpli_Salida]]="");"";SI(Y([@[Cumpli_Ingreso]]="SÍ";[@[Cumpli_Salida]]="SÍ");"SÍ";"NO"))</f>
        <v/>
      </c>
      <c r="Q626" s="15">
        <f>SI(O([@[Fecha_Programada_Fin]]="";[@[Fecha_Cierre_Operativo]]="");"";MAX(0;ENTERO([@[Fecha_Cierre_Operativo]])-ENTERO(SI([@[Fecha_Nueva_Programada]]&lt;&gt;"";[@[Fecha_Nueva_Programada]];[@[Fecha_Programada_Fin]])))</f>
        <v/>
      </c>
      <c r="R626" s="12" t="n"/>
      <c r="S626" s="12" t="n"/>
      <c r="T626" s="13" t="n"/>
      <c r="U626" s="12" t="n">
        <v>16</v>
      </c>
      <c r="V626" s="12" t="n"/>
      <c r="W62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26" s="14">
        <f>SI([@SBAN]="";"";BUSCARV([@SBAN];Cronograma_Maestro!$A:$M;6;FALSO))</f>
        <v/>
      </c>
    </row>
    <row r="627">
      <c r="A627" s="11" t="inlineStr">
        <is>
          <t>6064</t>
        </is>
      </c>
      <c r="B627" s="12">
        <f>SI([@SBAN]="";"";BUSCARV([@SBAN];Cronograma_Maestro!$A:$M;2;FALSO))</f>
        <v/>
      </c>
      <c r="C627" s="12">
        <f>SI([@SBAN]="";"";BUSCARV([@SBAN];Cronograma_Maestro!$A:$M;3;FALSO))</f>
        <v/>
      </c>
      <c r="D627" s="12">
        <f>SI([@SBAN]="";"";BUSCARV([@SBAN];Cronograma_Maestro!$A:$M;4;FALSO))</f>
        <v/>
      </c>
      <c r="E627" s="12">
        <f>SI([@SBAN]="";"";BUSCARV([@SBAN];Cronograma_Maestro!$A:$M;5;FALSO))</f>
        <v/>
      </c>
      <c r="F627" s="12" t="inlineStr">
        <is>
          <t>Mauricio Andrés Rivera Páez</t>
        </is>
      </c>
      <c r="G627" s="12" t="inlineStr">
        <is>
          <t>PMU COLSOF</t>
        </is>
      </c>
      <c r="H627" s="13" t="n">
        <v>46300</v>
      </c>
      <c r="I627" s="13" t="n">
        <v>46301</v>
      </c>
      <c r="J627" s="13" t="n"/>
      <c r="K627" s="13" t="n"/>
      <c r="L627" s="12" t="inlineStr">
        <is>
          <t>Programada</t>
        </is>
      </c>
      <c r="M627" s="13" t="n"/>
      <c r="N627" s="14">
        <f>SI(O([@[Fecha_Programada_Inicio]]="";[@[Fecha_Inicio_Real]]="");"";SI([@[Fecha_Inicio_Real]]&lt;=[@[Fecha_Programada_Inicio]];"SÍ";"NO"))</f>
        <v/>
      </c>
      <c r="O627" s="14">
        <f>SI(O([@[Fecha_Programada_Fin]]="";[@[Fecha_Cierre_Operativo]]="");"";SI([@[Fecha_Cierre_Operativo]]&lt;=SI([@[Fecha_Nueva_Programada]]&lt;&gt;"";[@[Fecha_Nueva_Programada]];[@[Fecha_Programada_Fin]]);"SÍ";"NO"))</f>
        <v/>
      </c>
      <c r="P627" s="14">
        <f>SI(O([@[Cumpli_Ingreso]]="";[@[Cumpli_Salida]]="");"";SI(Y([@[Cumpli_Ingreso]]="SÍ";[@[Cumpli_Salida]]="SÍ");"SÍ";"NO"))</f>
        <v/>
      </c>
      <c r="Q627" s="15">
        <f>SI(O([@[Fecha_Programada_Fin]]="";[@[Fecha_Cierre_Operativo]]="");"";MAX(0;ENTERO([@[Fecha_Cierre_Operativo]])-ENTERO(SI([@[Fecha_Nueva_Programada]]&lt;&gt;"";[@[Fecha_Nueva_Programada]];[@[Fecha_Programada_Fin]])))</f>
        <v/>
      </c>
      <c r="R627" s="12" t="n"/>
      <c r="S627" s="12" t="n"/>
      <c r="T627" s="13" t="n"/>
      <c r="U627" s="12" t="n">
        <v>12</v>
      </c>
      <c r="V627" s="12" t="n"/>
      <c r="W62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27" s="14">
        <f>SI([@SBAN]="";"";BUSCARV([@SBAN];Cronograma_Maestro!$A:$M;6;FALSO))</f>
        <v/>
      </c>
    </row>
    <row r="628">
      <c r="A628" s="11" t="inlineStr">
        <is>
          <t>6065</t>
        </is>
      </c>
      <c r="B628" s="12">
        <f>SI([@SBAN]="";"";BUSCARV([@SBAN];Cronograma_Maestro!$A:$M;2;FALSO))</f>
        <v/>
      </c>
      <c r="C628" s="12">
        <f>SI([@SBAN]="";"";BUSCARV([@SBAN];Cronograma_Maestro!$A:$M;3;FALSO))</f>
        <v/>
      </c>
      <c r="D628" s="12">
        <f>SI([@SBAN]="";"";BUSCARV([@SBAN];Cronograma_Maestro!$A:$M;4;FALSO))</f>
        <v/>
      </c>
      <c r="E628" s="12">
        <f>SI([@SBAN]="";"";BUSCARV([@SBAN];Cronograma_Maestro!$A:$M;5;FALSO))</f>
        <v/>
      </c>
      <c r="F628" s="12" t="inlineStr">
        <is>
          <t>Andrés Felipe Carvajal Pire</t>
        </is>
      </c>
      <c r="G628" s="12" t="inlineStr">
        <is>
          <t>PMU COLSOF</t>
        </is>
      </c>
      <c r="H628" s="13" t="n">
        <v>46303</v>
      </c>
      <c r="I628" s="13" t="n">
        <v>46304</v>
      </c>
      <c r="J628" s="13" t="n"/>
      <c r="K628" s="13" t="n"/>
      <c r="L628" s="12" t="inlineStr">
        <is>
          <t>Programada</t>
        </is>
      </c>
      <c r="M628" s="13" t="n"/>
      <c r="N628" s="14">
        <f>SI(O([@[Fecha_Programada_Inicio]]="";[@[Fecha_Inicio_Real]]="");"";SI([@[Fecha_Inicio_Real]]&lt;=[@[Fecha_Programada_Inicio]];"SÍ";"NO"))</f>
        <v/>
      </c>
      <c r="O628" s="14">
        <f>SI(O([@[Fecha_Programada_Fin]]="";[@[Fecha_Cierre_Operativo]]="");"";SI([@[Fecha_Cierre_Operativo]]&lt;=SI([@[Fecha_Nueva_Programada]]&lt;&gt;"";[@[Fecha_Nueva_Programada]];[@[Fecha_Programada_Fin]]);"SÍ";"NO"))</f>
        <v/>
      </c>
      <c r="P628" s="14">
        <f>SI(O([@[Cumpli_Ingreso]]="";[@[Cumpli_Salida]]="");"";SI(Y([@[Cumpli_Ingreso]]="SÍ";[@[Cumpli_Salida]]="SÍ");"SÍ";"NO"))</f>
        <v/>
      </c>
      <c r="Q628" s="15">
        <f>SI(O([@[Fecha_Programada_Fin]]="";[@[Fecha_Cierre_Operativo]]="");"";MAX(0;ENTERO([@[Fecha_Cierre_Operativo]])-ENTERO(SI([@[Fecha_Nueva_Programada]]&lt;&gt;"";[@[Fecha_Nueva_Programada]];[@[Fecha_Programada_Fin]])))</f>
        <v/>
      </c>
      <c r="R628" s="12" t="n"/>
      <c r="S628" s="12" t="n"/>
      <c r="T628" s="13" t="n"/>
      <c r="U628" s="12" t="n">
        <v>12</v>
      </c>
      <c r="V628" s="12" t="n"/>
      <c r="W62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28" s="14">
        <f>SI([@SBAN]="";"";BUSCARV([@SBAN];Cronograma_Maestro!$A:$M;6;FALSO))</f>
        <v/>
      </c>
    </row>
    <row r="629">
      <c r="A629" s="11" t="inlineStr">
        <is>
          <t>6066</t>
        </is>
      </c>
      <c r="B629" s="12">
        <f>SI([@SBAN]="";"";BUSCARV([@SBAN];Cronograma_Maestro!$A:$M;2;FALSO))</f>
        <v/>
      </c>
      <c r="C629" s="12">
        <f>SI([@SBAN]="";"";BUSCARV([@SBAN];Cronograma_Maestro!$A:$M;3;FALSO))</f>
        <v/>
      </c>
      <c r="D629" s="12">
        <f>SI([@SBAN]="";"";BUSCARV([@SBAN];Cronograma_Maestro!$A:$M;4;FALSO))</f>
        <v/>
      </c>
      <c r="E629" s="12">
        <f>SI([@SBAN]="";"";BUSCARV([@SBAN];Cronograma_Maestro!$A:$M;5;FALSO))</f>
        <v/>
      </c>
      <c r="F629" s="12" t="inlineStr">
        <is>
          <t>CRISTIAN CAMILO DIAZ NOY</t>
        </is>
      </c>
      <c r="G629" s="12" t="inlineStr">
        <is>
          <t>PMU COLSOF</t>
        </is>
      </c>
      <c r="H629" s="13" t="n">
        <v>46294</v>
      </c>
      <c r="I629" s="13" t="n">
        <v>46295</v>
      </c>
      <c r="J629" s="13" t="n"/>
      <c r="K629" s="13" t="n"/>
      <c r="L629" s="12" t="inlineStr">
        <is>
          <t>Programada</t>
        </is>
      </c>
      <c r="M629" s="13" t="n"/>
      <c r="N629" s="14">
        <f>SI(O([@[Fecha_Programada_Inicio]]="";[@[Fecha_Inicio_Real]]="");"";SI([@[Fecha_Inicio_Real]]&lt;=[@[Fecha_Programada_Inicio]];"SÍ";"NO"))</f>
        <v/>
      </c>
      <c r="O629" s="14">
        <f>SI(O([@[Fecha_Programada_Fin]]="";[@[Fecha_Cierre_Operativo]]="");"";SI([@[Fecha_Cierre_Operativo]]&lt;=SI([@[Fecha_Nueva_Programada]]&lt;&gt;"";[@[Fecha_Nueva_Programada]];[@[Fecha_Programada_Fin]]);"SÍ";"NO"))</f>
        <v/>
      </c>
      <c r="P629" s="14">
        <f>SI(O([@[Cumpli_Ingreso]]="";[@[Cumpli_Salida]]="");"";SI(Y([@[Cumpli_Ingreso]]="SÍ";[@[Cumpli_Salida]]="SÍ");"SÍ";"NO"))</f>
        <v/>
      </c>
      <c r="Q629" s="15">
        <f>SI(O([@[Fecha_Programada_Fin]]="";[@[Fecha_Cierre_Operativo]]="");"";MAX(0;ENTERO([@[Fecha_Cierre_Operativo]])-ENTERO(SI([@[Fecha_Nueva_Programada]]&lt;&gt;"";[@[Fecha_Nueva_Programada]];[@[Fecha_Programada_Fin]])))</f>
        <v/>
      </c>
      <c r="R629" s="12" t="n"/>
      <c r="S629" s="12" t="n"/>
      <c r="T629" s="13" t="n"/>
      <c r="U629" s="12" t="n">
        <v>12</v>
      </c>
      <c r="V629" s="12" t="n"/>
      <c r="W62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29" s="14">
        <f>SI([@SBAN]="";"";BUSCARV([@SBAN];Cronograma_Maestro!$A:$M;6;FALSO))</f>
        <v/>
      </c>
    </row>
    <row r="630">
      <c r="A630" s="11" t="inlineStr">
        <is>
          <t>6067</t>
        </is>
      </c>
      <c r="B630" s="12">
        <f>SI([@SBAN]="";"";BUSCARV([@SBAN];Cronograma_Maestro!$A:$M;2;FALSO))</f>
        <v/>
      </c>
      <c r="C630" s="12">
        <f>SI([@SBAN]="";"";BUSCARV([@SBAN];Cronograma_Maestro!$A:$M;3;FALSO))</f>
        <v/>
      </c>
      <c r="D630" s="12">
        <f>SI([@SBAN]="";"";BUSCARV([@SBAN];Cronograma_Maestro!$A:$M;4;FALSO))</f>
        <v/>
      </c>
      <c r="E630" s="12">
        <f>SI([@SBAN]="";"";BUSCARV([@SBAN];Cronograma_Maestro!$A:$M;5;FALSO))</f>
        <v/>
      </c>
      <c r="F630" s="12" t="inlineStr">
        <is>
          <t>Andrés Felipe Carvajal Pire</t>
        </is>
      </c>
      <c r="G630" s="12" t="inlineStr">
        <is>
          <t>PMU COLSOF</t>
        </is>
      </c>
      <c r="H630" s="13" t="n">
        <v>46304</v>
      </c>
      <c r="I630" s="13" t="n">
        <v>46308</v>
      </c>
      <c r="J630" s="13" t="n"/>
      <c r="K630" s="13" t="n"/>
      <c r="L630" s="12" t="inlineStr">
        <is>
          <t>Programada</t>
        </is>
      </c>
      <c r="M630" s="13" t="n"/>
      <c r="N630" s="14">
        <f>SI(O([@[Fecha_Programada_Inicio]]="";[@[Fecha_Inicio_Real]]="");"";SI([@[Fecha_Inicio_Real]]&lt;=[@[Fecha_Programada_Inicio]];"SÍ";"NO"))</f>
        <v/>
      </c>
      <c r="O630" s="14">
        <f>SI(O([@[Fecha_Programada_Fin]]="";[@[Fecha_Cierre_Operativo]]="");"";SI([@[Fecha_Cierre_Operativo]]&lt;=SI([@[Fecha_Nueva_Programada]]&lt;&gt;"";[@[Fecha_Nueva_Programada]];[@[Fecha_Programada_Fin]]);"SÍ";"NO"))</f>
        <v/>
      </c>
      <c r="P630" s="14">
        <f>SI(O([@[Cumpli_Ingreso]]="";[@[Cumpli_Salida]]="");"";SI(Y([@[Cumpli_Ingreso]]="SÍ";[@[Cumpli_Salida]]="SÍ");"SÍ";"NO"))</f>
        <v/>
      </c>
      <c r="Q630" s="15">
        <f>SI(O([@[Fecha_Programada_Fin]]="";[@[Fecha_Cierre_Operativo]]="");"";MAX(0;ENTERO([@[Fecha_Cierre_Operativo]])-ENTERO(SI([@[Fecha_Nueva_Programada]]&lt;&gt;"";[@[Fecha_Nueva_Programada]];[@[Fecha_Programada_Fin]])))</f>
        <v/>
      </c>
      <c r="R630" s="12" t="n"/>
      <c r="S630" s="12" t="n"/>
      <c r="T630" s="13" t="n"/>
      <c r="U630" s="12" t="n">
        <v>12</v>
      </c>
      <c r="V630" s="12" t="n"/>
      <c r="W63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30" s="14">
        <f>SI([@SBAN]="";"";BUSCARV([@SBAN];Cronograma_Maestro!$A:$M;6;FALSO))</f>
        <v/>
      </c>
    </row>
    <row r="631">
      <c r="A631" s="11" t="inlineStr">
        <is>
          <t>6068</t>
        </is>
      </c>
      <c r="B631" s="12">
        <f>SI([@SBAN]="";"";BUSCARV([@SBAN];Cronograma_Maestro!$A:$M;2;FALSO))</f>
        <v/>
      </c>
      <c r="C631" s="12">
        <f>SI([@SBAN]="";"";BUSCARV([@SBAN];Cronograma_Maestro!$A:$M;3;FALSO))</f>
        <v/>
      </c>
      <c r="D631" s="12">
        <f>SI([@SBAN]="";"";BUSCARV([@SBAN];Cronograma_Maestro!$A:$M;4;FALSO))</f>
        <v/>
      </c>
      <c r="E631" s="12">
        <f>SI([@SBAN]="";"";BUSCARV([@SBAN];Cronograma_Maestro!$A:$M;5;FALSO))</f>
        <v/>
      </c>
      <c r="F631" s="12" t="inlineStr">
        <is>
          <t>Andrés Felipe Carvajal Pire</t>
        </is>
      </c>
      <c r="G631" s="12" t="inlineStr">
        <is>
          <t>PMU COLSOF</t>
        </is>
      </c>
      <c r="H631" s="13" t="n">
        <v>46294</v>
      </c>
      <c r="I631" s="13" t="n">
        <v>46295</v>
      </c>
      <c r="J631" s="13" t="n"/>
      <c r="K631" s="13" t="n"/>
      <c r="L631" s="12" t="inlineStr">
        <is>
          <t>Programada</t>
        </is>
      </c>
      <c r="M631" s="13" t="n"/>
      <c r="N631" s="14">
        <f>SI(O([@[Fecha_Programada_Inicio]]="";[@[Fecha_Inicio_Real]]="");"";SI([@[Fecha_Inicio_Real]]&lt;=[@[Fecha_Programada_Inicio]];"SÍ";"NO"))</f>
        <v/>
      </c>
      <c r="O631" s="14">
        <f>SI(O([@[Fecha_Programada_Fin]]="";[@[Fecha_Cierre_Operativo]]="");"";SI([@[Fecha_Cierre_Operativo]]&lt;=SI([@[Fecha_Nueva_Programada]]&lt;&gt;"";[@[Fecha_Nueva_Programada]];[@[Fecha_Programada_Fin]]);"SÍ";"NO"))</f>
        <v/>
      </c>
      <c r="P631" s="14">
        <f>SI(O([@[Cumpli_Ingreso]]="";[@[Cumpli_Salida]]="");"";SI(Y([@[Cumpli_Ingreso]]="SÍ";[@[Cumpli_Salida]]="SÍ");"SÍ";"NO"))</f>
        <v/>
      </c>
      <c r="Q631" s="15">
        <f>SI(O([@[Fecha_Programada_Fin]]="";[@[Fecha_Cierre_Operativo]]="");"";MAX(0;ENTERO([@[Fecha_Cierre_Operativo]])-ENTERO(SI([@[Fecha_Nueva_Programada]]&lt;&gt;"";[@[Fecha_Nueva_Programada]];[@[Fecha_Programada_Fin]])))</f>
        <v/>
      </c>
      <c r="R631" s="12" t="n"/>
      <c r="S631" s="12" t="n"/>
      <c r="T631" s="13" t="n"/>
      <c r="U631" s="12" t="n">
        <v>19</v>
      </c>
      <c r="V631" s="12" t="n"/>
      <c r="W63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31" s="14">
        <f>SI([@SBAN]="";"";BUSCARV([@SBAN];Cronograma_Maestro!$A:$M;6;FALSO))</f>
        <v/>
      </c>
    </row>
    <row r="632">
      <c r="A632" s="11" t="inlineStr">
        <is>
          <t>6072</t>
        </is>
      </c>
      <c r="B632" s="12">
        <f>SI([@SBAN]="";"";BUSCARV([@SBAN];Cronograma_Maestro!$A:$M;2;FALSO))</f>
        <v/>
      </c>
      <c r="C632" s="12">
        <f>SI([@SBAN]="";"";BUSCARV([@SBAN];Cronograma_Maestro!$A:$M;3;FALSO))</f>
        <v/>
      </c>
      <c r="D632" s="12">
        <f>SI([@SBAN]="";"";BUSCARV([@SBAN];Cronograma_Maestro!$A:$M;4;FALSO))</f>
        <v/>
      </c>
      <c r="E632" s="12">
        <f>SI([@SBAN]="";"";BUSCARV([@SBAN];Cronograma_Maestro!$A:$M;5;FALSO))</f>
        <v/>
      </c>
      <c r="F632" s="12" t="inlineStr">
        <is>
          <t>Luz Nélida Barragán Toro</t>
        </is>
      </c>
      <c r="G632" s="12" t="inlineStr">
        <is>
          <t>PMU COLSOF</t>
        </is>
      </c>
      <c r="H632" s="13" t="n">
        <v>46308</v>
      </c>
      <c r="I632" s="13" t="n">
        <v>46309</v>
      </c>
      <c r="J632" s="13" t="n"/>
      <c r="K632" s="13" t="n"/>
      <c r="L632" s="12" t="inlineStr">
        <is>
          <t>Programada</t>
        </is>
      </c>
      <c r="M632" s="13" t="n"/>
      <c r="N632" s="14">
        <f>SI(O([@[Fecha_Programada_Inicio]]="";[@[Fecha_Inicio_Real]]="");"";SI([@[Fecha_Inicio_Real]]&lt;=[@[Fecha_Programada_Inicio]];"SÍ";"NO"))</f>
        <v/>
      </c>
      <c r="O632" s="14">
        <f>SI(O([@[Fecha_Programada_Fin]]="";[@[Fecha_Cierre_Operativo]]="");"";SI([@[Fecha_Cierre_Operativo]]&lt;=SI([@[Fecha_Nueva_Programada]]&lt;&gt;"";[@[Fecha_Nueva_Programada]];[@[Fecha_Programada_Fin]]);"SÍ";"NO"))</f>
        <v/>
      </c>
      <c r="P632" s="14">
        <f>SI(O([@[Cumpli_Ingreso]]="";[@[Cumpli_Salida]]="");"";SI(Y([@[Cumpli_Ingreso]]="SÍ";[@[Cumpli_Salida]]="SÍ");"SÍ";"NO"))</f>
        <v/>
      </c>
      <c r="Q632" s="15">
        <f>SI(O([@[Fecha_Programada_Fin]]="";[@[Fecha_Cierre_Operativo]]="");"";MAX(0;ENTERO([@[Fecha_Cierre_Operativo]])-ENTERO(SI([@[Fecha_Nueva_Programada]]&lt;&gt;"";[@[Fecha_Nueva_Programada]];[@[Fecha_Programada_Fin]])))</f>
        <v/>
      </c>
      <c r="R632" s="12" t="n"/>
      <c r="S632" s="12" t="n"/>
      <c r="T632" s="13" t="n"/>
      <c r="U632" s="12" t="n">
        <v>12</v>
      </c>
      <c r="V632" s="12" t="n"/>
      <c r="W63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32" s="14">
        <f>SI([@SBAN]="";"";BUSCARV([@SBAN];Cronograma_Maestro!$A:$M;6;FALSO))</f>
        <v/>
      </c>
    </row>
    <row r="633">
      <c r="A633" s="11" t="inlineStr">
        <is>
          <t>6074</t>
        </is>
      </c>
      <c r="B633" s="12">
        <f>SI([@SBAN]="";"";BUSCARV([@SBAN];Cronograma_Maestro!$A:$M;2;FALSO))</f>
        <v/>
      </c>
      <c r="C633" s="12">
        <f>SI([@SBAN]="";"";BUSCARV([@SBAN];Cronograma_Maestro!$A:$M;3;FALSO))</f>
        <v/>
      </c>
      <c r="D633" s="12">
        <f>SI([@SBAN]="";"";BUSCARV([@SBAN];Cronograma_Maestro!$A:$M;4;FALSO))</f>
        <v/>
      </c>
      <c r="E633" s="12">
        <f>SI([@SBAN]="";"";BUSCARV([@SBAN];Cronograma_Maestro!$A:$M;5;FALSO))</f>
        <v/>
      </c>
      <c r="F633" s="12" t="inlineStr">
        <is>
          <t>Andrés Felipe Díaz Noy</t>
        </is>
      </c>
      <c r="G633" s="12" t="inlineStr">
        <is>
          <t>PMU COLSOF</t>
        </is>
      </c>
      <c r="H633" s="13" t="n">
        <v>46309</v>
      </c>
      <c r="I633" s="13" t="n">
        <v>46310</v>
      </c>
      <c r="J633" s="13" t="n"/>
      <c r="K633" s="13" t="n"/>
      <c r="L633" s="12" t="inlineStr">
        <is>
          <t>Programada</t>
        </is>
      </c>
      <c r="M633" s="13" t="n"/>
      <c r="N633" s="14">
        <f>SI(O([@[Fecha_Programada_Inicio]]="";[@[Fecha_Inicio_Real]]="");"";SI([@[Fecha_Inicio_Real]]&lt;=[@[Fecha_Programada_Inicio]];"SÍ";"NO"))</f>
        <v/>
      </c>
      <c r="O633" s="14">
        <f>SI(O([@[Fecha_Programada_Fin]]="";[@[Fecha_Cierre_Operativo]]="");"";SI([@[Fecha_Cierre_Operativo]]&lt;=SI([@[Fecha_Nueva_Programada]]&lt;&gt;"";[@[Fecha_Nueva_Programada]];[@[Fecha_Programada_Fin]]);"SÍ";"NO"))</f>
        <v/>
      </c>
      <c r="P633" s="14">
        <f>SI(O([@[Cumpli_Ingreso]]="";[@[Cumpli_Salida]]="");"";SI(Y([@[Cumpli_Ingreso]]="SÍ";[@[Cumpli_Salida]]="SÍ");"SÍ";"NO"))</f>
        <v/>
      </c>
      <c r="Q633" s="15">
        <f>SI(O([@[Fecha_Programada_Fin]]="";[@[Fecha_Cierre_Operativo]]="");"";MAX(0;ENTERO([@[Fecha_Cierre_Operativo]])-ENTERO(SI([@[Fecha_Nueva_Programada]]&lt;&gt;"";[@[Fecha_Nueva_Programada]];[@[Fecha_Programada_Fin]])))</f>
        <v/>
      </c>
      <c r="R633" s="12" t="n"/>
      <c r="S633" s="12" t="n"/>
      <c r="T633" s="13" t="n"/>
      <c r="U633" s="12" t="n">
        <v>12</v>
      </c>
      <c r="V633" s="12" t="n"/>
      <c r="W63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33" s="14">
        <f>SI([@SBAN]="";"";BUSCARV([@SBAN];Cronograma_Maestro!$A:$M;6;FALSO))</f>
        <v/>
      </c>
    </row>
    <row r="634">
      <c r="A634" s="11" t="inlineStr">
        <is>
          <t>6076</t>
        </is>
      </c>
      <c r="B634" s="12">
        <f>SI([@SBAN]="";"";BUSCARV([@SBAN];Cronograma_Maestro!$A:$M;2;FALSO))</f>
        <v/>
      </c>
      <c r="C634" s="12">
        <f>SI([@SBAN]="";"";BUSCARV([@SBAN];Cronograma_Maestro!$A:$M;3;FALSO))</f>
        <v/>
      </c>
      <c r="D634" s="12">
        <f>SI([@SBAN]="";"";BUSCARV([@SBAN];Cronograma_Maestro!$A:$M;4;FALSO))</f>
        <v/>
      </c>
      <c r="E634" s="12">
        <f>SI([@SBAN]="";"";BUSCARV([@SBAN];Cronograma_Maestro!$A:$M;5;FALSO))</f>
        <v/>
      </c>
      <c r="F634" s="12" t="inlineStr">
        <is>
          <t>Luz Nélida Barragán Toro</t>
        </is>
      </c>
      <c r="G634" s="12" t="inlineStr">
        <is>
          <t>PMU COLSOF</t>
        </is>
      </c>
      <c r="H634" s="13" t="n">
        <v>46311</v>
      </c>
      <c r="I634" s="13" t="n">
        <v>46311</v>
      </c>
      <c r="J634" s="13" t="n"/>
      <c r="K634" s="13" t="n"/>
      <c r="L634" s="12" t="inlineStr">
        <is>
          <t>Programada</t>
        </is>
      </c>
      <c r="M634" s="13" t="n"/>
      <c r="N634" s="14">
        <f>SI(O([@[Fecha_Programada_Inicio]]="";[@[Fecha_Inicio_Real]]="");"";SI([@[Fecha_Inicio_Real]]&lt;=[@[Fecha_Programada_Inicio]];"SÍ";"NO"))</f>
        <v/>
      </c>
      <c r="O634" s="14">
        <f>SI(O([@[Fecha_Programada_Fin]]="";[@[Fecha_Cierre_Operativo]]="");"";SI([@[Fecha_Cierre_Operativo]]&lt;=SI([@[Fecha_Nueva_Programada]]&lt;&gt;"";[@[Fecha_Nueva_Programada]];[@[Fecha_Programada_Fin]]);"SÍ";"NO"))</f>
        <v/>
      </c>
      <c r="P634" s="14">
        <f>SI(O([@[Cumpli_Ingreso]]="";[@[Cumpli_Salida]]="");"";SI(Y([@[Cumpli_Ingreso]]="SÍ";[@[Cumpli_Salida]]="SÍ");"SÍ";"NO"))</f>
        <v/>
      </c>
      <c r="Q634" s="15">
        <f>SI(O([@[Fecha_Programada_Fin]]="";[@[Fecha_Cierre_Operativo]]="");"";MAX(0;ENTERO([@[Fecha_Cierre_Operativo]])-ENTERO(SI([@[Fecha_Nueva_Programada]]&lt;&gt;"";[@[Fecha_Nueva_Programada]];[@[Fecha_Programada_Fin]])))</f>
        <v/>
      </c>
      <c r="R634" s="12" t="n"/>
      <c r="S634" s="12" t="n"/>
      <c r="T634" s="13" t="n"/>
      <c r="U634" s="12" t="n">
        <v>14</v>
      </c>
      <c r="V634" s="12" t="n"/>
      <c r="W63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34" s="14">
        <f>SI([@SBAN]="";"";BUSCARV([@SBAN];Cronograma_Maestro!$A:$M;6;FALSO))</f>
        <v/>
      </c>
    </row>
    <row r="635">
      <c r="A635" s="11" t="inlineStr">
        <is>
          <t>6077</t>
        </is>
      </c>
      <c r="B635" s="12">
        <f>SI([@SBAN]="";"";BUSCARV([@SBAN];Cronograma_Maestro!$A:$M;2;FALSO))</f>
        <v/>
      </c>
      <c r="C635" s="12">
        <f>SI([@SBAN]="";"";BUSCARV([@SBAN];Cronograma_Maestro!$A:$M;3;FALSO))</f>
        <v/>
      </c>
      <c r="D635" s="12">
        <f>SI([@SBAN]="";"";BUSCARV([@SBAN];Cronograma_Maestro!$A:$M;4;FALSO))</f>
        <v/>
      </c>
      <c r="E635" s="12">
        <f>SI([@SBAN]="";"";BUSCARV([@SBAN];Cronograma_Maestro!$A:$M;5;FALSO))</f>
        <v/>
      </c>
      <c r="F635" s="12" t="inlineStr">
        <is>
          <t>Andrés Felipe Carvajal Pire</t>
        </is>
      </c>
      <c r="G635" s="12" t="inlineStr">
        <is>
          <t>PMU COLSOF</t>
        </is>
      </c>
      <c r="H635" s="13" t="n">
        <v>46301</v>
      </c>
      <c r="I635" s="13" t="n">
        <v>46302</v>
      </c>
      <c r="J635" s="13" t="n"/>
      <c r="K635" s="13" t="n"/>
      <c r="L635" s="12" t="inlineStr">
        <is>
          <t>Programada</t>
        </is>
      </c>
      <c r="M635" s="13" t="n"/>
      <c r="N635" s="14">
        <f>SI(O([@[Fecha_Programada_Inicio]]="";[@[Fecha_Inicio_Real]]="");"";SI([@[Fecha_Inicio_Real]]&lt;=[@[Fecha_Programada_Inicio]];"SÍ";"NO"))</f>
        <v/>
      </c>
      <c r="O635" s="14">
        <f>SI(O([@[Fecha_Programada_Fin]]="";[@[Fecha_Cierre_Operativo]]="");"";SI([@[Fecha_Cierre_Operativo]]&lt;=SI([@[Fecha_Nueva_Programada]]&lt;&gt;"";[@[Fecha_Nueva_Programada]];[@[Fecha_Programada_Fin]]);"SÍ";"NO"))</f>
        <v/>
      </c>
      <c r="P635" s="14">
        <f>SI(O([@[Cumpli_Ingreso]]="";[@[Cumpli_Salida]]="");"";SI(Y([@[Cumpli_Ingreso]]="SÍ";[@[Cumpli_Salida]]="SÍ");"SÍ";"NO"))</f>
        <v/>
      </c>
      <c r="Q635" s="15">
        <f>SI(O([@[Fecha_Programada_Fin]]="";[@[Fecha_Cierre_Operativo]]="");"";MAX(0;ENTERO([@[Fecha_Cierre_Operativo]])-ENTERO(SI([@[Fecha_Nueva_Programada]]&lt;&gt;"";[@[Fecha_Nueva_Programada]];[@[Fecha_Programada_Fin]])))</f>
        <v/>
      </c>
      <c r="R635" s="12" t="n"/>
      <c r="S635" s="12" t="n"/>
      <c r="T635" s="13" t="n"/>
      <c r="U635" s="12" t="n">
        <v>13</v>
      </c>
      <c r="V635" s="12" t="n"/>
      <c r="W63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35" s="14">
        <f>SI([@SBAN]="";"";BUSCARV([@SBAN];Cronograma_Maestro!$A:$M;6;FALSO))</f>
        <v/>
      </c>
    </row>
    <row r="636">
      <c r="A636" s="11" t="inlineStr">
        <is>
          <t>6078</t>
        </is>
      </c>
      <c r="B636" s="12">
        <f>SI([@SBAN]="";"";BUSCARV([@SBAN];Cronograma_Maestro!$A:$M;2;FALSO))</f>
        <v/>
      </c>
      <c r="C636" s="12">
        <f>SI([@SBAN]="";"";BUSCARV([@SBAN];Cronograma_Maestro!$A:$M;3;FALSO))</f>
        <v/>
      </c>
      <c r="D636" s="12">
        <f>SI([@SBAN]="";"";BUSCARV([@SBAN];Cronograma_Maestro!$A:$M;4;FALSO))</f>
        <v/>
      </c>
      <c r="E636" s="12">
        <f>SI([@SBAN]="";"";BUSCARV([@SBAN];Cronograma_Maestro!$A:$M;5;FALSO))</f>
        <v/>
      </c>
      <c r="F636" s="12" t="inlineStr">
        <is>
          <t>Luz Nélida Barragán Toro</t>
        </is>
      </c>
      <c r="G636" s="12" t="inlineStr">
        <is>
          <t>PMU COLSOF</t>
        </is>
      </c>
      <c r="H636" s="13" t="n">
        <v>46300</v>
      </c>
      <c r="I636" s="13" t="n">
        <v>46301</v>
      </c>
      <c r="J636" s="13" t="n"/>
      <c r="K636" s="13" t="n"/>
      <c r="L636" s="12" t="inlineStr">
        <is>
          <t>Programada</t>
        </is>
      </c>
      <c r="M636" s="13" t="n"/>
      <c r="N636" s="14">
        <f>SI(O([@[Fecha_Programada_Inicio]]="";[@[Fecha_Inicio_Real]]="");"";SI([@[Fecha_Inicio_Real]]&lt;=[@[Fecha_Programada_Inicio]];"SÍ";"NO"))</f>
        <v/>
      </c>
      <c r="O636" s="14">
        <f>SI(O([@[Fecha_Programada_Fin]]="";[@[Fecha_Cierre_Operativo]]="");"";SI([@[Fecha_Cierre_Operativo]]&lt;=SI([@[Fecha_Nueva_Programada]]&lt;&gt;"";[@[Fecha_Nueva_Programada]];[@[Fecha_Programada_Fin]]);"SÍ";"NO"))</f>
        <v/>
      </c>
      <c r="P636" s="14">
        <f>SI(O([@[Cumpli_Ingreso]]="";[@[Cumpli_Salida]]="");"";SI(Y([@[Cumpli_Ingreso]]="SÍ";[@[Cumpli_Salida]]="SÍ");"SÍ";"NO"))</f>
        <v/>
      </c>
      <c r="Q636" s="15">
        <f>SI(O([@[Fecha_Programada_Fin]]="";[@[Fecha_Cierre_Operativo]]="");"";MAX(0;ENTERO([@[Fecha_Cierre_Operativo]])-ENTERO(SI([@[Fecha_Nueva_Programada]]&lt;&gt;"";[@[Fecha_Nueva_Programada]];[@[Fecha_Programada_Fin]])))</f>
        <v/>
      </c>
      <c r="R636" s="12" t="n"/>
      <c r="S636" s="12" t="n"/>
      <c r="T636" s="13" t="n"/>
      <c r="U636" s="12" t="n">
        <v>13</v>
      </c>
      <c r="V636" s="12" t="n"/>
      <c r="W63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36" s="14">
        <f>SI([@SBAN]="";"";BUSCARV([@SBAN];Cronograma_Maestro!$A:$M;6;FALSO))</f>
        <v/>
      </c>
    </row>
    <row r="637">
      <c r="A637" s="11" t="inlineStr">
        <is>
          <t>6079</t>
        </is>
      </c>
      <c r="B637" s="12">
        <f>SI([@SBAN]="";"";BUSCARV([@SBAN];Cronograma_Maestro!$A:$M;2;FALSO))</f>
        <v/>
      </c>
      <c r="C637" s="12">
        <f>SI([@SBAN]="";"";BUSCARV([@SBAN];Cronograma_Maestro!$A:$M;3;FALSO))</f>
        <v/>
      </c>
      <c r="D637" s="12">
        <f>SI([@SBAN]="";"";BUSCARV([@SBAN];Cronograma_Maestro!$A:$M;4;FALSO))</f>
        <v/>
      </c>
      <c r="E637" s="12">
        <f>SI([@SBAN]="";"";BUSCARV([@SBAN];Cronograma_Maestro!$A:$M;5;FALSO))</f>
        <v/>
      </c>
      <c r="F637" s="12" t="inlineStr">
        <is>
          <t>Luz Nélida Barragán Toro</t>
        </is>
      </c>
      <c r="G637" s="12" t="inlineStr">
        <is>
          <t>PMU COLSOF</t>
        </is>
      </c>
      <c r="H637" s="13" t="n">
        <v>46302</v>
      </c>
      <c r="I637" s="13" t="n">
        <v>46303</v>
      </c>
      <c r="J637" s="13" t="n"/>
      <c r="K637" s="13" t="n"/>
      <c r="L637" s="12" t="inlineStr">
        <is>
          <t>Programada</t>
        </is>
      </c>
      <c r="M637" s="13" t="n"/>
      <c r="N637" s="14">
        <f>SI(O([@[Fecha_Programada_Inicio]]="";[@[Fecha_Inicio_Real]]="");"";SI([@[Fecha_Inicio_Real]]&lt;=[@[Fecha_Programada_Inicio]];"SÍ";"NO"))</f>
        <v/>
      </c>
      <c r="O637" s="14">
        <f>SI(O([@[Fecha_Programada_Fin]]="";[@[Fecha_Cierre_Operativo]]="");"";SI([@[Fecha_Cierre_Operativo]]&lt;=SI([@[Fecha_Nueva_Programada]]&lt;&gt;"";[@[Fecha_Nueva_Programada]];[@[Fecha_Programada_Fin]]);"SÍ";"NO"))</f>
        <v/>
      </c>
      <c r="P637" s="14">
        <f>SI(O([@[Cumpli_Ingreso]]="";[@[Cumpli_Salida]]="");"";SI(Y([@[Cumpli_Ingreso]]="SÍ";[@[Cumpli_Salida]]="SÍ");"SÍ";"NO"))</f>
        <v/>
      </c>
      <c r="Q637" s="15">
        <f>SI(O([@[Fecha_Programada_Fin]]="";[@[Fecha_Cierre_Operativo]]="");"";MAX(0;ENTERO([@[Fecha_Cierre_Operativo]])-ENTERO(SI([@[Fecha_Nueva_Programada]]&lt;&gt;"";[@[Fecha_Nueva_Programada]];[@[Fecha_Programada_Fin]])))</f>
        <v/>
      </c>
      <c r="R637" s="12" t="n"/>
      <c r="S637" s="12" t="n"/>
      <c r="T637" s="13" t="n"/>
      <c r="U637" s="12" t="n">
        <v>12</v>
      </c>
      <c r="V637" s="12" t="n"/>
      <c r="W63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37" s="14">
        <f>SI([@SBAN]="";"";BUSCARV([@SBAN];Cronograma_Maestro!$A:$M;6;FALSO))</f>
        <v/>
      </c>
    </row>
    <row r="638">
      <c r="A638" s="11" t="inlineStr">
        <is>
          <t>6080</t>
        </is>
      </c>
      <c r="B638" s="12">
        <f>SI([@SBAN]="";"";BUSCARV([@SBAN];Cronograma_Maestro!$A:$M;2;FALSO))</f>
        <v/>
      </c>
      <c r="C638" s="12">
        <f>SI([@SBAN]="";"";BUSCARV([@SBAN];Cronograma_Maestro!$A:$M;3;FALSO))</f>
        <v/>
      </c>
      <c r="D638" s="12">
        <f>SI([@SBAN]="";"";BUSCARV([@SBAN];Cronograma_Maestro!$A:$M;4;FALSO))</f>
        <v/>
      </c>
      <c r="E638" s="12">
        <f>SI([@SBAN]="";"";BUSCARV([@SBAN];Cronograma_Maestro!$A:$M;5;FALSO))</f>
        <v/>
      </c>
      <c r="F638" s="12" t="inlineStr">
        <is>
          <t>Andrés Felipe Díaz Noy</t>
        </is>
      </c>
      <c r="G638" s="12" t="inlineStr">
        <is>
          <t>PMU COLSOF</t>
        </is>
      </c>
      <c r="H638" s="13" t="n">
        <v>46316</v>
      </c>
      <c r="I638" s="13" t="n">
        <v>46316</v>
      </c>
      <c r="J638" s="13" t="n"/>
      <c r="K638" s="13" t="n"/>
      <c r="L638" s="12" t="inlineStr">
        <is>
          <t>Programada</t>
        </is>
      </c>
      <c r="M638" s="13" t="n"/>
      <c r="N638" s="14">
        <f>SI(O([@[Fecha_Programada_Inicio]]="";[@[Fecha_Inicio_Real]]="");"";SI([@[Fecha_Inicio_Real]]&lt;=[@[Fecha_Programada_Inicio]];"SÍ";"NO"))</f>
        <v/>
      </c>
      <c r="O638" s="14">
        <f>SI(O([@[Fecha_Programada_Fin]]="";[@[Fecha_Cierre_Operativo]]="");"";SI([@[Fecha_Cierre_Operativo]]&lt;=SI([@[Fecha_Nueva_Programada]]&lt;&gt;"";[@[Fecha_Nueva_Programada]];[@[Fecha_Programada_Fin]]);"SÍ";"NO"))</f>
        <v/>
      </c>
      <c r="P638" s="14">
        <f>SI(O([@[Cumpli_Ingreso]]="";[@[Cumpli_Salida]]="");"";SI(Y([@[Cumpli_Ingreso]]="SÍ";[@[Cumpli_Salida]]="SÍ");"SÍ";"NO"))</f>
        <v/>
      </c>
      <c r="Q638" s="15">
        <f>SI(O([@[Fecha_Programada_Fin]]="";[@[Fecha_Cierre_Operativo]]="");"";MAX(0;ENTERO([@[Fecha_Cierre_Operativo]])-ENTERO(SI([@[Fecha_Nueva_Programada]]&lt;&gt;"";[@[Fecha_Nueva_Programada]];[@[Fecha_Programada_Fin]])))</f>
        <v/>
      </c>
      <c r="R638" s="12" t="n"/>
      <c r="S638" s="12" t="n"/>
      <c r="T638" s="13" t="n"/>
      <c r="U638" s="12" t="n">
        <v>23</v>
      </c>
      <c r="V638" s="12" t="n"/>
      <c r="W63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38" s="14">
        <f>SI([@SBAN]="";"";BUSCARV([@SBAN];Cronograma_Maestro!$A:$M;6;FALSO))</f>
        <v/>
      </c>
    </row>
    <row r="639">
      <c r="A639" s="11" t="inlineStr">
        <is>
          <t>6081</t>
        </is>
      </c>
      <c r="B639" s="12">
        <f>SI([@SBAN]="";"";BUSCARV([@SBAN];Cronograma_Maestro!$A:$M;2;FALSO))</f>
        <v/>
      </c>
      <c r="C639" s="12">
        <f>SI([@SBAN]="";"";BUSCARV([@SBAN];Cronograma_Maestro!$A:$M;3;FALSO))</f>
        <v/>
      </c>
      <c r="D639" s="12">
        <f>SI([@SBAN]="";"";BUSCARV([@SBAN];Cronograma_Maestro!$A:$M;4;FALSO))</f>
        <v/>
      </c>
      <c r="E639" s="12">
        <f>SI([@SBAN]="";"";BUSCARV([@SBAN];Cronograma_Maestro!$A:$M;5;FALSO))</f>
        <v/>
      </c>
      <c r="F639" s="12" t="inlineStr">
        <is>
          <t>Andrés Felipe Díaz Noy</t>
        </is>
      </c>
      <c r="G639" s="12" t="inlineStr">
        <is>
          <t>PMU COLSOF</t>
        </is>
      </c>
      <c r="H639" s="13" t="n">
        <v>46303</v>
      </c>
      <c r="I639" s="13" t="n">
        <v>46304</v>
      </c>
      <c r="J639" s="13" t="n"/>
      <c r="K639" s="13" t="n"/>
      <c r="L639" s="12" t="inlineStr">
        <is>
          <t>Programada</t>
        </is>
      </c>
      <c r="M639" s="13" t="n"/>
      <c r="N639" s="14">
        <f>SI(O([@[Fecha_Programada_Inicio]]="";[@[Fecha_Inicio_Real]]="");"";SI([@[Fecha_Inicio_Real]]&lt;=[@[Fecha_Programada_Inicio]];"SÍ";"NO"))</f>
        <v/>
      </c>
      <c r="O639" s="14">
        <f>SI(O([@[Fecha_Programada_Fin]]="";[@[Fecha_Cierre_Operativo]]="");"";SI([@[Fecha_Cierre_Operativo]]&lt;=SI([@[Fecha_Nueva_Programada]]&lt;&gt;"";[@[Fecha_Nueva_Programada]];[@[Fecha_Programada_Fin]]);"SÍ";"NO"))</f>
        <v/>
      </c>
      <c r="P639" s="14">
        <f>SI(O([@[Cumpli_Ingreso]]="";[@[Cumpli_Salida]]="");"";SI(Y([@[Cumpli_Ingreso]]="SÍ";[@[Cumpli_Salida]]="SÍ");"SÍ";"NO"))</f>
        <v/>
      </c>
      <c r="Q639" s="15">
        <f>SI(O([@[Fecha_Programada_Fin]]="";[@[Fecha_Cierre_Operativo]]="");"";MAX(0;ENTERO([@[Fecha_Cierre_Operativo]])-ENTERO(SI([@[Fecha_Nueva_Programada]]&lt;&gt;"";[@[Fecha_Nueva_Programada]];[@[Fecha_Programada_Fin]])))</f>
        <v/>
      </c>
      <c r="R639" s="12" t="n"/>
      <c r="S639" s="12" t="n"/>
      <c r="T639" s="13" t="n"/>
      <c r="U639" s="12" t="n">
        <v>16</v>
      </c>
      <c r="V639" s="12" t="n"/>
      <c r="W63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39" s="14">
        <f>SI([@SBAN]="";"";BUSCARV([@SBAN];Cronograma_Maestro!$A:$M;6;FALSO))</f>
        <v/>
      </c>
    </row>
    <row r="640">
      <c r="A640" s="11" t="inlineStr">
        <is>
          <t>6303</t>
        </is>
      </c>
      <c r="B640" s="12">
        <f>SI([@SBAN]="";"";BUSCARV([@SBAN];Cronograma_Maestro!$A:$M;2;FALSO))</f>
        <v/>
      </c>
      <c r="C640" s="12">
        <f>SI([@SBAN]="";"";BUSCARV([@SBAN];Cronograma_Maestro!$A:$M;3;FALSO))</f>
        <v/>
      </c>
      <c r="D640" s="12">
        <f>SI([@SBAN]="";"";BUSCARV([@SBAN];Cronograma_Maestro!$A:$M;4;FALSO))</f>
        <v/>
      </c>
      <c r="E640" s="12">
        <f>SI([@SBAN]="";"";BUSCARV([@SBAN];Cronograma_Maestro!$A:$M;5;FALSO))</f>
        <v/>
      </c>
      <c r="F640" s="12" t="inlineStr">
        <is>
          <t>Laura Camila Ospino Taborda</t>
        </is>
      </c>
      <c r="G640" s="12" t="inlineStr">
        <is>
          <t>PMU COLSOF</t>
        </is>
      </c>
      <c r="H640" s="13" t="n">
        <v>46300</v>
      </c>
      <c r="I640" s="13" t="n">
        <v>46302</v>
      </c>
      <c r="J640" s="13" t="n"/>
      <c r="K640" s="13" t="n"/>
      <c r="L640" s="12" t="inlineStr">
        <is>
          <t>Programada</t>
        </is>
      </c>
      <c r="M640" s="13" t="n"/>
      <c r="N640" s="14">
        <f>SI(O([@[Fecha_Programada_Inicio]]="";[@[Fecha_Inicio_Real]]="");"";SI([@[Fecha_Inicio_Real]]&lt;=[@[Fecha_Programada_Inicio]];"SÍ";"NO"))</f>
        <v/>
      </c>
      <c r="O640" s="14">
        <f>SI(O([@[Fecha_Programada_Fin]]="";[@[Fecha_Cierre_Operativo]]="");"";SI([@[Fecha_Cierre_Operativo]]&lt;=SI([@[Fecha_Nueva_Programada]]&lt;&gt;"";[@[Fecha_Nueva_Programada]];[@[Fecha_Programada_Fin]]);"SÍ";"NO"))</f>
        <v/>
      </c>
      <c r="P640" s="14">
        <f>SI(O([@[Cumpli_Ingreso]]="";[@[Cumpli_Salida]]="");"";SI(Y([@[Cumpli_Ingreso]]="SÍ";[@[Cumpli_Salida]]="SÍ");"SÍ";"NO"))</f>
        <v/>
      </c>
      <c r="Q640" s="15">
        <f>SI(O([@[Fecha_Programada_Fin]]="";[@[Fecha_Cierre_Operativo]]="");"";MAX(0;ENTERO([@[Fecha_Cierre_Operativo]])-ENTERO(SI([@[Fecha_Nueva_Programada]]&lt;&gt;"";[@[Fecha_Nueva_Programada]];[@[Fecha_Programada_Fin]])))</f>
        <v/>
      </c>
      <c r="R640" s="12" t="n"/>
      <c r="S640" s="12" t="n"/>
      <c r="T640" s="13" t="n"/>
      <c r="U640" s="12" t="n">
        <v>47</v>
      </c>
      <c r="V640" s="12" t="n"/>
      <c r="W64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40" s="14">
        <f>SI([@SBAN]="";"";BUSCARV([@SBAN];Cronograma_Maestro!$A:$M;6;FALSO))</f>
        <v/>
      </c>
    </row>
    <row r="641">
      <c r="A641" s="11" t="inlineStr">
        <is>
          <t>6305</t>
        </is>
      </c>
      <c r="B641" s="12">
        <f>SI([@SBAN]="";"";BUSCARV([@SBAN];Cronograma_Maestro!$A:$M;2;FALSO))</f>
        <v/>
      </c>
      <c r="C641" s="12">
        <f>SI([@SBAN]="";"";BUSCARV([@SBAN];Cronograma_Maestro!$A:$M;3;FALSO))</f>
        <v/>
      </c>
      <c r="D641" s="12">
        <f>SI([@SBAN]="";"";BUSCARV([@SBAN];Cronograma_Maestro!$A:$M;4;FALSO))</f>
        <v/>
      </c>
      <c r="E641" s="12">
        <f>SI([@SBAN]="";"";BUSCARV([@SBAN];Cronograma_Maestro!$A:$M;5;FALSO))</f>
        <v/>
      </c>
      <c r="F641" s="12" t="inlineStr">
        <is>
          <t>Gabriel Ivan Ballesteros Quiroz</t>
        </is>
      </c>
      <c r="G641" s="12" t="inlineStr">
        <is>
          <t>PMU COLSOF</t>
        </is>
      </c>
      <c r="H641" s="13" t="n">
        <v>46280</v>
      </c>
      <c r="I641" s="13" t="n">
        <v>46280</v>
      </c>
      <c r="J641" s="13" t="n"/>
      <c r="K641" s="13" t="n"/>
      <c r="L641" s="12" t="inlineStr">
        <is>
          <t>Programada</t>
        </is>
      </c>
      <c r="M641" s="13" t="n"/>
      <c r="N641" s="14">
        <f>SI(O([@[Fecha_Programada_Inicio]]="";[@[Fecha_Inicio_Real]]="");"";SI([@[Fecha_Inicio_Real]]&lt;=[@[Fecha_Programada_Inicio]];"SÍ";"NO"))</f>
        <v/>
      </c>
      <c r="O641" s="14">
        <f>SI(O([@[Fecha_Programada_Fin]]="";[@[Fecha_Cierre_Operativo]]="");"";SI([@[Fecha_Cierre_Operativo]]&lt;=SI([@[Fecha_Nueva_Programada]]&lt;&gt;"";[@[Fecha_Nueva_Programada]];[@[Fecha_Programada_Fin]]);"SÍ";"NO"))</f>
        <v/>
      </c>
      <c r="P641" s="14">
        <f>SI(O([@[Cumpli_Ingreso]]="";[@[Cumpli_Salida]]="");"";SI(Y([@[Cumpli_Ingreso]]="SÍ";[@[Cumpli_Salida]]="SÍ");"SÍ";"NO"))</f>
        <v/>
      </c>
      <c r="Q641" s="15">
        <f>SI(O([@[Fecha_Programada_Fin]]="";[@[Fecha_Cierre_Operativo]]="");"";MAX(0;ENTERO([@[Fecha_Cierre_Operativo]])-ENTERO(SI([@[Fecha_Nueva_Programada]]&lt;&gt;"";[@[Fecha_Nueva_Programada]];[@[Fecha_Programada_Fin]])))</f>
        <v/>
      </c>
      <c r="R641" s="12" t="n"/>
      <c r="S641" s="12" t="n"/>
      <c r="T641" s="13" t="n"/>
      <c r="U641" s="12" t="n">
        <v>12</v>
      </c>
      <c r="V641" s="12" t="n"/>
      <c r="W64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41" s="14">
        <f>SI([@SBAN]="";"";BUSCARV([@SBAN];Cronograma_Maestro!$A:$M;6;FALSO))</f>
        <v/>
      </c>
    </row>
    <row r="642">
      <c r="A642" s="11" t="inlineStr">
        <is>
          <t>6310</t>
        </is>
      </c>
      <c r="B642" s="12">
        <f>SI([@SBAN]="";"";BUSCARV([@SBAN];Cronograma_Maestro!$A:$M;2;FALSO))</f>
        <v/>
      </c>
      <c r="C642" s="12">
        <f>SI([@SBAN]="";"";BUSCARV([@SBAN];Cronograma_Maestro!$A:$M;3;FALSO))</f>
        <v/>
      </c>
      <c r="D642" s="12">
        <f>SI([@SBAN]="";"";BUSCARV([@SBAN];Cronograma_Maestro!$A:$M;4;FALSO))</f>
        <v/>
      </c>
      <c r="E642" s="12">
        <f>SI([@SBAN]="";"";BUSCARV([@SBAN];Cronograma_Maestro!$A:$M;5;FALSO))</f>
        <v/>
      </c>
      <c r="F642" s="12" t="inlineStr">
        <is>
          <t>Jorge Felipe Munive Medina</t>
        </is>
      </c>
      <c r="G642" s="12" t="inlineStr">
        <is>
          <t>PMU COLSOF</t>
        </is>
      </c>
      <c r="H642" s="13" t="n">
        <v>46281</v>
      </c>
      <c r="I642" s="13" t="n">
        <v>46281</v>
      </c>
      <c r="J642" s="13" t="n"/>
      <c r="K642" s="13" t="n"/>
      <c r="L642" s="12" t="inlineStr">
        <is>
          <t>Programada</t>
        </is>
      </c>
      <c r="M642" s="13" t="n"/>
      <c r="N642" s="14">
        <f>SI(O([@[Fecha_Programada_Inicio]]="";[@[Fecha_Inicio_Real]]="");"";SI([@[Fecha_Inicio_Real]]&lt;=[@[Fecha_Programada_Inicio]];"SÍ";"NO"))</f>
        <v/>
      </c>
      <c r="O642" s="14">
        <f>SI(O([@[Fecha_Programada_Fin]]="";[@[Fecha_Cierre_Operativo]]="");"";SI([@[Fecha_Cierre_Operativo]]&lt;=SI([@[Fecha_Nueva_Programada]]&lt;&gt;"";[@[Fecha_Nueva_Programada]];[@[Fecha_Programada_Fin]]);"SÍ";"NO"))</f>
        <v/>
      </c>
      <c r="P642" s="14">
        <f>SI(O([@[Cumpli_Ingreso]]="";[@[Cumpli_Salida]]="");"";SI(Y([@[Cumpli_Ingreso]]="SÍ";[@[Cumpli_Salida]]="SÍ");"SÍ";"NO"))</f>
        <v/>
      </c>
      <c r="Q642" s="15">
        <f>SI(O([@[Fecha_Programada_Fin]]="";[@[Fecha_Cierre_Operativo]]="");"";MAX(0;ENTERO([@[Fecha_Cierre_Operativo]])-ENTERO(SI([@[Fecha_Nueva_Programada]]&lt;&gt;"";[@[Fecha_Nueva_Programada]];[@[Fecha_Programada_Fin]])))</f>
        <v/>
      </c>
      <c r="R642" s="12" t="n"/>
      <c r="S642" s="12" t="n"/>
      <c r="T642" s="13" t="n"/>
      <c r="U642" s="12" t="n">
        <v>14</v>
      </c>
      <c r="V642" s="12" t="n"/>
      <c r="W64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42" s="14">
        <f>SI([@SBAN]="";"";BUSCARV([@SBAN];Cronograma_Maestro!$A:$M;6;FALSO))</f>
        <v/>
      </c>
    </row>
    <row r="643">
      <c r="A643" s="11" t="inlineStr">
        <is>
          <t>6314</t>
        </is>
      </c>
      <c r="B643" s="12">
        <f>SI([@SBAN]="";"";BUSCARV([@SBAN];Cronograma_Maestro!$A:$M;2;FALSO))</f>
        <v/>
      </c>
      <c r="C643" s="12">
        <f>SI([@SBAN]="";"";BUSCARV([@SBAN];Cronograma_Maestro!$A:$M;3;FALSO))</f>
        <v/>
      </c>
      <c r="D643" s="12">
        <f>SI([@SBAN]="";"";BUSCARV([@SBAN];Cronograma_Maestro!$A:$M;4;FALSO))</f>
        <v/>
      </c>
      <c r="E643" s="12">
        <f>SI([@SBAN]="";"";BUSCARV([@SBAN];Cronograma_Maestro!$A:$M;5;FALSO))</f>
        <v/>
      </c>
      <c r="F643" s="12" t="inlineStr">
        <is>
          <t>Laura Camila Ospino Taborda</t>
        </is>
      </c>
      <c r="G643" s="12" t="inlineStr">
        <is>
          <t>PMU COLSOF</t>
        </is>
      </c>
      <c r="H643" s="13" t="n">
        <v>46287</v>
      </c>
      <c r="I643" s="13" t="n">
        <v>46287</v>
      </c>
      <c r="J643" s="13" t="n"/>
      <c r="K643" s="13" t="n"/>
      <c r="L643" s="12" t="inlineStr">
        <is>
          <t>Programada</t>
        </is>
      </c>
      <c r="M643" s="13" t="n"/>
      <c r="N643" s="14">
        <f>SI(O([@[Fecha_Programada_Inicio]]="";[@[Fecha_Inicio_Real]]="");"";SI([@[Fecha_Inicio_Real]]&lt;=[@[Fecha_Programada_Inicio]];"SÍ";"NO"))</f>
        <v/>
      </c>
      <c r="O643" s="14">
        <f>SI(O([@[Fecha_Programada_Fin]]="";[@[Fecha_Cierre_Operativo]]="");"";SI([@[Fecha_Cierre_Operativo]]&lt;=SI([@[Fecha_Nueva_Programada]]&lt;&gt;"";[@[Fecha_Nueva_Programada]];[@[Fecha_Programada_Fin]]);"SÍ";"NO"))</f>
        <v/>
      </c>
      <c r="P643" s="14">
        <f>SI(O([@[Cumpli_Ingreso]]="";[@[Cumpli_Salida]]="");"";SI(Y([@[Cumpli_Ingreso]]="SÍ";[@[Cumpli_Salida]]="SÍ");"SÍ";"NO"))</f>
        <v/>
      </c>
      <c r="Q643" s="15">
        <f>SI(O([@[Fecha_Programada_Fin]]="";[@[Fecha_Cierre_Operativo]]="");"";MAX(0;ENTERO([@[Fecha_Cierre_Operativo]])-ENTERO(SI([@[Fecha_Nueva_Programada]]&lt;&gt;"";[@[Fecha_Nueva_Programada]];[@[Fecha_Programada_Fin]])))</f>
        <v/>
      </c>
      <c r="R643" s="12" t="n"/>
      <c r="S643" s="12" t="n"/>
      <c r="T643" s="13" t="n"/>
      <c r="U643" s="12" t="n">
        <v>26</v>
      </c>
      <c r="V643" s="12" t="n"/>
      <c r="W64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43" s="14">
        <f>SI([@SBAN]="";"";BUSCARV([@SBAN];Cronograma_Maestro!$A:$M;6;FALSO))</f>
        <v/>
      </c>
    </row>
    <row r="644">
      <c r="A644" s="11" t="inlineStr">
        <is>
          <t>6315</t>
        </is>
      </c>
      <c r="B644" s="12">
        <f>SI([@SBAN]="";"";BUSCARV([@SBAN];Cronograma_Maestro!$A:$M;2;FALSO))</f>
        <v/>
      </c>
      <c r="C644" s="12">
        <f>SI([@SBAN]="";"";BUSCARV([@SBAN];Cronograma_Maestro!$A:$M;3;FALSO))</f>
        <v/>
      </c>
      <c r="D644" s="12">
        <f>SI([@SBAN]="";"";BUSCARV([@SBAN];Cronograma_Maestro!$A:$M;4;FALSO))</f>
        <v/>
      </c>
      <c r="E644" s="12">
        <f>SI([@SBAN]="";"";BUSCARV([@SBAN];Cronograma_Maestro!$A:$M;5;FALSO))</f>
        <v/>
      </c>
      <c r="F644" s="12" t="inlineStr">
        <is>
          <t>Laura Camila Ospino Taborda</t>
        </is>
      </c>
      <c r="G644" s="12" t="inlineStr">
        <is>
          <t>PMU COLSOF</t>
        </is>
      </c>
      <c r="H644" s="13" t="n">
        <v>46286</v>
      </c>
      <c r="I644" s="13" t="n">
        <v>46286</v>
      </c>
      <c r="J644" s="13" t="n"/>
      <c r="K644" s="13" t="n"/>
      <c r="L644" s="12" t="inlineStr">
        <is>
          <t>Programada</t>
        </is>
      </c>
      <c r="M644" s="13" t="n"/>
      <c r="N644" s="14">
        <f>SI(O([@[Fecha_Programada_Inicio]]="";[@[Fecha_Inicio_Real]]="");"";SI([@[Fecha_Inicio_Real]]&lt;=[@[Fecha_Programada_Inicio]];"SÍ";"NO"))</f>
        <v/>
      </c>
      <c r="O644" s="14">
        <f>SI(O([@[Fecha_Programada_Fin]]="";[@[Fecha_Cierre_Operativo]]="");"";SI([@[Fecha_Cierre_Operativo]]&lt;=SI([@[Fecha_Nueva_Programada]]&lt;&gt;"";[@[Fecha_Nueva_Programada]];[@[Fecha_Programada_Fin]]);"SÍ";"NO"))</f>
        <v/>
      </c>
      <c r="P644" s="14">
        <f>SI(O([@[Cumpli_Ingreso]]="";[@[Cumpli_Salida]]="");"";SI(Y([@[Cumpli_Ingreso]]="SÍ";[@[Cumpli_Salida]]="SÍ");"SÍ";"NO"))</f>
        <v/>
      </c>
      <c r="Q644" s="15">
        <f>SI(O([@[Fecha_Programada_Fin]]="";[@[Fecha_Cierre_Operativo]]="");"";MAX(0;ENTERO([@[Fecha_Cierre_Operativo]])-ENTERO(SI([@[Fecha_Nueva_Programada]]&lt;&gt;"";[@[Fecha_Nueva_Programada]];[@[Fecha_Programada_Fin]])))</f>
        <v/>
      </c>
      <c r="R644" s="12" t="n"/>
      <c r="S644" s="12" t="n"/>
      <c r="T644" s="13" t="n"/>
      <c r="U644" s="12" t="n">
        <v>18</v>
      </c>
      <c r="V644" s="12" t="n"/>
      <c r="W64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44" s="14">
        <f>SI([@SBAN]="";"";BUSCARV([@SBAN];Cronograma_Maestro!$A:$M;6;FALSO))</f>
        <v/>
      </c>
    </row>
    <row r="645">
      <c r="A645" s="11" t="inlineStr">
        <is>
          <t>6320</t>
        </is>
      </c>
      <c r="B645" s="12">
        <f>SI([@SBAN]="";"";BUSCARV([@SBAN];Cronograma_Maestro!$A:$M;2;FALSO))</f>
        <v/>
      </c>
      <c r="C645" s="12">
        <f>SI([@SBAN]="";"";BUSCARV([@SBAN];Cronograma_Maestro!$A:$M;3;FALSO))</f>
        <v/>
      </c>
      <c r="D645" s="12">
        <f>SI([@SBAN]="";"";BUSCARV([@SBAN];Cronograma_Maestro!$A:$M;4;FALSO))</f>
        <v/>
      </c>
      <c r="E645" s="12">
        <f>SI([@SBAN]="";"";BUSCARV([@SBAN];Cronograma_Maestro!$A:$M;5;FALSO))</f>
        <v/>
      </c>
      <c r="F645" s="12" t="inlineStr">
        <is>
          <t>Mauricio Rafael Narvaez Iriarte</t>
        </is>
      </c>
      <c r="G645" s="12" t="inlineStr">
        <is>
          <t>PMU COLSOF</t>
        </is>
      </c>
      <c r="H645" s="13" t="n">
        <v>46289</v>
      </c>
      <c r="I645" s="13" t="n">
        <v>46289</v>
      </c>
      <c r="J645" s="13" t="n"/>
      <c r="K645" s="13" t="n"/>
      <c r="L645" s="12" t="inlineStr">
        <is>
          <t>Programada</t>
        </is>
      </c>
      <c r="M645" s="13" t="n"/>
      <c r="N645" s="14">
        <f>SI(O([@[Fecha_Programada_Inicio]]="";[@[Fecha_Inicio_Real]]="");"";SI([@[Fecha_Inicio_Real]]&lt;=[@[Fecha_Programada_Inicio]];"SÍ";"NO"))</f>
        <v/>
      </c>
      <c r="O645" s="14">
        <f>SI(O([@[Fecha_Programada_Fin]]="";[@[Fecha_Cierre_Operativo]]="");"";SI([@[Fecha_Cierre_Operativo]]&lt;=SI([@[Fecha_Nueva_Programada]]&lt;&gt;"";[@[Fecha_Nueva_Programada]];[@[Fecha_Programada_Fin]]);"SÍ";"NO"))</f>
        <v/>
      </c>
      <c r="P645" s="14">
        <f>SI(O([@[Cumpli_Ingreso]]="";[@[Cumpli_Salida]]="");"";SI(Y([@[Cumpli_Ingreso]]="SÍ";[@[Cumpli_Salida]]="SÍ");"SÍ";"NO"))</f>
        <v/>
      </c>
      <c r="Q645" s="15">
        <f>SI(O([@[Fecha_Programada_Fin]]="";[@[Fecha_Cierre_Operativo]]="");"";MAX(0;ENTERO([@[Fecha_Cierre_Operativo]])-ENTERO(SI([@[Fecha_Nueva_Programada]]&lt;&gt;"";[@[Fecha_Nueva_Programada]];[@[Fecha_Programada_Fin]])))</f>
        <v/>
      </c>
      <c r="R645" s="12" t="n"/>
      <c r="S645" s="12" t="n"/>
      <c r="T645" s="13" t="n"/>
      <c r="U645" s="12" t="n">
        <v>18</v>
      </c>
      <c r="V645" s="12" t="n"/>
      <c r="W64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45" s="14">
        <f>SI([@SBAN]="";"";BUSCARV([@SBAN];Cronograma_Maestro!$A:$M;6;FALSO))</f>
        <v/>
      </c>
    </row>
    <row r="646">
      <c r="A646" s="11" t="inlineStr">
        <is>
          <t>6324</t>
        </is>
      </c>
      <c r="B646" s="12">
        <f>SI([@SBAN]="";"";BUSCARV([@SBAN];Cronograma_Maestro!$A:$M;2;FALSO))</f>
        <v/>
      </c>
      <c r="C646" s="12">
        <f>SI([@SBAN]="";"";BUSCARV([@SBAN];Cronograma_Maestro!$A:$M;3;FALSO))</f>
        <v/>
      </c>
      <c r="D646" s="12">
        <f>SI([@SBAN]="";"";BUSCARV([@SBAN];Cronograma_Maestro!$A:$M;4;FALSO))</f>
        <v/>
      </c>
      <c r="E646" s="12">
        <f>SI([@SBAN]="";"";BUSCARV([@SBAN];Cronograma_Maestro!$A:$M;5;FALSO))</f>
        <v/>
      </c>
      <c r="F646" s="12" t="inlineStr">
        <is>
          <t>Jorge Felipe Munive Medina</t>
        </is>
      </c>
      <c r="G646" s="12" t="inlineStr">
        <is>
          <t>PMU COLSOF</t>
        </is>
      </c>
      <c r="H646" s="13" t="n">
        <v>46286</v>
      </c>
      <c r="I646" s="13" t="n">
        <v>46286</v>
      </c>
      <c r="J646" s="13" t="n"/>
      <c r="K646" s="13" t="n"/>
      <c r="L646" s="12" t="inlineStr">
        <is>
          <t>Programada</t>
        </is>
      </c>
      <c r="M646" s="13" t="n"/>
      <c r="N646" s="14">
        <f>SI(O([@[Fecha_Programada_Inicio]]="";[@[Fecha_Inicio_Real]]="");"";SI([@[Fecha_Inicio_Real]]&lt;=[@[Fecha_Programada_Inicio]];"SÍ";"NO"))</f>
        <v/>
      </c>
      <c r="O646" s="14">
        <f>SI(O([@[Fecha_Programada_Fin]]="";[@[Fecha_Cierre_Operativo]]="");"";SI([@[Fecha_Cierre_Operativo]]&lt;=SI([@[Fecha_Nueva_Programada]]&lt;&gt;"";[@[Fecha_Nueva_Programada]];[@[Fecha_Programada_Fin]]);"SÍ";"NO"))</f>
        <v/>
      </c>
      <c r="P646" s="14">
        <f>SI(O([@[Cumpli_Ingreso]]="";[@[Cumpli_Salida]]="");"";SI(Y([@[Cumpli_Ingreso]]="SÍ";[@[Cumpli_Salida]]="SÍ");"SÍ";"NO"))</f>
        <v/>
      </c>
      <c r="Q646" s="15">
        <f>SI(O([@[Fecha_Programada_Fin]]="";[@[Fecha_Cierre_Operativo]]="");"";MAX(0;ENTERO([@[Fecha_Cierre_Operativo]])-ENTERO(SI([@[Fecha_Nueva_Programada]]&lt;&gt;"";[@[Fecha_Nueva_Programada]];[@[Fecha_Programada_Fin]])))</f>
        <v/>
      </c>
      <c r="R646" s="12" t="n"/>
      <c r="S646" s="12" t="n"/>
      <c r="T646" s="13" t="n"/>
      <c r="U646" s="12" t="n">
        <v>17</v>
      </c>
      <c r="V646" s="12" t="n"/>
      <c r="W64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46" s="14">
        <f>SI([@SBAN]="";"";BUSCARV([@SBAN];Cronograma_Maestro!$A:$M;6;FALSO))</f>
        <v/>
      </c>
    </row>
    <row r="647">
      <c r="A647" s="11" t="inlineStr">
        <is>
          <t>6330</t>
        </is>
      </c>
      <c r="B647" s="12">
        <f>SI([@SBAN]="";"";BUSCARV([@SBAN];Cronograma_Maestro!$A:$M;2;FALSO))</f>
        <v/>
      </c>
      <c r="C647" s="12">
        <f>SI([@SBAN]="";"";BUSCARV([@SBAN];Cronograma_Maestro!$A:$M;3;FALSO))</f>
        <v/>
      </c>
      <c r="D647" s="12">
        <f>SI([@SBAN]="";"";BUSCARV([@SBAN];Cronograma_Maestro!$A:$M;4;FALSO))</f>
        <v/>
      </c>
      <c r="E647" s="12">
        <f>SI([@SBAN]="";"";BUSCARV([@SBAN];Cronograma_Maestro!$A:$M;5;FALSO))</f>
        <v/>
      </c>
      <c r="F647" s="12" t="inlineStr">
        <is>
          <t>Jorge Felipe Munive Medina</t>
        </is>
      </c>
      <c r="G647" s="12" t="inlineStr">
        <is>
          <t>PMU COLSOF</t>
        </is>
      </c>
      <c r="H647" s="13" t="n">
        <v>46280</v>
      </c>
      <c r="I647" s="13" t="n">
        <v>46280</v>
      </c>
      <c r="J647" s="13" t="n"/>
      <c r="K647" s="13" t="n"/>
      <c r="L647" s="12" t="inlineStr">
        <is>
          <t>Programada</t>
        </is>
      </c>
      <c r="M647" s="13" t="n"/>
      <c r="N647" s="14">
        <f>SI(O([@[Fecha_Programada_Inicio]]="";[@[Fecha_Inicio_Real]]="");"";SI([@[Fecha_Inicio_Real]]&lt;=[@[Fecha_Programada_Inicio]];"SÍ";"NO"))</f>
        <v/>
      </c>
      <c r="O647" s="14">
        <f>SI(O([@[Fecha_Programada_Fin]]="";[@[Fecha_Cierre_Operativo]]="");"";SI([@[Fecha_Cierre_Operativo]]&lt;=SI([@[Fecha_Nueva_Programada]]&lt;&gt;"";[@[Fecha_Nueva_Programada]];[@[Fecha_Programada_Fin]]);"SÍ";"NO"))</f>
        <v/>
      </c>
      <c r="P647" s="14">
        <f>SI(O([@[Cumpli_Ingreso]]="";[@[Cumpli_Salida]]="");"";SI(Y([@[Cumpli_Ingreso]]="SÍ";[@[Cumpli_Salida]]="SÍ");"SÍ";"NO"))</f>
        <v/>
      </c>
      <c r="Q647" s="15">
        <f>SI(O([@[Fecha_Programada_Fin]]="";[@[Fecha_Cierre_Operativo]]="");"";MAX(0;ENTERO([@[Fecha_Cierre_Operativo]])-ENTERO(SI([@[Fecha_Nueva_Programada]]&lt;&gt;"";[@[Fecha_Nueva_Programada]];[@[Fecha_Programada_Fin]])))</f>
        <v/>
      </c>
      <c r="R647" s="12" t="n"/>
      <c r="S647" s="12" t="n"/>
      <c r="T647" s="13" t="n"/>
      <c r="U647" s="12" t="n">
        <v>14</v>
      </c>
      <c r="V647" s="12" t="n"/>
      <c r="W64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47" s="14">
        <f>SI([@SBAN]="";"";BUSCARV([@SBAN];Cronograma_Maestro!$A:$M;6;FALSO))</f>
        <v/>
      </c>
    </row>
    <row r="648">
      <c r="A648" s="11" t="inlineStr">
        <is>
          <t>6335</t>
        </is>
      </c>
      <c r="B648" s="12">
        <f>SI([@SBAN]="";"";BUSCARV([@SBAN];Cronograma_Maestro!$A:$M;2;FALSO))</f>
        <v/>
      </c>
      <c r="C648" s="12">
        <f>SI([@SBAN]="";"";BUSCARV([@SBAN];Cronograma_Maestro!$A:$M;3;FALSO))</f>
        <v/>
      </c>
      <c r="D648" s="12">
        <f>SI([@SBAN]="";"";BUSCARV([@SBAN];Cronograma_Maestro!$A:$M;4;FALSO))</f>
        <v/>
      </c>
      <c r="E648" s="12">
        <f>SI([@SBAN]="";"";BUSCARV([@SBAN];Cronograma_Maestro!$A:$M;5;FALSO))</f>
        <v/>
      </c>
      <c r="F648" s="12" t="inlineStr">
        <is>
          <t>Laura Camila Ospino Taborda</t>
        </is>
      </c>
      <c r="G648" s="12" t="inlineStr">
        <is>
          <t>PMU COLSOF</t>
        </is>
      </c>
      <c r="H648" s="13" t="n">
        <v>46295</v>
      </c>
      <c r="I648" s="13" t="n">
        <v>46295</v>
      </c>
      <c r="J648" s="13" t="n"/>
      <c r="K648" s="13" t="n"/>
      <c r="L648" s="12" t="inlineStr">
        <is>
          <t>Programada</t>
        </is>
      </c>
      <c r="M648" s="13" t="n"/>
      <c r="N648" s="14">
        <f>SI(O([@[Fecha_Programada_Inicio]]="";[@[Fecha_Inicio_Real]]="");"";SI([@[Fecha_Inicio_Real]]&lt;=[@[Fecha_Programada_Inicio]];"SÍ";"NO"))</f>
        <v/>
      </c>
      <c r="O648" s="14">
        <f>SI(O([@[Fecha_Programada_Fin]]="";[@[Fecha_Cierre_Operativo]]="");"";SI([@[Fecha_Cierre_Operativo]]&lt;=SI([@[Fecha_Nueva_Programada]]&lt;&gt;"";[@[Fecha_Nueva_Programada]];[@[Fecha_Programada_Fin]]);"SÍ";"NO"))</f>
        <v/>
      </c>
      <c r="P648" s="14">
        <f>SI(O([@[Cumpli_Ingreso]]="";[@[Cumpli_Salida]]="");"";SI(Y([@[Cumpli_Ingreso]]="SÍ";[@[Cumpli_Salida]]="SÍ");"SÍ";"NO"))</f>
        <v/>
      </c>
      <c r="Q648" s="15">
        <f>SI(O([@[Fecha_Programada_Fin]]="";[@[Fecha_Cierre_Operativo]]="");"";MAX(0;ENTERO([@[Fecha_Cierre_Operativo]])-ENTERO(SI([@[Fecha_Nueva_Programada]]&lt;&gt;"";[@[Fecha_Nueva_Programada]];[@[Fecha_Programada_Fin]])))</f>
        <v/>
      </c>
      <c r="R648" s="12" t="n"/>
      <c r="S648" s="12" t="n"/>
      <c r="T648" s="13" t="n"/>
      <c r="U648" s="12" t="n">
        <v>14</v>
      </c>
      <c r="V648" s="12" t="n"/>
      <c r="W64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48" s="14">
        <f>SI([@SBAN]="";"";BUSCARV([@SBAN];Cronograma_Maestro!$A:$M;6;FALSO))</f>
        <v/>
      </c>
    </row>
    <row r="649">
      <c r="A649" s="11" t="inlineStr">
        <is>
          <t>6340</t>
        </is>
      </c>
      <c r="B649" s="12">
        <f>SI([@SBAN]="";"";BUSCARV([@SBAN];Cronograma_Maestro!$A:$M;2;FALSO))</f>
        <v/>
      </c>
      <c r="C649" s="12">
        <f>SI([@SBAN]="";"";BUSCARV([@SBAN];Cronograma_Maestro!$A:$M;3;FALSO))</f>
        <v/>
      </c>
      <c r="D649" s="12">
        <f>SI([@SBAN]="";"";BUSCARV([@SBAN];Cronograma_Maestro!$A:$M;4;FALSO))</f>
        <v/>
      </c>
      <c r="E649" s="12">
        <f>SI([@SBAN]="";"";BUSCARV([@SBAN];Cronograma_Maestro!$A:$M;5;FALSO))</f>
        <v/>
      </c>
      <c r="F649" s="12" t="inlineStr">
        <is>
          <t>Jorge Felipe Munive Medina</t>
        </is>
      </c>
      <c r="G649" s="12" t="inlineStr">
        <is>
          <t>PMU COLSOF</t>
        </is>
      </c>
      <c r="H649" s="13" t="n">
        <v>46288</v>
      </c>
      <c r="I649" s="13" t="n">
        <v>46288</v>
      </c>
      <c r="J649" s="13" t="n"/>
      <c r="K649" s="13" t="n"/>
      <c r="L649" s="12" t="inlineStr">
        <is>
          <t>Programada</t>
        </is>
      </c>
      <c r="M649" s="13" t="n"/>
      <c r="N649" s="14">
        <f>SI(O([@[Fecha_Programada_Inicio]]="";[@[Fecha_Inicio_Real]]="");"";SI([@[Fecha_Inicio_Real]]&lt;=[@[Fecha_Programada_Inicio]];"SÍ";"NO"))</f>
        <v/>
      </c>
      <c r="O649" s="14">
        <f>SI(O([@[Fecha_Programada_Fin]]="";[@[Fecha_Cierre_Operativo]]="");"";SI([@[Fecha_Cierre_Operativo]]&lt;=SI([@[Fecha_Nueva_Programada]]&lt;&gt;"";[@[Fecha_Nueva_Programada]];[@[Fecha_Programada_Fin]]);"SÍ";"NO"))</f>
        <v/>
      </c>
      <c r="P649" s="14">
        <f>SI(O([@[Cumpli_Ingreso]]="";[@[Cumpli_Salida]]="");"";SI(Y([@[Cumpli_Ingreso]]="SÍ";[@[Cumpli_Salida]]="SÍ");"SÍ";"NO"))</f>
        <v/>
      </c>
      <c r="Q649" s="15">
        <f>SI(O([@[Fecha_Programada_Fin]]="";[@[Fecha_Cierre_Operativo]]="");"";MAX(0;ENTERO([@[Fecha_Cierre_Operativo]])-ENTERO(SI([@[Fecha_Nueva_Programada]]&lt;&gt;"";[@[Fecha_Nueva_Programada]];[@[Fecha_Programada_Fin]])))</f>
        <v/>
      </c>
      <c r="R649" s="12" t="n"/>
      <c r="S649" s="12" t="n"/>
      <c r="T649" s="13" t="n"/>
      <c r="U649" s="12" t="n">
        <v>22</v>
      </c>
      <c r="V649" s="12" t="n"/>
      <c r="W64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49" s="14">
        <f>SI([@SBAN]="";"";BUSCARV([@SBAN];Cronograma_Maestro!$A:$M;6;FALSO))</f>
        <v/>
      </c>
    </row>
    <row r="650">
      <c r="A650" s="11" t="inlineStr">
        <is>
          <t>6350</t>
        </is>
      </c>
      <c r="B650" s="12">
        <f>SI([@SBAN]="";"";BUSCARV([@SBAN];Cronograma_Maestro!$A:$M;2;FALSO))</f>
        <v/>
      </c>
      <c r="C650" s="12">
        <f>SI([@SBAN]="";"";BUSCARV([@SBAN];Cronograma_Maestro!$A:$M;3;FALSO))</f>
        <v/>
      </c>
      <c r="D650" s="12">
        <f>SI([@SBAN]="";"";BUSCARV([@SBAN];Cronograma_Maestro!$A:$M;4;FALSO))</f>
        <v/>
      </c>
      <c r="E650" s="12">
        <f>SI([@SBAN]="";"";BUSCARV([@SBAN];Cronograma_Maestro!$A:$M;5;FALSO))</f>
        <v/>
      </c>
      <c r="F650" s="12" t="inlineStr">
        <is>
          <t>Gabriel Eduardo Tapias Castellar</t>
        </is>
      </c>
      <c r="G650" s="12" t="inlineStr">
        <is>
          <t>PMU COLSOF</t>
        </is>
      </c>
      <c r="H650" s="13" t="n">
        <v>46280</v>
      </c>
      <c r="I650" s="13" t="n">
        <v>46280</v>
      </c>
      <c r="J650" s="13" t="n"/>
      <c r="K650" s="13" t="n"/>
      <c r="L650" s="12" t="inlineStr">
        <is>
          <t>Programada</t>
        </is>
      </c>
      <c r="M650" s="13" t="n"/>
      <c r="N650" s="14">
        <f>SI(O([@[Fecha_Programada_Inicio]]="";[@[Fecha_Inicio_Real]]="");"";SI([@[Fecha_Inicio_Real]]&lt;=[@[Fecha_Programada_Inicio]];"SÍ";"NO"))</f>
        <v/>
      </c>
      <c r="O650" s="14">
        <f>SI(O([@[Fecha_Programada_Fin]]="";[@[Fecha_Cierre_Operativo]]="");"";SI([@[Fecha_Cierre_Operativo]]&lt;=SI([@[Fecha_Nueva_Programada]]&lt;&gt;"";[@[Fecha_Nueva_Programada]];[@[Fecha_Programada_Fin]]);"SÍ";"NO"))</f>
        <v/>
      </c>
      <c r="P650" s="14">
        <f>SI(O([@[Cumpli_Ingreso]]="";[@[Cumpli_Salida]]="");"";SI(Y([@[Cumpli_Ingreso]]="SÍ";[@[Cumpli_Salida]]="SÍ");"SÍ";"NO"))</f>
        <v/>
      </c>
      <c r="Q650" s="15">
        <f>SI(O([@[Fecha_Programada_Fin]]="";[@[Fecha_Cierre_Operativo]]="");"";MAX(0;ENTERO([@[Fecha_Cierre_Operativo]])-ENTERO(SI([@[Fecha_Nueva_Programada]]&lt;&gt;"";[@[Fecha_Nueva_Programada]];[@[Fecha_Programada_Fin]])))</f>
        <v/>
      </c>
      <c r="R650" s="12" t="n"/>
      <c r="S650" s="12" t="n"/>
      <c r="T650" s="13" t="n"/>
      <c r="U650" s="12" t="n">
        <v>12</v>
      </c>
      <c r="V650" s="12" t="n"/>
      <c r="W65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50" s="14">
        <f>SI([@SBAN]="";"";BUSCARV([@SBAN];Cronograma_Maestro!$A:$M;6;FALSO))</f>
        <v/>
      </c>
    </row>
    <row r="651">
      <c r="A651" s="11" t="inlineStr">
        <is>
          <t>6360</t>
        </is>
      </c>
      <c r="B651" s="12">
        <f>SI([@SBAN]="";"";BUSCARV([@SBAN];Cronograma_Maestro!$A:$M;2;FALSO))</f>
        <v/>
      </c>
      <c r="C651" s="12">
        <f>SI([@SBAN]="";"";BUSCARV([@SBAN];Cronograma_Maestro!$A:$M;3;FALSO))</f>
        <v/>
      </c>
      <c r="D651" s="12">
        <f>SI([@SBAN]="";"";BUSCARV([@SBAN];Cronograma_Maestro!$A:$M;4;FALSO))</f>
        <v/>
      </c>
      <c r="E651" s="12">
        <f>SI([@SBAN]="";"";BUSCARV([@SBAN];Cronograma_Maestro!$A:$M;5;FALSO))</f>
        <v/>
      </c>
      <c r="F651" s="12" t="inlineStr">
        <is>
          <t>Laura Camila Ospino Taborda</t>
        </is>
      </c>
      <c r="G651" s="12" t="inlineStr">
        <is>
          <t>PMU COLSOF</t>
        </is>
      </c>
      <c r="H651" s="13" t="n">
        <v>46294</v>
      </c>
      <c r="I651" s="13" t="n">
        <v>46294</v>
      </c>
      <c r="J651" s="13" t="n"/>
      <c r="K651" s="13" t="n"/>
      <c r="L651" s="12" t="inlineStr">
        <is>
          <t>Programada</t>
        </is>
      </c>
      <c r="M651" s="13" t="n"/>
      <c r="N651" s="14">
        <f>SI(O([@[Fecha_Programada_Inicio]]="";[@[Fecha_Inicio_Real]]="");"";SI([@[Fecha_Inicio_Real]]&lt;=[@[Fecha_Programada_Inicio]];"SÍ";"NO"))</f>
        <v/>
      </c>
      <c r="O651" s="14">
        <f>SI(O([@[Fecha_Programada_Fin]]="";[@[Fecha_Cierre_Operativo]]="");"";SI([@[Fecha_Cierre_Operativo]]&lt;=SI([@[Fecha_Nueva_Programada]]&lt;&gt;"";[@[Fecha_Nueva_Programada]];[@[Fecha_Programada_Fin]]);"SÍ";"NO"))</f>
        <v/>
      </c>
      <c r="P651" s="14">
        <f>SI(O([@[Cumpli_Ingreso]]="";[@[Cumpli_Salida]]="");"";SI(Y([@[Cumpli_Ingreso]]="SÍ";[@[Cumpli_Salida]]="SÍ");"SÍ";"NO"))</f>
        <v/>
      </c>
      <c r="Q651" s="15">
        <f>SI(O([@[Fecha_Programada_Fin]]="";[@[Fecha_Cierre_Operativo]]="");"";MAX(0;ENTERO([@[Fecha_Cierre_Operativo]])-ENTERO(SI([@[Fecha_Nueva_Programada]]&lt;&gt;"";[@[Fecha_Nueva_Programada]];[@[Fecha_Programada_Fin]])))</f>
        <v/>
      </c>
      <c r="R651" s="12" t="n"/>
      <c r="S651" s="12" t="n"/>
      <c r="T651" s="13" t="n"/>
      <c r="U651" s="12" t="n">
        <v>18</v>
      </c>
      <c r="V651" s="12" t="n"/>
      <c r="W65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51" s="14">
        <f>SI([@SBAN]="";"";BUSCARV([@SBAN];Cronograma_Maestro!$A:$M;6;FALSO))</f>
        <v/>
      </c>
    </row>
    <row r="652">
      <c r="A652" s="11" t="inlineStr">
        <is>
          <t>6362</t>
        </is>
      </c>
      <c r="B652" s="12">
        <f>SI([@SBAN]="";"";BUSCARV([@SBAN];Cronograma_Maestro!$A:$M;2;FALSO))</f>
        <v/>
      </c>
      <c r="C652" s="12">
        <f>SI([@SBAN]="";"";BUSCARV([@SBAN];Cronograma_Maestro!$A:$M;3;FALSO))</f>
        <v/>
      </c>
      <c r="D652" s="12">
        <f>SI([@SBAN]="";"";BUSCARV([@SBAN];Cronograma_Maestro!$A:$M;4;FALSO))</f>
        <v/>
      </c>
      <c r="E652" s="12">
        <f>SI([@SBAN]="";"";BUSCARV([@SBAN];Cronograma_Maestro!$A:$M;5;FALSO))</f>
        <v/>
      </c>
      <c r="F652" s="12" t="inlineStr">
        <is>
          <t>Jorge Felipe Munive Medina</t>
        </is>
      </c>
      <c r="G652" s="12" t="inlineStr">
        <is>
          <t>PMU COLSOF</t>
        </is>
      </c>
      <c r="H652" s="13" t="n">
        <v>46282</v>
      </c>
      <c r="I652" s="13" t="n">
        <v>46282</v>
      </c>
      <c r="J652" s="13" t="n"/>
      <c r="K652" s="13" t="n"/>
      <c r="L652" s="12" t="inlineStr">
        <is>
          <t>Programada</t>
        </is>
      </c>
      <c r="M652" s="13" t="n"/>
      <c r="N652" s="14">
        <f>SI(O([@[Fecha_Programada_Inicio]]="";[@[Fecha_Inicio_Real]]="");"";SI([@[Fecha_Inicio_Real]]&lt;=[@[Fecha_Programada_Inicio]];"SÍ";"NO"))</f>
        <v/>
      </c>
      <c r="O652" s="14">
        <f>SI(O([@[Fecha_Programada_Fin]]="";[@[Fecha_Cierre_Operativo]]="");"";SI([@[Fecha_Cierre_Operativo]]&lt;=SI([@[Fecha_Nueva_Programada]]&lt;&gt;"";[@[Fecha_Nueva_Programada]];[@[Fecha_Programada_Fin]]);"SÍ";"NO"))</f>
        <v/>
      </c>
      <c r="P652" s="14">
        <f>SI(O([@[Cumpli_Ingreso]]="";[@[Cumpli_Salida]]="");"";SI(Y([@[Cumpli_Ingreso]]="SÍ";[@[Cumpli_Salida]]="SÍ");"SÍ";"NO"))</f>
        <v/>
      </c>
      <c r="Q652" s="15">
        <f>SI(O([@[Fecha_Programada_Fin]]="";[@[Fecha_Cierre_Operativo]]="");"";MAX(0;ENTERO([@[Fecha_Cierre_Operativo]])-ENTERO(SI([@[Fecha_Nueva_Programada]]&lt;&gt;"";[@[Fecha_Nueva_Programada]];[@[Fecha_Programada_Fin]])))</f>
        <v/>
      </c>
      <c r="R652" s="12" t="n"/>
      <c r="S652" s="12" t="n"/>
      <c r="T652" s="13" t="n"/>
      <c r="U652" s="12" t="n">
        <v>12</v>
      </c>
      <c r="V652" s="12" t="n"/>
      <c r="W65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52" s="14">
        <f>SI([@SBAN]="";"";BUSCARV([@SBAN];Cronograma_Maestro!$A:$M;6;FALSO))</f>
        <v/>
      </c>
    </row>
    <row r="653">
      <c r="A653" s="11" t="inlineStr">
        <is>
          <t>6364</t>
        </is>
      </c>
      <c r="B653" s="12">
        <f>SI([@SBAN]="";"";BUSCARV([@SBAN];Cronograma_Maestro!$A:$M;2;FALSO))</f>
        <v/>
      </c>
      <c r="C653" s="12">
        <f>SI([@SBAN]="";"";BUSCARV([@SBAN];Cronograma_Maestro!$A:$M;3;FALSO))</f>
        <v/>
      </c>
      <c r="D653" s="12">
        <f>SI([@SBAN]="";"";BUSCARV([@SBAN];Cronograma_Maestro!$A:$M;4;FALSO))</f>
        <v/>
      </c>
      <c r="E653" s="12">
        <f>SI([@SBAN]="";"";BUSCARV([@SBAN];Cronograma_Maestro!$A:$M;5;FALSO))</f>
        <v/>
      </c>
      <c r="F653" s="12" t="inlineStr">
        <is>
          <t>Jorge Felipe Munive Medina</t>
        </is>
      </c>
      <c r="G653" s="12" t="inlineStr">
        <is>
          <t>PMU COLSOF</t>
        </is>
      </c>
      <c r="H653" s="13" t="n">
        <v>46279</v>
      </c>
      <c r="I653" s="13" t="n">
        <v>46279</v>
      </c>
      <c r="J653" s="13" t="n"/>
      <c r="K653" s="13" t="n"/>
      <c r="L653" s="12" t="inlineStr">
        <is>
          <t>Programada</t>
        </is>
      </c>
      <c r="M653" s="13" t="n"/>
      <c r="N653" s="14">
        <f>SI(O([@[Fecha_Programada_Inicio]]="";[@[Fecha_Inicio_Real]]="");"";SI([@[Fecha_Inicio_Real]]&lt;=[@[Fecha_Programada_Inicio]];"SÍ";"NO"))</f>
        <v/>
      </c>
      <c r="O653" s="14">
        <f>SI(O([@[Fecha_Programada_Fin]]="";[@[Fecha_Cierre_Operativo]]="");"";SI([@[Fecha_Cierre_Operativo]]&lt;=SI([@[Fecha_Nueva_Programada]]&lt;&gt;"";[@[Fecha_Nueva_Programada]];[@[Fecha_Programada_Fin]]);"SÍ";"NO"))</f>
        <v/>
      </c>
      <c r="P653" s="14">
        <f>SI(O([@[Cumpli_Ingreso]]="";[@[Cumpli_Salida]]="");"";SI(Y([@[Cumpli_Ingreso]]="SÍ";[@[Cumpli_Salida]]="SÍ");"SÍ";"NO"))</f>
        <v/>
      </c>
      <c r="Q653" s="15">
        <f>SI(O([@[Fecha_Programada_Fin]]="";[@[Fecha_Cierre_Operativo]]="");"";MAX(0;ENTERO([@[Fecha_Cierre_Operativo]])-ENTERO(SI([@[Fecha_Nueva_Programada]]&lt;&gt;"";[@[Fecha_Nueva_Programada]];[@[Fecha_Programada_Fin]])))</f>
        <v/>
      </c>
      <c r="R653" s="12" t="n"/>
      <c r="S653" s="12" t="n"/>
      <c r="T653" s="13" t="n"/>
      <c r="U653" s="12" t="n">
        <v>18</v>
      </c>
      <c r="V653" s="12" t="n"/>
      <c r="W65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53" s="14">
        <f>SI([@SBAN]="";"";BUSCARV([@SBAN];Cronograma_Maestro!$A:$M;6;FALSO))</f>
        <v/>
      </c>
    </row>
    <row r="654">
      <c r="A654" s="11" t="inlineStr">
        <is>
          <t>6366</t>
        </is>
      </c>
      <c r="B654" s="12">
        <f>SI([@SBAN]="";"";BUSCARV([@SBAN];Cronograma_Maestro!$A:$M;2;FALSO))</f>
        <v/>
      </c>
      <c r="C654" s="12">
        <f>SI([@SBAN]="";"";BUSCARV([@SBAN];Cronograma_Maestro!$A:$M;3;FALSO))</f>
        <v/>
      </c>
      <c r="D654" s="12">
        <f>SI([@SBAN]="";"";BUSCARV([@SBAN];Cronograma_Maestro!$A:$M;4;FALSO))</f>
        <v/>
      </c>
      <c r="E654" s="12">
        <f>SI([@SBAN]="";"";BUSCARV([@SBAN];Cronograma_Maestro!$A:$M;5;FALSO))</f>
        <v/>
      </c>
      <c r="F654" s="12" t="inlineStr">
        <is>
          <t>Laura Camila Ospino Taborda</t>
        </is>
      </c>
      <c r="G654" s="12" t="inlineStr">
        <is>
          <t>PMU COLSOF</t>
        </is>
      </c>
      <c r="H654" s="13" t="n">
        <v>46296</v>
      </c>
      <c r="I654" s="13" t="n">
        <v>46296</v>
      </c>
      <c r="J654" s="13" t="n"/>
      <c r="K654" s="13" t="n"/>
      <c r="L654" s="12" t="inlineStr">
        <is>
          <t>Programada</t>
        </is>
      </c>
      <c r="M654" s="13" t="n"/>
      <c r="N654" s="14">
        <f>SI(O([@[Fecha_Programada_Inicio]]="";[@[Fecha_Inicio_Real]]="");"";SI([@[Fecha_Inicio_Real]]&lt;=[@[Fecha_Programada_Inicio]];"SÍ";"NO"))</f>
        <v/>
      </c>
      <c r="O654" s="14">
        <f>SI(O([@[Fecha_Programada_Fin]]="";[@[Fecha_Cierre_Operativo]]="");"";SI([@[Fecha_Cierre_Operativo]]&lt;=SI([@[Fecha_Nueva_Programada]]&lt;&gt;"";[@[Fecha_Nueva_Programada]];[@[Fecha_Programada_Fin]]);"SÍ";"NO"))</f>
        <v/>
      </c>
      <c r="P654" s="14">
        <f>SI(O([@[Cumpli_Ingreso]]="";[@[Cumpli_Salida]]="");"";SI(Y([@[Cumpli_Ingreso]]="SÍ";[@[Cumpli_Salida]]="SÍ");"SÍ";"NO"))</f>
        <v/>
      </c>
      <c r="Q654" s="15">
        <f>SI(O([@[Fecha_Programada_Fin]]="";[@[Fecha_Cierre_Operativo]]="");"";MAX(0;ENTERO([@[Fecha_Cierre_Operativo]])-ENTERO(SI([@[Fecha_Nueva_Programada]]&lt;&gt;"";[@[Fecha_Nueva_Programada]];[@[Fecha_Programada_Fin]])))</f>
        <v/>
      </c>
      <c r="R654" s="12" t="n"/>
      <c r="S654" s="12" t="n"/>
      <c r="T654" s="13" t="n"/>
      <c r="U654" s="12" t="n">
        <v>18</v>
      </c>
      <c r="V654" s="12" t="n"/>
      <c r="W65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54" s="14">
        <f>SI([@SBAN]="";"";BUSCARV([@SBAN];Cronograma_Maestro!$A:$M;6;FALSO))</f>
        <v/>
      </c>
    </row>
    <row r="655">
      <c r="A655" s="11" t="inlineStr">
        <is>
          <t>6368</t>
        </is>
      </c>
      <c r="B655" s="12">
        <f>SI([@SBAN]="";"";BUSCARV([@SBAN];Cronograma_Maestro!$A:$M;2;FALSO))</f>
        <v/>
      </c>
      <c r="C655" s="12">
        <f>SI([@SBAN]="";"";BUSCARV([@SBAN];Cronograma_Maestro!$A:$M;3;FALSO))</f>
        <v/>
      </c>
      <c r="D655" s="12">
        <f>SI([@SBAN]="";"";BUSCARV([@SBAN];Cronograma_Maestro!$A:$M;4;FALSO))</f>
        <v/>
      </c>
      <c r="E655" s="12">
        <f>SI([@SBAN]="";"";BUSCARV([@SBAN];Cronograma_Maestro!$A:$M;5;FALSO))</f>
        <v/>
      </c>
      <c r="F655" s="12" t="inlineStr">
        <is>
          <t>Gabriel Ivan Ballesteros Quiroz</t>
        </is>
      </c>
      <c r="G655" s="12" t="inlineStr">
        <is>
          <t>PMU COLSOF</t>
        </is>
      </c>
      <c r="H655" s="13" t="n">
        <v>46281</v>
      </c>
      <c r="I655" s="13" t="n">
        <v>46281</v>
      </c>
      <c r="J655" s="13" t="n"/>
      <c r="K655" s="13" t="n"/>
      <c r="L655" s="12" t="inlineStr">
        <is>
          <t>Programada</t>
        </is>
      </c>
      <c r="M655" s="13" t="n"/>
      <c r="N655" s="14">
        <f>SI(O([@[Fecha_Programada_Inicio]]="";[@[Fecha_Inicio_Real]]="");"";SI([@[Fecha_Inicio_Real]]&lt;=[@[Fecha_Programada_Inicio]];"SÍ";"NO"))</f>
        <v/>
      </c>
      <c r="O655" s="14">
        <f>SI(O([@[Fecha_Programada_Fin]]="";[@[Fecha_Cierre_Operativo]]="");"";SI([@[Fecha_Cierre_Operativo]]&lt;=SI([@[Fecha_Nueva_Programada]]&lt;&gt;"";[@[Fecha_Nueva_Programada]];[@[Fecha_Programada_Fin]]);"SÍ";"NO"))</f>
        <v/>
      </c>
      <c r="P655" s="14">
        <f>SI(O([@[Cumpli_Ingreso]]="";[@[Cumpli_Salida]]="");"";SI(Y([@[Cumpli_Ingreso]]="SÍ";[@[Cumpli_Salida]]="SÍ");"SÍ";"NO"))</f>
        <v/>
      </c>
      <c r="Q655" s="15">
        <f>SI(O([@[Fecha_Programada_Fin]]="";[@[Fecha_Cierre_Operativo]]="");"";MAX(0;ENTERO([@[Fecha_Cierre_Operativo]])-ENTERO(SI([@[Fecha_Nueva_Programada]]&lt;&gt;"";[@[Fecha_Nueva_Programada]];[@[Fecha_Programada_Fin]])))</f>
        <v/>
      </c>
      <c r="R655" s="12" t="n"/>
      <c r="S655" s="12" t="n"/>
      <c r="T655" s="13" t="n"/>
      <c r="U655" s="12" t="n">
        <v>12</v>
      </c>
      <c r="V655" s="12" t="n"/>
      <c r="W65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55" s="14">
        <f>SI([@SBAN]="";"";BUSCARV([@SBAN];Cronograma_Maestro!$A:$M;6;FALSO))</f>
        <v/>
      </c>
    </row>
    <row r="656">
      <c r="A656" s="11" t="inlineStr">
        <is>
          <t>6370</t>
        </is>
      </c>
      <c r="B656" s="12">
        <f>SI([@SBAN]="";"";BUSCARV([@SBAN];Cronograma_Maestro!$A:$M;2;FALSO))</f>
        <v/>
      </c>
      <c r="C656" s="12">
        <f>SI([@SBAN]="";"";BUSCARV([@SBAN];Cronograma_Maestro!$A:$M;3;FALSO))</f>
        <v/>
      </c>
      <c r="D656" s="12">
        <f>SI([@SBAN]="";"";BUSCARV([@SBAN];Cronograma_Maestro!$A:$M;4;FALSO))</f>
        <v/>
      </c>
      <c r="E656" s="12">
        <f>SI([@SBAN]="";"";BUSCARV([@SBAN];Cronograma_Maestro!$A:$M;5;FALSO))</f>
        <v/>
      </c>
      <c r="F656" s="12" t="inlineStr">
        <is>
          <t>Mauricio Rafael Narvaez Iriarte</t>
        </is>
      </c>
      <c r="G656" s="12" t="inlineStr">
        <is>
          <t>PMU COLSOF</t>
        </is>
      </c>
      <c r="H656" s="13" t="n">
        <v>46290</v>
      </c>
      <c r="I656" s="13" t="n">
        <v>46290</v>
      </c>
      <c r="J656" s="13" t="n"/>
      <c r="K656" s="13" t="n"/>
      <c r="L656" s="12" t="inlineStr">
        <is>
          <t>Programada</t>
        </is>
      </c>
      <c r="M656" s="13" t="n"/>
      <c r="N656" s="14">
        <f>SI(O([@[Fecha_Programada_Inicio]]="";[@[Fecha_Inicio_Real]]="");"";SI([@[Fecha_Inicio_Real]]&lt;=[@[Fecha_Programada_Inicio]];"SÍ";"NO"))</f>
        <v/>
      </c>
      <c r="O656" s="14">
        <f>SI(O([@[Fecha_Programada_Fin]]="";[@[Fecha_Cierre_Operativo]]="");"";SI([@[Fecha_Cierre_Operativo]]&lt;=SI([@[Fecha_Nueva_Programada]]&lt;&gt;"";[@[Fecha_Nueva_Programada]];[@[Fecha_Programada_Fin]]);"SÍ";"NO"))</f>
        <v/>
      </c>
      <c r="P656" s="14">
        <f>SI(O([@[Cumpli_Ingreso]]="";[@[Cumpli_Salida]]="");"";SI(Y([@[Cumpli_Ingreso]]="SÍ";[@[Cumpli_Salida]]="SÍ");"SÍ";"NO"))</f>
        <v/>
      </c>
      <c r="Q656" s="15">
        <f>SI(O([@[Fecha_Programada_Fin]]="";[@[Fecha_Cierre_Operativo]]="");"";MAX(0;ENTERO([@[Fecha_Cierre_Operativo]])-ENTERO(SI([@[Fecha_Nueva_Programada]]&lt;&gt;"";[@[Fecha_Nueva_Programada]];[@[Fecha_Programada_Fin]])))</f>
        <v/>
      </c>
      <c r="R656" s="12" t="n"/>
      <c r="S656" s="12" t="n"/>
      <c r="T656" s="13" t="n"/>
      <c r="U656" s="12" t="n">
        <v>15</v>
      </c>
      <c r="V656" s="12" t="n"/>
      <c r="W65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56" s="14">
        <f>SI([@SBAN]="";"";BUSCARV([@SBAN];Cronograma_Maestro!$A:$M;6;FALSO))</f>
        <v/>
      </c>
    </row>
    <row r="657">
      <c r="A657" s="11" t="inlineStr">
        <is>
          <t>6372</t>
        </is>
      </c>
      <c r="B657" s="12">
        <f>SI([@SBAN]="";"";BUSCARV([@SBAN];Cronograma_Maestro!$A:$M;2;FALSO))</f>
        <v/>
      </c>
      <c r="C657" s="12">
        <f>SI([@SBAN]="";"";BUSCARV([@SBAN];Cronograma_Maestro!$A:$M;3;FALSO))</f>
        <v/>
      </c>
      <c r="D657" s="12">
        <f>SI([@SBAN]="";"";BUSCARV([@SBAN];Cronograma_Maestro!$A:$M;4;FALSO))</f>
        <v/>
      </c>
      <c r="E657" s="12">
        <f>SI([@SBAN]="";"";BUSCARV([@SBAN];Cronograma_Maestro!$A:$M;5;FALSO))</f>
        <v/>
      </c>
      <c r="F657" s="12" t="inlineStr">
        <is>
          <t>Jorge Felipe Munive Medina</t>
        </is>
      </c>
      <c r="G657" s="12" t="inlineStr">
        <is>
          <t>PMU COLSOF</t>
        </is>
      </c>
      <c r="H657" s="13" t="n">
        <v>46290</v>
      </c>
      <c r="I657" s="13" t="n">
        <v>46290</v>
      </c>
      <c r="J657" s="13" t="n"/>
      <c r="K657" s="13" t="n"/>
      <c r="L657" s="12" t="inlineStr">
        <is>
          <t>Programada</t>
        </is>
      </c>
      <c r="M657" s="13" t="n"/>
      <c r="N657" s="14">
        <f>SI(O([@[Fecha_Programada_Inicio]]="";[@[Fecha_Inicio_Real]]="");"";SI([@[Fecha_Inicio_Real]]&lt;=[@[Fecha_Programada_Inicio]];"SÍ";"NO"))</f>
        <v/>
      </c>
      <c r="O657" s="14">
        <f>SI(O([@[Fecha_Programada_Fin]]="";[@[Fecha_Cierre_Operativo]]="");"";SI([@[Fecha_Cierre_Operativo]]&lt;=SI([@[Fecha_Nueva_Programada]]&lt;&gt;"";[@[Fecha_Nueva_Programada]];[@[Fecha_Programada_Fin]]);"SÍ";"NO"))</f>
        <v/>
      </c>
      <c r="P657" s="14">
        <f>SI(O([@[Cumpli_Ingreso]]="";[@[Cumpli_Salida]]="");"";SI(Y([@[Cumpli_Ingreso]]="SÍ";[@[Cumpli_Salida]]="SÍ");"SÍ";"NO"))</f>
        <v/>
      </c>
      <c r="Q657" s="15">
        <f>SI(O([@[Fecha_Programada_Fin]]="";[@[Fecha_Cierre_Operativo]]="");"";MAX(0;ENTERO([@[Fecha_Cierre_Operativo]])-ENTERO(SI([@[Fecha_Nueva_Programada]]&lt;&gt;"";[@[Fecha_Nueva_Programada]];[@[Fecha_Programada_Fin]])))</f>
        <v/>
      </c>
      <c r="R657" s="12" t="n"/>
      <c r="S657" s="12" t="n"/>
      <c r="T657" s="13" t="n"/>
      <c r="U657" s="12" t="n">
        <v>14</v>
      </c>
      <c r="V657" s="12" t="n"/>
      <c r="W65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57" s="14">
        <f>SI([@SBAN]="";"";BUSCARV([@SBAN];Cronograma_Maestro!$A:$M;6;FALSO))</f>
        <v/>
      </c>
    </row>
    <row r="658">
      <c r="A658" s="11" t="inlineStr">
        <is>
          <t>6380</t>
        </is>
      </c>
      <c r="B658" s="12">
        <f>SI([@SBAN]="";"";BUSCARV([@SBAN];Cronograma_Maestro!$A:$M;2;FALSO))</f>
        <v/>
      </c>
      <c r="C658" s="12">
        <f>SI([@SBAN]="";"";BUSCARV([@SBAN];Cronograma_Maestro!$A:$M;3;FALSO))</f>
        <v/>
      </c>
      <c r="D658" s="12">
        <f>SI([@SBAN]="";"";BUSCARV([@SBAN];Cronograma_Maestro!$A:$M;4;FALSO))</f>
        <v/>
      </c>
      <c r="E658" s="12">
        <f>SI([@SBAN]="";"";BUSCARV([@SBAN];Cronograma_Maestro!$A:$M;5;FALSO))</f>
        <v/>
      </c>
      <c r="F658" s="12" t="inlineStr">
        <is>
          <t>Dimar Jose Morelo Cardona</t>
        </is>
      </c>
      <c r="G658" s="12" t="inlineStr">
        <is>
          <t>PMU COLSOF</t>
        </is>
      </c>
      <c r="H658" s="13" t="n">
        <v>46272</v>
      </c>
      <c r="I658" s="13" t="n">
        <v>46272</v>
      </c>
      <c r="J658" s="13" t="n"/>
      <c r="K658" s="13" t="n"/>
      <c r="L658" s="12" t="inlineStr">
        <is>
          <t>Programada</t>
        </is>
      </c>
      <c r="M658" s="13" t="n"/>
      <c r="N658" s="14">
        <f>SI(O([@[Fecha_Programada_Inicio]]="";[@[Fecha_Inicio_Real]]="");"";SI([@[Fecha_Inicio_Real]]&lt;=[@[Fecha_Programada_Inicio]];"SÍ";"NO"))</f>
        <v/>
      </c>
      <c r="O658" s="14">
        <f>SI(O([@[Fecha_Programada_Fin]]="";[@[Fecha_Cierre_Operativo]]="");"";SI([@[Fecha_Cierre_Operativo]]&lt;=SI([@[Fecha_Nueva_Programada]]&lt;&gt;"";[@[Fecha_Nueva_Programada]];[@[Fecha_Programada_Fin]]);"SÍ";"NO"))</f>
        <v/>
      </c>
      <c r="P658" s="14">
        <f>SI(O([@[Cumpli_Ingreso]]="";[@[Cumpli_Salida]]="");"";SI(Y([@[Cumpli_Ingreso]]="SÍ";[@[Cumpli_Salida]]="SÍ");"SÍ";"NO"))</f>
        <v/>
      </c>
      <c r="Q658" s="15">
        <f>SI(O([@[Fecha_Programada_Fin]]="";[@[Fecha_Cierre_Operativo]]="");"";MAX(0;ENTERO([@[Fecha_Cierre_Operativo]])-ENTERO(SI([@[Fecha_Nueva_Programada]]&lt;&gt;"";[@[Fecha_Nueva_Programada]];[@[Fecha_Programada_Fin]])))</f>
        <v/>
      </c>
      <c r="R658" s="12" t="n"/>
      <c r="S658" s="12" t="n"/>
      <c r="T658" s="13" t="n"/>
      <c r="U658" s="12" t="n">
        <v>16</v>
      </c>
      <c r="V658" s="12" t="n"/>
      <c r="W65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58" s="14">
        <f>SI([@SBAN]="";"";BUSCARV([@SBAN];Cronograma_Maestro!$A:$M;6;FALSO))</f>
        <v/>
      </c>
    </row>
    <row r="659">
      <c r="A659" s="11" t="inlineStr">
        <is>
          <t>6382</t>
        </is>
      </c>
      <c r="B659" s="12">
        <f>SI([@SBAN]="";"";BUSCARV([@SBAN];Cronograma_Maestro!$A:$M;2;FALSO))</f>
        <v/>
      </c>
      <c r="C659" s="12">
        <f>SI([@SBAN]="";"";BUSCARV([@SBAN];Cronograma_Maestro!$A:$M;3;FALSO))</f>
        <v/>
      </c>
      <c r="D659" s="12">
        <f>SI([@SBAN]="";"";BUSCARV([@SBAN];Cronograma_Maestro!$A:$M;4;FALSO))</f>
        <v/>
      </c>
      <c r="E659" s="12">
        <f>SI([@SBAN]="";"";BUSCARV([@SBAN];Cronograma_Maestro!$A:$M;5;FALSO))</f>
        <v/>
      </c>
      <c r="F659" s="12" t="inlineStr">
        <is>
          <t>Laura Camila Ospino Taborda</t>
        </is>
      </c>
      <c r="G659" s="12" t="inlineStr">
        <is>
          <t>PMU COLSOF</t>
        </is>
      </c>
      <c r="H659" s="13" t="n">
        <v>46288</v>
      </c>
      <c r="I659" s="13" t="n">
        <v>46288</v>
      </c>
      <c r="J659" s="13" t="n"/>
      <c r="K659" s="13" t="n"/>
      <c r="L659" s="12" t="inlineStr">
        <is>
          <t>Programada</t>
        </is>
      </c>
      <c r="M659" s="13" t="n"/>
      <c r="N659" s="14">
        <f>SI(O([@[Fecha_Programada_Inicio]]="";[@[Fecha_Inicio_Real]]="");"";SI([@[Fecha_Inicio_Real]]&lt;=[@[Fecha_Programada_Inicio]];"SÍ";"NO"))</f>
        <v/>
      </c>
      <c r="O659" s="14">
        <f>SI(O([@[Fecha_Programada_Fin]]="";[@[Fecha_Cierre_Operativo]]="");"";SI([@[Fecha_Cierre_Operativo]]&lt;=SI([@[Fecha_Nueva_Programada]]&lt;&gt;"";[@[Fecha_Nueva_Programada]];[@[Fecha_Programada_Fin]]);"SÍ";"NO"))</f>
        <v/>
      </c>
      <c r="P659" s="14">
        <f>SI(O([@[Cumpli_Ingreso]]="";[@[Cumpli_Salida]]="");"";SI(Y([@[Cumpli_Ingreso]]="SÍ";[@[Cumpli_Salida]]="SÍ");"SÍ";"NO"))</f>
        <v/>
      </c>
      <c r="Q659" s="15">
        <f>SI(O([@[Fecha_Programada_Fin]]="";[@[Fecha_Cierre_Operativo]]="");"";MAX(0;ENTERO([@[Fecha_Cierre_Operativo]])-ENTERO(SI([@[Fecha_Nueva_Programada]]&lt;&gt;"";[@[Fecha_Nueva_Programada]];[@[Fecha_Programada_Fin]])))</f>
        <v/>
      </c>
      <c r="R659" s="12" t="n"/>
      <c r="S659" s="12" t="n"/>
      <c r="T659" s="13" t="n"/>
      <c r="U659" s="12" t="n">
        <v>12</v>
      </c>
      <c r="V659" s="12" t="n"/>
      <c r="W65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59" s="14">
        <f>SI([@SBAN]="";"";BUSCARV([@SBAN];Cronograma_Maestro!$A:$M;6;FALSO))</f>
        <v/>
      </c>
    </row>
    <row r="660">
      <c r="A660" s="11" t="inlineStr">
        <is>
          <t>6601</t>
        </is>
      </c>
      <c r="B660" s="12">
        <f>SI([@SBAN]="";"";BUSCARV([@SBAN];Cronograma_Maestro!$A:$M;2;FALSO))</f>
        <v/>
      </c>
      <c r="C660" s="12">
        <f>SI([@SBAN]="";"";BUSCARV([@SBAN];Cronograma_Maestro!$A:$M;3;FALSO))</f>
        <v/>
      </c>
      <c r="D660" s="12">
        <f>SI([@SBAN]="";"";BUSCARV([@SBAN];Cronograma_Maestro!$A:$M;4;FALSO))</f>
        <v/>
      </c>
      <c r="E660" s="12">
        <f>SI([@SBAN]="";"";BUSCARV([@SBAN];Cronograma_Maestro!$A:$M;5;FALSO))</f>
        <v/>
      </c>
      <c r="F660" s="12" t="inlineStr">
        <is>
          <t>WILLIAM FERNANDO ALDANA NIÑO</t>
        </is>
      </c>
      <c r="G660" s="12" t="inlineStr">
        <is>
          <t>PMU COLSOF</t>
        </is>
      </c>
      <c r="H660" s="13" t="n">
        <v>46301</v>
      </c>
      <c r="I660" s="13" t="n">
        <v>46311</v>
      </c>
      <c r="J660" s="13" t="n"/>
      <c r="K660" s="13" t="n"/>
      <c r="L660" s="12" t="inlineStr">
        <is>
          <t>Programada</t>
        </is>
      </c>
      <c r="M660" s="13" t="n"/>
      <c r="N660" s="14">
        <f>SI(O([@[Fecha_Programada_Inicio]]="";[@[Fecha_Inicio_Real]]="");"";SI([@[Fecha_Inicio_Real]]&lt;=[@[Fecha_Programada_Inicio]];"SÍ";"NO"))</f>
        <v/>
      </c>
      <c r="O660" s="14">
        <f>SI(O([@[Fecha_Programada_Fin]]="";[@[Fecha_Cierre_Operativo]]="");"";SI([@[Fecha_Cierre_Operativo]]&lt;=SI([@[Fecha_Nueva_Programada]]&lt;&gt;"";[@[Fecha_Nueva_Programada]];[@[Fecha_Programada_Fin]]);"SÍ";"NO"))</f>
        <v/>
      </c>
      <c r="P660" s="14">
        <f>SI(O([@[Cumpli_Ingreso]]="";[@[Cumpli_Salida]]="");"";SI(Y([@[Cumpli_Ingreso]]="SÍ";[@[Cumpli_Salida]]="SÍ");"SÍ";"NO"))</f>
        <v/>
      </c>
      <c r="Q660" s="15">
        <f>SI(O([@[Fecha_Programada_Fin]]="";[@[Fecha_Cierre_Operativo]]="");"";MAX(0;ENTERO([@[Fecha_Cierre_Operativo]])-ENTERO(SI([@[Fecha_Nueva_Programada]]&lt;&gt;"";[@[Fecha_Nueva_Programada]];[@[Fecha_Programada_Fin]])))</f>
        <v/>
      </c>
      <c r="R660" s="12" t="n"/>
      <c r="S660" s="12" t="n"/>
      <c r="T660" s="13" t="n"/>
      <c r="U660" s="12" t="n">
        <v>74</v>
      </c>
      <c r="V660" s="12" t="n"/>
      <c r="W66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60" s="14">
        <f>SI([@SBAN]="";"";BUSCARV([@SBAN];Cronograma_Maestro!$A:$M;6;FALSO))</f>
        <v/>
      </c>
    </row>
    <row r="661">
      <c r="A661" s="11" t="inlineStr">
        <is>
          <t>6605</t>
        </is>
      </c>
      <c r="B661" s="12">
        <f>SI([@SBAN]="";"";BUSCARV([@SBAN];Cronograma_Maestro!$A:$M;2;FALSO))</f>
        <v/>
      </c>
      <c r="C661" s="12">
        <f>SI([@SBAN]="";"";BUSCARV([@SBAN];Cronograma_Maestro!$A:$M;3;FALSO))</f>
        <v/>
      </c>
      <c r="D661" s="12">
        <f>SI([@SBAN]="";"";BUSCARV([@SBAN];Cronograma_Maestro!$A:$M;4;FALSO))</f>
        <v/>
      </c>
      <c r="E661" s="12">
        <f>SI([@SBAN]="";"";BUSCARV([@SBAN];Cronograma_Maestro!$A:$M;5;FALSO))</f>
        <v/>
      </c>
      <c r="F661" s="12" t="inlineStr">
        <is>
          <t>Yeisson Castaño</t>
        </is>
      </c>
      <c r="G661" s="12" t="inlineStr">
        <is>
          <t>PMU COLSOF</t>
        </is>
      </c>
      <c r="H661" s="13" t="n">
        <v>46269</v>
      </c>
      <c r="I661" s="13" t="n">
        <v>46269</v>
      </c>
      <c r="J661" s="13" t="n"/>
      <c r="K661" s="13" t="n"/>
      <c r="L661" s="12" t="inlineStr">
        <is>
          <t>Programada</t>
        </is>
      </c>
      <c r="M661" s="13" t="n"/>
      <c r="N661" s="14">
        <f>SI(O([@[Fecha_Programada_Inicio]]="";[@[Fecha_Inicio_Real]]="");"";SI([@[Fecha_Inicio_Real]]&lt;=[@[Fecha_Programada_Inicio]];"SÍ";"NO"))</f>
        <v/>
      </c>
      <c r="O661" s="14">
        <f>SI(O([@[Fecha_Programada_Fin]]="";[@[Fecha_Cierre_Operativo]]="");"";SI([@[Fecha_Cierre_Operativo]]&lt;=SI([@[Fecha_Nueva_Programada]]&lt;&gt;"";[@[Fecha_Nueva_Programada]];[@[Fecha_Programada_Fin]]);"SÍ";"NO"))</f>
        <v/>
      </c>
      <c r="P661" s="14">
        <f>SI(O([@[Cumpli_Ingreso]]="";[@[Cumpli_Salida]]="");"";SI(Y([@[Cumpli_Ingreso]]="SÍ";[@[Cumpli_Salida]]="SÍ");"SÍ";"NO"))</f>
        <v/>
      </c>
      <c r="Q661" s="15">
        <f>SI(O([@[Fecha_Programada_Fin]]="";[@[Fecha_Cierre_Operativo]]="");"";MAX(0;ENTERO([@[Fecha_Cierre_Operativo]])-ENTERO(SI([@[Fecha_Nueva_Programada]]&lt;&gt;"";[@[Fecha_Nueva_Programada]];[@[Fecha_Programada_Fin]])))</f>
        <v/>
      </c>
      <c r="R661" s="12" t="n"/>
      <c r="S661" s="12" t="n"/>
      <c r="T661" s="13" t="n"/>
      <c r="U661" s="12" t="n">
        <v>13</v>
      </c>
      <c r="V661" s="12" t="n"/>
      <c r="W66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61" s="14">
        <f>SI([@SBAN]="";"";BUSCARV([@SBAN];Cronograma_Maestro!$A:$M;6;FALSO))</f>
        <v/>
      </c>
    </row>
    <row r="662">
      <c r="A662" s="11" t="inlineStr">
        <is>
          <t>6606</t>
        </is>
      </c>
      <c r="B662" s="12">
        <f>SI([@SBAN]="";"";BUSCARV([@SBAN];Cronograma_Maestro!$A:$M;2;FALSO))</f>
        <v/>
      </c>
      <c r="C662" s="12">
        <f>SI([@SBAN]="";"";BUSCARV([@SBAN];Cronograma_Maestro!$A:$M;3;FALSO))</f>
        <v/>
      </c>
      <c r="D662" s="12">
        <f>SI([@SBAN]="";"";BUSCARV([@SBAN];Cronograma_Maestro!$A:$M;4;FALSO))</f>
        <v/>
      </c>
      <c r="E662" s="12">
        <f>SI([@SBAN]="";"";BUSCARV([@SBAN];Cronograma_Maestro!$A:$M;5;FALSO))</f>
        <v/>
      </c>
      <c r="F662" s="12" t="inlineStr">
        <is>
          <t>Yeisson Castaño</t>
        </is>
      </c>
      <c r="G662" s="12" t="inlineStr">
        <is>
          <t>PMU COLSOF</t>
        </is>
      </c>
      <c r="H662" s="13" t="n">
        <v>46275</v>
      </c>
      <c r="I662" s="13" t="n">
        <v>46275</v>
      </c>
      <c r="J662" s="13" t="n"/>
      <c r="K662" s="13" t="n"/>
      <c r="L662" s="12" t="inlineStr">
        <is>
          <t>Programada</t>
        </is>
      </c>
      <c r="M662" s="13" t="n"/>
      <c r="N662" s="14">
        <f>SI(O([@[Fecha_Programada_Inicio]]="";[@[Fecha_Inicio_Real]]="");"";SI([@[Fecha_Inicio_Real]]&lt;=[@[Fecha_Programada_Inicio]];"SÍ";"NO"))</f>
        <v/>
      </c>
      <c r="O662" s="14">
        <f>SI(O([@[Fecha_Programada_Fin]]="";[@[Fecha_Cierre_Operativo]]="");"";SI([@[Fecha_Cierre_Operativo]]&lt;=SI([@[Fecha_Nueva_Programada]]&lt;&gt;"";[@[Fecha_Nueva_Programada]];[@[Fecha_Programada_Fin]]);"SÍ";"NO"))</f>
        <v/>
      </c>
      <c r="P662" s="14">
        <f>SI(O([@[Cumpli_Ingreso]]="";[@[Cumpli_Salida]]="");"";SI(Y([@[Cumpli_Ingreso]]="SÍ";[@[Cumpli_Salida]]="SÍ");"SÍ";"NO"))</f>
        <v/>
      </c>
      <c r="Q662" s="15">
        <f>SI(O([@[Fecha_Programada_Fin]]="";[@[Fecha_Cierre_Operativo]]="");"";MAX(0;ENTERO([@[Fecha_Cierre_Operativo]])-ENTERO(SI([@[Fecha_Nueva_Programada]]&lt;&gt;"";[@[Fecha_Nueva_Programada]];[@[Fecha_Programada_Fin]])))</f>
        <v/>
      </c>
      <c r="R662" s="12" t="n"/>
      <c r="S662" s="12" t="n"/>
      <c r="T662" s="13" t="n"/>
      <c r="U662" s="12" t="n">
        <v>17</v>
      </c>
      <c r="V662" s="12" t="n"/>
      <c r="W66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62" s="14">
        <f>SI([@SBAN]="";"";BUSCARV([@SBAN];Cronograma_Maestro!$A:$M;6;FALSO))</f>
        <v/>
      </c>
    </row>
    <row r="663">
      <c r="A663" s="11" t="inlineStr">
        <is>
          <t>6607</t>
        </is>
      </c>
      <c r="B663" s="12">
        <f>SI([@SBAN]="";"";BUSCARV([@SBAN];Cronograma_Maestro!$A:$M;2;FALSO))</f>
        <v/>
      </c>
      <c r="C663" s="12">
        <f>SI([@SBAN]="";"";BUSCARV([@SBAN];Cronograma_Maestro!$A:$M;3;FALSO))</f>
        <v/>
      </c>
      <c r="D663" s="12">
        <f>SI([@SBAN]="";"";BUSCARV([@SBAN];Cronograma_Maestro!$A:$M;4;FALSO))</f>
        <v/>
      </c>
      <c r="E663" s="12">
        <f>SI([@SBAN]="";"";BUSCARV([@SBAN];Cronograma_Maestro!$A:$M;5;FALSO))</f>
        <v/>
      </c>
      <c r="F663" s="12" t="inlineStr">
        <is>
          <t>Fernando Valencia- Bernardo Arango</t>
        </is>
      </c>
      <c r="G663" s="12" t="inlineStr">
        <is>
          <t>PMU COLSOF</t>
        </is>
      </c>
      <c r="H663" s="13" t="n">
        <v>46266</v>
      </c>
      <c r="I663" s="13" t="n">
        <v>46267</v>
      </c>
      <c r="J663" s="13" t="n">
        <v>46266</v>
      </c>
      <c r="K663" s="13" t="n"/>
      <c r="L663" s="12" t="inlineStr">
        <is>
          <t>En Proceso</t>
        </is>
      </c>
      <c r="M663" s="13" t="n"/>
      <c r="N663" s="14">
        <f>SI(O([@[Fecha_Programada_Inicio]]="";[@[Fecha_Inicio_Real]]="");"";SI([@[Fecha_Inicio_Real]]&lt;=[@[Fecha_Programada_Inicio]];"SÍ";"NO"))</f>
        <v/>
      </c>
      <c r="O663" s="14">
        <f>SI(O([@[Fecha_Programada_Fin]]="";[@[Fecha_Cierre_Operativo]]="");"";SI([@[Fecha_Cierre_Operativo]]&lt;=SI([@[Fecha_Nueva_Programada]]&lt;&gt;"";[@[Fecha_Nueva_Programada]];[@[Fecha_Programada_Fin]]);"SÍ";"NO"))</f>
        <v/>
      </c>
      <c r="P663" s="14">
        <f>SI(O([@[Cumpli_Ingreso]]="";[@[Cumpli_Salida]]="");"";SI(Y([@[Cumpli_Ingreso]]="SÍ";[@[Cumpli_Salida]]="SÍ");"SÍ";"NO"))</f>
        <v/>
      </c>
      <c r="Q663" s="15">
        <f>SI(O([@[Fecha_Programada_Fin]]="";[@[Fecha_Cierre_Operativo]]="");"";MAX(0;ENTERO([@[Fecha_Cierre_Operativo]])-ENTERO(SI([@[Fecha_Nueva_Programada]]&lt;&gt;"";[@[Fecha_Nueva_Programada]];[@[Fecha_Programada_Fin]])))</f>
        <v/>
      </c>
      <c r="R663" s="12" t="n"/>
      <c r="S663" s="12" t="n"/>
      <c r="T663" s="13" t="n"/>
      <c r="U663" s="12" t="n">
        <v>19</v>
      </c>
      <c r="V663" s="12" t="n"/>
      <c r="W66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63" s="14">
        <f>SI([@SBAN]="";"";BUSCARV([@SBAN];Cronograma_Maestro!$A:$M;6;FALSO))</f>
        <v/>
      </c>
    </row>
    <row r="664">
      <c r="A664" s="11" t="inlineStr">
        <is>
          <t>6608</t>
        </is>
      </c>
      <c r="B664" s="12">
        <f>SI([@SBAN]="";"";BUSCARV([@SBAN];Cronograma_Maestro!$A:$M;2;FALSO))</f>
        <v/>
      </c>
      <c r="C664" s="12">
        <f>SI([@SBAN]="";"";BUSCARV([@SBAN];Cronograma_Maestro!$A:$M;3;FALSO))</f>
        <v/>
      </c>
      <c r="D664" s="12">
        <f>SI([@SBAN]="";"";BUSCARV([@SBAN];Cronograma_Maestro!$A:$M;4;FALSO))</f>
        <v/>
      </c>
      <c r="E664" s="12">
        <f>SI([@SBAN]="";"";BUSCARV([@SBAN];Cronograma_Maestro!$A:$M;5;FALSO))</f>
        <v/>
      </c>
      <c r="F664" s="12" t="inlineStr">
        <is>
          <t>Fernando Valencia- Bernardo Arango</t>
        </is>
      </c>
      <c r="G664" s="12" t="inlineStr">
        <is>
          <t>PMU COLSOF</t>
        </is>
      </c>
      <c r="H664" s="13" t="n">
        <v>46332</v>
      </c>
      <c r="I664" s="13" t="n">
        <v>46332</v>
      </c>
      <c r="J664" s="13" t="n"/>
      <c r="K664" s="13" t="n"/>
      <c r="L664" s="12" t="inlineStr">
        <is>
          <t>Programada</t>
        </is>
      </c>
      <c r="M664" s="13" t="n"/>
      <c r="N664" s="14">
        <f>SI(O([@[Fecha_Programada_Inicio]]="";[@[Fecha_Inicio_Real]]="");"";SI([@[Fecha_Inicio_Real]]&lt;=[@[Fecha_Programada_Inicio]];"SÍ";"NO"))</f>
        <v/>
      </c>
      <c r="O664" s="14">
        <f>SI(O([@[Fecha_Programada_Fin]]="";[@[Fecha_Cierre_Operativo]]="");"";SI([@[Fecha_Cierre_Operativo]]&lt;=SI([@[Fecha_Nueva_Programada]]&lt;&gt;"";[@[Fecha_Nueva_Programada]];[@[Fecha_Programada_Fin]]);"SÍ";"NO"))</f>
        <v/>
      </c>
      <c r="P664" s="14">
        <f>SI(O([@[Cumpli_Ingreso]]="";[@[Cumpli_Salida]]="");"";SI(Y([@[Cumpli_Ingreso]]="SÍ";[@[Cumpli_Salida]]="SÍ");"SÍ";"NO"))</f>
        <v/>
      </c>
      <c r="Q664" s="15">
        <f>SI(O([@[Fecha_Programada_Fin]]="";[@[Fecha_Cierre_Operativo]]="");"";MAX(0;ENTERO([@[Fecha_Cierre_Operativo]])-ENTERO(SI([@[Fecha_Nueva_Programada]]&lt;&gt;"";[@[Fecha_Nueva_Programada]];[@[Fecha_Programada_Fin]])))</f>
        <v/>
      </c>
      <c r="R664" s="12" t="n"/>
      <c r="S664" s="12" t="n"/>
      <c r="T664" s="13" t="n"/>
      <c r="U664" s="12" t="n">
        <v>21</v>
      </c>
      <c r="V664" s="12" t="n"/>
      <c r="W66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64" s="14">
        <f>SI([@SBAN]="";"";BUSCARV([@SBAN];Cronograma_Maestro!$A:$M;6;FALSO))</f>
        <v/>
      </c>
    </row>
    <row r="665">
      <c r="A665" s="11" t="inlineStr">
        <is>
          <t>6609</t>
        </is>
      </c>
      <c r="B665" s="12">
        <f>SI([@SBAN]="";"";BUSCARV([@SBAN];Cronograma_Maestro!$A:$M;2;FALSO))</f>
        <v/>
      </c>
      <c r="C665" s="12">
        <f>SI([@SBAN]="";"";BUSCARV([@SBAN];Cronograma_Maestro!$A:$M;3;FALSO))</f>
        <v/>
      </c>
      <c r="D665" s="12">
        <f>SI([@SBAN]="";"";BUSCARV([@SBAN];Cronograma_Maestro!$A:$M;4;FALSO))</f>
        <v/>
      </c>
      <c r="E665" s="12">
        <f>SI([@SBAN]="";"";BUSCARV([@SBAN];Cronograma_Maestro!$A:$M;5;FALSO))</f>
        <v/>
      </c>
      <c r="F665" s="12" t="inlineStr">
        <is>
          <t>Johan Molano</t>
        </is>
      </c>
      <c r="G665" s="12" t="inlineStr">
        <is>
          <t>PMU COLSOF</t>
        </is>
      </c>
      <c r="H665" s="13" t="n">
        <v>46269</v>
      </c>
      <c r="I665" s="13" t="n">
        <v>46269</v>
      </c>
      <c r="J665" s="13" t="n"/>
      <c r="K665" s="13" t="n"/>
      <c r="L665" s="12" t="inlineStr">
        <is>
          <t>Programada</t>
        </is>
      </c>
      <c r="M665" s="13" t="n"/>
      <c r="N665" s="14">
        <f>SI(O([@[Fecha_Programada_Inicio]]="";[@[Fecha_Inicio_Real]]="");"";SI([@[Fecha_Inicio_Real]]&lt;=[@[Fecha_Programada_Inicio]];"SÍ";"NO"))</f>
        <v/>
      </c>
      <c r="O665" s="14">
        <f>SI(O([@[Fecha_Programada_Fin]]="";[@[Fecha_Cierre_Operativo]]="");"";SI([@[Fecha_Cierre_Operativo]]&lt;=SI([@[Fecha_Nueva_Programada]]&lt;&gt;"";[@[Fecha_Nueva_Programada]];[@[Fecha_Programada_Fin]]);"SÍ";"NO"))</f>
        <v/>
      </c>
      <c r="P665" s="14">
        <f>SI(O([@[Cumpli_Ingreso]]="";[@[Cumpli_Salida]]="");"";SI(Y([@[Cumpli_Ingreso]]="SÍ";[@[Cumpli_Salida]]="SÍ");"SÍ";"NO"))</f>
        <v/>
      </c>
      <c r="Q665" s="15">
        <f>SI(O([@[Fecha_Programada_Fin]]="";[@[Fecha_Cierre_Operativo]]="");"";MAX(0;ENTERO([@[Fecha_Cierre_Operativo]])-ENTERO(SI([@[Fecha_Nueva_Programada]]&lt;&gt;"";[@[Fecha_Nueva_Programada]];[@[Fecha_Programada_Fin]])))</f>
        <v/>
      </c>
      <c r="R665" s="12" t="n"/>
      <c r="S665" s="12" t="n"/>
      <c r="T665" s="13" t="n"/>
      <c r="U665" s="12" t="n">
        <v>16</v>
      </c>
      <c r="V665" s="12" t="n"/>
      <c r="W66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65" s="14">
        <f>SI([@SBAN]="";"";BUSCARV([@SBAN];Cronograma_Maestro!$A:$M;6;FALSO))</f>
        <v/>
      </c>
    </row>
    <row r="666">
      <c r="A666" s="11" t="inlineStr">
        <is>
          <t>6610</t>
        </is>
      </c>
      <c r="B666" s="12">
        <f>SI([@SBAN]="";"";BUSCARV([@SBAN];Cronograma_Maestro!$A:$M;2;FALSO))</f>
        <v/>
      </c>
      <c r="C666" s="12">
        <f>SI([@SBAN]="";"";BUSCARV([@SBAN];Cronograma_Maestro!$A:$M;3;FALSO))</f>
        <v/>
      </c>
      <c r="D666" s="12">
        <f>SI([@SBAN]="";"";BUSCARV([@SBAN];Cronograma_Maestro!$A:$M;4;FALSO))</f>
        <v/>
      </c>
      <c r="E666" s="12">
        <f>SI([@SBAN]="";"";BUSCARV([@SBAN];Cronograma_Maestro!$A:$M;5;FALSO))</f>
        <v/>
      </c>
      <c r="F666" s="12" t="inlineStr">
        <is>
          <t>Fernando Valencia- Bernardo Arango</t>
        </is>
      </c>
      <c r="G666" s="12" t="inlineStr">
        <is>
          <t>PMU COLSOF</t>
        </is>
      </c>
      <c r="H666" s="13" t="n">
        <v>46330</v>
      </c>
      <c r="I666" s="13" t="n">
        <v>46330</v>
      </c>
      <c r="J666" s="13" t="n"/>
      <c r="K666" s="13" t="n"/>
      <c r="L666" s="12" t="inlineStr">
        <is>
          <t>Programada</t>
        </is>
      </c>
      <c r="M666" s="13" t="n"/>
      <c r="N666" s="14">
        <f>SI(O([@[Fecha_Programada_Inicio]]="";[@[Fecha_Inicio_Real]]="");"";SI([@[Fecha_Inicio_Real]]&lt;=[@[Fecha_Programada_Inicio]];"SÍ";"NO"))</f>
        <v/>
      </c>
      <c r="O666" s="14">
        <f>SI(O([@[Fecha_Programada_Fin]]="";[@[Fecha_Cierre_Operativo]]="");"";SI([@[Fecha_Cierre_Operativo]]&lt;=SI([@[Fecha_Nueva_Programada]]&lt;&gt;"";[@[Fecha_Nueva_Programada]];[@[Fecha_Programada_Fin]]);"SÍ";"NO"))</f>
        <v/>
      </c>
      <c r="P666" s="14">
        <f>SI(O([@[Cumpli_Ingreso]]="";[@[Cumpli_Salida]]="");"";SI(Y([@[Cumpli_Ingreso]]="SÍ";[@[Cumpli_Salida]]="SÍ");"SÍ";"NO"))</f>
        <v/>
      </c>
      <c r="Q666" s="15">
        <f>SI(O([@[Fecha_Programada_Fin]]="";[@[Fecha_Cierre_Operativo]]="");"";MAX(0;ENTERO([@[Fecha_Cierre_Operativo]])-ENTERO(SI([@[Fecha_Nueva_Programada]]&lt;&gt;"";[@[Fecha_Nueva_Programada]];[@[Fecha_Programada_Fin]])))</f>
        <v/>
      </c>
      <c r="R666" s="12" t="n"/>
      <c r="S666" s="12" t="n"/>
      <c r="T666" s="13" t="n"/>
      <c r="U666" s="12" t="n">
        <v>16</v>
      </c>
      <c r="V666" s="12" t="n"/>
      <c r="W66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66" s="14">
        <f>SI([@SBAN]="";"";BUSCARV([@SBAN];Cronograma_Maestro!$A:$M;6;FALSO))</f>
        <v/>
      </c>
    </row>
    <row r="667">
      <c r="A667" s="11" t="inlineStr">
        <is>
          <t>6613</t>
        </is>
      </c>
      <c r="B667" s="12">
        <f>SI([@SBAN]="";"";BUSCARV([@SBAN];Cronograma_Maestro!$A:$M;2;FALSO))</f>
        <v/>
      </c>
      <c r="C667" s="12">
        <f>SI([@SBAN]="";"";BUSCARV([@SBAN];Cronograma_Maestro!$A:$M;3;FALSO))</f>
        <v/>
      </c>
      <c r="D667" s="12">
        <f>SI([@SBAN]="";"";BUSCARV([@SBAN];Cronograma_Maestro!$A:$M;4;FALSO))</f>
        <v/>
      </c>
      <c r="E667" s="12">
        <f>SI([@SBAN]="";"";BUSCARV([@SBAN];Cronograma_Maestro!$A:$M;5;FALSO))</f>
        <v/>
      </c>
      <c r="F667" s="12" t="inlineStr">
        <is>
          <t>Johan Cardenas</t>
        </is>
      </c>
      <c r="G667" s="12" t="inlineStr">
        <is>
          <t>PMU COLSOF</t>
        </is>
      </c>
      <c r="H667" s="13" t="n">
        <v>46274</v>
      </c>
      <c r="I667" s="13" t="n">
        <v>46275</v>
      </c>
      <c r="J667" s="13" t="n"/>
      <c r="K667" s="13" t="n"/>
      <c r="L667" s="12" t="inlineStr">
        <is>
          <t>Programada</t>
        </is>
      </c>
      <c r="M667" s="13" t="n"/>
      <c r="N667" s="14">
        <f>SI(O([@[Fecha_Programada_Inicio]]="";[@[Fecha_Inicio_Real]]="");"";SI([@[Fecha_Inicio_Real]]&lt;=[@[Fecha_Programada_Inicio]];"SÍ";"NO"))</f>
        <v/>
      </c>
      <c r="O667" s="14">
        <f>SI(O([@[Fecha_Programada_Fin]]="";[@[Fecha_Cierre_Operativo]]="");"";SI([@[Fecha_Cierre_Operativo]]&lt;=SI([@[Fecha_Nueva_Programada]]&lt;&gt;"";[@[Fecha_Nueva_Programada]];[@[Fecha_Programada_Fin]]);"SÍ";"NO"))</f>
        <v/>
      </c>
      <c r="P667" s="14">
        <f>SI(O([@[Cumpli_Ingreso]]="";[@[Cumpli_Salida]]="");"";SI(Y([@[Cumpli_Ingreso]]="SÍ";[@[Cumpli_Salida]]="SÍ");"SÍ";"NO"))</f>
        <v/>
      </c>
      <c r="Q667" s="15">
        <f>SI(O([@[Fecha_Programada_Fin]]="";[@[Fecha_Cierre_Operativo]]="");"";MAX(0;ENTERO([@[Fecha_Cierre_Operativo]])-ENTERO(SI([@[Fecha_Nueva_Programada]]&lt;&gt;"";[@[Fecha_Nueva_Programada]];[@[Fecha_Programada_Fin]])))</f>
        <v/>
      </c>
      <c r="R667" s="12" t="n"/>
      <c r="S667" s="12" t="n"/>
      <c r="T667" s="13" t="n"/>
      <c r="U667" s="12" t="n">
        <v>23</v>
      </c>
      <c r="V667" s="12" t="n"/>
      <c r="W66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67" s="14">
        <f>SI([@SBAN]="";"";BUSCARV([@SBAN];Cronograma_Maestro!$A:$M;6;FALSO))</f>
        <v/>
      </c>
    </row>
    <row r="668">
      <c r="A668" s="11" t="inlineStr">
        <is>
          <t>6614</t>
        </is>
      </c>
      <c r="B668" s="12">
        <f>SI([@SBAN]="";"";BUSCARV([@SBAN];Cronograma_Maestro!$A:$M;2;FALSO))</f>
        <v/>
      </c>
      <c r="C668" s="12">
        <f>SI([@SBAN]="";"";BUSCARV([@SBAN];Cronograma_Maestro!$A:$M;3;FALSO))</f>
        <v/>
      </c>
      <c r="D668" s="12">
        <f>SI([@SBAN]="";"";BUSCARV([@SBAN];Cronograma_Maestro!$A:$M;4;FALSO))</f>
        <v/>
      </c>
      <c r="E668" s="12">
        <f>SI([@SBAN]="";"";BUSCARV([@SBAN];Cronograma_Maestro!$A:$M;5;FALSO))</f>
        <v/>
      </c>
      <c r="F668" s="12" t="inlineStr">
        <is>
          <t>Fernando Valencia</t>
        </is>
      </c>
      <c r="G668" s="12" t="inlineStr">
        <is>
          <t>PMU COLSOF</t>
        </is>
      </c>
      <c r="H668" s="13" t="n">
        <v>46315</v>
      </c>
      <c r="I668" s="13" t="n">
        <v>46317</v>
      </c>
      <c r="J668" s="13" t="n"/>
      <c r="K668" s="13" t="n"/>
      <c r="L668" s="12" t="inlineStr">
        <is>
          <t>Programada</t>
        </is>
      </c>
      <c r="M668" s="13" t="n"/>
      <c r="N668" s="14">
        <f>SI(O([@[Fecha_Programada_Inicio]]="";[@[Fecha_Inicio_Real]]="");"";SI([@[Fecha_Inicio_Real]]&lt;=[@[Fecha_Programada_Inicio]];"SÍ";"NO"))</f>
        <v/>
      </c>
      <c r="O668" s="14">
        <f>SI(O([@[Fecha_Programada_Fin]]="";[@[Fecha_Cierre_Operativo]]="");"";SI([@[Fecha_Cierre_Operativo]]&lt;=SI([@[Fecha_Nueva_Programada]]&lt;&gt;"";[@[Fecha_Nueva_Programada]];[@[Fecha_Programada_Fin]]);"SÍ";"NO"))</f>
        <v/>
      </c>
      <c r="P668" s="14">
        <f>SI(O([@[Cumpli_Ingreso]]="";[@[Cumpli_Salida]]="");"";SI(Y([@[Cumpli_Ingreso]]="SÍ";[@[Cumpli_Salida]]="SÍ");"SÍ";"NO"))</f>
        <v/>
      </c>
      <c r="Q668" s="15">
        <f>SI(O([@[Fecha_Programada_Fin]]="";[@[Fecha_Cierre_Operativo]]="");"";MAX(0;ENTERO([@[Fecha_Cierre_Operativo]])-ENTERO(SI([@[Fecha_Nueva_Programada]]&lt;&gt;"";[@[Fecha_Nueva_Programada]];[@[Fecha_Programada_Fin]])))</f>
        <v/>
      </c>
      <c r="R668" s="12" t="n"/>
      <c r="S668" s="12" t="n"/>
      <c r="T668" s="13" t="n"/>
      <c r="U668" s="12" t="n">
        <v>12</v>
      </c>
      <c r="V668" s="12" t="n"/>
      <c r="W66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68" s="14">
        <f>SI([@SBAN]="";"";BUSCARV([@SBAN];Cronograma_Maestro!$A:$M;6;FALSO))</f>
        <v/>
      </c>
    </row>
    <row r="669">
      <c r="A669" s="11" t="inlineStr">
        <is>
          <t>6617</t>
        </is>
      </c>
      <c r="B669" s="12">
        <f>SI([@SBAN]="";"";BUSCARV([@SBAN];Cronograma_Maestro!$A:$M;2;FALSO))</f>
        <v/>
      </c>
      <c r="C669" s="12">
        <f>SI([@SBAN]="";"";BUSCARV([@SBAN];Cronograma_Maestro!$A:$M;3;FALSO))</f>
        <v/>
      </c>
      <c r="D669" s="12">
        <f>SI([@SBAN]="";"";BUSCARV([@SBAN];Cronograma_Maestro!$A:$M;4;FALSO))</f>
        <v/>
      </c>
      <c r="E669" s="12">
        <f>SI([@SBAN]="";"";BUSCARV([@SBAN];Cronograma_Maestro!$A:$M;5;FALSO))</f>
        <v/>
      </c>
      <c r="F669" s="12" t="inlineStr">
        <is>
          <t>Fernando Valencia- Bernardo Arango</t>
        </is>
      </c>
      <c r="G669" s="12" t="inlineStr">
        <is>
          <t>PMU COLSOF</t>
        </is>
      </c>
      <c r="H669" s="13" t="n">
        <v>46272</v>
      </c>
      <c r="I669" s="13" t="n">
        <v>46272</v>
      </c>
      <c r="J669" s="13" t="n"/>
      <c r="K669" s="13" t="n"/>
      <c r="L669" s="12" t="inlineStr">
        <is>
          <t>Programada</t>
        </is>
      </c>
      <c r="M669" s="13" t="n"/>
      <c r="N669" s="14">
        <f>SI(O([@[Fecha_Programada_Inicio]]="";[@[Fecha_Inicio_Real]]="");"";SI([@[Fecha_Inicio_Real]]&lt;=[@[Fecha_Programada_Inicio]];"SÍ";"NO"))</f>
        <v/>
      </c>
      <c r="O669" s="14">
        <f>SI(O([@[Fecha_Programada_Fin]]="";[@[Fecha_Cierre_Operativo]]="");"";SI([@[Fecha_Cierre_Operativo]]&lt;=SI([@[Fecha_Nueva_Programada]]&lt;&gt;"";[@[Fecha_Nueva_Programada]];[@[Fecha_Programada_Fin]]);"SÍ";"NO"))</f>
        <v/>
      </c>
      <c r="P669" s="14">
        <f>SI(O([@[Cumpli_Ingreso]]="";[@[Cumpli_Salida]]="");"";SI(Y([@[Cumpli_Ingreso]]="SÍ";[@[Cumpli_Salida]]="SÍ");"SÍ";"NO"))</f>
        <v/>
      </c>
      <c r="Q669" s="15">
        <f>SI(O([@[Fecha_Programada_Fin]]="";[@[Fecha_Cierre_Operativo]]="");"";MAX(0;ENTERO([@[Fecha_Cierre_Operativo]])-ENTERO(SI([@[Fecha_Nueva_Programada]]&lt;&gt;"";[@[Fecha_Nueva_Programada]];[@[Fecha_Programada_Fin]])))</f>
        <v/>
      </c>
      <c r="R669" s="12" t="n"/>
      <c r="S669" s="12" t="n"/>
      <c r="T669" s="13" t="n"/>
      <c r="U669" s="12" t="n">
        <v>22</v>
      </c>
      <c r="V669" s="12" t="n"/>
      <c r="W66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69" s="14">
        <f>SI([@SBAN]="";"";BUSCARV([@SBAN];Cronograma_Maestro!$A:$M;6;FALSO))</f>
        <v/>
      </c>
    </row>
    <row r="670">
      <c r="A670" s="11" t="inlineStr">
        <is>
          <t>6618</t>
        </is>
      </c>
      <c r="B670" s="12">
        <f>SI([@SBAN]="";"";BUSCARV([@SBAN];Cronograma_Maestro!$A:$M;2;FALSO))</f>
        <v/>
      </c>
      <c r="C670" s="12">
        <f>SI([@SBAN]="";"";BUSCARV([@SBAN];Cronograma_Maestro!$A:$M;3;FALSO))</f>
        <v/>
      </c>
      <c r="D670" s="12">
        <f>SI([@SBAN]="";"";BUSCARV([@SBAN];Cronograma_Maestro!$A:$M;4;FALSO))</f>
        <v/>
      </c>
      <c r="E670" s="12">
        <f>SI([@SBAN]="";"";BUSCARV([@SBAN];Cronograma_Maestro!$A:$M;5;FALSO))</f>
        <v/>
      </c>
      <c r="F670" s="12" t="inlineStr">
        <is>
          <t>Fernando Valencia</t>
        </is>
      </c>
      <c r="G670" s="12" t="inlineStr">
        <is>
          <t>PMU COLSOF</t>
        </is>
      </c>
      <c r="H670" s="13" t="n">
        <v>46337</v>
      </c>
      <c r="I670" s="13" t="n">
        <v>46337</v>
      </c>
      <c r="J670" s="13" t="n"/>
      <c r="K670" s="13" t="n"/>
      <c r="L670" s="12" t="inlineStr">
        <is>
          <t>Programada</t>
        </is>
      </c>
      <c r="M670" s="13" t="n"/>
      <c r="N670" s="14">
        <f>SI(O([@[Fecha_Programada_Inicio]]="";[@[Fecha_Inicio_Real]]="");"";SI([@[Fecha_Inicio_Real]]&lt;=[@[Fecha_Programada_Inicio]];"SÍ";"NO"))</f>
        <v/>
      </c>
      <c r="O670" s="14">
        <f>SI(O([@[Fecha_Programada_Fin]]="";[@[Fecha_Cierre_Operativo]]="");"";SI([@[Fecha_Cierre_Operativo]]&lt;=SI([@[Fecha_Nueva_Programada]]&lt;&gt;"";[@[Fecha_Nueva_Programada]];[@[Fecha_Programada_Fin]]);"SÍ";"NO"))</f>
        <v/>
      </c>
      <c r="P670" s="14">
        <f>SI(O([@[Cumpli_Ingreso]]="";[@[Cumpli_Salida]]="");"";SI(Y([@[Cumpli_Ingreso]]="SÍ";[@[Cumpli_Salida]]="SÍ");"SÍ";"NO"))</f>
        <v/>
      </c>
      <c r="Q670" s="15">
        <f>SI(O([@[Fecha_Programada_Fin]]="";[@[Fecha_Cierre_Operativo]]="");"";MAX(0;ENTERO([@[Fecha_Cierre_Operativo]])-ENTERO(SI([@[Fecha_Nueva_Programada]]&lt;&gt;"";[@[Fecha_Nueva_Programada]];[@[Fecha_Programada_Fin]])))</f>
        <v/>
      </c>
      <c r="R670" s="12" t="n"/>
      <c r="S670" s="12" t="n"/>
      <c r="T670" s="13" t="n"/>
      <c r="U670" s="12" t="n">
        <v>12</v>
      </c>
      <c r="V670" s="12" t="n"/>
      <c r="W67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70" s="14">
        <f>SI([@SBAN]="";"";BUSCARV([@SBAN];Cronograma_Maestro!$A:$M;6;FALSO))</f>
        <v/>
      </c>
    </row>
    <row r="671">
      <c r="A671" s="11" t="inlineStr">
        <is>
          <t>6619</t>
        </is>
      </c>
      <c r="B671" s="12">
        <f>SI([@SBAN]="";"";BUSCARV([@SBAN];Cronograma_Maestro!$A:$M;2;FALSO))</f>
        <v/>
      </c>
      <c r="C671" s="12">
        <f>SI([@SBAN]="";"";BUSCARV([@SBAN];Cronograma_Maestro!$A:$M;3;FALSO))</f>
        <v/>
      </c>
      <c r="D671" s="12">
        <f>SI([@SBAN]="";"";BUSCARV([@SBAN];Cronograma_Maestro!$A:$M;4;FALSO))</f>
        <v/>
      </c>
      <c r="E671" s="12">
        <f>SI([@SBAN]="";"";BUSCARV([@SBAN];Cronograma_Maestro!$A:$M;5;FALSO))</f>
        <v/>
      </c>
      <c r="F671" s="12" t="inlineStr">
        <is>
          <t>Fernando Valencia- Bernardo Arango</t>
        </is>
      </c>
      <c r="G671" s="12" t="inlineStr">
        <is>
          <t>PMU COLSOF</t>
        </is>
      </c>
      <c r="H671" s="13" t="n">
        <v>46280</v>
      </c>
      <c r="I671" s="13" t="n">
        <v>46281</v>
      </c>
      <c r="J671" s="13" t="n"/>
      <c r="K671" s="13" t="n"/>
      <c r="L671" s="12" t="inlineStr">
        <is>
          <t>Programada</t>
        </is>
      </c>
      <c r="M671" s="13" t="n"/>
      <c r="N671" s="14">
        <f>SI(O([@[Fecha_Programada_Inicio]]="";[@[Fecha_Inicio_Real]]="");"";SI([@[Fecha_Inicio_Real]]&lt;=[@[Fecha_Programada_Inicio]];"SÍ";"NO"))</f>
        <v/>
      </c>
      <c r="O671" s="14">
        <f>SI(O([@[Fecha_Programada_Fin]]="";[@[Fecha_Cierre_Operativo]]="");"";SI([@[Fecha_Cierre_Operativo]]&lt;=SI([@[Fecha_Nueva_Programada]]&lt;&gt;"";[@[Fecha_Nueva_Programada]];[@[Fecha_Programada_Fin]]);"SÍ";"NO"))</f>
        <v/>
      </c>
      <c r="P671" s="14">
        <f>SI(O([@[Cumpli_Ingreso]]="";[@[Cumpli_Salida]]="");"";SI(Y([@[Cumpli_Ingreso]]="SÍ";[@[Cumpli_Salida]]="SÍ");"SÍ";"NO"))</f>
        <v/>
      </c>
      <c r="Q671" s="15">
        <f>SI(O([@[Fecha_Programada_Fin]]="";[@[Fecha_Cierre_Operativo]]="");"";MAX(0;ENTERO([@[Fecha_Cierre_Operativo]])-ENTERO(SI([@[Fecha_Nueva_Programada]]&lt;&gt;"";[@[Fecha_Nueva_Programada]];[@[Fecha_Programada_Fin]])))</f>
        <v/>
      </c>
      <c r="R671" s="12" t="n"/>
      <c r="S671" s="12" t="n"/>
      <c r="T671" s="13" t="n"/>
      <c r="U671" s="12" t="n">
        <v>16</v>
      </c>
      <c r="V671" s="12" t="n"/>
      <c r="W67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71" s="14">
        <f>SI([@SBAN]="";"";BUSCARV([@SBAN];Cronograma_Maestro!$A:$M;6;FALSO))</f>
        <v/>
      </c>
    </row>
    <row r="672">
      <c r="A672" s="11" t="inlineStr">
        <is>
          <t>6621</t>
        </is>
      </c>
      <c r="B672" s="12">
        <f>SI([@SBAN]="";"";BUSCARV([@SBAN];Cronograma_Maestro!$A:$M;2;FALSO))</f>
        <v/>
      </c>
      <c r="C672" s="12">
        <f>SI([@SBAN]="";"";BUSCARV([@SBAN];Cronograma_Maestro!$A:$M;3;FALSO))</f>
        <v/>
      </c>
      <c r="D672" s="12">
        <f>SI([@SBAN]="";"";BUSCARV([@SBAN];Cronograma_Maestro!$A:$M;4;FALSO))</f>
        <v/>
      </c>
      <c r="E672" s="12">
        <f>SI([@SBAN]="";"";BUSCARV([@SBAN];Cronograma_Maestro!$A:$M;5;FALSO))</f>
        <v/>
      </c>
      <c r="F672" s="12" t="inlineStr">
        <is>
          <t>Fernando Valencia- Bernardo Arango</t>
        </is>
      </c>
      <c r="G672" s="12" t="inlineStr">
        <is>
          <t>PMU COLSOF</t>
        </is>
      </c>
      <c r="H672" s="13" t="n">
        <v>46274</v>
      </c>
      <c r="I672" s="13" t="n">
        <v>46275</v>
      </c>
      <c r="J672" s="13" t="n"/>
      <c r="K672" s="13" t="n"/>
      <c r="L672" s="12" t="inlineStr">
        <is>
          <t>Programada</t>
        </is>
      </c>
      <c r="M672" s="13" t="n"/>
      <c r="N672" s="14">
        <f>SI(O([@[Fecha_Programada_Inicio]]="";[@[Fecha_Inicio_Real]]="");"";SI([@[Fecha_Inicio_Real]]&lt;=[@[Fecha_Programada_Inicio]];"SÍ";"NO"))</f>
        <v/>
      </c>
      <c r="O672" s="14">
        <f>SI(O([@[Fecha_Programada_Fin]]="";[@[Fecha_Cierre_Operativo]]="");"";SI([@[Fecha_Cierre_Operativo]]&lt;=SI([@[Fecha_Nueva_Programada]]&lt;&gt;"";[@[Fecha_Nueva_Programada]];[@[Fecha_Programada_Fin]]);"SÍ";"NO"))</f>
        <v/>
      </c>
      <c r="P672" s="14">
        <f>SI(O([@[Cumpli_Ingreso]]="";[@[Cumpli_Salida]]="");"";SI(Y([@[Cumpli_Ingreso]]="SÍ";[@[Cumpli_Salida]]="SÍ");"SÍ";"NO"))</f>
        <v/>
      </c>
      <c r="Q672" s="15">
        <f>SI(O([@[Fecha_Programada_Fin]]="";[@[Fecha_Cierre_Operativo]]="");"";MAX(0;ENTERO([@[Fecha_Cierre_Operativo]])-ENTERO(SI([@[Fecha_Nueva_Programada]]&lt;&gt;"";[@[Fecha_Nueva_Programada]];[@[Fecha_Programada_Fin]])))</f>
        <v/>
      </c>
      <c r="R672" s="12" t="n"/>
      <c r="S672" s="12" t="n"/>
      <c r="T672" s="13" t="n"/>
      <c r="U672" s="12" t="n">
        <v>19</v>
      </c>
      <c r="V672" s="12" t="n"/>
      <c r="W67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72" s="14">
        <f>SI([@SBAN]="";"";BUSCARV([@SBAN];Cronograma_Maestro!$A:$M;6;FALSO))</f>
        <v/>
      </c>
    </row>
    <row r="673">
      <c r="A673" s="11" t="inlineStr">
        <is>
          <t>6622</t>
        </is>
      </c>
      <c r="B673" s="12">
        <f>SI([@SBAN]="";"";BUSCARV([@SBAN];Cronograma_Maestro!$A:$M;2;FALSO))</f>
        <v/>
      </c>
      <c r="C673" s="12">
        <f>SI([@SBAN]="";"";BUSCARV([@SBAN];Cronograma_Maestro!$A:$M;3;FALSO))</f>
        <v/>
      </c>
      <c r="D673" s="12">
        <f>SI([@SBAN]="";"";BUSCARV([@SBAN];Cronograma_Maestro!$A:$M;4;FALSO))</f>
        <v/>
      </c>
      <c r="E673" s="12">
        <f>SI([@SBAN]="";"";BUSCARV([@SBAN];Cronograma_Maestro!$A:$M;5;FALSO))</f>
        <v/>
      </c>
      <c r="F673" s="12" t="inlineStr">
        <is>
          <t>Fernando Valencia- Bernardo Arango</t>
        </is>
      </c>
      <c r="G673" s="12" t="inlineStr">
        <is>
          <t>PMU COLSOF</t>
        </is>
      </c>
      <c r="H673" s="13" t="n">
        <v>46345</v>
      </c>
      <c r="I673" s="13" t="n">
        <v>46345</v>
      </c>
      <c r="J673" s="13" t="n"/>
      <c r="K673" s="13" t="n"/>
      <c r="L673" s="12" t="inlineStr">
        <is>
          <t>Programada</t>
        </is>
      </c>
      <c r="M673" s="13" t="n"/>
      <c r="N673" s="14">
        <f>SI(O([@[Fecha_Programada_Inicio]]="";[@[Fecha_Inicio_Real]]="");"";SI([@[Fecha_Inicio_Real]]&lt;=[@[Fecha_Programada_Inicio]];"SÍ";"NO"))</f>
        <v/>
      </c>
      <c r="O673" s="14">
        <f>SI(O([@[Fecha_Programada_Fin]]="";[@[Fecha_Cierre_Operativo]]="");"";SI([@[Fecha_Cierre_Operativo]]&lt;=SI([@[Fecha_Nueva_Programada]]&lt;&gt;"";[@[Fecha_Nueva_Programada]];[@[Fecha_Programada_Fin]]);"SÍ";"NO"))</f>
        <v/>
      </c>
      <c r="P673" s="14">
        <f>SI(O([@[Cumpli_Ingreso]]="";[@[Cumpli_Salida]]="");"";SI(Y([@[Cumpli_Ingreso]]="SÍ";[@[Cumpli_Salida]]="SÍ");"SÍ";"NO"))</f>
        <v/>
      </c>
      <c r="Q673" s="15">
        <f>SI(O([@[Fecha_Programada_Fin]]="";[@[Fecha_Cierre_Operativo]]="");"";MAX(0;ENTERO([@[Fecha_Cierre_Operativo]])-ENTERO(SI([@[Fecha_Nueva_Programada]]&lt;&gt;"";[@[Fecha_Nueva_Programada]];[@[Fecha_Programada_Fin]])))</f>
        <v/>
      </c>
      <c r="R673" s="12" t="n"/>
      <c r="S673" s="12" t="n"/>
      <c r="T673" s="13" t="n"/>
      <c r="U673" s="12" t="n">
        <v>14</v>
      </c>
      <c r="V673" s="12" t="n"/>
      <c r="W67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73" s="14">
        <f>SI([@SBAN]="";"";BUSCARV([@SBAN];Cronograma_Maestro!$A:$M;6;FALSO))</f>
        <v/>
      </c>
    </row>
    <row r="674">
      <c r="A674" s="11" t="inlineStr">
        <is>
          <t>6623</t>
        </is>
      </c>
      <c r="B674" s="12">
        <f>SI([@SBAN]="";"";BUSCARV([@SBAN];Cronograma_Maestro!$A:$M;2;FALSO))</f>
        <v/>
      </c>
      <c r="C674" s="12">
        <f>SI([@SBAN]="";"";BUSCARV([@SBAN];Cronograma_Maestro!$A:$M;3;FALSO))</f>
        <v/>
      </c>
      <c r="D674" s="12">
        <f>SI([@SBAN]="";"";BUSCARV([@SBAN];Cronograma_Maestro!$A:$M;4;FALSO))</f>
        <v/>
      </c>
      <c r="E674" s="12">
        <f>SI([@SBAN]="";"";BUSCARV([@SBAN];Cronograma_Maestro!$A:$M;5;FALSO))</f>
        <v/>
      </c>
      <c r="F674" s="12" t="inlineStr">
        <is>
          <t>Bernardo Arango</t>
        </is>
      </c>
      <c r="G674" s="12" t="inlineStr">
        <is>
          <t>PMU COLSOF</t>
        </is>
      </c>
      <c r="H674" s="13" t="n">
        <v>46287</v>
      </c>
      <c r="I674" s="13" t="n">
        <v>46287</v>
      </c>
      <c r="J674" s="13" t="n"/>
      <c r="K674" s="13" t="n"/>
      <c r="L674" s="12" t="inlineStr">
        <is>
          <t>Programada</t>
        </is>
      </c>
      <c r="M674" s="13" t="n"/>
      <c r="N674" s="14">
        <f>SI(O([@[Fecha_Programada_Inicio]]="";[@[Fecha_Inicio_Real]]="");"";SI([@[Fecha_Inicio_Real]]&lt;=[@[Fecha_Programada_Inicio]];"SÍ";"NO"))</f>
        <v/>
      </c>
      <c r="O674" s="14">
        <f>SI(O([@[Fecha_Programada_Fin]]="";[@[Fecha_Cierre_Operativo]]="");"";SI([@[Fecha_Cierre_Operativo]]&lt;=SI([@[Fecha_Nueva_Programada]]&lt;&gt;"";[@[Fecha_Nueva_Programada]];[@[Fecha_Programada_Fin]]);"SÍ";"NO"))</f>
        <v/>
      </c>
      <c r="P674" s="14">
        <f>SI(O([@[Cumpli_Ingreso]]="";[@[Cumpli_Salida]]="");"";SI(Y([@[Cumpli_Ingreso]]="SÍ";[@[Cumpli_Salida]]="SÍ");"SÍ";"NO"))</f>
        <v/>
      </c>
      <c r="Q674" s="15">
        <f>SI(O([@[Fecha_Programada_Fin]]="";[@[Fecha_Cierre_Operativo]]="");"";MAX(0;ENTERO([@[Fecha_Cierre_Operativo]])-ENTERO(SI([@[Fecha_Nueva_Programada]]&lt;&gt;"";[@[Fecha_Nueva_Programada]];[@[Fecha_Programada_Fin]])))</f>
        <v/>
      </c>
      <c r="R674" s="12" t="n"/>
      <c r="S674" s="12" t="n"/>
      <c r="T674" s="13" t="n"/>
      <c r="U674" s="12" t="n">
        <v>12</v>
      </c>
      <c r="V674" s="12" t="n"/>
      <c r="W67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74" s="14">
        <f>SI([@SBAN]="";"";BUSCARV([@SBAN];Cronograma_Maestro!$A:$M;6;FALSO))</f>
        <v/>
      </c>
    </row>
    <row r="675">
      <c r="A675" s="11" t="inlineStr">
        <is>
          <t>6624</t>
        </is>
      </c>
      <c r="B675" s="12">
        <f>SI([@SBAN]="";"";BUSCARV([@SBAN];Cronograma_Maestro!$A:$M;2;FALSO))</f>
        <v/>
      </c>
      <c r="C675" s="12">
        <f>SI([@SBAN]="";"";BUSCARV([@SBAN];Cronograma_Maestro!$A:$M;3;FALSO))</f>
        <v/>
      </c>
      <c r="D675" s="12">
        <f>SI([@SBAN]="";"";BUSCARV([@SBAN];Cronograma_Maestro!$A:$M;4;FALSO))</f>
        <v/>
      </c>
      <c r="E675" s="12">
        <f>SI([@SBAN]="";"";BUSCARV([@SBAN];Cronograma_Maestro!$A:$M;5;FALSO))</f>
        <v/>
      </c>
      <c r="F675" s="12" t="inlineStr">
        <is>
          <t>Fernando Valencia- Bernardo Arango</t>
        </is>
      </c>
      <c r="G675" s="12" t="inlineStr">
        <is>
          <t>PMU COLSOF</t>
        </is>
      </c>
      <c r="H675" s="13" t="n">
        <v>46339</v>
      </c>
      <c r="I675" s="13" t="n">
        <v>46339</v>
      </c>
      <c r="J675" s="13" t="n"/>
      <c r="K675" s="13" t="n"/>
      <c r="L675" s="12" t="inlineStr">
        <is>
          <t>Programada</t>
        </is>
      </c>
      <c r="M675" s="13" t="n"/>
      <c r="N675" s="14">
        <f>SI(O([@[Fecha_Programada_Inicio]]="";[@[Fecha_Inicio_Real]]="");"";SI([@[Fecha_Inicio_Real]]&lt;=[@[Fecha_Programada_Inicio]];"SÍ";"NO"))</f>
        <v/>
      </c>
      <c r="O675" s="14">
        <f>SI(O([@[Fecha_Programada_Fin]]="";[@[Fecha_Cierre_Operativo]]="");"";SI([@[Fecha_Cierre_Operativo]]&lt;=SI([@[Fecha_Nueva_Programada]]&lt;&gt;"";[@[Fecha_Nueva_Programada]];[@[Fecha_Programada_Fin]]);"SÍ";"NO"))</f>
        <v/>
      </c>
      <c r="P675" s="14">
        <f>SI(O([@[Cumpli_Ingreso]]="";[@[Cumpli_Salida]]="");"";SI(Y([@[Cumpli_Ingreso]]="SÍ";[@[Cumpli_Salida]]="SÍ");"SÍ";"NO"))</f>
        <v/>
      </c>
      <c r="Q675" s="15">
        <f>SI(O([@[Fecha_Programada_Fin]]="";[@[Fecha_Cierre_Operativo]]="");"";MAX(0;ENTERO([@[Fecha_Cierre_Operativo]])-ENTERO(SI([@[Fecha_Nueva_Programada]]&lt;&gt;"";[@[Fecha_Nueva_Programada]];[@[Fecha_Programada_Fin]])))</f>
        <v/>
      </c>
      <c r="R675" s="12" t="n"/>
      <c r="S675" s="12" t="n"/>
      <c r="T675" s="13" t="n"/>
      <c r="U675" s="12" t="n">
        <v>17</v>
      </c>
      <c r="V675" s="12" t="n"/>
      <c r="W67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75" s="14">
        <f>SI([@SBAN]="";"";BUSCARV([@SBAN];Cronograma_Maestro!$A:$M;6;FALSO))</f>
        <v/>
      </c>
    </row>
    <row r="676">
      <c r="A676" s="11" t="inlineStr">
        <is>
          <t>6625</t>
        </is>
      </c>
      <c r="B676" s="12">
        <f>SI([@SBAN]="";"";BUSCARV([@SBAN];Cronograma_Maestro!$A:$M;2;FALSO))</f>
        <v/>
      </c>
      <c r="C676" s="12">
        <f>SI([@SBAN]="";"";BUSCARV([@SBAN];Cronograma_Maestro!$A:$M;3;FALSO))</f>
        <v/>
      </c>
      <c r="D676" s="12">
        <f>SI([@SBAN]="";"";BUSCARV([@SBAN];Cronograma_Maestro!$A:$M;4;FALSO))</f>
        <v/>
      </c>
      <c r="E676" s="12">
        <f>SI([@SBAN]="";"";BUSCARV([@SBAN];Cronograma_Maestro!$A:$M;5;FALSO))</f>
        <v/>
      </c>
      <c r="F676" s="12" t="inlineStr">
        <is>
          <t>Fernando Valencia- Bernardo Arango</t>
        </is>
      </c>
      <c r="G676" s="12" t="inlineStr">
        <is>
          <t>PMU COLSOF</t>
        </is>
      </c>
      <c r="H676" s="13" t="n">
        <v>46288</v>
      </c>
      <c r="I676" s="13" t="n">
        <v>46288</v>
      </c>
      <c r="J676" s="13" t="n"/>
      <c r="K676" s="13" t="n"/>
      <c r="L676" s="12" t="inlineStr">
        <is>
          <t>Programada</t>
        </is>
      </c>
      <c r="M676" s="13" t="n"/>
      <c r="N676" s="14">
        <f>SI(O([@[Fecha_Programada_Inicio]]="";[@[Fecha_Inicio_Real]]="");"";SI([@[Fecha_Inicio_Real]]&lt;=[@[Fecha_Programada_Inicio]];"SÍ";"NO"))</f>
        <v/>
      </c>
      <c r="O676" s="14">
        <f>SI(O([@[Fecha_Programada_Fin]]="";[@[Fecha_Cierre_Operativo]]="");"";SI([@[Fecha_Cierre_Operativo]]&lt;=SI([@[Fecha_Nueva_Programada]]&lt;&gt;"";[@[Fecha_Nueva_Programada]];[@[Fecha_Programada_Fin]]);"SÍ";"NO"))</f>
        <v/>
      </c>
      <c r="P676" s="14">
        <f>SI(O([@[Cumpli_Ingreso]]="";[@[Cumpli_Salida]]="");"";SI(Y([@[Cumpli_Ingreso]]="SÍ";[@[Cumpli_Salida]]="SÍ");"SÍ";"NO"))</f>
        <v/>
      </c>
      <c r="Q676" s="15">
        <f>SI(O([@[Fecha_Programada_Fin]]="";[@[Fecha_Cierre_Operativo]]="");"";MAX(0;ENTERO([@[Fecha_Cierre_Operativo]])-ENTERO(SI([@[Fecha_Nueva_Programada]]&lt;&gt;"";[@[Fecha_Nueva_Programada]];[@[Fecha_Programada_Fin]])))</f>
        <v/>
      </c>
      <c r="R676" s="12" t="n"/>
      <c r="S676" s="12" t="n"/>
      <c r="T676" s="13" t="n"/>
      <c r="U676" s="12" t="n">
        <v>23</v>
      </c>
      <c r="V676" s="12" t="n"/>
      <c r="W67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76" s="14">
        <f>SI([@SBAN]="";"";BUSCARV([@SBAN];Cronograma_Maestro!$A:$M;6;FALSO))</f>
        <v/>
      </c>
    </row>
    <row r="677">
      <c r="A677" s="11" t="inlineStr">
        <is>
          <t>6626</t>
        </is>
      </c>
      <c r="B677" s="12">
        <f>SI([@SBAN]="";"";BUSCARV([@SBAN];Cronograma_Maestro!$A:$M;2;FALSO))</f>
        <v/>
      </c>
      <c r="C677" s="12">
        <f>SI([@SBAN]="";"";BUSCARV([@SBAN];Cronograma_Maestro!$A:$M;3;FALSO))</f>
        <v/>
      </c>
      <c r="D677" s="12">
        <f>SI([@SBAN]="";"";BUSCARV([@SBAN];Cronograma_Maestro!$A:$M;4;FALSO))</f>
        <v/>
      </c>
      <c r="E677" s="12">
        <f>SI([@SBAN]="";"";BUSCARV([@SBAN];Cronograma_Maestro!$A:$M;5;FALSO))</f>
        <v/>
      </c>
      <c r="F677" s="12" t="inlineStr">
        <is>
          <t>Bernardo Arango</t>
        </is>
      </c>
      <c r="G677" s="12" t="inlineStr">
        <is>
          <t>PMU COLSOF</t>
        </is>
      </c>
      <c r="H677" s="13" t="n">
        <v>46346</v>
      </c>
      <c r="I677" s="13" t="n">
        <v>46346</v>
      </c>
      <c r="J677" s="13" t="n"/>
      <c r="K677" s="13" t="n"/>
      <c r="L677" s="12" t="inlineStr">
        <is>
          <t>Programada</t>
        </is>
      </c>
      <c r="M677" s="13" t="n"/>
      <c r="N677" s="14">
        <f>SI(O([@[Fecha_Programada_Inicio]]="";[@[Fecha_Inicio_Real]]="");"";SI([@[Fecha_Inicio_Real]]&lt;=[@[Fecha_Programada_Inicio]];"SÍ";"NO"))</f>
        <v/>
      </c>
      <c r="O677" s="14">
        <f>SI(O([@[Fecha_Programada_Fin]]="";[@[Fecha_Cierre_Operativo]]="");"";SI([@[Fecha_Cierre_Operativo]]&lt;=SI([@[Fecha_Nueva_Programada]]&lt;&gt;"";[@[Fecha_Nueva_Programada]];[@[Fecha_Programada_Fin]]);"SÍ";"NO"))</f>
        <v/>
      </c>
      <c r="P677" s="14">
        <f>SI(O([@[Cumpli_Ingreso]]="";[@[Cumpli_Salida]]="");"";SI(Y([@[Cumpli_Ingreso]]="SÍ";[@[Cumpli_Salida]]="SÍ");"SÍ";"NO"))</f>
        <v/>
      </c>
      <c r="Q677" s="15">
        <f>SI(O([@[Fecha_Programada_Fin]]="";[@[Fecha_Cierre_Operativo]]="");"";MAX(0;ENTERO([@[Fecha_Cierre_Operativo]])-ENTERO(SI([@[Fecha_Nueva_Programada]]&lt;&gt;"";[@[Fecha_Nueva_Programada]];[@[Fecha_Programada_Fin]])))</f>
        <v/>
      </c>
      <c r="R677" s="12" t="n"/>
      <c r="S677" s="12" t="n"/>
      <c r="T677" s="13" t="n"/>
      <c r="U677" s="12" t="n">
        <v>15</v>
      </c>
      <c r="V677" s="12" t="n"/>
      <c r="W67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77" s="14">
        <f>SI([@SBAN]="";"";BUSCARV([@SBAN];Cronograma_Maestro!$A:$M;6;FALSO))</f>
        <v/>
      </c>
    </row>
    <row r="678">
      <c r="A678" s="11" t="inlineStr">
        <is>
          <t>6627</t>
        </is>
      </c>
      <c r="B678" s="12">
        <f>SI([@SBAN]="";"";BUSCARV([@SBAN];Cronograma_Maestro!$A:$M;2;FALSO))</f>
        <v/>
      </c>
      <c r="C678" s="12">
        <f>SI([@SBAN]="";"";BUSCARV([@SBAN];Cronograma_Maestro!$A:$M;3;FALSO))</f>
        <v/>
      </c>
      <c r="D678" s="12">
        <f>SI([@SBAN]="";"";BUSCARV([@SBAN];Cronograma_Maestro!$A:$M;4;FALSO))</f>
        <v/>
      </c>
      <c r="E678" s="12">
        <f>SI([@SBAN]="";"";BUSCARV([@SBAN];Cronograma_Maestro!$A:$M;5;FALSO))</f>
        <v/>
      </c>
      <c r="F678" s="12" t="inlineStr">
        <is>
          <t>Yeisson Castaño</t>
        </is>
      </c>
      <c r="G678" s="12" t="inlineStr">
        <is>
          <t>PMU COLSOF</t>
        </is>
      </c>
      <c r="H678" s="13" t="n">
        <v>46266</v>
      </c>
      <c r="I678" s="13" t="n">
        <v>46266</v>
      </c>
      <c r="J678" s="13" t="n">
        <v>46266</v>
      </c>
      <c r="K678" s="13" t="n">
        <v>46266</v>
      </c>
      <c r="L678" s="12" t="inlineStr">
        <is>
          <t>Finalizada</t>
        </is>
      </c>
      <c r="M678" s="13" t="n"/>
      <c r="N678" s="14">
        <f>SI(O([@[Fecha_Programada_Inicio]]="";[@[Fecha_Inicio_Real]]="");"";SI([@[Fecha_Inicio_Real]]&lt;=[@[Fecha_Programada_Inicio]];"SÍ";"NO"))</f>
        <v/>
      </c>
      <c r="O678" s="14">
        <f>SI(O([@[Fecha_Programada_Fin]]="";[@[Fecha_Cierre_Operativo]]="");"";SI([@[Fecha_Cierre_Operativo]]&lt;=SI([@[Fecha_Nueva_Programada]]&lt;&gt;"";[@[Fecha_Nueva_Programada]];[@[Fecha_Programada_Fin]]);"SÍ";"NO"))</f>
        <v/>
      </c>
      <c r="P678" s="14">
        <f>SI(O([@[Cumpli_Ingreso]]="";[@[Cumpli_Salida]]="");"";SI(Y([@[Cumpli_Ingreso]]="SÍ";[@[Cumpli_Salida]]="SÍ");"SÍ";"NO"))</f>
        <v/>
      </c>
      <c r="Q678" s="15">
        <f>SI(O([@[Fecha_Programada_Fin]]="";[@[Fecha_Cierre_Operativo]]="");"";MAX(0;ENTERO([@[Fecha_Cierre_Operativo]])-ENTERO(SI([@[Fecha_Nueva_Programada]]&lt;&gt;"";[@[Fecha_Nueva_Programada]];[@[Fecha_Programada_Fin]])))</f>
        <v/>
      </c>
      <c r="R678" s="12" t="inlineStr">
        <is>
          <t>N/A - A Tiempo</t>
        </is>
      </c>
      <c r="S678" s="12" t="inlineStr">
        <is>
          <t>Pendiente Firma</t>
        </is>
      </c>
      <c r="T678" s="13" t="n"/>
      <c r="U678" s="12" t="n">
        <v>14</v>
      </c>
      <c r="V678" s="12" t="n"/>
      <c r="W67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78" s="14">
        <f>SI([@SBAN]="";"";BUSCARV([@SBAN];Cronograma_Maestro!$A:$M;6;FALSO))</f>
        <v/>
      </c>
    </row>
    <row r="679">
      <c r="A679" s="11" t="inlineStr">
        <is>
          <t>6628</t>
        </is>
      </c>
      <c r="B679" s="12">
        <f>SI([@SBAN]="";"";BUSCARV([@SBAN];Cronograma_Maestro!$A:$M;2;FALSO))</f>
        <v/>
      </c>
      <c r="C679" s="12">
        <f>SI([@SBAN]="";"";BUSCARV([@SBAN];Cronograma_Maestro!$A:$M;3;FALSO))</f>
        <v/>
      </c>
      <c r="D679" s="12">
        <f>SI([@SBAN]="";"";BUSCARV([@SBAN];Cronograma_Maestro!$A:$M;4;FALSO))</f>
        <v/>
      </c>
      <c r="E679" s="12">
        <f>SI([@SBAN]="";"";BUSCARV([@SBAN];Cronograma_Maestro!$A:$M;5;FALSO))</f>
        <v/>
      </c>
      <c r="F679" s="12" t="inlineStr">
        <is>
          <t>Bernardo Arango</t>
        </is>
      </c>
      <c r="G679" s="12" t="inlineStr">
        <is>
          <t>PMU COLSOF</t>
        </is>
      </c>
      <c r="H679" s="13" t="n">
        <v>46338</v>
      </c>
      <c r="I679" s="13" t="n">
        <v>46338</v>
      </c>
      <c r="J679" s="13" t="n"/>
      <c r="K679" s="13" t="n"/>
      <c r="L679" s="12" t="inlineStr">
        <is>
          <t>Programada</t>
        </is>
      </c>
      <c r="M679" s="13" t="n"/>
      <c r="N679" s="14">
        <f>SI(O([@[Fecha_Programada_Inicio]]="";[@[Fecha_Inicio_Real]]="");"";SI([@[Fecha_Inicio_Real]]&lt;=[@[Fecha_Programada_Inicio]];"SÍ";"NO"))</f>
        <v/>
      </c>
      <c r="O679" s="14">
        <f>SI(O([@[Fecha_Programada_Fin]]="";[@[Fecha_Cierre_Operativo]]="");"";SI([@[Fecha_Cierre_Operativo]]&lt;=SI([@[Fecha_Nueva_Programada]]&lt;&gt;"";[@[Fecha_Nueva_Programada]];[@[Fecha_Programada_Fin]]);"SÍ";"NO"))</f>
        <v/>
      </c>
      <c r="P679" s="14">
        <f>SI(O([@[Cumpli_Ingreso]]="";[@[Cumpli_Salida]]="");"";SI(Y([@[Cumpli_Ingreso]]="SÍ";[@[Cumpli_Salida]]="SÍ");"SÍ";"NO"))</f>
        <v/>
      </c>
      <c r="Q679" s="15">
        <f>SI(O([@[Fecha_Programada_Fin]]="";[@[Fecha_Cierre_Operativo]]="");"";MAX(0;ENTERO([@[Fecha_Cierre_Operativo]])-ENTERO(SI([@[Fecha_Nueva_Programada]]&lt;&gt;"";[@[Fecha_Nueva_Programada]];[@[Fecha_Programada_Fin]])))</f>
        <v/>
      </c>
      <c r="R679" s="12" t="n"/>
      <c r="S679" s="12" t="n"/>
      <c r="T679" s="13" t="n"/>
      <c r="U679" s="12" t="n">
        <v>14</v>
      </c>
      <c r="V679" s="12" t="n"/>
      <c r="W67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79" s="14">
        <f>SI([@SBAN]="";"";BUSCARV([@SBAN];Cronograma_Maestro!$A:$M;6;FALSO))</f>
        <v/>
      </c>
    </row>
    <row r="680">
      <c r="A680" s="11" t="inlineStr">
        <is>
          <t>6630</t>
        </is>
      </c>
      <c r="B680" s="12">
        <f>SI([@SBAN]="";"";BUSCARV([@SBAN];Cronograma_Maestro!$A:$M;2;FALSO))</f>
        <v/>
      </c>
      <c r="C680" s="12">
        <f>SI([@SBAN]="";"";BUSCARV([@SBAN];Cronograma_Maestro!$A:$M;3;FALSO))</f>
        <v/>
      </c>
      <c r="D680" s="12">
        <f>SI([@SBAN]="";"";BUSCARV([@SBAN];Cronograma_Maestro!$A:$M;4;FALSO))</f>
        <v/>
      </c>
      <c r="E680" s="12">
        <f>SI([@SBAN]="";"";BUSCARV([@SBAN];Cronograma_Maestro!$A:$M;5;FALSO))</f>
        <v/>
      </c>
      <c r="F680" s="12" t="inlineStr">
        <is>
          <t>Fernando Valencia- Bernardo Arango</t>
        </is>
      </c>
      <c r="G680" s="12" t="inlineStr">
        <is>
          <t>PMU COLSOF</t>
        </is>
      </c>
      <c r="H680" s="13" t="n">
        <v>46344</v>
      </c>
      <c r="I680" s="13" t="n">
        <v>46344</v>
      </c>
      <c r="J680" s="13" t="n"/>
      <c r="K680" s="13" t="n"/>
      <c r="L680" s="12" t="inlineStr">
        <is>
          <t>Programada</t>
        </is>
      </c>
      <c r="M680" s="13" t="n"/>
      <c r="N680" s="14">
        <f>SI(O([@[Fecha_Programada_Inicio]]="";[@[Fecha_Inicio_Real]]="");"";SI([@[Fecha_Inicio_Real]]&lt;=[@[Fecha_Programada_Inicio]];"SÍ";"NO"))</f>
        <v/>
      </c>
      <c r="O680" s="14">
        <f>SI(O([@[Fecha_Programada_Fin]]="";[@[Fecha_Cierre_Operativo]]="");"";SI([@[Fecha_Cierre_Operativo]]&lt;=SI([@[Fecha_Nueva_Programada]]&lt;&gt;"";[@[Fecha_Nueva_Programada]];[@[Fecha_Programada_Fin]]);"SÍ";"NO"))</f>
        <v/>
      </c>
      <c r="P680" s="14">
        <f>SI(O([@[Cumpli_Ingreso]]="";[@[Cumpli_Salida]]="");"";SI(Y([@[Cumpli_Ingreso]]="SÍ";[@[Cumpli_Salida]]="SÍ");"SÍ";"NO"))</f>
        <v/>
      </c>
      <c r="Q680" s="15">
        <f>SI(O([@[Fecha_Programada_Fin]]="";[@[Fecha_Cierre_Operativo]]="");"";MAX(0;ENTERO([@[Fecha_Cierre_Operativo]])-ENTERO(SI([@[Fecha_Nueva_Programada]]&lt;&gt;"";[@[Fecha_Nueva_Programada]];[@[Fecha_Programada_Fin]])))</f>
        <v/>
      </c>
      <c r="R680" s="12" t="n"/>
      <c r="S680" s="12" t="n"/>
      <c r="T680" s="13" t="n"/>
      <c r="U680" s="12" t="n">
        <v>17</v>
      </c>
      <c r="V680" s="12" t="n"/>
      <c r="W68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80" s="14">
        <f>SI([@SBAN]="";"";BUSCARV([@SBAN];Cronograma_Maestro!$A:$M;6;FALSO))</f>
        <v/>
      </c>
    </row>
    <row r="681">
      <c r="A681" s="11" t="inlineStr">
        <is>
          <t>6631</t>
        </is>
      </c>
      <c r="B681" s="12">
        <f>SI([@SBAN]="";"";BUSCARV([@SBAN];Cronograma_Maestro!$A:$M;2;FALSO))</f>
        <v/>
      </c>
      <c r="C681" s="12">
        <f>SI([@SBAN]="";"";BUSCARV([@SBAN];Cronograma_Maestro!$A:$M;3;FALSO))</f>
        <v/>
      </c>
      <c r="D681" s="12">
        <f>SI([@SBAN]="";"";BUSCARV([@SBAN];Cronograma_Maestro!$A:$M;4;FALSO))</f>
        <v/>
      </c>
      <c r="E681" s="12">
        <f>SI([@SBAN]="";"";BUSCARV([@SBAN];Cronograma_Maestro!$A:$M;5;FALSO))</f>
        <v/>
      </c>
      <c r="F681" s="12" t="inlineStr">
        <is>
          <t>Johan Molano</t>
        </is>
      </c>
      <c r="G681" s="12" t="inlineStr">
        <is>
          <t>PMU COLSOF</t>
        </is>
      </c>
      <c r="H681" s="13" t="n">
        <v>46267</v>
      </c>
      <c r="I681" s="13" t="n">
        <v>46267</v>
      </c>
      <c r="J681" s="13" t="n"/>
      <c r="K681" s="13" t="n"/>
      <c r="L681" s="12" t="inlineStr">
        <is>
          <t>Programada</t>
        </is>
      </c>
      <c r="M681" s="13" t="n"/>
      <c r="N681" s="14">
        <f>SI(O([@[Fecha_Programada_Inicio]]="";[@[Fecha_Inicio_Real]]="");"";SI([@[Fecha_Inicio_Real]]&lt;=[@[Fecha_Programada_Inicio]];"SÍ";"NO"))</f>
        <v/>
      </c>
      <c r="O681" s="14">
        <f>SI(O([@[Fecha_Programada_Fin]]="";[@[Fecha_Cierre_Operativo]]="");"";SI([@[Fecha_Cierre_Operativo]]&lt;=SI([@[Fecha_Nueva_Programada]]&lt;&gt;"";[@[Fecha_Nueva_Programada]];[@[Fecha_Programada_Fin]]);"SÍ";"NO"))</f>
        <v/>
      </c>
      <c r="P681" s="14">
        <f>SI(O([@[Cumpli_Ingreso]]="";[@[Cumpli_Salida]]="");"";SI(Y([@[Cumpli_Ingreso]]="SÍ";[@[Cumpli_Salida]]="SÍ");"SÍ";"NO"))</f>
        <v/>
      </c>
      <c r="Q681" s="15">
        <f>SI(O([@[Fecha_Programada_Fin]]="";[@[Fecha_Cierre_Operativo]]="");"";MAX(0;ENTERO([@[Fecha_Cierre_Operativo]])-ENTERO(SI([@[Fecha_Nueva_Programada]]&lt;&gt;"";[@[Fecha_Nueva_Programada]];[@[Fecha_Programada_Fin]])))</f>
        <v/>
      </c>
      <c r="R681" s="12" t="n"/>
      <c r="S681" s="12" t="n"/>
      <c r="T681" s="13" t="n"/>
      <c r="U681" s="12" t="n">
        <v>12</v>
      </c>
      <c r="V681" s="12" t="n"/>
      <c r="W68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81" s="14">
        <f>SI([@SBAN]="";"";BUSCARV([@SBAN];Cronograma_Maestro!$A:$M;6;FALSO))</f>
        <v/>
      </c>
    </row>
    <row r="682">
      <c r="A682" s="11" t="inlineStr">
        <is>
          <t>6632</t>
        </is>
      </c>
      <c r="B682" s="12">
        <f>SI([@SBAN]="";"";BUSCARV([@SBAN];Cronograma_Maestro!$A:$M;2;FALSO))</f>
        <v/>
      </c>
      <c r="C682" s="12">
        <f>SI([@SBAN]="";"";BUSCARV([@SBAN];Cronograma_Maestro!$A:$M;3;FALSO))</f>
        <v/>
      </c>
      <c r="D682" s="12">
        <f>SI([@SBAN]="";"";BUSCARV([@SBAN];Cronograma_Maestro!$A:$M;4;FALSO))</f>
        <v/>
      </c>
      <c r="E682" s="12">
        <f>SI([@SBAN]="";"";BUSCARV([@SBAN];Cronograma_Maestro!$A:$M;5;FALSO))</f>
        <v/>
      </c>
      <c r="F682" s="12" t="inlineStr">
        <is>
          <t>Bernardo Arango</t>
        </is>
      </c>
      <c r="G682" s="12" t="inlineStr">
        <is>
          <t>PMU COLSOF</t>
        </is>
      </c>
      <c r="H682" s="13" t="n">
        <v>46350</v>
      </c>
      <c r="I682" s="13" t="n">
        <v>46350</v>
      </c>
      <c r="J682" s="13" t="n"/>
      <c r="K682" s="13" t="n"/>
      <c r="L682" s="12" t="inlineStr">
        <is>
          <t>Programada</t>
        </is>
      </c>
      <c r="M682" s="13" t="n"/>
      <c r="N682" s="14">
        <f>SI(O([@[Fecha_Programada_Inicio]]="";[@[Fecha_Inicio_Real]]="");"";SI([@[Fecha_Inicio_Real]]&lt;=[@[Fecha_Programada_Inicio]];"SÍ";"NO"))</f>
        <v/>
      </c>
      <c r="O682" s="14">
        <f>SI(O([@[Fecha_Programada_Fin]]="";[@[Fecha_Cierre_Operativo]]="");"";SI([@[Fecha_Cierre_Operativo]]&lt;=SI([@[Fecha_Nueva_Programada]]&lt;&gt;"";[@[Fecha_Nueva_Programada]];[@[Fecha_Programada_Fin]]);"SÍ";"NO"))</f>
        <v/>
      </c>
      <c r="P682" s="14">
        <f>SI(O([@[Cumpli_Ingreso]]="";[@[Cumpli_Salida]]="");"";SI(Y([@[Cumpli_Ingreso]]="SÍ";[@[Cumpli_Salida]]="SÍ");"SÍ";"NO"))</f>
        <v/>
      </c>
      <c r="Q682" s="15">
        <f>SI(O([@[Fecha_Programada_Fin]]="";[@[Fecha_Cierre_Operativo]]="");"";MAX(0;ENTERO([@[Fecha_Cierre_Operativo]])-ENTERO(SI([@[Fecha_Nueva_Programada]]&lt;&gt;"";[@[Fecha_Nueva_Programada]];[@[Fecha_Programada_Fin]])))</f>
        <v/>
      </c>
      <c r="R682" s="12" t="n"/>
      <c r="S682" s="12" t="n"/>
      <c r="T682" s="13" t="n"/>
      <c r="U682" s="12" t="n">
        <v>13</v>
      </c>
      <c r="V682" s="12" t="n"/>
      <c r="W68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82" s="14">
        <f>SI([@SBAN]="";"";BUSCARV([@SBAN];Cronograma_Maestro!$A:$M;6;FALSO))</f>
        <v/>
      </c>
    </row>
    <row r="683">
      <c r="A683" s="11" t="inlineStr">
        <is>
          <t>6633</t>
        </is>
      </c>
      <c r="B683" s="12">
        <f>SI([@SBAN]="";"";BUSCARV([@SBAN];Cronograma_Maestro!$A:$M;2;FALSO))</f>
        <v/>
      </c>
      <c r="C683" s="12">
        <f>SI([@SBAN]="";"";BUSCARV([@SBAN];Cronograma_Maestro!$A:$M;3;FALSO))</f>
        <v/>
      </c>
      <c r="D683" s="12">
        <f>SI([@SBAN]="";"";BUSCARV([@SBAN];Cronograma_Maestro!$A:$M;4;FALSO))</f>
        <v/>
      </c>
      <c r="E683" s="12">
        <f>SI([@SBAN]="";"";BUSCARV([@SBAN];Cronograma_Maestro!$A:$M;5;FALSO))</f>
        <v/>
      </c>
      <c r="F683" s="12" t="inlineStr">
        <is>
          <t>Fernando Valencia- Bernardo Arango</t>
        </is>
      </c>
      <c r="G683" s="12" t="inlineStr">
        <is>
          <t>PMU COLSOF</t>
        </is>
      </c>
      <c r="H683" s="13" t="n">
        <v>46282</v>
      </c>
      <c r="I683" s="13" t="n">
        <v>46283</v>
      </c>
      <c r="J683" s="13" t="n"/>
      <c r="K683" s="13" t="n"/>
      <c r="L683" s="12" t="inlineStr">
        <is>
          <t>Programada</t>
        </is>
      </c>
      <c r="M683" s="13" t="n"/>
      <c r="N683" s="14">
        <f>SI(O([@[Fecha_Programada_Inicio]]="";[@[Fecha_Inicio_Real]]="");"";SI([@[Fecha_Inicio_Real]]&lt;=[@[Fecha_Programada_Inicio]];"SÍ";"NO"))</f>
        <v/>
      </c>
      <c r="O683" s="14">
        <f>SI(O([@[Fecha_Programada_Fin]]="";[@[Fecha_Cierre_Operativo]]="");"";SI([@[Fecha_Cierre_Operativo]]&lt;=SI([@[Fecha_Nueva_Programada]]&lt;&gt;"";[@[Fecha_Nueva_Programada]];[@[Fecha_Programada_Fin]]);"SÍ";"NO"))</f>
        <v/>
      </c>
      <c r="P683" s="14">
        <f>SI(O([@[Cumpli_Ingreso]]="";[@[Cumpli_Salida]]="");"";SI(Y([@[Cumpli_Ingreso]]="SÍ";[@[Cumpli_Salida]]="SÍ");"SÍ";"NO"))</f>
        <v/>
      </c>
      <c r="Q683" s="15">
        <f>SI(O([@[Fecha_Programada_Fin]]="";[@[Fecha_Cierre_Operativo]]="");"";MAX(0;ENTERO([@[Fecha_Cierre_Operativo]])-ENTERO(SI([@[Fecha_Nueva_Programada]]&lt;&gt;"";[@[Fecha_Nueva_Programada]];[@[Fecha_Programada_Fin]])))</f>
        <v/>
      </c>
      <c r="R683" s="12" t="n"/>
      <c r="S683" s="12" t="n"/>
      <c r="T683" s="13" t="n"/>
      <c r="U683" s="12" t="n">
        <v>14</v>
      </c>
      <c r="V683" s="12" t="n"/>
      <c r="W68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83" s="14">
        <f>SI([@SBAN]="";"";BUSCARV([@SBAN];Cronograma_Maestro!$A:$M;6;FALSO))</f>
        <v/>
      </c>
    </row>
    <row r="684">
      <c r="A684" s="11" t="inlineStr">
        <is>
          <t>6634</t>
        </is>
      </c>
      <c r="B684" s="12">
        <f>SI([@SBAN]="";"";BUSCARV([@SBAN];Cronograma_Maestro!$A:$M;2;FALSO))</f>
        <v/>
      </c>
      <c r="C684" s="12">
        <f>SI([@SBAN]="";"";BUSCARV([@SBAN];Cronograma_Maestro!$A:$M;3;FALSO))</f>
        <v/>
      </c>
      <c r="D684" s="12">
        <f>SI([@SBAN]="";"";BUSCARV([@SBAN];Cronograma_Maestro!$A:$M;4;FALSO))</f>
        <v/>
      </c>
      <c r="E684" s="12">
        <f>SI([@SBAN]="";"";BUSCARV([@SBAN];Cronograma_Maestro!$A:$M;5;FALSO))</f>
        <v/>
      </c>
      <c r="F684" s="12" t="inlineStr">
        <is>
          <t>Fernando Valencia- Bernardo Arango</t>
        </is>
      </c>
      <c r="G684" s="12" t="inlineStr">
        <is>
          <t>PMU COLSOF</t>
        </is>
      </c>
      <c r="H684" s="13" t="n">
        <v>46350</v>
      </c>
      <c r="I684" s="13" t="n">
        <v>46350</v>
      </c>
      <c r="J684" s="13" t="n"/>
      <c r="K684" s="13" t="n"/>
      <c r="L684" s="12" t="inlineStr">
        <is>
          <t>Programada</t>
        </is>
      </c>
      <c r="M684" s="13" t="n"/>
      <c r="N684" s="14">
        <f>SI(O([@[Fecha_Programada_Inicio]]="";[@[Fecha_Inicio_Real]]="");"";SI([@[Fecha_Inicio_Real]]&lt;=[@[Fecha_Programada_Inicio]];"SÍ";"NO"))</f>
        <v/>
      </c>
      <c r="O684" s="14">
        <f>SI(O([@[Fecha_Programada_Fin]]="";[@[Fecha_Cierre_Operativo]]="");"";SI([@[Fecha_Cierre_Operativo]]&lt;=SI([@[Fecha_Nueva_Programada]]&lt;&gt;"";[@[Fecha_Nueva_Programada]];[@[Fecha_Programada_Fin]]);"SÍ";"NO"))</f>
        <v/>
      </c>
      <c r="P684" s="14">
        <f>SI(O([@[Cumpli_Ingreso]]="";[@[Cumpli_Salida]]="");"";SI(Y([@[Cumpli_Ingreso]]="SÍ";[@[Cumpli_Salida]]="SÍ");"SÍ";"NO"))</f>
        <v/>
      </c>
      <c r="Q684" s="15">
        <f>SI(O([@[Fecha_Programada_Fin]]="";[@[Fecha_Cierre_Operativo]]="");"";MAX(0;ENTERO([@[Fecha_Cierre_Operativo]])-ENTERO(SI([@[Fecha_Nueva_Programada]]&lt;&gt;"";[@[Fecha_Nueva_Programada]];[@[Fecha_Programada_Fin]])))</f>
        <v/>
      </c>
      <c r="R684" s="12" t="n"/>
      <c r="S684" s="12" t="n"/>
      <c r="T684" s="13" t="n"/>
      <c r="U684" s="12" t="n">
        <v>12</v>
      </c>
      <c r="V684" s="12" t="n"/>
      <c r="W68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84" s="14">
        <f>SI([@SBAN]="";"";BUSCARV([@SBAN];Cronograma_Maestro!$A:$M;6;FALSO))</f>
        <v/>
      </c>
    </row>
    <row r="685">
      <c r="A685" s="11" t="inlineStr">
        <is>
          <t>6635</t>
        </is>
      </c>
      <c r="B685" s="12">
        <f>SI([@SBAN]="";"";BUSCARV([@SBAN];Cronograma_Maestro!$A:$M;2;FALSO))</f>
        <v/>
      </c>
      <c r="C685" s="12">
        <f>SI([@SBAN]="";"";BUSCARV([@SBAN];Cronograma_Maestro!$A:$M;3;FALSO))</f>
        <v/>
      </c>
      <c r="D685" s="12">
        <f>SI([@SBAN]="";"";BUSCARV([@SBAN];Cronograma_Maestro!$A:$M;4;FALSO))</f>
        <v/>
      </c>
      <c r="E685" s="12">
        <f>SI([@SBAN]="";"";BUSCARV([@SBAN];Cronograma_Maestro!$A:$M;5;FALSO))</f>
        <v/>
      </c>
      <c r="F685" s="12" t="inlineStr">
        <is>
          <t>Bernardo Arango-Johan Molano</t>
        </is>
      </c>
      <c r="G685" s="12" t="inlineStr">
        <is>
          <t>PMU COLSOF</t>
        </is>
      </c>
      <c r="H685" s="13" t="n">
        <v>46315</v>
      </c>
      <c r="I685" s="13" t="n">
        <v>46317</v>
      </c>
      <c r="J685" s="13" t="n"/>
      <c r="K685" s="13" t="n"/>
      <c r="L685" s="12" t="inlineStr">
        <is>
          <t>Programada</t>
        </is>
      </c>
      <c r="M685" s="13" t="n"/>
      <c r="N685" s="14">
        <f>SI(O([@[Fecha_Programada_Inicio]]="";[@[Fecha_Inicio_Real]]="");"";SI([@[Fecha_Inicio_Real]]&lt;=[@[Fecha_Programada_Inicio]];"SÍ";"NO"))</f>
        <v/>
      </c>
      <c r="O685" s="14">
        <f>SI(O([@[Fecha_Programada_Fin]]="";[@[Fecha_Cierre_Operativo]]="");"";SI([@[Fecha_Cierre_Operativo]]&lt;=SI([@[Fecha_Nueva_Programada]]&lt;&gt;"";[@[Fecha_Nueva_Programada]];[@[Fecha_Programada_Fin]]);"SÍ";"NO"))</f>
        <v/>
      </c>
      <c r="P685" s="14">
        <f>SI(O([@[Cumpli_Ingreso]]="";[@[Cumpli_Salida]]="");"";SI(Y([@[Cumpli_Ingreso]]="SÍ";[@[Cumpli_Salida]]="SÍ");"SÍ";"NO"))</f>
        <v/>
      </c>
      <c r="Q685" s="15">
        <f>SI(O([@[Fecha_Programada_Fin]]="";[@[Fecha_Cierre_Operativo]]="");"";MAX(0;ENTERO([@[Fecha_Cierre_Operativo]])-ENTERO(SI([@[Fecha_Nueva_Programada]]&lt;&gt;"";[@[Fecha_Nueva_Programada]];[@[Fecha_Programada_Fin]])))</f>
        <v/>
      </c>
      <c r="R685" s="12" t="n"/>
      <c r="S685" s="12" t="n"/>
      <c r="T685" s="13" t="n"/>
      <c r="U685" s="12" t="n">
        <v>38</v>
      </c>
      <c r="V685" s="12" t="n"/>
      <c r="W68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85" s="14">
        <f>SI([@SBAN]="";"";BUSCARV([@SBAN];Cronograma_Maestro!$A:$M;6;FALSO))</f>
        <v/>
      </c>
    </row>
    <row r="686">
      <c r="A686" s="11" t="inlineStr">
        <is>
          <t>6638</t>
        </is>
      </c>
      <c r="B686" s="12">
        <f>SI([@SBAN]="";"";BUSCARV([@SBAN];Cronograma_Maestro!$A:$M;2;FALSO))</f>
        <v/>
      </c>
      <c r="C686" s="12">
        <f>SI([@SBAN]="";"";BUSCARV([@SBAN];Cronograma_Maestro!$A:$M;3;FALSO))</f>
        <v/>
      </c>
      <c r="D686" s="12">
        <f>SI([@SBAN]="";"";BUSCARV([@SBAN];Cronograma_Maestro!$A:$M;4;FALSO))</f>
        <v/>
      </c>
      <c r="E686" s="12">
        <f>SI([@SBAN]="";"";BUSCARV([@SBAN];Cronograma_Maestro!$A:$M;5;FALSO))</f>
        <v/>
      </c>
      <c r="F686" s="12" t="inlineStr">
        <is>
          <t>Fernando Valencia- Bernardo Arango</t>
        </is>
      </c>
      <c r="G686" s="12" t="inlineStr">
        <is>
          <t>PMU COLSOF</t>
        </is>
      </c>
      <c r="H686" s="13" t="n">
        <v>46336</v>
      </c>
      <c r="I686" s="13" t="n">
        <v>46336</v>
      </c>
      <c r="J686" s="13" t="n"/>
      <c r="K686" s="13" t="n"/>
      <c r="L686" s="12" t="inlineStr">
        <is>
          <t>Programada</t>
        </is>
      </c>
      <c r="M686" s="13" t="n"/>
      <c r="N686" s="14">
        <f>SI(O([@[Fecha_Programada_Inicio]]="";[@[Fecha_Inicio_Real]]="");"";SI([@[Fecha_Inicio_Real]]&lt;=[@[Fecha_Programada_Inicio]];"SÍ";"NO"))</f>
        <v/>
      </c>
      <c r="O686" s="14">
        <f>SI(O([@[Fecha_Programada_Fin]]="";[@[Fecha_Cierre_Operativo]]="");"";SI([@[Fecha_Cierre_Operativo]]&lt;=SI([@[Fecha_Nueva_Programada]]&lt;&gt;"";[@[Fecha_Nueva_Programada]];[@[Fecha_Programada_Fin]]);"SÍ";"NO"))</f>
        <v/>
      </c>
      <c r="P686" s="14">
        <f>SI(O([@[Cumpli_Ingreso]]="";[@[Cumpli_Salida]]="");"";SI(Y([@[Cumpli_Ingreso]]="SÍ";[@[Cumpli_Salida]]="SÍ");"SÍ";"NO"))</f>
        <v/>
      </c>
      <c r="Q686" s="15">
        <f>SI(O([@[Fecha_Programada_Fin]]="";[@[Fecha_Cierre_Operativo]]="");"";MAX(0;ENTERO([@[Fecha_Cierre_Operativo]])-ENTERO(SI([@[Fecha_Nueva_Programada]]&lt;&gt;"";[@[Fecha_Nueva_Programada]];[@[Fecha_Programada_Fin]])))</f>
        <v/>
      </c>
      <c r="R686" s="12" t="n"/>
      <c r="S686" s="12" t="n"/>
      <c r="T686" s="13" t="n"/>
      <c r="U686" s="12" t="n">
        <v>22</v>
      </c>
      <c r="V686" s="12" t="n"/>
      <c r="W68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86" s="14">
        <f>SI([@SBAN]="";"";BUSCARV([@SBAN];Cronograma_Maestro!$A:$M;6;FALSO))</f>
        <v/>
      </c>
    </row>
    <row r="687">
      <c r="A687" s="11" t="inlineStr">
        <is>
          <t>6639</t>
        </is>
      </c>
      <c r="B687" s="12">
        <f>SI([@SBAN]="";"";BUSCARV([@SBAN];Cronograma_Maestro!$A:$M;2;FALSO))</f>
        <v/>
      </c>
      <c r="C687" s="12">
        <f>SI([@SBAN]="";"";BUSCARV([@SBAN];Cronograma_Maestro!$A:$M;3;FALSO))</f>
        <v/>
      </c>
      <c r="D687" s="12">
        <f>SI([@SBAN]="";"";BUSCARV([@SBAN];Cronograma_Maestro!$A:$M;4;FALSO))</f>
        <v/>
      </c>
      <c r="E687" s="12">
        <f>SI([@SBAN]="";"";BUSCARV([@SBAN];Cronograma_Maestro!$A:$M;5;FALSO))</f>
        <v/>
      </c>
      <c r="F687" s="12" t="inlineStr">
        <is>
          <t>Johan Cardenas</t>
        </is>
      </c>
      <c r="G687" s="12" t="inlineStr">
        <is>
          <t>PMU COLSOF</t>
        </is>
      </c>
      <c r="H687" s="13" t="n">
        <v>46281</v>
      </c>
      <c r="I687" s="13" t="n">
        <v>46282</v>
      </c>
      <c r="J687" s="13" t="n"/>
      <c r="K687" s="13" t="n"/>
      <c r="L687" s="12" t="inlineStr">
        <is>
          <t>Programada</t>
        </is>
      </c>
      <c r="M687" s="13" t="n"/>
      <c r="N687" s="14">
        <f>SI(O([@[Fecha_Programada_Inicio]]="";[@[Fecha_Inicio_Real]]="");"";SI([@[Fecha_Inicio_Real]]&lt;=[@[Fecha_Programada_Inicio]];"SÍ";"NO"))</f>
        <v/>
      </c>
      <c r="O687" s="14">
        <f>SI(O([@[Fecha_Programada_Fin]]="";[@[Fecha_Cierre_Operativo]]="");"";SI([@[Fecha_Cierre_Operativo]]&lt;=SI([@[Fecha_Nueva_Programada]]&lt;&gt;"";[@[Fecha_Nueva_Programada]];[@[Fecha_Programada_Fin]]);"SÍ";"NO"))</f>
        <v/>
      </c>
      <c r="P687" s="14">
        <f>SI(O([@[Cumpli_Ingreso]]="";[@[Cumpli_Salida]]="");"";SI(Y([@[Cumpli_Ingreso]]="SÍ";[@[Cumpli_Salida]]="SÍ");"SÍ";"NO"))</f>
        <v/>
      </c>
      <c r="Q687" s="15">
        <f>SI(O([@[Fecha_Programada_Fin]]="";[@[Fecha_Cierre_Operativo]]="");"";MAX(0;ENTERO([@[Fecha_Cierre_Operativo]])-ENTERO(SI([@[Fecha_Nueva_Programada]]&lt;&gt;"";[@[Fecha_Nueva_Programada]];[@[Fecha_Programada_Fin]])))</f>
        <v/>
      </c>
      <c r="R687" s="12" t="n"/>
      <c r="S687" s="12" t="n"/>
      <c r="T687" s="13" t="n"/>
      <c r="U687" s="12" t="n">
        <v>13</v>
      </c>
      <c r="V687" s="12" t="n"/>
      <c r="W68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87" s="14">
        <f>SI([@SBAN]="";"";BUSCARV([@SBAN];Cronograma_Maestro!$A:$M;6;FALSO))</f>
        <v/>
      </c>
    </row>
    <row r="688">
      <c r="A688" s="11" t="inlineStr">
        <is>
          <t>6640</t>
        </is>
      </c>
      <c r="B688" s="12">
        <f>SI([@SBAN]="";"";BUSCARV([@SBAN];Cronograma_Maestro!$A:$M;2;FALSO))</f>
        <v/>
      </c>
      <c r="C688" s="12">
        <f>SI([@SBAN]="";"";BUSCARV([@SBAN];Cronograma_Maestro!$A:$M;3;FALSO))</f>
        <v/>
      </c>
      <c r="D688" s="12">
        <f>SI([@SBAN]="";"";BUSCARV([@SBAN];Cronograma_Maestro!$A:$M;4;FALSO))</f>
        <v/>
      </c>
      <c r="E688" s="12">
        <f>SI([@SBAN]="";"";BUSCARV([@SBAN];Cronograma_Maestro!$A:$M;5;FALSO))</f>
        <v/>
      </c>
      <c r="F688" s="12" t="inlineStr">
        <is>
          <t>Johan Molano</t>
        </is>
      </c>
      <c r="G688" s="12" t="inlineStr">
        <is>
          <t>PMU COLSOF</t>
        </is>
      </c>
      <c r="H688" s="13" t="n">
        <v>46266</v>
      </c>
      <c r="I688" s="13" t="n">
        <v>46266</v>
      </c>
      <c r="J688" s="13" t="n"/>
      <c r="K688" s="13" t="n"/>
      <c r="L688" s="12" t="inlineStr">
        <is>
          <t>Reprogramada</t>
        </is>
      </c>
      <c r="M688" s="13" t="n"/>
      <c r="N688" s="14">
        <f>SI(O([@[Fecha_Programada_Inicio]]="";[@[Fecha_Inicio_Real]]="");"";SI([@[Fecha_Inicio_Real]]&lt;=[@[Fecha_Programada_Inicio]];"SÍ";"NO"))</f>
        <v/>
      </c>
      <c r="O688" s="14">
        <f>SI(O([@[Fecha_Programada_Fin]]="";[@[Fecha_Cierre_Operativo]]="");"";SI([@[Fecha_Cierre_Operativo]]&lt;=SI([@[Fecha_Nueva_Programada]]&lt;&gt;"";[@[Fecha_Nueva_Programada]];[@[Fecha_Programada_Fin]]);"SÍ";"NO"))</f>
        <v/>
      </c>
      <c r="P688" s="14">
        <f>SI(O([@[Cumpli_Ingreso]]="";[@[Cumpli_Salida]]="");"";SI(Y([@[Cumpli_Ingreso]]="SÍ";[@[Cumpli_Salida]]="SÍ");"SÍ";"NO"))</f>
        <v/>
      </c>
      <c r="Q688" s="15">
        <f>SI(O([@[Fecha_Programada_Fin]]="";[@[Fecha_Cierre_Operativo]]="");"";MAX(0;ENTERO([@[Fecha_Cierre_Operativo]])-ENTERO(SI([@[Fecha_Nueva_Programada]]&lt;&gt;"";[@[Fecha_Nueva_Programada]];[@[Fecha_Programada_Fin]])))</f>
        <v/>
      </c>
      <c r="R688" s="12" t="inlineStr">
        <is>
          <t>Logística/Acceso</t>
        </is>
      </c>
      <c r="S688" s="12" t="n"/>
      <c r="T688" s="13" t="n"/>
      <c r="U688" s="12" t="n">
        <v>18</v>
      </c>
      <c r="V688" s="12" t="inlineStr">
        <is>
          <t>Derrumbe en la zona que impide el acceso</t>
        </is>
      </c>
      <c r="W68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88" s="14">
        <f>SI([@SBAN]="";"";BUSCARV([@SBAN];Cronograma_Maestro!$A:$M;6;FALSO))</f>
        <v/>
      </c>
    </row>
    <row r="689">
      <c r="A689" s="11" t="inlineStr">
        <is>
          <t>6641</t>
        </is>
      </c>
      <c r="B689" s="12">
        <f>SI([@SBAN]="";"";BUSCARV([@SBAN];Cronograma_Maestro!$A:$M;2;FALSO))</f>
        <v/>
      </c>
      <c r="C689" s="12">
        <f>SI([@SBAN]="";"";BUSCARV([@SBAN];Cronograma_Maestro!$A:$M;3;FALSO))</f>
        <v/>
      </c>
      <c r="D689" s="12">
        <f>SI([@SBAN]="";"";BUSCARV([@SBAN];Cronograma_Maestro!$A:$M;4;FALSO))</f>
        <v/>
      </c>
      <c r="E689" s="12">
        <f>SI([@SBAN]="";"";BUSCARV([@SBAN];Cronograma_Maestro!$A:$M;5;FALSO))</f>
        <v/>
      </c>
      <c r="F689" s="12" t="inlineStr">
        <is>
          <t>Yeisson Castaño</t>
        </is>
      </c>
      <c r="G689" s="12" t="inlineStr">
        <is>
          <t>PMU COLSOF</t>
        </is>
      </c>
      <c r="H689" s="13" t="n">
        <v>46268</v>
      </c>
      <c r="I689" s="13" t="n">
        <v>46268</v>
      </c>
      <c r="J689" s="13" t="n"/>
      <c r="K689" s="13" t="n"/>
      <c r="L689" s="12" t="inlineStr">
        <is>
          <t>Programada</t>
        </is>
      </c>
      <c r="M689" s="13" t="n"/>
      <c r="N689" s="14">
        <f>SI(O([@[Fecha_Programada_Inicio]]="";[@[Fecha_Inicio_Real]]="");"";SI([@[Fecha_Inicio_Real]]&lt;=[@[Fecha_Programada_Inicio]];"SÍ";"NO"))</f>
        <v/>
      </c>
      <c r="O689" s="14">
        <f>SI(O([@[Fecha_Programada_Fin]]="";[@[Fecha_Cierre_Operativo]]="");"";SI([@[Fecha_Cierre_Operativo]]&lt;=SI([@[Fecha_Nueva_Programada]]&lt;&gt;"";[@[Fecha_Nueva_Programada]];[@[Fecha_Programada_Fin]]);"SÍ";"NO"))</f>
        <v/>
      </c>
      <c r="P689" s="14">
        <f>SI(O([@[Cumpli_Ingreso]]="";[@[Cumpli_Salida]]="");"";SI(Y([@[Cumpli_Ingreso]]="SÍ";[@[Cumpli_Salida]]="SÍ");"SÍ";"NO"))</f>
        <v/>
      </c>
      <c r="Q689" s="15">
        <f>SI(O([@[Fecha_Programada_Fin]]="";[@[Fecha_Cierre_Operativo]]="");"";MAX(0;ENTERO([@[Fecha_Cierre_Operativo]])-ENTERO(SI([@[Fecha_Nueva_Programada]]&lt;&gt;"";[@[Fecha_Nueva_Programada]];[@[Fecha_Programada_Fin]])))</f>
        <v/>
      </c>
      <c r="R689" s="12" t="n"/>
      <c r="S689" s="12" t="n"/>
      <c r="T689" s="13" t="n"/>
      <c r="U689" s="12" t="n">
        <v>12</v>
      </c>
      <c r="V689" s="12" t="n"/>
      <c r="W68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89" s="14">
        <f>SI([@SBAN]="";"";BUSCARV([@SBAN];Cronograma_Maestro!$A:$M;6;FALSO))</f>
        <v/>
      </c>
    </row>
    <row r="690">
      <c r="A690" s="11" t="inlineStr">
        <is>
          <t>6642</t>
        </is>
      </c>
      <c r="B690" s="12">
        <f>SI([@SBAN]="";"";BUSCARV([@SBAN];Cronograma_Maestro!$A:$M;2;FALSO))</f>
        <v/>
      </c>
      <c r="C690" s="12">
        <f>SI([@SBAN]="";"";BUSCARV([@SBAN];Cronograma_Maestro!$A:$M;3;FALSO))</f>
        <v/>
      </c>
      <c r="D690" s="12">
        <f>SI([@SBAN]="";"";BUSCARV([@SBAN];Cronograma_Maestro!$A:$M;4;FALSO))</f>
        <v/>
      </c>
      <c r="E690" s="12">
        <f>SI([@SBAN]="";"";BUSCARV([@SBAN];Cronograma_Maestro!$A:$M;5;FALSO))</f>
        <v/>
      </c>
      <c r="F690" s="12" t="inlineStr">
        <is>
          <t>Johan Cardenas</t>
        </is>
      </c>
      <c r="G690" s="12" t="inlineStr">
        <is>
          <t>PMU COLSOF</t>
        </is>
      </c>
      <c r="H690" s="13" t="n">
        <v>46266</v>
      </c>
      <c r="I690" s="13" t="n">
        <v>46267</v>
      </c>
      <c r="J690" s="13" t="n">
        <v>46266</v>
      </c>
      <c r="K690" s="13" t="n"/>
      <c r="L690" s="12" t="inlineStr">
        <is>
          <t>En Proceso</t>
        </is>
      </c>
      <c r="M690" s="13" t="n"/>
      <c r="N690" s="14">
        <f>SI(O([@[Fecha_Programada_Inicio]]="";[@[Fecha_Inicio_Real]]="");"";SI([@[Fecha_Inicio_Real]]&lt;=[@[Fecha_Programada_Inicio]];"SÍ";"NO"))</f>
        <v/>
      </c>
      <c r="O690" s="14">
        <f>SI(O([@[Fecha_Programada_Fin]]="";[@[Fecha_Cierre_Operativo]]="");"";SI([@[Fecha_Cierre_Operativo]]&lt;=SI([@[Fecha_Nueva_Programada]]&lt;&gt;"";[@[Fecha_Nueva_Programada]];[@[Fecha_Programada_Fin]]);"SÍ";"NO"))</f>
        <v/>
      </c>
      <c r="P690" s="14">
        <f>SI(O([@[Cumpli_Ingreso]]="";[@[Cumpli_Salida]]="");"";SI(Y([@[Cumpli_Ingreso]]="SÍ";[@[Cumpli_Salida]]="SÍ");"SÍ";"NO"))</f>
        <v/>
      </c>
      <c r="Q690" s="15">
        <f>SI(O([@[Fecha_Programada_Fin]]="";[@[Fecha_Cierre_Operativo]]="");"";MAX(0;ENTERO([@[Fecha_Cierre_Operativo]])-ENTERO(SI([@[Fecha_Nueva_Programada]]&lt;&gt;"";[@[Fecha_Nueva_Programada]];[@[Fecha_Programada_Fin]])))</f>
        <v/>
      </c>
      <c r="R690" s="12" t="n"/>
      <c r="S690" s="12" t="n"/>
      <c r="T690" s="13" t="n"/>
      <c r="U690" s="12" t="n">
        <v>27</v>
      </c>
      <c r="V690" s="12" t="n"/>
      <c r="W69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90" s="14">
        <f>SI([@SBAN]="";"";BUSCARV([@SBAN];Cronograma_Maestro!$A:$M;6;FALSO))</f>
        <v/>
      </c>
    </row>
    <row r="691">
      <c r="A691" s="11" t="inlineStr">
        <is>
          <t>6645</t>
        </is>
      </c>
      <c r="B691" s="12">
        <f>SI([@SBAN]="";"";BUSCARV([@SBAN];Cronograma_Maestro!$A:$M;2;FALSO))</f>
        <v/>
      </c>
      <c r="C691" s="12">
        <f>SI([@SBAN]="";"";BUSCARV([@SBAN];Cronograma_Maestro!$A:$M;3;FALSO))</f>
        <v/>
      </c>
      <c r="D691" s="12">
        <f>SI([@SBAN]="";"";BUSCARV([@SBAN];Cronograma_Maestro!$A:$M;4;FALSO))</f>
        <v/>
      </c>
      <c r="E691" s="12">
        <f>SI([@SBAN]="";"";BUSCARV([@SBAN];Cronograma_Maestro!$A:$M;5;FALSO))</f>
        <v/>
      </c>
      <c r="F691" s="12" t="inlineStr">
        <is>
          <t>Fernando Valencia</t>
        </is>
      </c>
      <c r="G691" s="12" t="inlineStr">
        <is>
          <t>PMU COLSOF</t>
        </is>
      </c>
      <c r="H691" s="13" t="n">
        <v>46287</v>
      </c>
      <c r="I691" s="13" t="n">
        <v>46287</v>
      </c>
      <c r="J691" s="13" t="n"/>
      <c r="K691" s="13" t="n"/>
      <c r="L691" s="12" t="inlineStr">
        <is>
          <t>Programada</t>
        </is>
      </c>
      <c r="M691" s="13" t="n"/>
      <c r="N691" s="14">
        <f>SI(O([@[Fecha_Programada_Inicio]]="";[@[Fecha_Inicio_Real]]="");"";SI([@[Fecha_Inicio_Real]]&lt;=[@[Fecha_Programada_Inicio]];"SÍ";"NO"))</f>
        <v/>
      </c>
      <c r="O691" s="14">
        <f>SI(O([@[Fecha_Programada_Fin]]="";[@[Fecha_Cierre_Operativo]]="");"";SI([@[Fecha_Cierre_Operativo]]&lt;=SI([@[Fecha_Nueva_Programada]]&lt;&gt;"";[@[Fecha_Nueva_Programada]];[@[Fecha_Programada_Fin]]);"SÍ";"NO"))</f>
        <v/>
      </c>
      <c r="P691" s="14">
        <f>SI(O([@[Cumpli_Ingreso]]="";[@[Cumpli_Salida]]="");"";SI(Y([@[Cumpli_Ingreso]]="SÍ";[@[Cumpli_Salida]]="SÍ");"SÍ";"NO"))</f>
        <v/>
      </c>
      <c r="Q691" s="15">
        <f>SI(O([@[Fecha_Programada_Fin]]="";[@[Fecha_Cierre_Operativo]]="");"";MAX(0;ENTERO([@[Fecha_Cierre_Operativo]])-ENTERO(SI([@[Fecha_Nueva_Programada]]&lt;&gt;"";[@[Fecha_Nueva_Programada]];[@[Fecha_Programada_Fin]])))</f>
        <v/>
      </c>
      <c r="R691" s="12" t="n"/>
      <c r="S691" s="12" t="n"/>
      <c r="T691" s="13" t="n"/>
      <c r="U691" s="12" t="n">
        <v>14</v>
      </c>
      <c r="V691" s="12" t="n"/>
      <c r="W69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91" s="14">
        <f>SI([@SBAN]="";"";BUSCARV([@SBAN];Cronograma_Maestro!$A:$M;6;FALSO))</f>
        <v/>
      </c>
    </row>
    <row r="692">
      <c r="A692" s="11" t="inlineStr">
        <is>
          <t>6646</t>
        </is>
      </c>
      <c r="B692" s="12">
        <f>SI([@SBAN]="";"";BUSCARV([@SBAN];Cronograma_Maestro!$A:$M;2;FALSO))</f>
        <v/>
      </c>
      <c r="C692" s="12">
        <f>SI([@SBAN]="";"";BUSCARV([@SBAN];Cronograma_Maestro!$A:$M;3;FALSO))</f>
        <v/>
      </c>
      <c r="D692" s="12">
        <f>SI([@SBAN]="";"";BUSCARV([@SBAN];Cronograma_Maestro!$A:$M;4;FALSO))</f>
        <v/>
      </c>
      <c r="E692" s="12">
        <f>SI([@SBAN]="";"";BUSCARV([@SBAN];Cronograma_Maestro!$A:$M;5;FALSO))</f>
        <v/>
      </c>
      <c r="F692" s="12" t="inlineStr">
        <is>
          <t>Johan Cardenas</t>
        </is>
      </c>
      <c r="G692" s="12" t="inlineStr">
        <is>
          <t>PMU COLSOF</t>
        </is>
      </c>
      <c r="H692" s="13" t="n">
        <v>46280</v>
      </c>
      <c r="I692" s="13" t="n">
        <v>46281</v>
      </c>
      <c r="J692" s="13" t="n"/>
      <c r="K692" s="13" t="n"/>
      <c r="L692" s="12" t="inlineStr">
        <is>
          <t>Programada</t>
        </is>
      </c>
      <c r="M692" s="13" t="n"/>
      <c r="N692" s="14">
        <f>SI(O([@[Fecha_Programada_Inicio]]="";[@[Fecha_Inicio_Real]]="");"";SI([@[Fecha_Inicio_Real]]&lt;=[@[Fecha_Programada_Inicio]];"SÍ";"NO"))</f>
        <v/>
      </c>
      <c r="O692" s="14">
        <f>SI(O([@[Fecha_Programada_Fin]]="";[@[Fecha_Cierre_Operativo]]="");"";SI([@[Fecha_Cierre_Operativo]]&lt;=SI([@[Fecha_Nueva_Programada]]&lt;&gt;"";[@[Fecha_Nueva_Programada]];[@[Fecha_Programada_Fin]]);"SÍ";"NO"))</f>
        <v/>
      </c>
      <c r="P692" s="14">
        <f>SI(O([@[Cumpli_Ingreso]]="";[@[Cumpli_Salida]]="");"";SI(Y([@[Cumpli_Ingreso]]="SÍ";[@[Cumpli_Salida]]="SÍ");"SÍ";"NO"))</f>
        <v/>
      </c>
      <c r="Q692" s="15">
        <f>SI(O([@[Fecha_Programada_Fin]]="";[@[Fecha_Cierre_Operativo]]="");"";MAX(0;ENTERO([@[Fecha_Cierre_Operativo]])-ENTERO(SI([@[Fecha_Nueva_Programada]]&lt;&gt;"";[@[Fecha_Nueva_Programada]];[@[Fecha_Programada_Fin]])))</f>
        <v/>
      </c>
      <c r="R692" s="12" t="n"/>
      <c r="S692" s="12" t="n"/>
      <c r="T692" s="13" t="n"/>
      <c r="U692" s="12" t="n">
        <v>19</v>
      </c>
      <c r="V692" s="12" t="n"/>
      <c r="W69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92" s="14">
        <f>SI([@SBAN]="";"";BUSCARV([@SBAN];Cronograma_Maestro!$A:$M;6;FALSO))</f>
        <v/>
      </c>
    </row>
    <row r="693">
      <c r="A693" s="11" t="inlineStr">
        <is>
          <t>6647</t>
        </is>
      </c>
      <c r="B693" s="12">
        <f>SI([@SBAN]="";"";BUSCARV([@SBAN];Cronograma_Maestro!$A:$M;2;FALSO))</f>
        <v/>
      </c>
      <c r="C693" s="12">
        <f>SI([@SBAN]="";"";BUSCARV([@SBAN];Cronograma_Maestro!$A:$M;3;FALSO))</f>
        <v/>
      </c>
      <c r="D693" s="12">
        <f>SI([@SBAN]="";"";BUSCARV([@SBAN];Cronograma_Maestro!$A:$M;4;FALSO))</f>
        <v/>
      </c>
      <c r="E693" s="12">
        <f>SI([@SBAN]="";"";BUSCARV([@SBAN];Cronograma_Maestro!$A:$M;5;FALSO))</f>
        <v/>
      </c>
      <c r="F693" s="12" t="inlineStr">
        <is>
          <t>Fernando Valencia- Bernardo Arango</t>
        </is>
      </c>
      <c r="G693" s="12" t="inlineStr">
        <is>
          <t>PMU COLSOF</t>
        </is>
      </c>
      <c r="H693" s="13" t="n">
        <v>46350</v>
      </c>
      <c r="I693" s="13" t="n">
        <v>46350</v>
      </c>
      <c r="J693" s="13" t="n"/>
      <c r="K693" s="13" t="n"/>
      <c r="L693" s="12" t="inlineStr">
        <is>
          <t>Programada</t>
        </is>
      </c>
      <c r="M693" s="13" t="n"/>
      <c r="N693" s="14">
        <f>SI(O([@[Fecha_Programada_Inicio]]="";[@[Fecha_Inicio_Real]]="");"";SI([@[Fecha_Inicio_Real]]&lt;=[@[Fecha_Programada_Inicio]];"SÍ";"NO"))</f>
        <v/>
      </c>
      <c r="O693" s="14">
        <f>SI(O([@[Fecha_Programada_Fin]]="";[@[Fecha_Cierre_Operativo]]="");"";SI([@[Fecha_Cierre_Operativo]]&lt;=SI([@[Fecha_Nueva_Programada]]&lt;&gt;"";[@[Fecha_Nueva_Programada]];[@[Fecha_Programada_Fin]]);"SÍ";"NO"))</f>
        <v/>
      </c>
      <c r="P693" s="14">
        <f>SI(O([@[Cumpli_Ingreso]]="";[@[Cumpli_Salida]]="");"";SI(Y([@[Cumpli_Ingreso]]="SÍ";[@[Cumpli_Salida]]="SÍ");"SÍ";"NO"))</f>
        <v/>
      </c>
      <c r="Q693" s="15">
        <f>SI(O([@[Fecha_Programada_Fin]]="";[@[Fecha_Cierre_Operativo]]="");"";MAX(0;ENTERO([@[Fecha_Cierre_Operativo]])-ENTERO(SI([@[Fecha_Nueva_Programada]]&lt;&gt;"";[@[Fecha_Nueva_Programada]];[@[Fecha_Programada_Fin]])))</f>
        <v/>
      </c>
      <c r="R693" s="12" t="n"/>
      <c r="S693" s="12" t="n"/>
      <c r="T693" s="13" t="n"/>
      <c r="U693" s="12" t="n">
        <v>14</v>
      </c>
      <c r="V693" s="12" t="n"/>
      <c r="W69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93" s="14">
        <f>SI([@SBAN]="";"";BUSCARV([@SBAN];Cronograma_Maestro!$A:$M;6;FALSO))</f>
        <v/>
      </c>
    </row>
    <row r="694">
      <c r="A694" s="11" t="inlineStr">
        <is>
          <t>6648</t>
        </is>
      </c>
      <c r="B694" s="12">
        <f>SI([@SBAN]="";"";BUSCARV([@SBAN];Cronograma_Maestro!$A:$M;2;FALSO))</f>
        <v/>
      </c>
      <c r="C694" s="12">
        <f>SI([@SBAN]="";"";BUSCARV([@SBAN];Cronograma_Maestro!$A:$M;3;FALSO))</f>
        <v/>
      </c>
      <c r="D694" s="12">
        <f>SI([@SBAN]="";"";BUSCARV([@SBAN];Cronograma_Maestro!$A:$M;4;FALSO))</f>
        <v/>
      </c>
      <c r="E694" s="12">
        <f>SI([@SBAN]="";"";BUSCARV([@SBAN];Cronograma_Maestro!$A:$M;5;FALSO))</f>
        <v/>
      </c>
      <c r="F694" s="12" t="inlineStr">
        <is>
          <t>Bernardo Arango</t>
        </is>
      </c>
      <c r="G694" s="12" t="inlineStr">
        <is>
          <t>PMU COLSOF</t>
        </is>
      </c>
      <c r="H694" s="13" t="n">
        <v>46288</v>
      </c>
      <c r="I694" s="13" t="n">
        <v>46288</v>
      </c>
      <c r="J694" s="13" t="n"/>
      <c r="K694" s="13" t="n"/>
      <c r="L694" s="12" t="inlineStr">
        <is>
          <t>Programada</t>
        </is>
      </c>
      <c r="M694" s="13" t="n"/>
      <c r="N694" s="14">
        <f>SI(O([@[Fecha_Programada_Inicio]]="";[@[Fecha_Inicio_Real]]="");"";SI([@[Fecha_Inicio_Real]]&lt;=[@[Fecha_Programada_Inicio]];"SÍ";"NO"))</f>
        <v/>
      </c>
      <c r="O694" s="14">
        <f>SI(O([@[Fecha_Programada_Fin]]="";[@[Fecha_Cierre_Operativo]]="");"";SI([@[Fecha_Cierre_Operativo]]&lt;=SI([@[Fecha_Nueva_Programada]]&lt;&gt;"";[@[Fecha_Nueva_Programada]];[@[Fecha_Programada_Fin]]);"SÍ";"NO"))</f>
        <v/>
      </c>
      <c r="P694" s="14">
        <f>SI(O([@[Cumpli_Ingreso]]="";[@[Cumpli_Salida]]="");"";SI(Y([@[Cumpli_Ingreso]]="SÍ";[@[Cumpli_Salida]]="SÍ");"SÍ";"NO"))</f>
        <v/>
      </c>
      <c r="Q694" s="15">
        <f>SI(O([@[Fecha_Programada_Fin]]="";[@[Fecha_Cierre_Operativo]]="");"";MAX(0;ENTERO([@[Fecha_Cierre_Operativo]])-ENTERO(SI([@[Fecha_Nueva_Programada]]&lt;&gt;"";[@[Fecha_Nueva_Programada]];[@[Fecha_Programada_Fin]])))</f>
        <v/>
      </c>
      <c r="R694" s="12" t="n"/>
      <c r="S694" s="12" t="n"/>
      <c r="T694" s="13" t="n"/>
      <c r="U694" s="12" t="n">
        <v>13</v>
      </c>
      <c r="V694" s="12" t="n"/>
      <c r="W69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94" s="14">
        <f>SI([@SBAN]="";"";BUSCARV([@SBAN];Cronograma_Maestro!$A:$M;6;FALSO))</f>
        <v/>
      </c>
    </row>
    <row r="695">
      <c r="A695" s="11" t="inlineStr">
        <is>
          <t>6649</t>
        </is>
      </c>
      <c r="B695" s="12">
        <f>SI([@SBAN]="";"";BUSCARV([@SBAN];Cronograma_Maestro!$A:$M;2;FALSO))</f>
        <v/>
      </c>
      <c r="C695" s="12">
        <f>SI([@SBAN]="";"";BUSCARV([@SBAN];Cronograma_Maestro!$A:$M;3;FALSO))</f>
        <v/>
      </c>
      <c r="D695" s="12">
        <f>SI([@SBAN]="";"";BUSCARV([@SBAN];Cronograma_Maestro!$A:$M;4;FALSO))</f>
        <v/>
      </c>
      <c r="E695" s="12">
        <f>SI([@SBAN]="";"";BUSCARV([@SBAN];Cronograma_Maestro!$A:$M;5;FALSO))</f>
        <v/>
      </c>
      <c r="F695" s="12" t="inlineStr">
        <is>
          <t>Johan Cardenas</t>
        </is>
      </c>
      <c r="G695" s="12" t="inlineStr">
        <is>
          <t>PMU COLSOF</t>
        </is>
      </c>
      <c r="H695" s="13" t="n">
        <v>46289</v>
      </c>
      <c r="I695" s="13" t="n">
        <v>46289</v>
      </c>
      <c r="J695" s="13" t="n"/>
      <c r="K695" s="13" t="n"/>
      <c r="L695" s="12" t="inlineStr">
        <is>
          <t>Programada</t>
        </is>
      </c>
      <c r="M695" s="13" t="n"/>
      <c r="N695" s="14">
        <f>SI(O([@[Fecha_Programada_Inicio]]="";[@[Fecha_Inicio_Real]]="");"";SI([@[Fecha_Inicio_Real]]&lt;=[@[Fecha_Programada_Inicio]];"SÍ";"NO"))</f>
        <v/>
      </c>
      <c r="O695" s="14">
        <f>SI(O([@[Fecha_Programada_Fin]]="";[@[Fecha_Cierre_Operativo]]="");"";SI([@[Fecha_Cierre_Operativo]]&lt;=SI([@[Fecha_Nueva_Programada]]&lt;&gt;"";[@[Fecha_Nueva_Programada]];[@[Fecha_Programada_Fin]]);"SÍ";"NO"))</f>
        <v/>
      </c>
      <c r="P695" s="14">
        <f>SI(O([@[Cumpli_Ingreso]]="";[@[Cumpli_Salida]]="");"";SI(Y([@[Cumpli_Ingreso]]="SÍ";[@[Cumpli_Salida]]="SÍ");"SÍ";"NO"))</f>
        <v/>
      </c>
      <c r="Q695" s="15">
        <f>SI(O([@[Fecha_Programada_Fin]]="";[@[Fecha_Cierre_Operativo]]="");"";MAX(0;ENTERO([@[Fecha_Cierre_Operativo]])-ENTERO(SI([@[Fecha_Nueva_Programada]]&lt;&gt;"";[@[Fecha_Nueva_Programada]];[@[Fecha_Programada_Fin]])))</f>
        <v/>
      </c>
      <c r="R695" s="12" t="n"/>
      <c r="S695" s="12" t="n"/>
      <c r="T695" s="13" t="n"/>
      <c r="U695" s="12" t="n">
        <v>17</v>
      </c>
      <c r="V695" s="12" t="n"/>
      <c r="W69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95" s="14">
        <f>SI([@SBAN]="";"";BUSCARV([@SBAN];Cronograma_Maestro!$A:$M;6;FALSO))</f>
        <v/>
      </c>
    </row>
    <row r="696">
      <c r="A696" s="11" t="inlineStr">
        <is>
          <t>6650</t>
        </is>
      </c>
      <c r="B696" s="12">
        <f>SI([@SBAN]="";"";BUSCARV([@SBAN];Cronograma_Maestro!$A:$M;2;FALSO))</f>
        <v/>
      </c>
      <c r="C696" s="12">
        <f>SI([@SBAN]="";"";BUSCARV([@SBAN];Cronograma_Maestro!$A:$M;3;FALSO))</f>
        <v/>
      </c>
      <c r="D696" s="12">
        <f>SI([@SBAN]="";"";BUSCARV([@SBAN];Cronograma_Maestro!$A:$M;4;FALSO))</f>
        <v/>
      </c>
      <c r="E696" s="12">
        <f>SI([@SBAN]="";"";BUSCARV([@SBAN];Cronograma_Maestro!$A:$M;5;FALSO))</f>
        <v/>
      </c>
      <c r="F696" s="12" t="inlineStr">
        <is>
          <t>Fernando Valencia- Bernardo Arango</t>
        </is>
      </c>
      <c r="G696" s="12" t="inlineStr">
        <is>
          <t>PMU COLSOF</t>
        </is>
      </c>
      <c r="H696" s="13" t="n">
        <v>46294</v>
      </c>
      <c r="I696" s="13" t="n">
        <v>46295</v>
      </c>
      <c r="J696" s="13" t="n"/>
      <c r="K696" s="13" t="n"/>
      <c r="L696" s="12" t="inlineStr">
        <is>
          <t>Programada</t>
        </is>
      </c>
      <c r="M696" s="13" t="n"/>
      <c r="N696" s="14">
        <f>SI(O([@[Fecha_Programada_Inicio]]="";[@[Fecha_Inicio_Real]]="");"";SI([@[Fecha_Inicio_Real]]&lt;=[@[Fecha_Programada_Inicio]];"SÍ";"NO"))</f>
        <v/>
      </c>
      <c r="O696" s="14">
        <f>SI(O([@[Fecha_Programada_Fin]]="";[@[Fecha_Cierre_Operativo]]="");"";SI([@[Fecha_Cierre_Operativo]]&lt;=SI([@[Fecha_Nueva_Programada]]&lt;&gt;"";[@[Fecha_Nueva_Programada]];[@[Fecha_Programada_Fin]]);"SÍ";"NO"))</f>
        <v/>
      </c>
      <c r="P696" s="14">
        <f>SI(O([@[Cumpli_Ingreso]]="";[@[Cumpli_Salida]]="");"";SI(Y([@[Cumpli_Ingreso]]="SÍ";[@[Cumpli_Salida]]="SÍ");"SÍ";"NO"))</f>
        <v/>
      </c>
      <c r="Q696" s="15">
        <f>SI(O([@[Fecha_Programada_Fin]]="";[@[Fecha_Cierre_Operativo]]="");"";MAX(0;ENTERO([@[Fecha_Cierre_Operativo]])-ENTERO(SI([@[Fecha_Nueva_Programada]]&lt;&gt;"";[@[Fecha_Nueva_Programada]];[@[Fecha_Programada_Fin]])))</f>
        <v/>
      </c>
      <c r="R696" s="12" t="n"/>
      <c r="S696" s="12" t="n"/>
      <c r="T696" s="13" t="n"/>
      <c r="U696" s="12" t="n">
        <v>19</v>
      </c>
      <c r="V696" s="12" t="n"/>
      <c r="W69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96" s="14">
        <f>SI([@SBAN]="";"";BUSCARV([@SBAN];Cronograma_Maestro!$A:$M;6;FALSO))</f>
        <v/>
      </c>
    </row>
    <row r="697">
      <c r="A697" s="11" t="inlineStr">
        <is>
          <t>6651</t>
        </is>
      </c>
      <c r="B697" s="12">
        <f>SI([@SBAN]="";"";BUSCARV([@SBAN];Cronograma_Maestro!$A:$M;2;FALSO))</f>
        <v/>
      </c>
      <c r="C697" s="12">
        <f>SI([@SBAN]="";"";BUSCARV([@SBAN];Cronograma_Maestro!$A:$M;3;FALSO))</f>
        <v/>
      </c>
      <c r="D697" s="12">
        <f>SI([@SBAN]="";"";BUSCARV([@SBAN];Cronograma_Maestro!$A:$M;4;FALSO))</f>
        <v/>
      </c>
      <c r="E697" s="12">
        <f>SI([@SBAN]="";"";BUSCARV([@SBAN];Cronograma_Maestro!$A:$M;5;FALSO))</f>
        <v/>
      </c>
      <c r="F697" s="12" t="inlineStr">
        <is>
          <t>Fernando Valencia- Bernardo Arango</t>
        </is>
      </c>
      <c r="G697" s="12" t="inlineStr">
        <is>
          <t>PMU COLSOF</t>
        </is>
      </c>
      <c r="H697" s="13" t="n">
        <v>46331</v>
      </c>
      <c r="I697" s="13" t="n">
        <v>46331</v>
      </c>
      <c r="J697" s="13" t="n"/>
      <c r="K697" s="13" t="n"/>
      <c r="L697" s="12" t="inlineStr">
        <is>
          <t>Programada</t>
        </is>
      </c>
      <c r="M697" s="13" t="n"/>
      <c r="N697" s="14">
        <f>SI(O([@[Fecha_Programada_Inicio]]="";[@[Fecha_Inicio_Real]]="");"";SI([@[Fecha_Inicio_Real]]&lt;=[@[Fecha_Programada_Inicio]];"SÍ";"NO"))</f>
        <v/>
      </c>
      <c r="O697" s="14">
        <f>SI(O([@[Fecha_Programada_Fin]]="";[@[Fecha_Cierre_Operativo]]="");"";SI([@[Fecha_Cierre_Operativo]]&lt;=SI([@[Fecha_Nueva_Programada]]&lt;&gt;"";[@[Fecha_Nueva_Programada]];[@[Fecha_Programada_Fin]]);"SÍ";"NO"))</f>
        <v/>
      </c>
      <c r="P697" s="14">
        <f>SI(O([@[Cumpli_Ingreso]]="";[@[Cumpli_Salida]]="");"";SI(Y([@[Cumpli_Ingreso]]="SÍ";[@[Cumpli_Salida]]="SÍ");"SÍ";"NO"))</f>
        <v/>
      </c>
      <c r="Q697" s="15">
        <f>SI(O([@[Fecha_Programada_Fin]]="";[@[Fecha_Cierre_Operativo]]="");"";MAX(0;ENTERO([@[Fecha_Cierre_Operativo]])-ENTERO(SI([@[Fecha_Nueva_Programada]]&lt;&gt;"";[@[Fecha_Nueva_Programada]];[@[Fecha_Programada_Fin]])))</f>
        <v/>
      </c>
      <c r="R697" s="12" t="n"/>
      <c r="S697" s="12" t="n"/>
      <c r="T697" s="13" t="n"/>
      <c r="U697" s="12" t="n">
        <v>21</v>
      </c>
      <c r="V697" s="12" t="n"/>
      <c r="W69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97" s="14">
        <f>SI([@SBAN]="";"";BUSCARV([@SBAN];Cronograma_Maestro!$A:$M;6;FALSO))</f>
        <v/>
      </c>
    </row>
    <row r="698">
      <c r="A698" s="11" t="inlineStr">
        <is>
          <t>6652</t>
        </is>
      </c>
      <c r="B698" s="12">
        <f>SI([@SBAN]="";"";BUSCARV([@SBAN];Cronograma_Maestro!$A:$M;2;FALSO))</f>
        <v/>
      </c>
      <c r="C698" s="12">
        <f>SI([@SBAN]="";"";BUSCARV([@SBAN];Cronograma_Maestro!$A:$M;3;FALSO))</f>
        <v/>
      </c>
      <c r="D698" s="12">
        <f>SI([@SBAN]="";"";BUSCARV([@SBAN];Cronograma_Maestro!$A:$M;4;FALSO))</f>
        <v/>
      </c>
      <c r="E698" s="12">
        <f>SI([@SBAN]="";"";BUSCARV([@SBAN];Cronograma_Maestro!$A:$M;5;FALSO))</f>
        <v/>
      </c>
      <c r="F698" s="12" t="inlineStr">
        <is>
          <t>Johan Cardenas</t>
        </is>
      </c>
      <c r="G698" s="12" t="inlineStr">
        <is>
          <t>PMU COLSOF</t>
        </is>
      </c>
      <c r="H698" s="13" t="n">
        <v>46294</v>
      </c>
      <c r="I698" s="13" t="n">
        <v>46295</v>
      </c>
      <c r="J698" s="13" t="n"/>
      <c r="K698" s="13" t="n"/>
      <c r="L698" s="12" t="inlineStr">
        <is>
          <t>Programada</t>
        </is>
      </c>
      <c r="M698" s="13" t="n"/>
      <c r="N698" s="14">
        <f>SI(O([@[Fecha_Programada_Inicio]]="";[@[Fecha_Inicio_Real]]="");"";SI([@[Fecha_Inicio_Real]]&lt;=[@[Fecha_Programada_Inicio]];"SÍ";"NO"))</f>
        <v/>
      </c>
      <c r="O698" s="14">
        <f>SI(O([@[Fecha_Programada_Fin]]="";[@[Fecha_Cierre_Operativo]]="");"";SI([@[Fecha_Cierre_Operativo]]&lt;=SI([@[Fecha_Nueva_Programada]]&lt;&gt;"";[@[Fecha_Nueva_Programada]];[@[Fecha_Programada_Fin]]);"SÍ";"NO"))</f>
        <v/>
      </c>
      <c r="P698" s="14">
        <f>SI(O([@[Cumpli_Ingreso]]="";[@[Cumpli_Salida]]="");"";SI(Y([@[Cumpli_Ingreso]]="SÍ";[@[Cumpli_Salida]]="SÍ");"SÍ";"NO"))</f>
        <v/>
      </c>
      <c r="Q698" s="15">
        <f>SI(O([@[Fecha_Programada_Fin]]="";[@[Fecha_Cierre_Operativo]]="");"";MAX(0;ENTERO([@[Fecha_Cierre_Operativo]])-ENTERO(SI([@[Fecha_Nueva_Programada]]&lt;&gt;"";[@[Fecha_Nueva_Programada]];[@[Fecha_Programada_Fin]])))</f>
        <v/>
      </c>
      <c r="R698" s="12" t="n"/>
      <c r="S698" s="12" t="n"/>
      <c r="T698" s="13" t="n"/>
      <c r="U698" s="12" t="n">
        <v>15</v>
      </c>
      <c r="V698" s="12" t="n"/>
      <c r="W69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98" s="14">
        <f>SI([@SBAN]="";"";BUSCARV([@SBAN];Cronograma_Maestro!$A:$M;6;FALSO))</f>
        <v/>
      </c>
    </row>
    <row r="699">
      <c r="A699" s="11" t="inlineStr">
        <is>
          <t>6653</t>
        </is>
      </c>
      <c r="B699" s="12">
        <f>SI([@SBAN]="";"";BUSCARV([@SBAN];Cronograma_Maestro!$A:$M;2;FALSO))</f>
        <v/>
      </c>
      <c r="C699" s="12">
        <f>SI([@SBAN]="";"";BUSCARV([@SBAN];Cronograma_Maestro!$A:$M;3;FALSO))</f>
        <v/>
      </c>
      <c r="D699" s="12">
        <f>SI([@SBAN]="";"";BUSCARV([@SBAN];Cronograma_Maestro!$A:$M;4;FALSO))</f>
        <v/>
      </c>
      <c r="E699" s="12">
        <f>SI([@SBAN]="";"";BUSCARV([@SBAN];Cronograma_Maestro!$A:$M;5;FALSO))</f>
        <v/>
      </c>
      <c r="F699" s="12" t="inlineStr">
        <is>
          <t>Fernando Valencia</t>
        </is>
      </c>
      <c r="G699" s="12" t="inlineStr">
        <is>
          <t>PMU COLSOF</t>
        </is>
      </c>
      <c r="H699" s="13" t="n">
        <v>46269</v>
      </c>
      <c r="I699" s="13" t="n">
        <v>46269</v>
      </c>
      <c r="J699" s="13" t="n"/>
      <c r="K699" s="13" t="n"/>
      <c r="L699" s="12" t="inlineStr">
        <is>
          <t>Programada</t>
        </is>
      </c>
      <c r="M699" s="13" t="n"/>
      <c r="N699" s="14">
        <f>SI(O([@[Fecha_Programada_Inicio]]="";[@[Fecha_Inicio_Real]]="");"";SI([@[Fecha_Inicio_Real]]&lt;=[@[Fecha_Programada_Inicio]];"SÍ";"NO"))</f>
        <v/>
      </c>
      <c r="O699" s="14">
        <f>SI(O([@[Fecha_Programada_Fin]]="";[@[Fecha_Cierre_Operativo]]="");"";SI([@[Fecha_Cierre_Operativo]]&lt;=SI([@[Fecha_Nueva_Programada]]&lt;&gt;"";[@[Fecha_Nueva_Programada]];[@[Fecha_Programada_Fin]]);"SÍ";"NO"))</f>
        <v/>
      </c>
      <c r="P699" s="14">
        <f>SI(O([@[Cumpli_Ingreso]]="";[@[Cumpli_Salida]]="");"";SI(Y([@[Cumpli_Ingreso]]="SÍ";[@[Cumpli_Salida]]="SÍ");"SÍ";"NO"))</f>
        <v/>
      </c>
      <c r="Q699" s="15">
        <f>SI(O([@[Fecha_Programada_Fin]]="";[@[Fecha_Cierre_Operativo]]="");"";MAX(0;ENTERO([@[Fecha_Cierre_Operativo]])-ENTERO(SI([@[Fecha_Nueva_Programada]]&lt;&gt;"";[@[Fecha_Nueva_Programada]];[@[Fecha_Programada_Fin]])))</f>
        <v/>
      </c>
      <c r="R699" s="12" t="n"/>
      <c r="S699" s="12" t="n"/>
      <c r="T699" s="13" t="n"/>
      <c r="U699" s="12" t="n">
        <v>13</v>
      </c>
      <c r="V699" s="12" t="n"/>
      <c r="W69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699" s="14">
        <f>SI([@SBAN]="";"";BUSCARV([@SBAN];Cronograma_Maestro!$A:$M;6;FALSO))</f>
        <v/>
      </c>
    </row>
    <row r="700">
      <c r="A700" s="11" t="inlineStr">
        <is>
          <t>6654</t>
        </is>
      </c>
      <c r="B700" s="12">
        <f>SI([@SBAN]="";"";BUSCARV([@SBAN];Cronograma_Maestro!$A:$M;2;FALSO))</f>
        <v/>
      </c>
      <c r="C700" s="12">
        <f>SI([@SBAN]="";"";BUSCARV([@SBAN];Cronograma_Maestro!$A:$M;3;FALSO))</f>
        <v/>
      </c>
      <c r="D700" s="12">
        <f>SI([@SBAN]="";"";BUSCARV([@SBAN];Cronograma_Maestro!$A:$M;4;FALSO))</f>
        <v/>
      </c>
      <c r="E700" s="12">
        <f>SI([@SBAN]="";"";BUSCARV([@SBAN];Cronograma_Maestro!$A:$M;5;FALSO))</f>
        <v/>
      </c>
      <c r="F700" s="12" t="inlineStr">
        <is>
          <t>Yeisson Castaño</t>
        </is>
      </c>
      <c r="G700" s="12" t="inlineStr">
        <is>
          <t>PMU COLSOF</t>
        </is>
      </c>
      <c r="H700" s="13" t="n">
        <v>46267</v>
      </c>
      <c r="I700" s="13" t="n">
        <v>46267</v>
      </c>
      <c r="J700" s="13" t="n"/>
      <c r="K700" s="13" t="n"/>
      <c r="L700" s="12" t="inlineStr">
        <is>
          <t>Programada</t>
        </is>
      </c>
      <c r="M700" s="13" t="n"/>
      <c r="N700" s="14">
        <f>SI(O([@[Fecha_Programada_Inicio]]="";[@[Fecha_Inicio_Real]]="");"";SI([@[Fecha_Inicio_Real]]&lt;=[@[Fecha_Programada_Inicio]];"SÍ";"NO"))</f>
        <v/>
      </c>
      <c r="O700" s="14">
        <f>SI(O([@[Fecha_Programada_Fin]]="";[@[Fecha_Cierre_Operativo]]="");"";SI([@[Fecha_Cierre_Operativo]]&lt;=SI([@[Fecha_Nueva_Programada]]&lt;&gt;"";[@[Fecha_Nueva_Programada]];[@[Fecha_Programada_Fin]]);"SÍ";"NO"))</f>
        <v/>
      </c>
      <c r="P700" s="14">
        <f>SI(O([@[Cumpli_Ingreso]]="";[@[Cumpli_Salida]]="");"";SI(Y([@[Cumpli_Ingreso]]="SÍ";[@[Cumpli_Salida]]="SÍ");"SÍ";"NO"))</f>
        <v/>
      </c>
      <c r="Q700" s="15">
        <f>SI(O([@[Fecha_Programada_Fin]]="";[@[Fecha_Cierre_Operativo]]="");"";MAX(0;ENTERO([@[Fecha_Cierre_Operativo]])-ENTERO(SI([@[Fecha_Nueva_Programada]]&lt;&gt;"";[@[Fecha_Nueva_Programada]];[@[Fecha_Programada_Fin]])))</f>
        <v/>
      </c>
      <c r="R700" s="12" t="n"/>
      <c r="S700" s="12" t="n"/>
      <c r="T700" s="13" t="n"/>
      <c r="U700" s="12" t="n">
        <v>14</v>
      </c>
      <c r="V700" s="12" t="n"/>
      <c r="W70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00" s="14">
        <f>SI([@SBAN]="";"";BUSCARV([@SBAN];Cronograma_Maestro!$A:$M;6;FALSO))</f>
        <v/>
      </c>
    </row>
    <row r="701">
      <c r="A701" s="11" t="inlineStr">
        <is>
          <t>6657</t>
        </is>
      </c>
      <c r="B701" s="12">
        <f>SI([@SBAN]="";"";BUSCARV([@SBAN];Cronograma_Maestro!$A:$M;2;FALSO))</f>
        <v/>
      </c>
      <c r="C701" s="12">
        <f>SI([@SBAN]="";"";BUSCARV([@SBAN];Cronograma_Maestro!$A:$M;3;FALSO))</f>
        <v/>
      </c>
      <c r="D701" s="12">
        <f>SI([@SBAN]="";"";BUSCARV([@SBAN];Cronograma_Maestro!$A:$M;4;FALSO))</f>
        <v/>
      </c>
      <c r="E701" s="12">
        <f>SI([@SBAN]="";"";BUSCARV([@SBAN];Cronograma_Maestro!$A:$M;5;FALSO))</f>
        <v/>
      </c>
      <c r="F701" s="12" t="inlineStr">
        <is>
          <t>Johan molano</t>
        </is>
      </c>
      <c r="G701" s="12" t="inlineStr">
        <is>
          <t>PMU COLSOF</t>
        </is>
      </c>
      <c r="H701" s="13" t="n">
        <v>46268</v>
      </c>
      <c r="I701" s="13" t="n">
        <v>46268</v>
      </c>
      <c r="J701" s="13" t="n"/>
      <c r="K701" s="13" t="n"/>
      <c r="L701" s="12" t="inlineStr">
        <is>
          <t>Programada</t>
        </is>
      </c>
      <c r="M701" s="13" t="n"/>
      <c r="N701" s="14">
        <f>SI(O([@[Fecha_Programada_Inicio]]="";[@[Fecha_Inicio_Real]]="");"";SI([@[Fecha_Inicio_Real]]&lt;=[@[Fecha_Programada_Inicio]];"SÍ";"NO"))</f>
        <v/>
      </c>
      <c r="O701" s="14">
        <f>SI(O([@[Fecha_Programada_Fin]]="";[@[Fecha_Cierre_Operativo]]="");"";SI([@[Fecha_Cierre_Operativo]]&lt;=SI([@[Fecha_Nueva_Programada]]&lt;&gt;"";[@[Fecha_Nueva_Programada]];[@[Fecha_Programada_Fin]]);"SÍ";"NO"))</f>
        <v/>
      </c>
      <c r="P701" s="14">
        <f>SI(O([@[Cumpli_Ingreso]]="";[@[Cumpli_Salida]]="");"";SI(Y([@[Cumpli_Ingreso]]="SÍ";[@[Cumpli_Salida]]="SÍ");"SÍ";"NO"))</f>
        <v/>
      </c>
      <c r="Q701" s="15">
        <f>SI(O([@[Fecha_Programada_Fin]]="";[@[Fecha_Cierre_Operativo]]="");"";MAX(0;ENTERO([@[Fecha_Cierre_Operativo]])-ENTERO(SI([@[Fecha_Nueva_Programada]]&lt;&gt;"";[@[Fecha_Nueva_Programada]];[@[Fecha_Programada_Fin]])))</f>
        <v/>
      </c>
      <c r="R701" s="12" t="n"/>
      <c r="S701" s="12" t="n"/>
      <c r="T701" s="13" t="n"/>
      <c r="U701" s="12" t="n">
        <v>14</v>
      </c>
      <c r="V701" s="12" t="n"/>
      <c r="W70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01" s="14">
        <f>SI([@SBAN]="";"";BUSCARV([@SBAN];Cronograma_Maestro!$A:$M;6;FALSO))</f>
        <v/>
      </c>
    </row>
    <row r="702">
      <c r="A702" s="11" t="inlineStr">
        <is>
          <t>6660</t>
        </is>
      </c>
      <c r="B702" s="12">
        <f>SI([@SBAN]="";"";BUSCARV([@SBAN];Cronograma_Maestro!$A:$M;2;FALSO))</f>
        <v/>
      </c>
      <c r="C702" s="12">
        <f>SI([@SBAN]="";"";BUSCARV([@SBAN];Cronograma_Maestro!$A:$M;3;FALSO))</f>
        <v/>
      </c>
      <c r="D702" s="12">
        <f>SI([@SBAN]="";"";BUSCARV([@SBAN];Cronograma_Maestro!$A:$M;4;FALSO))</f>
        <v/>
      </c>
      <c r="E702" s="12">
        <f>SI([@SBAN]="";"";BUSCARV([@SBAN];Cronograma_Maestro!$A:$M;5;FALSO))</f>
        <v/>
      </c>
      <c r="F702" s="12" t="inlineStr">
        <is>
          <t>Fernando Valencia- Bernardo Arango</t>
        </is>
      </c>
      <c r="G702" s="12" t="inlineStr">
        <is>
          <t>PMU COLSOF</t>
        </is>
      </c>
      <c r="H702" s="13" t="n">
        <v>46301</v>
      </c>
      <c r="I702" s="13" t="n">
        <v>46302</v>
      </c>
      <c r="J702" s="13" t="n"/>
      <c r="K702" s="13" t="n"/>
      <c r="L702" s="12" t="inlineStr">
        <is>
          <t>Programada</t>
        </is>
      </c>
      <c r="M702" s="13" t="n"/>
      <c r="N702" s="14">
        <f>SI(O([@[Fecha_Programada_Inicio]]="";[@[Fecha_Inicio_Real]]="");"";SI([@[Fecha_Inicio_Real]]&lt;=[@[Fecha_Programada_Inicio]];"SÍ";"NO"))</f>
        <v/>
      </c>
      <c r="O702" s="14">
        <f>SI(O([@[Fecha_Programada_Fin]]="";[@[Fecha_Cierre_Operativo]]="");"";SI([@[Fecha_Cierre_Operativo]]&lt;=SI([@[Fecha_Nueva_Programada]]&lt;&gt;"";[@[Fecha_Nueva_Programada]];[@[Fecha_Programada_Fin]]);"SÍ";"NO"))</f>
        <v/>
      </c>
      <c r="P702" s="14">
        <f>SI(O([@[Cumpli_Ingreso]]="";[@[Cumpli_Salida]]="");"";SI(Y([@[Cumpli_Ingreso]]="SÍ";[@[Cumpli_Salida]]="SÍ");"SÍ";"NO"))</f>
        <v/>
      </c>
      <c r="Q702" s="15">
        <f>SI(O([@[Fecha_Programada_Fin]]="";[@[Fecha_Cierre_Operativo]]="");"";MAX(0;ENTERO([@[Fecha_Cierre_Operativo]])-ENTERO(SI([@[Fecha_Nueva_Programada]]&lt;&gt;"";[@[Fecha_Nueva_Programada]];[@[Fecha_Programada_Fin]])))</f>
        <v/>
      </c>
      <c r="R702" s="12" t="n"/>
      <c r="S702" s="12" t="n"/>
      <c r="T702" s="13" t="n"/>
      <c r="U702" s="12" t="n">
        <v>22</v>
      </c>
      <c r="V702" s="12" t="n"/>
      <c r="W70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02" s="14">
        <f>SI([@SBAN]="";"";BUSCARV([@SBAN];Cronograma_Maestro!$A:$M;6;FALSO))</f>
        <v/>
      </c>
    </row>
    <row r="703">
      <c r="A703" s="11" t="inlineStr">
        <is>
          <t>6670</t>
        </is>
      </c>
      <c r="B703" s="12">
        <f>SI([@SBAN]="";"";BUSCARV([@SBAN];Cronograma_Maestro!$A:$M;2;FALSO))</f>
        <v/>
      </c>
      <c r="C703" s="12">
        <f>SI([@SBAN]="";"";BUSCARV([@SBAN];Cronograma_Maestro!$A:$M;3;FALSO))</f>
        <v/>
      </c>
      <c r="D703" s="12">
        <f>SI([@SBAN]="";"";BUSCARV([@SBAN];Cronograma_Maestro!$A:$M;4;FALSO))</f>
        <v/>
      </c>
      <c r="E703" s="12">
        <f>SI([@SBAN]="";"";BUSCARV([@SBAN];Cronograma_Maestro!$A:$M;5;FALSO))</f>
        <v/>
      </c>
      <c r="F703" s="12" t="inlineStr">
        <is>
          <t>Yeisson Castaño</t>
        </is>
      </c>
      <c r="G703" s="12" t="inlineStr">
        <is>
          <t>PMU COLSOF</t>
        </is>
      </c>
      <c r="H703" s="13" t="n">
        <v>46273</v>
      </c>
      <c r="I703" s="13" t="n">
        <v>46273</v>
      </c>
      <c r="J703" s="13" t="n"/>
      <c r="K703" s="13" t="n"/>
      <c r="L703" s="12" t="inlineStr">
        <is>
          <t>Programada</t>
        </is>
      </c>
      <c r="M703" s="13" t="n"/>
      <c r="N703" s="14">
        <f>SI(O([@[Fecha_Programada_Inicio]]="";[@[Fecha_Inicio_Real]]="");"";SI([@[Fecha_Inicio_Real]]&lt;=[@[Fecha_Programada_Inicio]];"SÍ";"NO"))</f>
        <v/>
      </c>
      <c r="O703" s="14">
        <f>SI(O([@[Fecha_Programada_Fin]]="";[@[Fecha_Cierre_Operativo]]="");"";SI([@[Fecha_Cierre_Operativo]]&lt;=SI([@[Fecha_Nueva_Programada]]&lt;&gt;"";[@[Fecha_Nueva_Programada]];[@[Fecha_Programada_Fin]]);"SÍ";"NO"))</f>
        <v/>
      </c>
      <c r="P703" s="14">
        <f>SI(O([@[Cumpli_Ingreso]]="";[@[Cumpli_Salida]]="");"";SI(Y([@[Cumpli_Ingreso]]="SÍ";[@[Cumpli_Salida]]="SÍ");"SÍ";"NO"))</f>
        <v/>
      </c>
      <c r="Q703" s="15">
        <f>SI(O([@[Fecha_Programada_Fin]]="";[@[Fecha_Cierre_Operativo]]="");"";MAX(0;ENTERO([@[Fecha_Cierre_Operativo]])-ENTERO(SI([@[Fecha_Nueva_Programada]]&lt;&gt;"";[@[Fecha_Nueva_Programada]];[@[Fecha_Programada_Fin]])))</f>
        <v/>
      </c>
      <c r="R703" s="12" t="n"/>
      <c r="S703" s="12" t="n"/>
      <c r="T703" s="13" t="n"/>
      <c r="U703" s="12" t="n">
        <v>21</v>
      </c>
      <c r="V703" s="12" t="n"/>
      <c r="W70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03" s="14">
        <f>SI([@SBAN]="";"";BUSCARV([@SBAN];Cronograma_Maestro!$A:$M;6;FALSO))</f>
        <v/>
      </c>
    </row>
    <row r="704">
      <c r="A704" s="11" t="inlineStr">
        <is>
          <t>6680</t>
        </is>
      </c>
      <c r="B704" s="12">
        <f>SI([@SBAN]="";"";BUSCARV([@SBAN];Cronograma_Maestro!$A:$M;2;FALSO))</f>
        <v/>
      </c>
      <c r="C704" s="12">
        <f>SI([@SBAN]="";"";BUSCARV([@SBAN];Cronograma_Maestro!$A:$M;3;FALSO))</f>
        <v/>
      </c>
      <c r="D704" s="12">
        <f>SI([@SBAN]="";"";BUSCARV([@SBAN];Cronograma_Maestro!$A:$M;4;FALSO))</f>
        <v/>
      </c>
      <c r="E704" s="12">
        <f>SI([@SBAN]="";"";BUSCARV([@SBAN];Cronograma_Maestro!$A:$M;5;FALSO))</f>
        <v/>
      </c>
      <c r="F704" s="12" t="inlineStr">
        <is>
          <t>Fernando Valencia</t>
        </is>
      </c>
      <c r="G704" s="12" t="inlineStr">
        <is>
          <t>PMU COLSOF</t>
        </is>
      </c>
      <c r="H704" s="13" t="n">
        <v>46268</v>
      </c>
      <c r="I704" s="13" t="n">
        <v>46268</v>
      </c>
      <c r="J704" s="13" t="n"/>
      <c r="K704" s="13" t="n"/>
      <c r="L704" s="12" t="inlineStr">
        <is>
          <t>Programada</t>
        </is>
      </c>
      <c r="M704" s="13" t="n"/>
      <c r="N704" s="14">
        <f>SI(O([@[Fecha_Programada_Inicio]]="";[@[Fecha_Inicio_Real]]="");"";SI([@[Fecha_Inicio_Real]]&lt;=[@[Fecha_Programada_Inicio]];"SÍ";"NO"))</f>
        <v/>
      </c>
      <c r="O704" s="14">
        <f>SI(O([@[Fecha_Programada_Fin]]="";[@[Fecha_Cierre_Operativo]]="");"";SI([@[Fecha_Cierre_Operativo]]&lt;=SI([@[Fecha_Nueva_Programada]]&lt;&gt;"";[@[Fecha_Nueva_Programada]];[@[Fecha_Programada_Fin]]);"SÍ";"NO"))</f>
        <v/>
      </c>
      <c r="P704" s="14">
        <f>SI(O([@[Cumpli_Ingreso]]="";[@[Cumpli_Salida]]="");"";SI(Y([@[Cumpli_Ingreso]]="SÍ";[@[Cumpli_Salida]]="SÍ");"SÍ";"NO"))</f>
        <v/>
      </c>
      <c r="Q704" s="15">
        <f>SI(O([@[Fecha_Programada_Fin]]="";[@[Fecha_Cierre_Operativo]]="");"";MAX(0;ENTERO([@[Fecha_Cierre_Operativo]])-ENTERO(SI([@[Fecha_Nueva_Programada]]&lt;&gt;"";[@[Fecha_Nueva_Programada]];[@[Fecha_Programada_Fin]])))</f>
        <v/>
      </c>
      <c r="R704" s="12" t="n"/>
      <c r="S704" s="12" t="n"/>
      <c r="T704" s="13" t="n"/>
      <c r="U704" s="12" t="n">
        <v>14</v>
      </c>
      <c r="V704" s="12" t="n"/>
      <c r="W70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04" s="14">
        <f>SI([@SBAN]="";"";BUSCARV([@SBAN];Cronograma_Maestro!$A:$M;6;FALSO))</f>
        <v/>
      </c>
    </row>
    <row r="705">
      <c r="A705" s="11" t="inlineStr">
        <is>
          <t>6901</t>
        </is>
      </c>
      <c r="B705" s="12">
        <f>SI([@SBAN]="";"";BUSCARV([@SBAN];Cronograma_Maestro!$A:$M;2;FALSO))</f>
        <v/>
      </c>
      <c r="C705" s="12">
        <f>SI([@SBAN]="";"";BUSCARV([@SBAN];Cronograma_Maestro!$A:$M;3;FALSO))</f>
        <v/>
      </c>
      <c r="D705" s="12">
        <f>SI([@SBAN]="";"";BUSCARV([@SBAN];Cronograma_Maestro!$A:$M;4;FALSO))</f>
        <v/>
      </c>
      <c r="E705" s="12">
        <f>SI([@SBAN]="";"";BUSCARV([@SBAN];Cronograma_Maestro!$A:$M;5;FALSO))</f>
        <v/>
      </c>
      <c r="F705" s="12" t="inlineStr">
        <is>
          <t>Alvaro Augusto Villalba Villamil</t>
        </is>
      </c>
      <c r="G705" s="12" t="inlineStr">
        <is>
          <t>PMU COLSOF</t>
        </is>
      </c>
      <c r="H705" s="13" t="n">
        <v>46309</v>
      </c>
      <c r="I705" s="13" t="n">
        <v>46309</v>
      </c>
      <c r="J705" s="13" t="n"/>
      <c r="K705" s="13" t="n"/>
      <c r="L705" s="12" t="inlineStr">
        <is>
          <t>Programada</t>
        </is>
      </c>
      <c r="M705" s="13" t="n"/>
      <c r="N705" s="14">
        <f>SI(O([@[Fecha_Programada_Inicio]]="";[@[Fecha_Inicio_Real]]="");"";SI([@[Fecha_Inicio_Real]]&lt;=[@[Fecha_Programada_Inicio]];"SÍ";"NO"))</f>
        <v/>
      </c>
      <c r="O705" s="14">
        <f>SI(O([@[Fecha_Programada_Fin]]="";[@[Fecha_Cierre_Operativo]]="");"";SI([@[Fecha_Cierre_Operativo]]&lt;=SI([@[Fecha_Nueva_Programada]]&lt;&gt;"";[@[Fecha_Nueva_Programada]];[@[Fecha_Programada_Fin]]);"SÍ";"NO"))</f>
        <v/>
      </c>
      <c r="P705" s="14">
        <f>SI(O([@[Cumpli_Ingreso]]="";[@[Cumpli_Salida]]="");"";SI(Y([@[Cumpli_Ingreso]]="SÍ";[@[Cumpli_Salida]]="SÍ");"SÍ";"NO"))</f>
        <v/>
      </c>
      <c r="Q705" s="15">
        <f>SI(O([@[Fecha_Programada_Fin]]="";[@[Fecha_Cierre_Operativo]]="");"";MAX(0;ENTERO([@[Fecha_Cierre_Operativo]])-ENTERO(SI([@[Fecha_Nueva_Programada]]&lt;&gt;"";[@[Fecha_Nueva_Programada]];[@[Fecha_Programada_Fin]])))</f>
        <v/>
      </c>
      <c r="R705" s="12" t="n"/>
      <c r="S705" s="12" t="n"/>
      <c r="T705" s="13" t="n"/>
      <c r="U705" s="12" t="n">
        <v>13</v>
      </c>
      <c r="V705" s="12" t="n"/>
      <c r="W70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05" s="14">
        <f>SI([@SBAN]="";"";BUSCARV([@SBAN];Cronograma_Maestro!$A:$M;6;FALSO))</f>
        <v/>
      </c>
    </row>
    <row r="706">
      <c r="A706" s="11" t="inlineStr">
        <is>
          <t>6903</t>
        </is>
      </c>
      <c r="B706" s="12">
        <f>SI([@SBAN]="";"";BUSCARV([@SBAN];Cronograma_Maestro!$A:$M;2;FALSO))</f>
        <v/>
      </c>
      <c r="C706" s="12">
        <f>SI([@SBAN]="";"";BUSCARV([@SBAN];Cronograma_Maestro!$A:$M;3;FALSO))</f>
        <v/>
      </c>
      <c r="D706" s="12">
        <f>SI([@SBAN]="";"";BUSCARV([@SBAN];Cronograma_Maestro!$A:$M;4;FALSO))</f>
        <v/>
      </c>
      <c r="E706" s="12">
        <f>SI([@SBAN]="";"";BUSCARV([@SBAN];Cronograma_Maestro!$A:$M;5;FALSO))</f>
        <v/>
      </c>
      <c r="F706" s="12" t="inlineStr">
        <is>
          <t>John Edwin Jimenez Chavez</t>
        </is>
      </c>
      <c r="G706" s="12" t="inlineStr">
        <is>
          <t>PMU COLSOF</t>
        </is>
      </c>
      <c r="H706" s="13" t="n">
        <v>46336</v>
      </c>
      <c r="I706" s="13" t="n">
        <v>46337</v>
      </c>
      <c r="J706" s="13" t="n"/>
      <c r="K706" s="13" t="n"/>
      <c r="L706" s="12" t="inlineStr">
        <is>
          <t>Programada</t>
        </is>
      </c>
      <c r="M706" s="13" t="n"/>
      <c r="N706" s="14">
        <f>SI(O([@[Fecha_Programada_Inicio]]="";[@[Fecha_Inicio_Real]]="");"";SI([@[Fecha_Inicio_Real]]&lt;=[@[Fecha_Programada_Inicio]];"SÍ";"NO"))</f>
        <v/>
      </c>
      <c r="O706" s="14">
        <f>SI(O([@[Fecha_Programada_Fin]]="";[@[Fecha_Cierre_Operativo]]="");"";SI([@[Fecha_Cierre_Operativo]]&lt;=SI([@[Fecha_Nueva_Programada]]&lt;&gt;"";[@[Fecha_Nueva_Programada]];[@[Fecha_Programada_Fin]]);"SÍ";"NO"))</f>
        <v/>
      </c>
      <c r="P706" s="14">
        <f>SI(O([@[Cumpli_Ingreso]]="";[@[Cumpli_Salida]]="");"";SI(Y([@[Cumpli_Ingreso]]="SÍ";[@[Cumpli_Salida]]="SÍ");"SÍ";"NO"))</f>
        <v/>
      </c>
      <c r="Q706" s="15">
        <f>SI(O([@[Fecha_Programada_Fin]]="";[@[Fecha_Cierre_Operativo]]="");"";MAX(0;ENTERO([@[Fecha_Cierre_Operativo]])-ENTERO(SI([@[Fecha_Nueva_Programada]]&lt;&gt;"";[@[Fecha_Nueva_Programada]];[@[Fecha_Programada_Fin]])))</f>
        <v/>
      </c>
      <c r="R706" s="12" t="n"/>
      <c r="S706" s="12" t="n"/>
      <c r="T706" s="13" t="n"/>
      <c r="U706" s="12" t="n">
        <v>53</v>
      </c>
      <c r="V706" s="12" t="n"/>
      <c r="W70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06" s="14">
        <f>SI([@SBAN]="";"";BUSCARV([@SBAN];Cronograma_Maestro!$A:$M;6;FALSO))</f>
        <v/>
      </c>
    </row>
    <row r="707">
      <c r="A707" s="11" t="inlineStr">
        <is>
          <t>6910</t>
        </is>
      </c>
      <c r="B707" s="12">
        <f>SI([@SBAN]="";"";BUSCARV([@SBAN];Cronograma_Maestro!$A:$M;2;FALSO))</f>
        <v/>
      </c>
      <c r="C707" s="12">
        <f>SI([@SBAN]="";"";BUSCARV([@SBAN];Cronograma_Maestro!$A:$M;3;FALSO))</f>
        <v/>
      </c>
      <c r="D707" s="12">
        <f>SI([@SBAN]="";"";BUSCARV([@SBAN];Cronograma_Maestro!$A:$M;4;FALSO))</f>
        <v/>
      </c>
      <c r="E707" s="12">
        <f>SI([@SBAN]="";"";BUSCARV([@SBAN];Cronograma_Maestro!$A:$M;5;FALSO))</f>
        <v/>
      </c>
      <c r="F707" s="12" t="inlineStr">
        <is>
          <t>John Edwin Jimenez Chavez</t>
        </is>
      </c>
      <c r="G707" s="12" t="inlineStr">
        <is>
          <t>PMU COLSOF</t>
        </is>
      </c>
      <c r="H707" s="13" t="n">
        <v>46296</v>
      </c>
      <c r="I707" s="13" t="n">
        <v>46296</v>
      </c>
      <c r="J707" s="13" t="n"/>
      <c r="K707" s="13" t="n"/>
      <c r="L707" s="12" t="inlineStr">
        <is>
          <t>Programada</t>
        </is>
      </c>
      <c r="M707" s="13" t="n"/>
      <c r="N707" s="14">
        <f>SI(O([@[Fecha_Programada_Inicio]]="";[@[Fecha_Inicio_Real]]="");"";SI([@[Fecha_Inicio_Real]]&lt;=[@[Fecha_Programada_Inicio]];"SÍ";"NO"))</f>
        <v/>
      </c>
      <c r="O707" s="14">
        <f>SI(O([@[Fecha_Programada_Fin]]="";[@[Fecha_Cierre_Operativo]]="");"";SI([@[Fecha_Cierre_Operativo]]&lt;=SI([@[Fecha_Nueva_Programada]]&lt;&gt;"";[@[Fecha_Nueva_Programada]];[@[Fecha_Programada_Fin]]);"SÍ";"NO"))</f>
        <v/>
      </c>
      <c r="P707" s="14">
        <f>SI(O([@[Cumpli_Ingreso]]="";[@[Cumpli_Salida]]="");"";SI(Y([@[Cumpli_Ingreso]]="SÍ";[@[Cumpli_Salida]]="SÍ");"SÍ";"NO"))</f>
        <v/>
      </c>
      <c r="Q707" s="15">
        <f>SI(O([@[Fecha_Programada_Fin]]="";[@[Fecha_Cierre_Operativo]]="");"";MAX(0;ENTERO([@[Fecha_Cierre_Operativo]])-ENTERO(SI([@[Fecha_Nueva_Programada]]&lt;&gt;"";[@[Fecha_Nueva_Programada]];[@[Fecha_Programada_Fin]])))</f>
        <v/>
      </c>
      <c r="R707" s="12" t="n"/>
      <c r="S707" s="12" t="n"/>
      <c r="T707" s="13" t="n"/>
      <c r="U707" s="12" t="n">
        <v>13</v>
      </c>
      <c r="V707" s="12" t="n"/>
      <c r="W70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07" s="14">
        <f>SI([@SBAN]="";"";BUSCARV([@SBAN];Cronograma_Maestro!$A:$M;6;FALSO))</f>
        <v/>
      </c>
    </row>
    <row r="708">
      <c r="A708" s="11" t="inlineStr">
        <is>
          <t>6913</t>
        </is>
      </c>
      <c r="B708" s="12">
        <f>SI([@SBAN]="";"";BUSCARV([@SBAN];Cronograma_Maestro!$A:$M;2;FALSO))</f>
        <v/>
      </c>
      <c r="C708" s="12">
        <f>SI([@SBAN]="";"";BUSCARV([@SBAN];Cronograma_Maestro!$A:$M;3;FALSO))</f>
        <v/>
      </c>
      <c r="D708" s="12">
        <f>SI([@SBAN]="";"";BUSCARV([@SBAN];Cronograma_Maestro!$A:$M;4;FALSO))</f>
        <v/>
      </c>
      <c r="E708" s="12">
        <f>SI([@SBAN]="";"";BUSCARV([@SBAN];Cronograma_Maestro!$A:$M;5;FALSO))</f>
        <v/>
      </c>
      <c r="F708" s="12" t="inlineStr">
        <is>
          <t>John Edwin Jimenez Chavez</t>
        </is>
      </c>
      <c r="G708" s="12" t="inlineStr">
        <is>
          <t>PMU COLSOF</t>
        </is>
      </c>
      <c r="H708" s="13" t="n">
        <v>46309</v>
      </c>
      <c r="I708" s="13" t="n">
        <v>46309</v>
      </c>
      <c r="J708" s="13" t="n"/>
      <c r="K708" s="13" t="n"/>
      <c r="L708" s="12" t="inlineStr">
        <is>
          <t>Programada</t>
        </is>
      </c>
      <c r="M708" s="13" t="n"/>
      <c r="N708" s="14">
        <f>SI(O([@[Fecha_Programada_Inicio]]="";[@[Fecha_Inicio_Real]]="");"";SI([@[Fecha_Inicio_Real]]&lt;=[@[Fecha_Programada_Inicio]];"SÍ";"NO"))</f>
        <v/>
      </c>
      <c r="O708" s="14">
        <f>SI(O([@[Fecha_Programada_Fin]]="";[@[Fecha_Cierre_Operativo]]="");"";SI([@[Fecha_Cierre_Operativo]]&lt;=SI([@[Fecha_Nueva_Programada]]&lt;&gt;"";[@[Fecha_Nueva_Programada]];[@[Fecha_Programada_Fin]]);"SÍ";"NO"))</f>
        <v/>
      </c>
      <c r="P708" s="14">
        <f>SI(O([@[Cumpli_Ingreso]]="";[@[Cumpli_Salida]]="");"";SI(Y([@[Cumpli_Ingreso]]="SÍ";[@[Cumpli_Salida]]="SÍ");"SÍ";"NO"))</f>
        <v/>
      </c>
      <c r="Q708" s="15">
        <f>SI(O([@[Fecha_Programada_Fin]]="";[@[Fecha_Cierre_Operativo]]="");"";MAX(0;ENTERO([@[Fecha_Cierre_Operativo]])-ENTERO(SI([@[Fecha_Nueva_Programada]]&lt;&gt;"";[@[Fecha_Nueva_Programada]];[@[Fecha_Programada_Fin]])))</f>
        <v/>
      </c>
      <c r="R708" s="12" t="n"/>
      <c r="S708" s="12" t="n"/>
      <c r="T708" s="13" t="n"/>
      <c r="U708" s="12" t="n">
        <v>13</v>
      </c>
      <c r="V708" s="12" t="n"/>
      <c r="W70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08" s="14">
        <f>SI([@SBAN]="";"";BUSCARV([@SBAN];Cronograma_Maestro!$A:$M;6;FALSO))</f>
        <v/>
      </c>
    </row>
    <row r="709">
      <c r="A709" s="11" t="inlineStr">
        <is>
          <t>6915</t>
        </is>
      </c>
      <c r="B709" s="12">
        <f>SI([@SBAN]="";"";BUSCARV([@SBAN];Cronograma_Maestro!$A:$M;2;FALSO))</f>
        <v/>
      </c>
      <c r="C709" s="12">
        <f>SI([@SBAN]="";"";BUSCARV([@SBAN];Cronograma_Maestro!$A:$M;3;FALSO))</f>
        <v/>
      </c>
      <c r="D709" s="12">
        <f>SI([@SBAN]="";"";BUSCARV([@SBAN];Cronograma_Maestro!$A:$M;4;FALSO))</f>
        <v/>
      </c>
      <c r="E709" s="12">
        <f>SI([@SBAN]="";"";BUSCARV([@SBAN];Cronograma_Maestro!$A:$M;5;FALSO))</f>
        <v/>
      </c>
      <c r="F709" s="12" t="inlineStr">
        <is>
          <t>John Edwin Jimenez Chavez</t>
        </is>
      </c>
      <c r="G709" s="12" t="inlineStr">
        <is>
          <t>PMU COLSOF</t>
        </is>
      </c>
      <c r="H709" s="13" t="n">
        <v>46339</v>
      </c>
      <c r="I709" s="13" t="n">
        <v>46339</v>
      </c>
      <c r="J709" s="13" t="n"/>
      <c r="K709" s="13" t="n"/>
      <c r="L709" s="12" t="inlineStr">
        <is>
          <t>Programada</t>
        </is>
      </c>
      <c r="M709" s="13" t="n"/>
      <c r="N709" s="14">
        <f>SI(O([@[Fecha_Programada_Inicio]]="";[@[Fecha_Inicio_Real]]="");"";SI([@[Fecha_Inicio_Real]]&lt;=[@[Fecha_Programada_Inicio]];"SÍ";"NO"))</f>
        <v/>
      </c>
      <c r="O709" s="14">
        <f>SI(O([@[Fecha_Programada_Fin]]="";[@[Fecha_Cierre_Operativo]]="");"";SI([@[Fecha_Cierre_Operativo]]&lt;=SI([@[Fecha_Nueva_Programada]]&lt;&gt;"";[@[Fecha_Nueva_Programada]];[@[Fecha_Programada_Fin]]);"SÍ";"NO"))</f>
        <v/>
      </c>
      <c r="P709" s="14">
        <f>SI(O([@[Cumpli_Ingreso]]="";[@[Cumpli_Salida]]="");"";SI(Y([@[Cumpli_Ingreso]]="SÍ";[@[Cumpli_Salida]]="SÍ");"SÍ";"NO"))</f>
        <v/>
      </c>
      <c r="Q709" s="15">
        <f>SI(O([@[Fecha_Programada_Fin]]="";[@[Fecha_Cierre_Operativo]]="");"";MAX(0;ENTERO([@[Fecha_Cierre_Operativo]])-ENTERO(SI([@[Fecha_Nueva_Programada]]&lt;&gt;"";[@[Fecha_Nueva_Programada]];[@[Fecha_Programada_Fin]])))</f>
        <v/>
      </c>
      <c r="R709" s="12" t="n"/>
      <c r="S709" s="12" t="n"/>
      <c r="T709" s="13" t="n"/>
      <c r="U709" s="12" t="n">
        <v>28</v>
      </c>
      <c r="V709" s="12" t="n"/>
      <c r="W70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09" s="14">
        <f>SI([@SBAN]="";"";BUSCARV([@SBAN];Cronograma_Maestro!$A:$M;6;FALSO))</f>
        <v/>
      </c>
    </row>
    <row r="710">
      <c r="A710" s="11" t="inlineStr">
        <is>
          <t>6916</t>
        </is>
      </c>
      <c r="B710" s="12">
        <f>SI([@SBAN]="";"";BUSCARV([@SBAN];Cronograma_Maestro!$A:$M;2;FALSO))</f>
        <v/>
      </c>
      <c r="C710" s="12">
        <f>SI([@SBAN]="";"";BUSCARV([@SBAN];Cronograma_Maestro!$A:$M;3;FALSO))</f>
        <v/>
      </c>
      <c r="D710" s="12">
        <f>SI([@SBAN]="";"";BUSCARV([@SBAN];Cronograma_Maestro!$A:$M;4;FALSO))</f>
        <v/>
      </c>
      <c r="E710" s="12">
        <f>SI([@SBAN]="";"";BUSCARV([@SBAN];Cronograma_Maestro!$A:$M;5;FALSO))</f>
        <v/>
      </c>
      <c r="F710" s="12" t="inlineStr">
        <is>
          <t>Holmes Arley Astudillo Fajardo</t>
        </is>
      </c>
      <c r="G710" s="12" t="inlineStr">
        <is>
          <t>PMU COLSOF</t>
        </is>
      </c>
      <c r="H710" s="13" t="n">
        <v>46286</v>
      </c>
      <c r="I710" s="13" t="n">
        <v>46286</v>
      </c>
      <c r="J710" s="13" t="n"/>
      <c r="K710" s="13" t="n"/>
      <c r="L710" s="12" t="inlineStr">
        <is>
          <t>Programada</t>
        </is>
      </c>
      <c r="M710" s="13" t="n"/>
      <c r="N710" s="14">
        <f>SI(O([@[Fecha_Programada_Inicio]]="";[@[Fecha_Inicio_Real]]="");"";SI([@[Fecha_Inicio_Real]]&lt;=[@[Fecha_Programada_Inicio]];"SÍ";"NO"))</f>
        <v/>
      </c>
      <c r="O710" s="14">
        <f>SI(O([@[Fecha_Programada_Fin]]="";[@[Fecha_Cierre_Operativo]]="");"";SI([@[Fecha_Cierre_Operativo]]&lt;=SI([@[Fecha_Nueva_Programada]]&lt;&gt;"";[@[Fecha_Nueva_Programada]];[@[Fecha_Programada_Fin]]);"SÍ";"NO"))</f>
        <v/>
      </c>
      <c r="P710" s="14">
        <f>SI(O([@[Cumpli_Ingreso]]="";[@[Cumpli_Salida]]="");"";SI(Y([@[Cumpli_Ingreso]]="SÍ";[@[Cumpli_Salida]]="SÍ");"SÍ";"NO"))</f>
        <v/>
      </c>
      <c r="Q710" s="15">
        <f>SI(O([@[Fecha_Programada_Fin]]="";[@[Fecha_Cierre_Operativo]]="");"";MAX(0;ENTERO([@[Fecha_Cierre_Operativo]])-ENTERO(SI([@[Fecha_Nueva_Programada]]&lt;&gt;"";[@[Fecha_Nueva_Programada]];[@[Fecha_Programada_Fin]])))</f>
        <v/>
      </c>
      <c r="R710" s="12" t="n"/>
      <c r="S710" s="12" t="n"/>
      <c r="T710" s="13" t="n"/>
      <c r="U710" s="12" t="n">
        <v>15</v>
      </c>
      <c r="V710" s="12" t="n"/>
      <c r="W71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10" s="14">
        <f>SI([@SBAN]="";"";BUSCARV([@SBAN];Cronograma_Maestro!$A:$M;6;FALSO))</f>
        <v/>
      </c>
    </row>
    <row r="711">
      <c r="A711" s="11" t="inlineStr">
        <is>
          <t>6917</t>
        </is>
      </c>
      <c r="B711" s="12">
        <f>SI([@SBAN]="";"";BUSCARV([@SBAN];Cronograma_Maestro!$A:$M;2;FALSO))</f>
        <v/>
      </c>
      <c r="C711" s="12">
        <f>SI([@SBAN]="";"";BUSCARV([@SBAN];Cronograma_Maestro!$A:$M;3;FALSO))</f>
        <v/>
      </c>
      <c r="D711" s="12">
        <f>SI([@SBAN]="";"";BUSCARV([@SBAN];Cronograma_Maestro!$A:$M;4;FALSO))</f>
        <v/>
      </c>
      <c r="E711" s="12">
        <f>SI([@SBAN]="";"";BUSCARV([@SBAN];Cronograma_Maestro!$A:$M;5;FALSO))</f>
        <v/>
      </c>
      <c r="F711" s="12" t="inlineStr">
        <is>
          <t>Holmes Arley Astudillo Fajardo</t>
        </is>
      </c>
      <c r="G711" s="12" t="inlineStr">
        <is>
          <t>PMU COLSOF</t>
        </is>
      </c>
      <c r="H711" s="13" t="n">
        <v>46273</v>
      </c>
      <c r="I711" s="13" t="n">
        <v>46274</v>
      </c>
      <c r="J711" s="13" t="n"/>
      <c r="K711" s="13" t="n"/>
      <c r="L711" s="12" t="inlineStr">
        <is>
          <t>Programada</t>
        </is>
      </c>
      <c r="M711" s="13" t="n"/>
      <c r="N711" s="14">
        <f>SI(O([@[Fecha_Programada_Inicio]]="";[@[Fecha_Inicio_Real]]="");"";SI([@[Fecha_Inicio_Real]]&lt;=[@[Fecha_Programada_Inicio]];"SÍ";"NO"))</f>
        <v/>
      </c>
      <c r="O711" s="14">
        <f>SI(O([@[Fecha_Programada_Fin]]="";[@[Fecha_Cierre_Operativo]]="");"";SI([@[Fecha_Cierre_Operativo]]&lt;=SI([@[Fecha_Nueva_Programada]]&lt;&gt;"";[@[Fecha_Nueva_Programada]];[@[Fecha_Programada_Fin]]);"SÍ";"NO"))</f>
        <v/>
      </c>
      <c r="P711" s="14">
        <f>SI(O([@[Cumpli_Ingreso]]="";[@[Cumpli_Salida]]="");"";SI(Y([@[Cumpli_Ingreso]]="SÍ";[@[Cumpli_Salida]]="SÍ");"SÍ";"NO"))</f>
        <v/>
      </c>
      <c r="Q711" s="15">
        <f>SI(O([@[Fecha_Programada_Fin]]="";[@[Fecha_Cierre_Operativo]]="");"";MAX(0;ENTERO([@[Fecha_Cierre_Operativo]])-ENTERO(SI([@[Fecha_Nueva_Programada]]&lt;&gt;"";[@[Fecha_Nueva_Programada]];[@[Fecha_Programada_Fin]])))</f>
        <v/>
      </c>
      <c r="R711" s="12" t="n"/>
      <c r="S711" s="12" t="n"/>
      <c r="T711" s="13" t="n"/>
      <c r="U711" s="12" t="n">
        <v>30</v>
      </c>
      <c r="V711" s="12" t="n"/>
      <c r="W71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11" s="14">
        <f>SI([@SBAN]="";"";BUSCARV([@SBAN];Cronograma_Maestro!$A:$M;6;FALSO))</f>
        <v/>
      </c>
    </row>
    <row r="712">
      <c r="A712" s="11" t="inlineStr">
        <is>
          <t>6918</t>
        </is>
      </c>
      <c r="B712" s="12">
        <f>SI([@SBAN]="";"";BUSCARV([@SBAN];Cronograma_Maestro!$A:$M;2;FALSO))</f>
        <v/>
      </c>
      <c r="C712" s="12">
        <f>SI([@SBAN]="";"";BUSCARV([@SBAN];Cronograma_Maestro!$A:$M;3;FALSO))</f>
        <v/>
      </c>
      <c r="D712" s="12">
        <f>SI([@SBAN]="";"";BUSCARV([@SBAN];Cronograma_Maestro!$A:$M;4;FALSO))</f>
        <v/>
      </c>
      <c r="E712" s="12">
        <f>SI([@SBAN]="";"";BUSCARV([@SBAN];Cronograma_Maestro!$A:$M;5;FALSO))</f>
        <v/>
      </c>
      <c r="F712" s="12" t="inlineStr">
        <is>
          <t>MABEL BOTINA IBARRA</t>
        </is>
      </c>
      <c r="G712" s="12" t="inlineStr">
        <is>
          <t>PMU COLSOF</t>
        </is>
      </c>
      <c r="H712" s="13" t="n">
        <v>46301</v>
      </c>
      <c r="I712" s="13" t="n">
        <v>46311</v>
      </c>
      <c r="J712" s="13" t="n"/>
      <c r="K712" s="13" t="n"/>
      <c r="L712" s="12" t="inlineStr">
        <is>
          <t>Programada</t>
        </is>
      </c>
      <c r="M712" s="13" t="n"/>
      <c r="N712" s="14">
        <f>SI(O([@[Fecha_Programada_Inicio]]="";[@[Fecha_Inicio_Real]]="");"";SI([@[Fecha_Inicio_Real]]&lt;=[@[Fecha_Programada_Inicio]];"SÍ";"NO"))</f>
        <v/>
      </c>
      <c r="O712" s="14">
        <f>SI(O([@[Fecha_Programada_Fin]]="";[@[Fecha_Cierre_Operativo]]="");"";SI([@[Fecha_Cierre_Operativo]]&lt;=SI([@[Fecha_Nueva_Programada]]&lt;&gt;"";[@[Fecha_Nueva_Programada]];[@[Fecha_Programada_Fin]]);"SÍ";"NO"))</f>
        <v/>
      </c>
      <c r="P712" s="14">
        <f>SI(O([@[Cumpli_Ingreso]]="";[@[Cumpli_Salida]]="");"";SI(Y([@[Cumpli_Ingreso]]="SÍ";[@[Cumpli_Salida]]="SÍ");"SÍ";"NO"))</f>
        <v/>
      </c>
      <c r="Q712" s="15">
        <f>SI(O([@[Fecha_Programada_Fin]]="";[@[Fecha_Cierre_Operativo]]="");"";MAX(0;ENTERO([@[Fecha_Cierre_Operativo]])-ENTERO(SI([@[Fecha_Nueva_Programada]]&lt;&gt;"";[@[Fecha_Nueva_Programada]];[@[Fecha_Programada_Fin]])))</f>
        <v/>
      </c>
      <c r="R712" s="12" t="n"/>
      <c r="S712" s="12" t="n"/>
      <c r="T712" s="13" t="n"/>
      <c r="U712" s="12" t="n">
        <v>49</v>
      </c>
      <c r="V712" s="12" t="n"/>
      <c r="W71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12" s="14">
        <f>SI([@SBAN]="";"";BUSCARV([@SBAN];Cronograma_Maestro!$A:$M;6;FALSO))</f>
        <v/>
      </c>
    </row>
    <row r="713">
      <c r="A713" s="11" t="inlineStr">
        <is>
          <t>6920</t>
        </is>
      </c>
      <c r="B713" s="12">
        <f>SI([@SBAN]="";"";BUSCARV([@SBAN];Cronograma_Maestro!$A:$M;2;FALSO))</f>
        <v/>
      </c>
      <c r="C713" s="12">
        <f>SI([@SBAN]="";"";BUSCARV([@SBAN];Cronograma_Maestro!$A:$M;3;FALSO))</f>
        <v/>
      </c>
      <c r="D713" s="12">
        <f>SI([@SBAN]="";"";BUSCARV([@SBAN];Cronograma_Maestro!$A:$M;4;FALSO))</f>
        <v/>
      </c>
      <c r="E713" s="12">
        <f>SI([@SBAN]="";"";BUSCARV([@SBAN];Cronograma_Maestro!$A:$M;5;FALSO))</f>
        <v/>
      </c>
      <c r="F713" s="12" t="inlineStr">
        <is>
          <t>Holmes Arley Astudillo Fajardo</t>
        </is>
      </c>
      <c r="G713" s="12" t="inlineStr">
        <is>
          <t>PMU COLSOF</t>
        </is>
      </c>
      <c r="H713" s="13" t="n">
        <v>46282</v>
      </c>
      <c r="I713" s="13" t="n">
        <v>46283</v>
      </c>
      <c r="J713" s="13" t="n"/>
      <c r="K713" s="13" t="n"/>
      <c r="L713" s="12" t="inlineStr">
        <is>
          <t>Programada</t>
        </is>
      </c>
      <c r="M713" s="13" t="n"/>
      <c r="N713" s="14">
        <f>SI(O([@[Fecha_Programada_Inicio]]="";[@[Fecha_Inicio_Real]]="");"";SI([@[Fecha_Inicio_Real]]&lt;=[@[Fecha_Programada_Inicio]];"SÍ";"NO"))</f>
        <v/>
      </c>
      <c r="O713" s="14">
        <f>SI(O([@[Fecha_Programada_Fin]]="";[@[Fecha_Cierre_Operativo]]="");"";SI([@[Fecha_Cierre_Operativo]]&lt;=SI([@[Fecha_Nueva_Programada]]&lt;&gt;"";[@[Fecha_Nueva_Programada]];[@[Fecha_Programada_Fin]]);"SÍ";"NO"))</f>
        <v/>
      </c>
      <c r="P713" s="14">
        <f>SI(O([@[Cumpli_Ingreso]]="";[@[Cumpli_Salida]]="");"";SI(Y([@[Cumpli_Ingreso]]="SÍ";[@[Cumpli_Salida]]="SÍ");"SÍ";"NO"))</f>
        <v/>
      </c>
      <c r="Q713" s="15">
        <f>SI(O([@[Fecha_Programada_Fin]]="";[@[Fecha_Cierre_Operativo]]="");"";MAX(0;ENTERO([@[Fecha_Cierre_Operativo]])-ENTERO(SI([@[Fecha_Nueva_Programada]]&lt;&gt;"";[@[Fecha_Nueva_Programada]];[@[Fecha_Programada_Fin]])))</f>
        <v/>
      </c>
      <c r="R713" s="12" t="n"/>
      <c r="S713" s="12" t="n"/>
      <c r="T713" s="13" t="n"/>
      <c r="U713" s="12" t="n">
        <v>35</v>
      </c>
      <c r="V713" s="12" t="n"/>
      <c r="W71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13" s="14">
        <f>SI([@SBAN]="";"";BUSCARV([@SBAN];Cronograma_Maestro!$A:$M;6;FALSO))</f>
        <v/>
      </c>
    </row>
    <row r="714">
      <c r="A714" s="11" t="inlineStr">
        <is>
          <t>6921</t>
        </is>
      </c>
      <c r="B714" s="12">
        <f>SI([@SBAN]="";"";BUSCARV([@SBAN];Cronograma_Maestro!$A:$M;2;FALSO))</f>
        <v/>
      </c>
      <c r="C714" s="12">
        <f>SI([@SBAN]="";"";BUSCARV([@SBAN];Cronograma_Maestro!$A:$M;3;FALSO))</f>
        <v/>
      </c>
      <c r="D714" s="12">
        <f>SI([@SBAN]="";"";BUSCARV([@SBAN];Cronograma_Maestro!$A:$M;4;FALSO))</f>
        <v/>
      </c>
      <c r="E714" s="12">
        <f>SI([@SBAN]="";"";BUSCARV([@SBAN];Cronograma_Maestro!$A:$M;5;FALSO))</f>
        <v/>
      </c>
      <c r="F714" s="12" t="inlineStr">
        <is>
          <t>Holmes Arley Astudillo Fajardo</t>
        </is>
      </c>
      <c r="G714" s="12" t="inlineStr">
        <is>
          <t>PMU COLSOF</t>
        </is>
      </c>
      <c r="H714" s="13" t="n">
        <v>46293</v>
      </c>
      <c r="I714" s="13" t="n">
        <v>46293</v>
      </c>
      <c r="J714" s="13" t="n"/>
      <c r="K714" s="13" t="n"/>
      <c r="L714" s="12" t="inlineStr">
        <is>
          <t>Programada</t>
        </is>
      </c>
      <c r="M714" s="13" t="n"/>
      <c r="N714" s="14">
        <f>SI(O([@[Fecha_Programada_Inicio]]="";[@[Fecha_Inicio_Real]]="");"";SI([@[Fecha_Inicio_Real]]&lt;=[@[Fecha_Programada_Inicio]];"SÍ";"NO"))</f>
        <v/>
      </c>
      <c r="O714" s="14">
        <f>SI(O([@[Fecha_Programada_Fin]]="";[@[Fecha_Cierre_Operativo]]="");"";SI([@[Fecha_Cierre_Operativo]]&lt;=SI([@[Fecha_Nueva_Programada]]&lt;&gt;"";[@[Fecha_Nueva_Programada]];[@[Fecha_Programada_Fin]]);"SÍ";"NO"))</f>
        <v/>
      </c>
      <c r="P714" s="14">
        <f>SI(O([@[Cumpli_Ingreso]]="";[@[Cumpli_Salida]]="");"";SI(Y([@[Cumpli_Ingreso]]="SÍ";[@[Cumpli_Salida]]="SÍ");"SÍ";"NO"))</f>
        <v/>
      </c>
      <c r="Q714" s="15">
        <f>SI(O([@[Fecha_Programada_Fin]]="";[@[Fecha_Cierre_Operativo]]="");"";MAX(0;ENTERO([@[Fecha_Cierre_Operativo]])-ENTERO(SI([@[Fecha_Nueva_Programada]]&lt;&gt;"";[@[Fecha_Nueva_Programada]];[@[Fecha_Programada_Fin]])))</f>
        <v/>
      </c>
      <c r="R714" s="12" t="n"/>
      <c r="S714" s="12" t="n"/>
      <c r="T714" s="13" t="n"/>
      <c r="U714" s="12" t="n">
        <v>25</v>
      </c>
      <c r="V714" s="12" t="n"/>
      <c r="W71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14" s="14">
        <f>SI([@SBAN]="";"";BUSCARV([@SBAN];Cronograma_Maestro!$A:$M;6;FALSO))</f>
        <v/>
      </c>
    </row>
    <row r="715">
      <c r="A715" s="11" t="inlineStr">
        <is>
          <t>6922</t>
        </is>
      </c>
      <c r="B715" s="12">
        <f>SI([@SBAN]="";"";BUSCARV([@SBAN];Cronograma_Maestro!$A:$M;2;FALSO))</f>
        <v/>
      </c>
      <c r="C715" s="12">
        <f>SI([@SBAN]="";"";BUSCARV([@SBAN];Cronograma_Maestro!$A:$M;3;FALSO))</f>
        <v/>
      </c>
      <c r="D715" s="12">
        <f>SI([@SBAN]="";"";BUSCARV([@SBAN];Cronograma_Maestro!$A:$M;4;FALSO))</f>
        <v/>
      </c>
      <c r="E715" s="12">
        <f>SI([@SBAN]="";"";BUSCARV([@SBAN];Cronograma_Maestro!$A:$M;5;FALSO))</f>
        <v/>
      </c>
      <c r="F715" s="12" t="inlineStr">
        <is>
          <t>Holmes Arley Astudillo Fajardo</t>
        </is>
      </c>
      <c r="G715" s="12" t="inlineStr">
        <is>
          <t>PMU COLSOF</t>
        </is>
      </c>
      <c r="H715" s="13" t="n">
        <v>46289</v>
      </c>
      <c r="I715" s="13" t="n">
        <v>46289</v>
      </c>
      <c r="J715" s="13" t="n"/>
      <c r="K715" s="13" t="n"/>
      <c r="L715" s="12" t="inlineStr">
        <is>
          <t>Programada</t>
        </is>
      </c>
      <c r="M715" s="13" t="n"/>
      <c r="N715" s="14">
        <f>SI(O([@[Fecha_Programada_Inicio]]="";[@[Fecha_Inicio_Real]]="");"";SI([@[Fecha_Inicio_Real]]&lt;=[@[Fecha_Programada_Inicio]];"SÍ";"NO"))</f>
        <v/>
      </c>
      <c r="O715" s="14">
        <f>SI(O([@[Fecha_Programada_Fin]]="";[@[Fecha_Cierre_Operativo]]="");"";SI([@[Fecha_Cierre_Operativo]]&lt;=SI([@[Fecha_Nueva_Programada]]&lt;&gt;"";[@[Fecha_Nueva_Programada]];[@[Fecha_Programada_Fin]]);"SÍ";"NO"))</f>
        <v/>
      </c>
      <c r="P715" s="14">
        <f>SI(O([@[Cumpli_Ingreso]]="";[@[Cumpli_Salida]]="");"";SI(Y([@[Cumpli_Ingreso]]="SÍ";[@[Cumpli_Salida]]="SÍ");"SÍ";"NO"))</f>
        <v/>
      </c>
      <c r="Q715" s="15">
        <f>SI(O([@[Fecha_Programada_Fin]]="";[@[Fecha_Cierre_Operativo]]="");"";MAX(0;ENTERO([@[Fecha_Cierre_Operativo]])-ENTERO(SI([@[Fecha_Nueva_Programada]]&lt;&gt;"";[@[Fecha_Nueva_Programada]];[@[Fecha_Programada_Fin]])))</f>
        <v/>
      </c>
      <c r="R715" s="12" t="n"/>
      <c r="S715" s="12" t="n"/>
      <c r="T715" s="13" t="n"/>
      <c r="U715" s="12" t="n">
        <v>25</v>
      </c>
      <c r="V715" s="12" t="n"/>
      <c r="W71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15" s="14">
        <f>SI([@SBAN]="";"";BUSCARV([@SBAN];Cronograma_Maestro!$A:$M;6;FALSO))</f>
        <v/>
      </c>
    </row>
    <row r="716">
      <c r="A716" s="11" t="inlineStr">
        <is>
          <t>6924</t>
        </is>
      </c>
      <c r="B716" s="12">
        <f>SI([@SBAN]="";"";BUSCARV([@SBAN];Cronograma_Maestro!$A:$M;2;FALSO))</f>
        <v/>
      </c>
      <c r="C716" s="12">
        <f>SI([@SBAN]="";"";BUSCARV([@SBAN];Cronograma_Maestro!$A:$M;3;FALSO))</f>
        <v/>
      </c>
      <c r="D716" s="12">
        <f>SI([@SBAN]="";"";BUSCARV([@SBAN];Cronograma_Maestro!$A:$M;4;FALSO))</f>
        <v/>
      </c>
      <c r="E716" s="12">
        <f>SI([@SBAN]="";"";BUSCARV([@SBAN];Cronograma_Maestro!$A:$M;5;FALSO))</f>
        <v/>
      </c>
      <c r="F716" s="12" t="inlineStr">
        <is>
          <t>Alvaro Augusto Villalba Villamil</t>
        </is>
      </c>
      <c r="G716" s="12" t="inlineStr">
        <is>
          <t>PMU COLSOF</t>
        </is>
      </c>
      <c r="H716" s="13" t="n">
        <v>46329</v>
      </c>
      <c r="I716" s="13" t="n">
        <v>46329</v>
      </c>
      <c r="J716" s="13" t="n"/>
      <c r="K716" s="13" t="n"/>
      <c r="L716" s="12" t="inlineStr">
        <is>
          <t>Sede_Cerrada</t>
        </is>
      </c>
      <c r="M716" s="13" t="n"/>
      <c r="N716" s="14">
        <f>SI(O([@[Fecha_Programada_Inicio]]="";[@[Fecha_Inicio_Real]]="");"";SI([@[Fecha_Inicio_Real]]&lt;=[@[Fecha_Programada_Inicio]];"SÍ";"NO"))</f>
        <v/>
      </c>
      <c r="O716" s="14">
        <f>SI(O([@[Fecha_Programada_Fin]]="";[@[Fecha_Cierre_Operativo]]="");"";SI([@[Fecha_Cierre_Operativo]]&lt;=SI([@[Fecha_Nueva_Programada]]&lt;&gt;"";[@[Fecha_Nueva_Programada]];[@[Fecha_Programada_Fin]]);"SÍ";"NO"))</f>
        <v/>
      </c>
      <c r="P716" s="14">
        <f>SI(O([@[Cumpli_Ingreso]]="";[@[Cumpli_Salida]]="");"";SI(Y([@[Cumpli_Ingreso]]="SÍ";[@[Cumpli_Salida]]="SÍ");"SÍ";"NO"))</f>
        <v/>
      </c>
      <c r="Q716" s="15">
        <f>SI(O([@[Fecha_Programada_Fin]]="";[@[Fecha_Cierre_Operativo]]="");"";MAX(0;ENTERO([@[Fecha_Cierre_Operativo]])-ENTERO(SI([@[Fecha_Nueva_Programada]]&lt;&gt;"";[@[Fecha_Nueva_Programada]];[@[Fecha_Programada_Fin]])))</f>
        <v/>
      </c>
      <c r="R716" s="12" t="inlineStr">
        <is>
          <t>N/A - A Tiempo</t>
        </is>
      </c>
      <c r="S716" s="12" t="inlineStr">
        <is>
          <t>Firmada</t>
        </is>
      </c>
      <c r="T716" s="13" t="n"/>
      <c r="U716" s="12" t="n">
        <v>16</v>
      </c>
      <c r="V716" s="12" t="n"/>
      <c r="W71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16" s="14">
        <f>SI([@SBAN]="";"";BUSCARV([@SBAN];Cronograma_Maestro!$A:$M;6;FALSO))</f>
        <v/>
      </c>
    </row>
    <row r="717">
      <c r="A717" s="11" t="inlineStr">
        <is>
          <t>6925</t>
        </is>
      </c>
      <c r="B717" s="12">
        <f>SI([@SBAN]="";"";BUSCARV([@SBAN];Cronograma_Maestro!$A:$M;2;FALSO))</f>
        <v/>
      </c>
      <c r="C717" s="12">
        <f>SI([@SBAN]="";"";BUSCARV([@SBAN];Cronograma_Maestro!$A:$M;3;FALSO))</f>
        <v/>
      </c>
      <c r="D717" s="12">
        <f>SI([@SBAN]="";"";BUSCARV([@SBAN];Cronograma_Maestro!$A:$M;4;FALSO))</f>
        <v/>
      </c>
      <c r="E717" s="12">
        <f>SI([@SBAN]="";"";BUSCARV([@SBAN];Cronograma_Maestro!$A:$M;5;FALSO))</f>
        <v/>
      </c>
      <c r="F717" s="12" t="inlineStr">
        <is>
          <t>John Edwin Jimenez Chavez</t>
        </is>
      </c>
      <c r="G717" s="12" t="inlineStr">
        <is>
          <t>PMU COLSOF</t>
        </is>
      </c>
      <c r="H717" s="13" t="n">
        <v>46338</v>
      </c>
      <c r="I717" s="13" t="n">
        <v>46338</v>
      </c>
      <c r="J717" s="13" t="n"/>
      <c r="K717" s="13" t="n"/>
      <c r="L717" s="12" t="inlineStr">
        <is>
          <t>Programada</t>
        </is>
      </c>
      <c r="M717" s="13" t="n"/>
      <c r="N717" s="14">
        <f>SI(O([@[Fecha_Programada_Inicio]]="";[@[Fecha_Inicio_Real]]="");"";SI([@[Fecha_Inicio_Real]]&lt;=[@[Fecha_Programada_Inicio]];"SÍ";"NO"))</f>
        <v/>
      </c>
      <c r="O717" s="14">
        <f>SI(O([@[Fecha_Programada_Fin]]="";[@[Fecha_Cierre_Operativo]]="");"";SI([@[Fecha_Cierre_Operativo]]&lt;=SI([@[Fecha_Nueva_Programada]]&lt;&gt;"";[@[Fecha_Nueva_Programada]];[@[Fecha_Programada_Fin]]);"SÍ";"NO"))</f>
        <v/>
      </c>
      <c r="P717" s="14">
        <f>SI(O([@[Cumpli_Ingreso]]="";[@[Cumpli_Salida]]="");"";SI(Y([@[Cumpli_Ingreso]]="SÍ";[@[Cumpli_Salida]]="SÍ");"SÍ";"NO"))</f>
        <v/>
      </c>
      <c r="Q717" s="15">
        <f>SI(O([@[Fecha_Programada_Fin]]="";[@[Fecha_Cierre_Operativo]]="");"";MAX(0;ENTERO([@[Fecha_Cierre_Operativo]])-ENTERO(SI([@[Fecha_Nueva_Programada]]&lt;&gt;"";[@[Fecha_Nueva_Programada]];[@[Fecha_Programada_Fin]])))</f>
        <v/>
      </c>
      <c r="R717" s="12" t="n"/>
      <c r="S717" s="12" t="n"/>
      <c r="T717" s="13" t="n"/>
      <c r="U717" s="12" t="n">
        <v>25</v>
      </c>
      <c r="V717" s="12" t="n"/>
      <c r="W71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17" s="14">
        <f>SI([@SBAN]="";"";BUSCARV([@SBAN];Cronograma_Maestro!$A:$M;6;FALSO))</f>
        <v/>
      </c>
    </row>
    <row r="718">
      <c r="A718" s="11" t="inlineStr">
        <is>
          <t>6926</t>
        </is>
      </c>
      <c r="B718" s="12">
        <f>SI([@SBAN]="";"";BUSCARV([@SBAN];Cronograma_Maestro!$A:$M;2;FALSO))</f>
        <v/>
      </c>
      <c r="C718" s="12">
        <f>SI([@SBAN]="";"";BUSCARV([@SBAN];Cronograma_Maestro!$A:$M;3;FALSO))</f>
        <v/>
      </c>
      <c r="D718" s="12">
        <f>SI([@SBAN]="";"";BUSCARV([@SBAN];Cronograma_Maestro!$A:$M;4;FALSO))</f>
        <v/>
      </c>
      <c r="E718" s="12">
        <f>SI([@SBAN]="";"";BUSCARV([@SBAN];Cronograma_Maestro!$A:$M;5;FALSO))</f>
        <v/>
      </c>
      <c r="F718" s="12" t="inlineStr">
        <is>
          <t>Alvaro Augusto Villalba Villamil</t>
        </is>
      </c>
      <c r="G718" s="12" t="inlineStr">
        <is>
          <t>PMU COLSOF</t>
        </is>
      </c>
      <c r="H718" s="13" t="n">
        <v>46318</v>
      </c>
      <c r="I718" s="13" t="n">
        <v>46318</v>
      </c>
      <c r="J718" s="13" t="n"/>
      <c r="K718" s="13" t="n"/>
      <c r="L718" s="12" t="inlineStr">
        <is>
          <t>Sede_Cerrada</t>
        </is>
      </c>
      <c r="M718" s="13" t="n"/>
      <c r="N718" s="14">
        <f>SI(O([@[Fecha_Programada_Inicio]]="";[@[Fecha_Inicio_Real]]="");"";SI([@[Fecha_Inicio_Real]]&lt;=[@[Fecha_Programada_Inicio]];"SÍ";"NO"))</f>
        <v/>
      </c>
      <c r="O718" s="14">
        <f>SI(O([@[Fecha_Programada_Fin]]="";[@[Fecha_Cierre_Operativo]]="");"";SI([@[Fecha_Cierre_Operativo]]&lt;=SI([@[Fecha_Nueva_Programada]]&lt;&gt;"";[@[Fecha_Nueva_Programada]];[@[Fecha_Programada_Fin]]);"SÍ";"NO"))</f>
        <v/>
      </c>
      <c r="P718" s="14">
        <f>SI(O([@[Cumpli_Ingreso]]="";[@[Cumpli_Salida]]="");"";SI(Y([@[Cumpli_Ingreso]]="SÍ";[@[Cumpli_Salida]]="SÍ");"SÍ";"NO"))</f>
        <v/>
      </c>
      <c r="Q718" s="15">
        <f>SI(O([@[Fecha_Programada_Fin]]="";[@[Fecha_Cierre_Operativo]]="");"";MAX(0;ENTERO([@[Fecha_Cierre_Operativo]])-ENTERO(SI([@[Fecha_Nueva_Programada]]&lt;&gt;"";[@[Fecha_Nueva_Programada]];[@[Fecha_Programada_Fin]])))</f>
        <v/>
      </c>
      <c r="R718" s="12" t="inlineStr">
        <is>
          <t>N/A - A Tiempo</t>
        </is>
      </c>
      <c r="S718" s="12" t="inlineStr">
        <is>
          <t>Firmada</t>
        </is>
      </c>
      <c r="T718" s="13" t="n"/>
      <c r="U718" s="12" t="n">
        <v>12</v>
      </c>
      <c r="V718" s="12" t="n"/>
      <c r="W71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18" s="14">
        <f>SI([@SBAN]="";"";BUSCARV([@SBAN];Cronograma_Maestro!$A:$M;6;FALSO))</f>
        <v/>
      </c>
    </row>
    <row r="719">
      <c r="A719" s="11" t="inlineStr">
        <is>
          <t>6928</t>
        </is>
      </c>
      <c r="B719" s="12">
        <f>SI([@SBAN]="";"";BUSCARV([@SBAN];Cronograma_Maestro!$A:$M;2;FALSO))</f>
        <v/>
      </c>
      <c r="C719" s="12">
        <f>SI([@SBAN]="";"";BUSCARV([@SBAN];Cronograma_Maestro!$A:$M;3;FALSO))</f>
        <v/>
      </c>
      <c r="D719" s="12">
        <f>SI([@SBAN]="";"";BUSCARV([@SBAN];Cronograma_Maestro!$A:$M;4;FALSO))</f>
        <v/>
      </c>
      <c r="E719" s="12">
        <f>SI([@SBAN]="";"";BUSCARV([@SBAN];Cronograma_Maestro!$A:$M;5;FALSO))</f>
        <v/>
      </c>
      <c r="F719" s="12" t="inlineStr">
        <is>
          <t>John Edwin Jimenez Chavez</t>
        </is>
      </c>
      <c r="G719" s="12" t="inlineStr">
        <is>
          <t>PMU COLSOF</t>
        </is>
      </c>
      <c r="H719" s="13" t="n">
        <v>46300</v>
      </c>
      <c r="I719" s="13" t="n">
        <v>46300</v>
      </c>
      <c r="J719" s="13" t="n"/>
      <c r="K719" s="13" t="n"/>
      <c r="L719" s="12" t="inlineStr">
        <is>
          <t>Programada</t>
        </is>
      </c>
      <c r="M719" s="13" t="n"/>
      <c r="N719" s="14">
        <f>SI(O([@[Fecha_Programada_Inicio]]="";[@[Fecha_Inicio_Real]]="");"";SI([@[Fecha_Inicio_Real]]&lt;=[@[Fecha_Programada_Inicio]];"SÍ";"NO"))</f>
        <v/>
      </c>
      <c r="O719" s="14">
        <f>SI(O([@[Fecha_Programada_Fin]]="";[@[Fecha_Cierre_Operativo]]="");"";SI([@[Fecha_Cierre_Operativo]]&lt;=SI([@[Fecha_Nueva_Programada]]&lt;&gt;"";[@[Fecha_Nueva_Programada]];[@[Fecha_Programada_Fin]]);"SÍ";"NO"))</f>
        <v/>
      </c>
      <c r="P719" s="14">
        <f>SI(O([@[Cumpli_Ingreso]]="";[@[Cumpli_Salida]]="");"";SI(Y([@[Cumpli_Ingreso]]="SÍ";[@[Cumpli_Salida]]="SÍ");"SÍ";"NO"))</f>
        <v/>
      </c>
      <c r="Q719" s="15">
        <f>SI(O([@[Fecha_Programada_Fin]]="";[@[Fecha_Cierre_Operativo]]="");"";MAX(0;ENTERO([@[Fecha_Cierre_Operativo]])-ENTERO(SI([@[Fecha_Nueva_Programada]]&lt;&gt;"";[@[Fecha_Nueva_Programada]];[@[Fecha_Programada_Fin]])))</f>
        <v/>
      </c>
      <c r="R719" s="12" t="n"/>
      <c r="S719" s="12" t="n"/>
      <c r="T719" s="13" t="n"/>
      <c r="U719" s="12" t="n">
        <v>17</v>
      </c>
      <c r="V719" s="12" t="n"/>
      <c r="W71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19" s="14">
        <f>SI([@SBAN]="";"";BUSCARV([@SBAN];Cronograma_Maestro!$A:$M;6;FALSO))</f>
        <v/>
      </c>
    </row>
    <row r="720">
      <c r="A720" s="11" t="inlineStr">
        <is>
          <t>6931</t>
        </is>
      </c>
      <c r="B720" s="12">
        <f>SI([@SBAN]="";"";BUSCARV([@SBAN];Cronograma_Maestro!$A:$M;2;FALSO))</f>
        <v/>
      </c>
      <c r="C720" s="12">
        <f>SI([@SBAN]="";"";BUSCARV([@SBAN];Cronograma_Maestro!$A:$M;3;FALSO))</f>
        <v/>
      </c>
      <c r="D720" s="12">
        <f>SI([@SBAN]="";"";BUSCARV([@SBAN];Cronograma_Maestro!$A:$M;4;FALSO))</f>
        <v/>
      </c>
      <c r="E720" s="12">
        <f>SI([@SBAN]="";"";BUSCARV([@SBAN];Cronograma_Maestro!$A:$M;5;FALSO))</f>
        <v/>
      </c>
      <c r="F720" s="12" t="inlineStr">
        <is>
          <t>John Edwin Jimenez Chavez</t>
        </is>
      </c>
      <c r="G720" s="12" t="inlineStr">
        <is>
          <t>PMU COLSOF</t>
        </is>
      </c>
      <c r="H720" s="13" t="n">
        <v>46297</v>
      </c>
      <c r="I720" s="13" t="n">
        <v>46297</v>
      </c>
      <c r="J720" s="13" t="n"/>
      <c r="K720" s="13" t="n"/>
      <c r="L720" s="12" t="inlineStr">
        <is>
          <t>Programada</t>
        </is>
      </c>
      <c r="M720" s="13" t="n"/>
      <c r="N720" s="14">
        <f>SI(O([@[Fecha_Programada_Inicio]]="";[@[Fecha_Inicio_Real]]="");"";SI([@[Fecha_Inicio_Real]]&lt;=[@[Fecha_Programada_Inicio]];"SÍ";"NO"))</f>
        <v/>
      </c>
      <c r="O720" s="14">
        <f>SI(O([@[Fecha_Programada_Fin]]="";[@[Fecha_Cierre_Operativo]]="");"";SI([@[Fecha_Cierre_Operativo]]&lt;=SI([@[Fecha_Nueva_Programada]]&lt;&gt;"";[@[Fecha_Nueva_Programada]];[@[Fecha_Programada_Fin]]);"SÍ";"NO"))</f>
        <v/>
      </c>
      <c r="P720" s="14">
        <f>SI(O([@[Cumpli_Ingreso]]="";[@[Cumpli_Salida]]="");"";SI(Y([@[Cumpli_Ingreso]]="SÍ";[@[Cumpli_Salida]]="SÍ");"SÍ";"NO"))</f>
        <v/>
      </c>
      <c r="Q720" s="15">
        <f>SI(O([@[Fecha_Programada_Fin]]="";[@[Fecha_Cierre_Operativo]]="");"";MAX(0;ENTERO([@[Fecha_Cierre_Operativo]])-ENTERO(SI([@[Fecha_Nueva_Programada]]&lt;&gt;"";[@[Fecha_Nueva_Programada]];[@[Fecha_Programada_Fin]])))</f>
        <v/>
      </c>
      <c r="R720" s="12" t="n"/>
      <c r="S720" s="12" t="n"/>
      <c r="T720" s="13" t="n"/>
      <c r="U720" s="12" t="n">
        <v>14</v>
      </c>
      <c r="V720" s="12" t="n"/>
      <c r="W72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20" s="14">
        <f>SI([@SBAN]="";"";BUSCARV([@SBAN];Cronograma_Maestro!$A:$M;6;FALSO))</f>
        <v/>
      </c>
    </row>
    <row r="721">
      <c r="A721" s="11" t="inlineStr">
        <is>
          <t>6932</t>
        </is>
      </c>
      <c r="B721" s="12">
        <f>SI([@SBAN]="";"";BUSCARV([@SBAN];Cronograma_Maestro!$A:$M;2;FALSO))</f>
        <v/>
      </c>
      <c r="C721" s="12">
        <f>SI([@SBAN]="";"";BUSCARV([@SBAN];Cronograma_Maestro!$A:$M;3;FALSO))</f>
        <v/>
      </c>
      <c r="D721" s="12">
        <f>SI([@SBAN]="";"";BUSCARV([@SBAN];Cronograma_Maestro!$A:$M;4;FALSO))</f>
        <v/>
      </c>
      <c r="E721" s="12">
        <f>SI([@SBAN]="";"";BUSCARV([@SBAN];Cronograma_Maestro!$A:$M;5;FALSO))</f>
        <v/>
      </c>
      <c r="F721" s="12" t="inlineStr">
        <is>
          <t>Alvaro Augusto Villalba Villamil</t>
        </is>
      </c>
      <c r="G721" s="12" t="inlineStr">
        <is>
          <t>PMU COLSOF</t>
        </is>
      </c>
      <c r="H721" s="13" t="n">
        <v>46330</v>
      </c>
      <c r="I721" s="13" t="n">
        <v>46330</v>
      </c>
      <c r="J721" s="13" t="n"/>
      <c r="K721" s="13" t="n"/>
      <c r="L721" s="12" t="inlineStr">
        <is>
          <t>Sede_Cerrada</t>
        </is>
      </c>
      <c r="M721" s="13" t="n"/>
      <c r="N721" s="14">
        <f>SI(O([@[Fecha_Programada_Inicio]]="";[@[Fecha_Inicio_Real]]="");"";SI([@[Fecha_Inicio_Real]]&lt;=[@[Fecha_Programada_Inicio]];"SÍ";"NO"))</f>
        <v/>
      </c>
      <c r="O721" s="14">
        <f>SI(O([@[Fecha_Programada_Fin]]="";[@[Fecha_Cierre_Operativo]]="");"";SI([@[Fecha_Cierre_Operativo]]&lt;=SI([@[Fecha_Nueva_Programada]]&lt;&gt;"";[@[Fecha_Nueva_Programada]];[@[Fecha_Programada_Fin]]);"SÍ";"NO"))</f>
        <v/>
      </c>
      <c r="P721" s="14">
        <f>SI(O([@[Cumpli_Ingreso]]="";[@[Cumpli_Salida]]="");"";SI(Y([@[Cumpli_Ingreso]]="SÍ";[@[Cumpli_Salida]]="SÍ");"SÍ";"NO"))</f>
        <v/>
      </c>
      <c r="Q721" s="15">
        <f>SI(O([@[Fecha_Programada_Fin]]="";[@[Fecha_Cierre_Operativo]]="");"";MAX(0;ENTERO([@[Fecha_Cierre_Operativo]])-ENTERO(SI([@[Fecha_Nueva_Programada]]&lt;&gt;"";[@[Fecha_Nueva_Programada]];[@[Fecha_Programada_Fin]])))</f>
        <v/>
      </c>
      <c r="R721" s="12" t="inlineStr">
        <is>
          <t>N/A - A Tiempo</t>
        </is>
      </c>
      <c r="S721" s="12" t="inlineStr">
        <is>
          <t>Firmada</t>
        </is>
      </c>
      <c r="T721" s="13" t="n"/>
      <c r="U721" s="12" t="n">
        <v>12</v>
      </c>
      <c r="V721" s="12" t="n"/>
      <c r="W72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21" s="14">
        <f>SI([@SBAN]="";"";BUSCARV([@SBAN];Cronograma_Maestro!$A:$M;6;FALSO))</f>
        <v/>
      </c>
    </row>
    <row r="722">
      <c r="A722" s="11" t="inlineStr">
        <is>
          <t>6935</t>
        </is>
      </c>
      <c r="B722" s="12">
        <f>SI([@SBAN]="";"";BUSCARV([@SBAN];Cronograma_Maestro!$A:$M;2;FALSO))</f>
        <v/>
      </c>
      <c r="C722" s="12">
        <f>SI([@SBAN]="";"";BUSCARV([@SBAN];Cronograma_Maestro!$A:$M;3;FALSO))</f>
        <v/>
      </c>
      <c r="D722" s="12">
        <f>SI([@SBAN]="";"";BUSCARV([@SBAN];Cronograma_Maestro!$A:$M;4;FALSO))</f>
        <v/>
      </c>
      <c r="E722" s="12">
        <f>SI([@SBAN]="";"";BUSCARV([@SBAN];Cronograma_Maestro!$A:$M;5;FALSO))</f>
        <v/>
      </c>
      <c r="F722" s="12" t="inlineStr">
        <is>
          <t>Alvaro Augusto Villalba Villamil</t>
        </is>
      </c>
      <c r="G722" s="12" t="inlineStr">
        <is>
          <t>PMU COLSOF</t>
        </is>
      </c>
      <c r="H722" s="13" t="n">
        <v>46353</v>
      </c>
      <c r="I722" s="13" t="n">
        <v>46353</v>
      </c>
      <c r="J722" s="13" t="n"/>
      <c r="K722" s="13" t="n"/>
      <c r="L722" s="12" t="inlineStr">
        <is>
          <t>Sede_Cerrada</t>
        </is>
      </c>
      <c r="M722" s="13" t="n"/>
      <c r="N722" s="14">
        <f>SI(O([@[Fecha_Programada_Inicio]]="";[@[Fecha_Inicio_Real]]="");"";SI([@[Fecha_Inicio_Real]]&lt;=[@[Fecha_Programada_Inicio]];"SÍ";"NO"))</f>
        <v/>
      </c>
      <c r="O722" s="14">
        <f>SI(O([@[Fecha_Programada_Fin]]="";[@[Fecha_Cierre_Operativo]]="");"";SI([@[Fecha_Cierre_Operativo]]&lt;=SI([@[Fecha_Nueva_Programada]]&lt;&gt;"";[@[Fecha_Nueva_Programada]];[@[Fecha_Programada_Fin]]);"SÍ";"NO"))</f>
        <v/>
      </c>
      <c r="P722" s="14">
        <f>SI(O([@[Cumpli_Ingreso]]="";[@[Cumpli_Salida]]="");"";SI(Y([@[Cumpli_Ingreso]]="SÍ";[@[Cumpli_Salida]]="SÍ");"SÍ";"NO"))</f>
        <v/>
      </c>
      <c r="Q722" s="15">
        <f>SI(O([@[Fecha_Programada_Fin]]="";[@[Fecha_Cierre_Operativo]]="");"";MAX(0;ENTERO([@[Fecha_Cierre_Operativo]])-ENTERO(SI([@[Fecha_Nueva_Programada]]&lt;&gt;"";[@[Fecha_Nueva_Programada]];[@[Fecha_Programada_Fin]])))</f>
        <v/>
      </c>
      <c r="R722" s="12" t="inlineStr">
        <is>
          <t>N/A - A Tiempo</t>
        </is>
      </c>
      <c r="S722" s="12" t="inlineStr">
        <is>
          <t>Firmada</t>
        </is>
      </c>
      <c r="T722" s="13" t="n"/>
      <c r="U722" s="12" t="n">
        <v>19</v>
      </c>
      <c r="V722" s="12" t="n"/>
      <c r="W72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22" s="14">
        <f>SI([@SBAN]="";"";BUSCARV([@SBAN];Cronograma_Maestro!$A:$M;6;FALSO))</f>
        <v/>
      </c>
    </row>
    <row r="723">
      <c r="A723" s="11" t="inlineStr">
        <is>
          <t>6940</t>
        </is>
      </c>
      <c r="B723" s="12">
        <f>SI([@SBAN]="";"";BUSCARV([@SBAN];Cronograma_Maestro!$A:$M;2;FALSO))</f>
        <v/>
      </c>
      <c r="C723" s="12">
        <f>SI([@SBAN]="";"";BUSCARV([@SBAN];Cronograma_Maestro!$A:$M;3;FALSO))</f>
        <v/>
      </c>
      <c r="D723" s="12">
        <f>SI([@SBAN]="";"";BUSCARV([@SBAN];Cronograma_Maestro!$A:$M;4;FALSO))</f>
        <v/>
      </c>
      <c r="E723" s="12">
        <f>SI([@SBAN]="";"";BUSCARV([@SBAN];Cronograma_Maestro!$A:$M;5;FALSO))</f>
        <v/>
      </c>
      <c r="F723" s="12" t="inlineStr">
        <is>
          <t>John Edwin Jimenez Chavez</t>
        </is>
      </c>
      <c r="G723" s="12" t="inlineStr">
        <is>
          <t>PMU COLSOF</t>
        </is>
      </c>
      <c r="H723" s="13" t="n">
        <v>46331</v>
      </c>
      <c r="I723" s="13" t="n">
        <v>46331</v>
      </c>
      <c r="J723" s="13" t="n"/>
      <c r="K723" s="13" t="n"/>
      <c r="L723" s="12" t="inlineStr">
        <is>
          <t>Programada</t>
        </is>
      </c>
      <c r="M723" s="13" t="n"/>
      <c r="N723" s="14">
        <f>SI(O([@[Fecha_Programada_Inicio]]="";[@[Fecha_Inicio_Real]]="");"";SI([@[Fecha_Inicio_Real]]&lt;=[@[Fecha_Programada_Inicio]];"SÍ";"NO"))</f>
        <v/>
      </c>
      <c r="O723" s="14">
        <f>SI(O([@[Fecha_Programada_Fin]]="";[@[Fecha_Cierre_Operativo]]="");"";SI([@[Fecha_Cierre_Operativo]]&lt;=SI([@[Fecha_Nueva_Programada]]&lt;&gt;"";[@[Fecha_Nueva_Programada]];[@[Fecha_Programada_Fin]]);"SÍ";"NO"))</f>
        <v/>
      </c>
      <c r="P723" s="14">
        <f>SI(O([@[Cumpli_Ingreso]]="";[@[Cumpli_Salida]]="");"";SI(Y([@[Cumpli_Ingreso]]="SÍ";[@[Cumpli_Salida]]="SÍ");"SÍ";"NO"))</f>
        <v/>
      </c>
      <c r="Q723" s="15">
        <f>SI(O([@[Fecha_Programada_Fin]]="";[@[Fecha_Cierre_Operativo]]="");"";MAX(0;ENTERO([@[Fecha_Cierre_Operativo]])-ENTERO(SI([@[Fecha_Nueva_Programada]]&lt;&gt;"";[@[Fecha_Nueva_Programada]];[@[Fecha_Programada_Fin]])))</f>
        <v/>
      </c>
      <c r="R723" s="12" t="n"/>
      <c r="S723" s="12" t="n"/>
      <c r="T723" s="13" t="n"/>
      <c r="U723" s="12" t="n">
        <v>36</v>
      </c>
      <c r="V723" s="12" t="n"/>
      <c r="W72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23" s="14">
        <f>SI([@SBAN]="";"";BUSCARV([@SBAN];Cronograma_Maestro!$A:$M;6;FALSO))</f>
        <v/>
      </c>
    </row>
    <row r="724">
      <c r="A724" s="11" t="inlineStr">
        <is>
          <t>6941</t>
        </is>
      </c>
      <c r="B724" s="12">
        <f>SI([@SBAN]="";"";BUSCARV([@SBAN];Cronograma_Maestro!$A:$M;2;FALSO))</f>
        <v/>
      </c>
      <c r="C724" s="12">
        <f>SI([@SBAN]="";"";BUSCARV([@SBAN];Cronograma_Maestro!$A:$M;3;FALSO))</f>
        <v/>
      </c>
      <c r="D724" s="12">
        <f>SI([@SBAN]="";"";BUSCARV([@SBAN];Cronograma_Maestro!$A:$M;4;FALSO))</f>
        <v/>
      </c>
      <c r="E724" s="12">
        <f>SI([@SBAN]="";"";BUSCARV([@SBAN];Cronograma_Maestro!$A:$M;5;FALSO))</f>
        <v/>
      </c>
      <c r="F724" s="12" t="inlineStr">
        <is>
          <t>John Edwin Jimenez Chavez</t>
        </is>
      </c>
      <c r="G724" s="12" t="inlineStr">
        <is>
          <t>PMU COLSOF</t>
        </is>
      </c>
      <c r="H724" s="13" t="n">
        <v>46332</v>
      </c>
      <c r="I724" s="13" t="n">
        <v>46332</v>
      </c>
      <c r="J724" s="13" t="n"/>
      <c r="K724" s="13" t="n"/>
      <c r="L724" s="12" t="inlineStr">
        <is>
          <t>Programada</t>
        </is>
      </c>
      <c r="M724" s="13" t="n"/>
      <c r="N724" s="14">
        <f>SI(O([@[Fecha_Programada_Inicio]]="";[@[Fecha_Inicio_Real]]="");"";SI([@[Fecha_Inicio_Real]]&lt;=[@[Fecha_Programada_Inicio]];"SÍ";"NO"))</f>
        <v/>
      </c>
      <c r="O724" s="14">
        <f>SI(O([@[Fecha_Programada_Fin]]="";[@[Fecha_Cierre_Operativo]]="");"";SI([@[Fecha_Cierre_Operativo]]&lt;=SI([@[Fecha_Nueva_Programada]]&lt;&gt;"";[@[Fecha_Nueva_Programada]];[@[Fecha_Programada_Fin]]);"SÍ";"NO"))</f>
        <v/>
      </c>
      <c r="P724" s="14">
        <f>SI(O([@[Cumpli_Ingreso]]="";[@[Cumpli_Salida]]="");"";SI(Y([@[Cumpli_Ingreso]]="SÍ";[@[Cumpli_Salida]]="SÍ");"SÍ";"NO"))</f>
        <v/>
      </c>
      <c r="Q724" s="15">
        <f>SI(O([@[Fecha_Programada_Fin]]="";[@[Fecha_Cierre_Operativo]]="");"";MAX(0;ENTERO([@[Fecha_Cierre_Operativo]])-ENTERO(SI([@[Fecha_Nueva_Programada]]&lt;&gt;"";[@[Fecha_Nueva_Programada]];[@[Fecha_Programada_Fin]])))</f>
        <v/>
      </c>
      <c r="R724" s="12" t="n"/>
      <c r="S724" s="12" t="n"/>
      <c r="T724" s="13" t="n"/>
      <c r="U724" s="12" t="n">
        <v>24</v>
      </c>
      <c r="V724" s="12" t="n"/>
      <c r="W72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24" s="14">
        <f>SI([@SBAN]="";"";BUSCARV([@SBAN];Cronograma_Maestro!$A:$M;6;FALSO))</f>
        <v/>
      </c>
    </row>
    <row r="725">
      <c r="A725" s="11" t="inlineStr">
        <is>
          <t>6943</t>
        </is>
      </c>
      <c r="B725" s="12">
        <f>SI([@SBAN]="";"";BUSCARV([@SBAN];Cronograma_Maestro!$A:$M;2;FALSO))</f>
        <v/>
      </c>
      <c r="C725" s="12">
        <f>SI([@SBAN]="";"";BUSCARV([@SBAN];Cronograma_Maestro!$A:$M;3;FALSO))</f>
        <v/>
      </c>
      <c r="D725" s="12">
        <f>SI([@SBAN]="";"";BUSCARV([@SBAN];Cronograma_Maestro!$A:$M;4;FALSO))</f>
        <v/>
      </c>
      <c r="E725" s="12">
        <f>SI([@SBAN]="";"";BUSCARV([@SBAN];Cronograma_Maestro!$A:$M;5;FALSO))</f>
        <v/>
      </c>
      <c r="F725" s="12" t="inlineStr">
        <is>
          <t>John Edwin Jimenez Chavez</t>
        </is>
      </c>
      <c r="G725" s="12" t="inlineStr">
        <is>
          <t>PMU COLSOF</t>
        </is>
      </c>
      <c r="H725" s="13" t="n">
        <v>46330</v>
      </c>
      <c r="I725" s="13" t="n">
        <v>46330</v>
      </c>
      <c r="J725" s="13" t="n"/>
      <c r="K725" s="13" t="n"/>
      <c r="L725" s="12" t="inlineStr">
        <is>
          <t>Programada</t>
        </is>
      </c>
      <c r="M725" s="13" t="n"/>
      <c r="N725" s="14">
        <f>SI(O([@[Fecha_Programada_Inicio]]="";[@[Fecha_Inicio_Real]]="");"";SI([@[Fecha_Inicio_Real]]&lt;=[@[Fecha_Programada_Inicio]];"SÍ";"NO"))</f>
        <v/>
      </c>
      <c r="O725" s="14">
        <f>SI(O([@[Fecha_Programada_Fin]]="";[@[Fecha_Cierre_Operativo]]="");"";SI([@[Fecha_Cierre_Operativo]]&lt;=SI([@[Fecha_Nueva_Programada]]&lt;&gt;"";[@[Fecha_Nueva_Programada]];[@[Fecha_Programada_Fin]]);"SÍ";"NO"))</f>
        <v/>
      </c>
      <c r="P725" s="14">
        <f>SI(O([@[Cumpli_Ingreso]]="";[@[Cumpli_Salida]]="");"";SI(Y([@[Cumpli_Ingreso]]="SÍ";[@[Cumpli_Salida]]="SÍ");"SÍ";"NO"))</f>
        <v/>
      </c>
      <c r="Q725" s="15">
        <f>SI(O([@[Fecha_Programada_Fin]]="";[@[Fecha_Cierre_Operativo]]="");"";MAX(0;ENTERO([@[Fecha_Cierre_Operativo]])-ENTERO(SI([@[Fecha_Nueva_Programada]]&lt;&gt;"";[@[Fecha_Nueva_Programada]];[@[Fecha_Programada_Fin]])))</f>
        <v/>
      </c>
      <c r="R725" s="12" t="n"/>
      <c r="S725" s="12" t="n"/>
      <c r="T725" s="13" t="n"/>
      <c r="U725" s="12" t="n">
        <v>18</v>
      </c>
      <c r="V725" s="12" t="n"/>
      <c r="W72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25" s="14">
        <f>SI([@SBAN]="";"";BUSCARV([@SBAN];Cronograma_Maestro!$A:$M;6;FALSO))</f>
        <v/>
      </c>
    </row>
    <row r="726">
      <c r="A726" s="11" t="inlineStr">
        <is>
          <t>6950</t>
        </is>
      </c>
      <c r="B726" s="12">
        <f>SI([@SBAN]="";"";BUSCARV([@SBAN];Cronograma_Maestro!$A:$M;2;FALSO))</f>
        <v/>
      </c>
      <c r="C726" s="12">
        <f>SI([@SBAN]="";"";BUSCARV([@SBAN];Cronograma_Maestro!$A:$M;3;FALSO))</f>
        <v/>
      </c>
      <c r="D726" s="12">
        <f>SI([@SBAN]="";"";BUSCARV([@SBAN];Cronograma_Maestro!$A:$M;4;FALSO))</f>
        <v/>
      </c>
      <c r="E726" s="12">
        <f>SI([@SBAN]="";"";BUSCARV([@SBAN];Cronograma_Maestro!$A:$M;5;FALSO))</f>
        <v/>
      </c>
      <c r="F726" s="12" t="inlineStr">
        <is>
          <t>Alvaro Augusto Villalba Villamil</t>
        </is>
      </c>
      <c r="G726" s="12" t="inlineStr">
        <is>
          <t>PMU COLSOF</t>
        </is>
      </c>
      <c r="H726" s="13" t="n">
        <v>46350</v>
      </c>
      <c r="I726" s="13" t="n">
        <v>46351</v>
      </c>
      <c r="J726" s="13" t="n"/>
      <c r="K726" s="13" t="n"/>
      <c r="L726" s="12" t="inlineStr">
        <is>
          <t>Programada</t>
        </is>
      </c>
      <c r="M726" s="13" t="n"/>
      <c r="N726" s="14">
        <f>SI(O([@[Fecha_Programada_Inicio]]="";[@[Fecha_Inicio_Real]]="");"";SI([@[Fecha_Inicio_Real]]&lt;=[@[Fecha_Programada_Inicio]];"SÍ";"NO"))</f>
        <v/>
      </c>
      <c r="O726" s="14">
        <f>SI(O([@[Fecha_Programada_Fin]]="";[@[Fecha_Cierre_Operativo]]="");"";SI([@[Fecha_Cierre_Operativo]]&lt;=SI([@[Fecha_Nueva_Programada]]&lt;&gt;"";[@[Fecha_Nueva_Programada]];[@[Fecha_Programada_Fin]]);"SÍ";"NO"))</f>
        <v/>
      </c>
      <c r="P726" s="14">
        <f>SI(O([@[Cumpli_Ingreso]]="";[@[Cumpli_Salida]]="");"";SI(Y([@[Cumpli_Ingreso]]="SÍ";[@[Cumpli_Salida]]="SÍ");"SÍ";"NO"))</f>
        <v/>
      </c>
      <c r="Q726" s="15">
        <f>SI(O([@[Fecha_Programada_Fin]]="";[@[Fecha_Cierre_Operativo]]="");"";MAX(0;ENTERO([@[Fecha_Cierre_Operativo]])-ENTERO(SI([@[Fecha_Nueva_Programada]]&lt;&gt;"";[@[Fecha_Nueva_Programada]];[@[Fecha_Programada_Fin]])))</f>
        <v/>
      </c>
      <c r="R726" s="12" t="n"/>
      <c r="S726" s="12" t="n"/>
      <c r="T726" s="13" t="n"/>
      <c r="U726" s="12" t="n">
        <v>23</v>
      </c>
      <c r="V726" s="12" t="n"/>
      <c r="W72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26" s="14">
        <f>SI([@SBAN]="";"";BUSCARV([@SBAN];Cronograma_Maestro!$A:$M;6;FALSO))</f>
        <v/>
      </c>
    </row>
    <row r="727">
      <c r="A727" s="11" t="inlineStr">
        <is>
          <t>6952</t>
        </is>
      </c>
      <c r="B727" s="12">
        <f>SI([@SBAN]="";"";BUSCARV([@SBAN];Cronograma_Maestro!$A:$M;2;FALSO))</f>
        <v/>
      </c>
      <c r="C727" s="12">
        <f>SI([@SBAN]="";"";BUSCARV([@SBAN];Cronograma_Maestro!$A:$M;3;FALSO))</f>
        <v/>
      </c>
      <c r="D727" s="12">
        <f>SI([@SBAN]="";"";BUSCARV([@SBAN];Cronograma_Maestro!$A:$M;4;FALSO))</f>
        <v/>
      </c>
      <c r="E727" s="12">
        <f>SI([@SBAN]="";"";BUSCARV([@SBAN];Cronograma_Maestro!$A:$M;5;FALSO))</f>
        <v/>
      </c>
      <c r="F727" s="12" t="inlineStr">
        <is>
          <t>John Edwin Jimenez Chavez</t>
        </is>
      </c>
      <c r="G727" s="12" t="inlineStr">
        <is>
          <t>PMU COLSOF</t>
        </is>
      </c>
      <c r="H727" s="13" t="n">
        <v>46316</v>
      </c>
      <c r="I727" s="13" t="n">
        <v>46316</v>
      </c>
      <c r="J727" s="13" t="n"/>
      <c r="K727" s="13" t="n"/>
      <c r="L727" s="12" t="inlineStr">
        <is>
          <t>Programada</t>
        </is>
      </c>
      <c r="M727" s="13" t="n"/>
      <c r="N727" s="14">
        <f>SI(O([@[Fecha_Programada_Inicio]]="";[@[Fecha_Inicio_Real]]="");"";SI([@[Fecha_Inicio_Real]]&lt;=[@[Fecha_Programada_Inicio]];"SÍ";"NO"))</f>
        <v/>
      </c>
      <c r="O727" s="14">
        <f>SI(O([@[Fecha_Programada_Fin]]="";[@[Fecha_Cierre_Operativo]]="");"";SI([@[Fecha_Cierre_Operativo]]&lt;=SI([@[Fecha_Nueva_Programada]]&lt;&gt;"";[@[Fecha_Nueva_Programada]];[@[Fecha_Programada_Fin]]);"SÍ";"NO"))</f>
        <v/>
      </c>
      <c r="P727" s="14">
        <f>SI(O([@[Cumpli_Ingreso]]="";[@[Cumpli_Salida]]="");"";SI(Y([@[Cumpli_Ingreso]]="SÍ";[@[Cumpli_Salida]]="SÍ");"SÍ";"NO"))</f>
        <v/>
      </c>
      <c r="Q727" s="15">
        <f>SI(O([@[Fecha_Programada_Fin]]="";[@[Fecha_Cierre_Operativo]]="");"";MAX(0;ENTERO([@[Fecha_Cierre_Operativo]])-ENTERO(SI([@[Fecha_Nueva_Programada]]&lt;&gt;"";[@[Fecha_Nueva_Programada]];[@[Fecha_Programada_Fin]])))</f>
        <v/>
      </c>
      <c r="R727" s="12" t="n"/>
      <c r="S727" s="12" t="n"/>
      <c r="T727" s="13" t="n"/>
      <c r="U727" s="12" t="n">
        <v>18</v>
      </c>
      <c r="V727" s="12" t="n"/>
      <c r="W72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27" s="14">
        <f>SI([@SBAN]="";"";BUSCARV([@SBAN];Cronograma_Maestro!$A:$M;6;FALSO))</f>
        <v/>
      </c>
    </row>
    <row r="728">
      <c r="A728" s="11" t="inlineStr">
        <is>
          <t>6954</t>
        </is>
      </c>
      <c r="B728" s="12">
        <f>SI([@SBAN]="";"";BUSCARV([@SBAN];Cronograma_Maestro!$A:$M;2;FALSO))</f>
        <v/>
      </c>
      <c r="C728" s="12">
        <f>SI([@SBAN]="";"";BUSCARV([@SBAN];Cronograma_Maestro!$A:$M;3;FALSO))</f>
        <v/>
      </c>
      <c r="D728" s="12">
        <f>SI([@SBAN]="";"";BUSCARV([@SBAN];Cronograma_Maestro!$A:$M;4;FALSO))</f>
        <v/>
      </c>
      <c r="E728" s="12">
        <f>SI([@SBAN]="";"";BUSCARV([@SBAN];Cronograma_Maestro!$A:$M;5;FALSO))</f>
        <v/>
      </c>
      <c r="F728" s="12" t="inlineStr">
        <is>
          <t>John Edwin Jimenez Chavez</t>
        </is>
      </c>
      <c r="G728" s="12" t="inlineStr">
        <is>
          <t>PMU COLSOF</t>
        </is>
      </c>
      <c r="H728" s="13" t="n">
        <v>46315</v>
      </c>
      <c r="I728" s="13" t="n">
        <v>46315</v>
      </c>
      <c r="J728" s="13" t="n"/>
      <c r="K728" s="13" t="n"/>
      <c r="L728" s="12" t="inlineStr">
        <is>
          <t>Programada</t>
        </is>
      </c>
      <c r="M728" s="13" t="n"/>
      <c r="N728" s="14">
        <f>SI(O([@[Fecha_Programada_Inicio]]="";[@[Fecha_Inicio_Real]]="");"";SI([@[Fecha_Inicio_Real]]&lt;=[@[Fecha_Programada_Inicio]];"SÍ";"NO"))</f>
        <v/>
      </c>
      <c r="O728" s="14">
        <f>SI(O([@[Fecha_Programada_Fin]]="";[@[Fecha_Cierre_Operativo]]="");"";SI([@[Fecha_Cierre_Operativo]]&lt;=SI([@[Fecha_Nueva_Programada]]&lt;&gt;"";[@[Fecha_Nueva_Programada]];[@[Fecha_Programada_Fin]]);"SÍ";"NO"))</f>
        <v/>
      </c>
      <c r="P728" s="14">
        <f>SI(O([@[Cumpli_Ingreso]]="";[@[Cumpli_Salida]]="");"";SI(Y([@[Cumpli_Ingreso]]="SÍ";[@[Cumpli_Salida]]="SÍ");"SÍ";"NO"))</f>
        <v/>
      </c>
      <c r="Q728" s="15">
        <f>SI(O([@[Fecha_Programada_Fin]]="";[@[Fecha_Cierre_Operativo]]="");"";MAX(0;ENTERO([@[Fecha_Cierre_Operativo]])-ENTERO(SI([@[Fecha_Nueva_Programada]]&lt;&gt;"";[@[Fecha_Nueva_Programada]];[@[Fecha_Programada_Fin]])))</f>
        <v/>
      </c>
      <c r="R728" s="12" t="n"/>
      <c r="S728" s="12" t="n"/>
      <c r="T728" s="13" t="n"/>
      <c r="U728" s="12" t="n">
        <v>16</v>
      </c>
      <c r="V728" s="12" t="n"/>
      <c r="W72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28" s="14">
        <f>SI([@SBAN]="";"";BUSCARV([@SBAN];Cronograma_Maestro!$A:$M;6;FALSO))</f>
        <v/>
      </c>
    </row>
    <row r="729">
      <c r="A729" s="11" t="inlineStr">
        <is>
          <t>6955</t>
        </is>
      </c>
      <c r="B729" s="12">
        <f>SI([@SBAN]="";"";BUSCARV([@SBAN];Cronograma_Maestro!$A:$M;2;FALSO))</f>
        <v/>
      </c>
      <c r="C729" s="12">
        <f>SI([@SBAN]="";"";BUSCARV([@SBAN];Cronograma_Maestro!$A:$M;3;FALSO))</f>
        <v/>
      </c>
      <c r="D729" s="12">
        <f>SI([@SBAN]="";"";BUSCARV([@SBAN];Cronograma_Maestro!$A:$M;4;FALSO))</f>
        <v/>
      </c>
      <c r="E729" s="12">
        <f>SI([@SBAN]="";"";BUSCARV([@SBAN];Cronograma_Maestro!$A:$M;5;FALSO))</f>
        <v/>
      </c>
      <c r="F729" s="12" t="inlineStr">
        <is>
          <t>John Edwin Jimenez Chavez</t>
        </is>
      </c>
      <c r="G729" s="12" t="inlineStr">
        <is>
          <t>PMU COLSOF</t>
        </is>
      </c>
      <c r="H729" s="13" t="n">
        <v>46314</v>
      </c>
      <c r="I729" s="13" t="n">
        <v>46314</v>
      </c>
      <c r="J729" s="13" t="n"/>
      <c r="K729" s="13" t="n"/>
      <c r="L729" s="12" t="inlineStr">
        <is>
          <t>Programada</t>
        </is>
      </c>
      <c r="M729" s="13" t="n"/>
      <c r="N729" s="14">
        <f>SI(O([@[Fecha_Programada_Inicio]]="";[@[Fecha_Inicio_Real]]="");"";SI([@[Fecha_Inicio_Real]]&lt;=[@[Fecha_Programada_Inicio]];"SÍ";"NO"))</f>
        <v/>
      </c>
      <c r="O729" s="14">
        <f>SI(O([@[Fecha_Programada_Fin]]="";[@[Fecha_Cierre_Operativo]]="");"";SI([@[Fecha_Cierre_Operativo]]&lt;=SI([@[Fecha_Nueva_Programada]]&lt;&gt;"";[@[Fecha_Nueva_Programada]];[@[Fecha_Programada_Fin]]);"SÍ";"NO"))</f>
        <v/>
      </c>
      <c r="P729" s="14">
        <f>SI(O([@[Cumpli_Ingreso]]="";[@[Cumpli_Salida]]="");"";SI(Y([@[Cumpli_Ingreso]]="SÍ";[@[Cumpli_Salida]]="SÍ");"SÍ";"NO"))</f>
        <v/>
      </c>
      <c r="Q729" s="15">
        <f>SI(O([@[Fecha_Programada_Fin]]="";[@[Fecha_Cierre_Operativo]]="");"";MAX(0;ENTERO([@[Fecha_Cierre_Operativo]])-ENTERO(SI([@[Fecha_Nueva_Programada]]&lt;&gt;"";[@[Fecha_Nueva_Programada]];[@[Fecha_Programada_Fin]])))</f>
        <v/>
      </c>
      <c r="R729" s="12" t="n"/>
      <c r="S729" s="12" t="n"/>
      <c r="T729" s="13" t="n"/>
      <c r="U729" s="12" t="n">
        <v>31</v>
      </c>
      <c r="V729" s="12" t="n"/>
      <c r="W72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29" s="14">
        <f>SI([@SBAN]="";"";BUSCARV([@SBAN];Cronograma_Maestro!$A:$M;6;FALSO))</f>
        <v/>
      </c>
    </row>
    <row r="730">
      <c r="A730" s="11" t="inlineStr">
        <is>
          <t>6963</t>
        </is>
      </c>
      <c r="B730" s="12">
        <f>SI([@SBAN]="";"";BUSCARV([@SBAN];Cronograma_Maestro!$A:$M;2;FALSO))</f>
        <v/>
      </c>
      <c r="C730" s="12">
        <f>SI([@SBAN]="";"";BUSCARV([@SBAN];Cronograma_Maestro!$A:$M;3;FALSO))</f>
        <v/>
      </c>
      <c r="D730" s="12">
        <f>SI([@SBAN]="";"";BUSCARV([@SBAN];Cronograma_Maestro!$A:$M;4;FALSO))</f>
        <v/>
      </c>
      <c r="E730" s="12">
        <f>SI([@SBAN]="";"";BUSCARV([@SBAN];Cronograma_Maestro!$A:$M;5;FALSO))</f>
        <v/>
      </c>
      <c r="F730" s="12" t="inlineStr">
        <is>
          <t>Juan David Cifuente Villegas /John Edwin Jimenez Chavez</t>
        </is>
      </c>
      <c r="G730" s="12" t="inlineStr">
        <is>
          <t>PMU COLSOF</t>
        </is>
      </c>
      <c r="H730" s="13" t="n">
        <v>46343</v>
      </c>
      <c r="I730" s="13" t="n">
        <v>46346</v>
      </c>
      <c r="J730" s="13" t="n"/>
      <c r="K730" s="13" t="n"/>
      <c r="L730" s="12" t="inlineStr">
        <is>
          <t>Sede_Cerrada</t>
        </is>
      </c>
      <c r="M730" s="13" t="n"/>
      <c r="N730" s="14">
        <f>SI(O([@[Fecha_Programada_Inicio]]="";[@[Fecha_Inicio_Real]]="");"";SI([@[Fecha_Inicio_Real]]&lt;=[@[Fecha_Programada_Inicio]];"SÍ";"NO"))</f>
        <v/>
      </c>
      <c r="O730" s="14">
        <f>SI(O([@[Fecha_Programada_Fin]]="";[@[Fecha_Cierre_Operativo]]="");"";SI([@[Fecha_Cierre_Operativo]]&lt;=SI([@[Fecha_Nueva_Programada]]&lt;&gt;"";[@[Fecha_Nueva_Programada]];[@[Fecha_Programada_Fin]]);"SÍ";"NO"))</f>
        <v/>
      </c>
      <c r="P730" s="14">
        <f>SI(O([@[Cumpli_Ingreso]]="";[@[Cumpli_Salida]]="");"";SI(Y([@[Cumpli_Ingreso]]="SÍ";[@[Cumpli_Salida]]="SÍ");"SÍ";"NO"))</f>
        <v/>
      </c>
      <c r="Q730" s="15">
        <f>SI(O([@[Fecha_Programada_Fin]]="";[@[Fecha_Cierre_Operativo]]="");"";MAX(0;ENTERO([@[Fecha_Cierre_Operativo]])-ENTERO(SI([@[Fecha_Nueva_Programada]]&lt;&gt;"";[@[Fecha_Nueva_Programada]];[@[Fecha_Programada_Fin]])))</f>
        <v/>
      </c>
      <c r="R730" s="12" t="inlineStr">
        <is>
          <t>N/A - A Tiempo</t>
        </is>
      </c>
      <c r="S730" s="12" t="inlineStr">
        <is>
          <t>Firmada</t>
        </is>
      </c>
      <c r="T730" s="13" t="n"/>
      <c r="U730" s="12" t="n">
        <v>35</v>
      </c>
      <c r="V730" s="12" t="n"/>
      <c r="W73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30" s="14">
        <f>SI([@SBAN]="";"";BUSCARV([@SBAN];Cronograma_Maestro!$A:$M;6;FALSO))</f>
        <v/>
      </c>
    </row>
    <row r="731">
      <c r="A731" s="11" t="inlineStr">
        <is>
          <t>6964</t>
        </is>
      </c>
      <c r="B731" s="12">
        <f>SI([@SBAN]="";"";BUSCARV([@SBAN];Cronograma_Maestro!$A:$M;2;FALSO))</f>
        <v/>
      </c>
      <c r="C731" s="12">
        <f>SI([@SBAN]="";"";BUSCARV([@SBAN];Cronograma_Maestro!$A:$M;3;FALSO))</f>
        <v/>
      </c>
      <c r="D731" s="12">
        <f>SI([@SBAN]="";"";BUSCARV([@SBAN];Cronograma_Maestro!$A:$M;4;FALSO))</f>
        <v/>
      </c>
      <c r="E731" s="12">
        <f>SI([@SBAN]="";"";BUSCARV([@SBAN];Cronograma_Maestro!$A:$M;5;FALSO))</f>
        <v/>
      </c>
      <c r="F731" s="12" t="inlineStr">
        <is>
          <t>John Edwin Jimenez Chavez</t>
        </is>
      </c>
      <c r="G731" s="12" t="inlineStr">
        <is>
          <t>PMU COLSOF</t>
        </is>
      </c>
      <c r="H731" s="13" t="n">
        <v>46322</v>
      </c>
      <c r="I731" s="13" t="n">
        <v>46322</v>
      </c>
      <c r="J731" s="13" t="n"/>
      <c r="K731" s="13" t="n"/>
      <c r="L731" s="12" t="inlineStr">
        <is>
          <t>Programada</t>
        </is>
      </c>
      <c r="M731" s="13" t="n"/>
      <c r="N731" s="14">
        <f>SI(O([@[Fecha_Programada_Inicio]]="";[@[Fecha_Inicio_Real]]="");"";SI([@[Fecha_Inicio_Real]]&lt;=[@[Fecha_Programada_Inicio]];"SÍ";"NO"))</f>
        <v/>
      </c>
      <c r="O731" s="14">
        <f>SI(O([@[Fecha_Programada_Fin]]="";[@[Fecha_Cierre_Operativo]]="");"";SI([@[Fecha_Cierre_Operativo]]&lt;=SI([@[Fecha_Nueva_Programada]]&lt;&gt;"";[@[Fecha_Nueva_Programada]];[@[Fecha_Programada_Fin]]);"SÍ";"NO"))</f>
        <v/>
      </c>
      <c r="P731" s="14">
        <f>SI(O([@[Cumpli_Ingreso]]="";[@[Cumpli_Salida]]="");"";SI(Y([@[Cumpli_Ingreso]]="SÍ";[@[Cumpli_Salida]]="SÍ");"SÍ";"NO"))</f>
        <v/>
      </c>
      <c r="Q731" s="15">
        <f>SI(O([@[Fecha_Programada_Fin]]="";[@[Fecha_Cierre_Operativo]]="");"";MAX(0;ENTERO([@[Fecha_Cierre_Operativo]])-ENTERO(SI([@[Fecha_Nueva_Programada]]&lt;&gt;"";[@[Fecha_Nueva_Programada]];[@[Fecha_Programada_Fin]])))</f>
        <v/>
      </c>
      <c r="R731" s="12" t="n"/>
      <c r="S731" s="12" t="n"/>
      <c r="T731" s="13" t="n"/>
      <c r="U731" s="12" t="n">
        <v>24</v>
      </c>
      <c r="V731" s="12" t="n"/>
      <c r="W73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31" s="14">
        <f>SI([@SBAN]="";"";BUSCARV([@SBAN];Cronograma_Maestro!$A:$M;6;FALSO))</f>
        <v/>
      </c>
    </row>
    <row r="732">
      <c r="A732" s="11" t="inlineStr">
        <is>
          <t>6965</t>
        </is>
      </c>
      <c r="B732" s="12">
        <f>SI([@SBAN]="";"";BUSCARV([@SBAN];Cronograma_Maestro!$A:$M;2;FALSO))</f>
        <v/>
      </c>
      <c r="C732" s="12">
        <f>SI([@SBAN]="";"";BUSCARV([@SBAN];Cronograma_Maestro!$A:$M;3;FALSO))</f>
        <v/>
      </c>
      <c r="D732" s="12">
        <f>SI([@SBAN]="";"";BUSCARV([@SBAN];Cronograma_Maestro!$A:$M;4;FALSO))</f>
        <v/>
      </c>
      <c r="E732" s="12">
        <f>SI([@SBAN]="";"";BUSCARV([@SBAN];Cronograma_Maestro!$A:$M;5;FALSO))</f>
        <v/>
      </c>
      <c r="F732" s="12" t="inlineStr">
        <is>
          <t>John Edwin Jimenez Chavez</t>
        </is>
      </c>
      <c r="G732" s="12" t="inlineStr">
        <is>
          <t>PMU COLSOF</t>
        </is>
      </c>
      <c r="H732" s="13" t="n">
        <v>46308</v>
      </c>
      <c r="I732" s="13" t="n">
        <v>46308</v>
      </c>
      <c r="J732" s="13" t="n"/>
      <c r="K732" s="13" t="n"/>
      <c r="L732" s="12" t="inlineStr">
        <is>
          <t>Programada</t>
        </is>
      </c>
      <c r="M732" s="13" t="n"/>
      <c r="N732" s="14">
        <f>SI(O([@[Fecha_Programada_Inicio]]="";[@[Fecha_Inicio_Real]]="");"";SI([@[Fecha_Inicio_Real]]&lt;=[@[Fecha_Programada_Inicio]];"SÍ";"NO"))</f>
        <v/>
      </c>
      <c r="O732" s="14">
        <f>SI(O([@[Fecha_Programada_Fin]]="";[@[Fecha_Cierre_Operativo]]="");"";SI([@[Fecha_Cierre_Operativo]]&lt;=SI([@[Fecha_Nueva_Programada]]&lt;&gt;"";[@[Fecha_Nueva_Programada]];[@[Fecha_Programada_Fin]]);"SÍ";"NO"))</f>
        <v/>
      </c>
      <c r="P732" s="14">
        <f>SI(O([@[Cumpli_Ingreso]]="";[@[Cumpli_Salida]]="");"";SI(Y([@[Cumpli_Ingreso]]="SÍ";[@[Cumpli_Salida]]="SÍ");"SÍ";"NO"))</f>
        <v/>
      </c>
      <c r="Q732" s="15">
        <f>SI(O([@[Fecha_Programada_Fin]]="";[@[Fecha_Cierre_Operativo]]="");"";MAX(0;ENTERO([@[Fecha_Cierre_Operativo]])-ENTERO(SI([@[Fecha_Nueva_Programada]]&lt;&gt;"";[@[Fecha_Nueva_Programada]];[@[Fecha_Programada_Fin]])))</f>
        <v/>
      </c>
      <c r="R732" s="12" t="n"/>
      <c r="S732" s="12" t="n"/>
      <c r="T732" s="13" t="n"/>
      <c r="U732" s="12" t="n">
        <v>26</v>
      </c>
      <c r="V732" s="12" t="n"/>
      <c r="W73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32" s="14">
        <f>SI([@SBAN]="";"";BUSCARV([@SBAN];Cronograma_Maestro!$A:$M;6;FALSO))</f>
        <v/>
      </c>
    </row>
    <row r="733">
      <c r="A733" s="11" t="inlineStr">
        <is>
          <t>6967</t>
        </is>
      </c>
      <c r="B733" s="12">
        <f>SI([@SBAN]="";"";BUSCARV([@SBAN];Cronograma_Maestro!$A:$M;2;FALSO))</f>
        <v/>
      </c>
      <c r="C733" s="12">
        <f>SI([@SBAN]="";"";BUSCARV([@SBAN];Cronograma_Maestro!$A:$M;3;FALSO))</f>
        <v/>
      </c>
      <c r="D733" s="12">
        <f>SI([@SBAN]="";"";BUSCARV([@SBAN];Cronograma_Maestro!$A:$M;4;FALSO))</f>
        <v/>
      </c>
      <c r="E733" s="12">
        <f>SI([@SBAN]="";"";BUSCARV([@SBAN];Cronograma_Maestro!$A:$M;5;FALSO))</f>
        <v/>
      </c>
      <c r="F733" s="12" t="inlineStr">
        <is>
          <t>John Edwin Jimenez Chavez</t>
        </is>
      </c>
      <c r="G733" s="12" t="inlineStr">
        <is>
          <t>PMU COLSOF</t>
        </is>
      </c>
      <c r="H733" s="13" t="n">
        <v>46324</v>
      </c>
      <c r="I733" s="13" t="n">
        <v>46324</v>
      </c>
      <c r="J733" s="13" t="n"/>
      <c r="K733" s="13" t="n"/>
      <c r="L733" s="12" t="inlineStr">
        <is>
          <t>Programada</t>
        </is>
      </c>
      <c r="M733" s="13" t="n"/>
      <c r="N733" s="14">
        <f>SI(O([@[Fecha_Programada_Inicio]]="";[@[Fecha_Inicio_Real]]="");"";SI([@[Fecha_Inicio_Real]]&lt;=[@[Fecha_Programada_Inicio]];"SÍ";"NO"))</f>
        <v/>
      </c>
      <c r="O733" s="14">
        <f>SI(O([@[Fecha_Programada_Fin]]="";[@[Fecha_Cierre_Operativo]]="");"";SI([@[Fecha_Cierre_Operativo]]&lt;=SI([@[Fecha_Nueva_Programada]]&lt;&gt;"";[@[Fecha_Nueva_Programada]];[@[Fecha_Programada_Fin]]);"SÍ";"NO"))</f>
        <v/>
      </c>
      <c r="P733" s="14">
        <f>SI(O([@[Cumpli_Ingreso]]="";[@[Cumpli_Salida]]="");"";SI(Y([@[Cumpli_Ingreso]]="SÍ";[@[Cumpli_Salida]]="SÍ");"SÍ";"NO"))</f>
        <v/>
      </c>
      <c r="Q733" s="15">
        <f>SI(O([@[Fecha_Programada_Fin]]="";[@[Fecha_Cierre_Operativo]]="");"";MAX(0;ENTERO([@[Fecha_Cierre_Operativo]])-ENTERO(SI([@[Fecha_Nueva_Programada]]&lt;&gt;"";[@[Fecha_Nueva_Programada]];[@[Fecha_Programada_Fin]])))</f>
        <v/>
      </c>
      <c r="R733" s="12" t="n"/>
      <c r="S733" s="12" t="n"/>
      <c r="T733" s="13" t="n"/>
      <c r="U733" s="12" t="n">
        <v>23</v>
      </c>
      <c r="V733" s="12" t="n"/>
      <c r="W73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33" s="14">
        <f>SI([@SBAN]="";"";BUSCARV([@SBAN];Cronograma_Maestro!$A:$M;6;FALSO))</f>
        <v/>
      </c>
    </row>
    <row r="734">
      <c r="A734" s="11" t="inlineStr">
        <is>
          <t>6970</t>
        </is>
      </c>
      <c r="B734" s="12">
        <f>SI([@SBAN]="";"";BUSCARV([@SBAN];Cronograma_Maestro!$A:$M;2;FALSO))</f>
        <v/>
      </c>
      <c r="C734" s="12">
        <f>SI([@SBAN]="";"";BUSCARV([@SBAN];Cronograma_Maestro!$A:$M;3;FALSO))</f>
        <v/>
      </c>
      <c r="D734" s="12">
        <f>SI([@SBAN]="";"";BUSCARV([@SBAN];Cronograma_Maestro!$A:$M;4;FALSO))</f>
        <v/>
      </c>
      <c r="E734" s="12">
        <f>SI([@SBAN]="";"";BUSCARV([@SBAN];Cronograma_Maestro!$A:$M;5;FALSO))</f>
        <v/>
      </c>
      <c r="F734" s="12" t="inlineStr">
        <is>
          <t>Alvaro Augusto Villalba Villamil</t>
        </is>
      </c>
      <c r="G734" s="12" t="inlineStr">
        <is>
          <t>PMU COLSOF</t>
        </is>
      </c>
      <c r="H734" s="13" t="n">
        <v>46335</v>
      </c>
      <c r="I734" s="13" t="n">
        <v>46336</v>
      </c>
      <c r="J734" s="13" t="n"/>
      <c r="K734" s="13" t="n"/>
      <c r="L734" s="12" t="inlineStr">
        <is>
          <t>Sede_Cerrada</t>
        </is>
      </c>
      <c r="M734" s="13" t="n"/>
      <c r="N734" s="14">
        <f>SI(O([@[Fecha_Programada_Inicio]]="";[@[Fecha_Inicio_Real]]="");"";SI([@[Fecha_Inicio_Real]]&lt;=[@[Fecha_Programada_Inicio]];"SÍ";"NO"))</f>
        <v/>
      </c>
      <c r="O734" s="14">
        <f>SI(O([@[Fecha_Programada_Fin]]="";[@[Fecha_Cierre_Operativo]]="");"";SI([@[Fecha_Cierre_Operativo]]&lt;=SI([@[Fecha_Nueva_Programada]]&lt;&gt;"";[@[Fecha_Nueva_Programada]];[@[Fecha_Programada_Fin]]);"SÍ";"NO"))</f>
        <v/>
      </c>
      <c r="P734" s="14">
        <f>SI(O([@[Cumpli_Ingreso]]="";[@[Cumpli_Salida]]="");"";SI(Y([@[Cumpli_Ingreso]]="SÍ";[@[Cumpli_Salida]]="SÍ");"SÍ";"NO"))</f>
        <v/>
      </c>
      <c r="Q734" s="15">
        <f>SI(O([@[Fecha_Programada_Fin]]="";[@[Fecha_Cierre_Operativo]]="");"";MAX(0;ENTERO([@[Fecha_Cierre_Operativo]])-ENTERO(SI([@[Fecha_Nueva_Programada]]&lt;&gt;"";[@[Fecha_Nueva_Programada]];[@[Fecha_Programada_Fin]])))</f>
        <v/>
      </c>
      <c r="R734" s="12" t="inlineStr">
        <is>
          <t>N/A - A Tiempo</t>
        </is>
      </c>
      <c r="S734" s="12" t="inlineStr">
        <is>
          <t>Firmada</t>
        </is>
      </c>
      <c r="T734" s="13" t="n"/>
      <c r="U734" s="12" t="n">
        <v>27</v>
      </c>
      <c r="V734" s="12" t="n"/>
      <c r="W73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34" s="14">
        <f>SI([@SBAN]="";"";BUSCARV([@SBAN];Cronograma_Maestro!$A:$M;6;FALSO))</f>
        <v/>
      </c>
    </row>
    <row r="735">
      <c r="A735" s="11" t="inlineStr">
        <is>
          <t>6971</t>
        </is>
      </c>
      <c r="B735" s="12">
        <f>SI([@SBAN]="";"";BUSCARV([@SBAN];Cronograma_Maestro!$A:$M;2;FALSO))</f>
        <v/>
      </c>
      <c r="C735" s="12">
        <f>SI([@SBAN]="";"";BUSCARV([@SBAN];Cronograma_Maestro!$A:$M;3;FALSO))</f>
        <v/>
      </c>
      <c r="D735" s="12">
        <f>SI([@SBAN]="";"";BUSCARV([@SBAN];Cronograma_Maestro!$A:$M;4;FALSO))</f>
        <v/>
      </c>
      <c r="E735" s="12">
        <f>SI([@SBAN]="";"";BUSCARV([@SBAN];Cronograma_Maestro!$A:$M;5;FALSO))</f>
        <v/>
      </c>
      <c r="F735" s="12" t="inlineStr">
        <is>
          <t>John Edwin Jimenez Chavez</t>
        </is>
      </c>
      <c r="G735" s="12" t="inlineStr">
        <is>
          <t>PMU COLSOF</t>
        </is>
      </c>
      <c r="H735" s="13" t="n">
        <v>46317</v>
      </c>
      <c r="I735" s="13" t="n">
        <v>46317</v>
      </c>
      <c r="J735" s="13" t="n"/>
      <c r="K735" s="13" t="n"/>
      <c r="L735" s="12" t="inlineStr">
        <is>
          <t>Programada</t>
        </is>
      </c>
      <c r="M735" s="13" t="n"/>
      <c r="N735" s="14">
        <f>SI(O([@[Fecha_Programada_Inicio]]="";[@[Fecha_Inicio_Real]]="");"";SI([@[Fecha_Inicio_Real]]&lt;=[@[Fecha_Programada_Inicio]];"SÍ";"NO"))</f>
        <v/>
      </c>
      <c r="O735" s="14">
        <f>SI(O([@[Fecha_Programada_Fin]]="";[@[Fecha_Cierre_Operativo]]="");"";SI([@[Fecha_Cierre_Operativo]]&lt;=SI([@[Fecha_Nueva_Programada]]&lt;&gt;"";[@[Fecha_Nueva_Programada]];[@[Fecha_Programada_Fin]]);"SÍ";"NO"))</f>
        <v/>
      </c>
      <c r="P735" s="14">
        <f>SI(O([@[Cumpli_Ingreso]]="";[@[Cumpli_Salida]]="");"";SI(Y([@[Cumpli_Ingreso]]="SÍ";[@[Cumpli_Salida]]="SÍ");"SÍ";"NO"))</f>
        <v/>
      </c>
      <c r="Q735" s="15">
        <f>SI(O([@[Fecha_Programada_Fin]]="";[@[Fecha_Cierre_Operativo]]="");"";MAX(0;ENTERO([@[Fecha_Cierre_Operativo]])-ENTERO(SI([@[Fecha_Nueva_Programada]]&lt;&gt;"";[@[Fecha_Nueva_Programada]];[@[Fecha_Programada_Fin]])))</f>
        <v/>
      </c>
      <c r="R735" s="12" t="n"/>
      <c r="S735" s="12" t="n"/>
      <c r="T735" s="13" t="n"/>
      <c r="U735" s="12" t="n">
        <v>22</v>
      </c>
      <c r="V735" s="12" t="n"/>
      <c r="W73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35" s="14">
        <f>SI([@SBAN]="";"";BUSCARV([@SBAN];Cronograma_Maestro!$A:$M;6;FALSO))</f>
        <v/>
      </c>
    </row>
    <row r="736">
      <c r="A736" s="11" t="inlineStr">
        <is>
          <t>6972</t>
        </is>
      </c>
      <c r="B736" s="12">
        <f>SI([@SBAN]="";"";BUSCARV([@SBAN];Cronograma_Maestro!$A:$M;2;FALSO))</f>
        <v/>
      </c>
      <c r="C736" s="12">
        <f>SI([@SBAN]="";"";BUSCARV([@SBAN];Cronograma_Maestro!$A:$M;3;FALSO))</f>
        <v/>
      </c>
      <c r="D736" s="12">
        <f>SI([@SBAN]="";"";BUSCARV([@SBAN];Cronograma_Maestro!$A:$M;4;FALSO))</f>
        <v/>
      </c>
      <c r="E736" s="12">
        <f>SI([@SBAN]="";"";BUSCARV([@SBAN];Cronograma_Maestro!$A:$M;5;FALSO))</f>
        <v/>
      </c>
      <c r="F736" s="12" t="inlineStr">
        <is>
          <t>Alvaro Augusto Villalba Villamil</t>
        </is>
      </c>
      <c r="G736" s="12" t="inlineStr">
        <is>
          <t>PMU COLSOF</t>
        </is>
      </c>
      <c r="H736" s="13" t="n">
        <v>46321</v>
      </c>
      <c r="I736" s="13" t="n">
        <v>46321</v>
      </c>
      <c r="J736" s="13" t="n"/>
      <c r="K736" s="13" t="n"/>
      <c r="L736" s="12" t="inlineStr">
        <is>
          <t>Programada</t>
        </is>
      </c>
      <c r="M736" s="13" t="n"/>
      <c r="N736" s="14">
        <f>SI(O([@[Fecha_Programada_Inicio]]="";[@[Fecha_Inicio_Real]]="");"";SI([@[Fecha_Inicio_Real]]&lt;=[@[Fecha_Programada_Inicio]];"SÍ";"NO"))</f>
        <v/>
      </c>
      <c r="O736" s="14">
        <f>SI(O([@[Fecha_Programada_Fin]]="";[@[Fecha_Cierre_Operativo]]="");"";SI([@[Fecha_Cierre_Operativo]]&lt;=SI([@[Fecha_Nueva_Programada]]&lt;&gt;"";[@[Fecha_Nueva_Programada]];[@[Fecha_Programada_Fin]]);"SÍ";"NO"))</f>
        <v/>
      </c>
      <c r="P736" s="14">
        <f>SI(O([@[Cumpli_Ingreso]]="";[@[Cumpli_Salida]]="");"";SI(Y([@[Cumpli_Ingreso]]="SÍ";[@[Cumpli_Salida]]="SÍ");"SÍ";"NO"))</f>
        <v/>
      </c>
      <c r="Q736" s="15">
        <f>SI(O([@[Fecha_Programada_Fin]]="";[@[Fecha_Cierre_Operativo]]="");"";MAX(0;ENTERO([@[Fecha_Cierre_Operativo]])-ENTERO(SI([@[Fecha_Nueva_Programada]]&lt;&gt;"";[@[Fecha_Nueva_Programada]];[@[Fecha_Programada_Fin]])))</f>
        <v/>
      </c>
      <c r="R736" s="12" t="n"/>
      <c r="S736" s="12" t="n"/>
      <c r="T736" s="13" t="n"/>
      <c r="U736" s="12" t="n">
        <v>23</v>
      </c>
      <c r="V736" s="12" t="n"/>
      <c r="W73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36" s="14">
        <f>SI([@SBAN]="";"";BUSCARV([@SBAN];Cronograma_Maestro!$A:$M;6;FALSO))</f>
        <v/>
      </c>
    </row>
    <row r="737">
      <c r="A737" s="11" t="inlineStr">
        <is>
          <t>6974</t>
        </is>
      </c>
      <c r="B737" s="12">
        <f>SI([@SBAN]="";"";BUSCARV([@SBAN];Cronograma_Maestro!$A:$M;2;FALSO))</f>
        <v/>
      </c>
      <c r="C737" s="12">
        <f>SI([@SBAN]="";"";BUSCARV([@SBAN];Cronograma_Maestro!$A:$M;3;FALSO))</f>
        <v/>
      </c>
      <c r="D737" s="12">
        <f>SI([@SBAN]="";"";BUSCARV([@SBAN];Cronograma_Maestro!$A:$M;4;FALSO))</f>
        <v/>
      </c>
      <c r="E737" s="12">
        <f>SI([@SBAN]="";"";BUSCARV([@SBAN];Cronograma_Maestro!$A:$M;5;FALSO))</f>
        <v/>
      </c>
      <c r="F737" s="12" t="inlineStr">
        <is>
          <t>Alvaro Augusto Villalba Villamil</t>
        </is>
      </c>
      <c r="G737" s="12" t="inlineStr">
        <is>
          <t>PMU COLSOF</t>
        </is>
      </c>
      <c r="H737" s="13" t="n">
        <v>46346</v>
      </c>
      <c r="I737" s="13" t="n">
        <v>46346</v>
      </c>
      <c r="J737" s="13" t="n"/>
      <c r="K737" s="13" t="n"/>
      <c r="L737" s="12" t="inlineStr">
        <is>
          <t>Programada</t>
        </is>
      </c>
      <c r="M737" s="13" t="n"/>
      <c r="N737" s="14">
        <f>SI(O([@[Fecha_Programada_Inicio]]="";[@[Fecha_Inicio_Real]]="");"";SI([@[Fecha_Inicio_Real]]&lt;=[@[Fecha_Programada_Inicio]];"SÍ";"NO"))</f>
        <v/>
      </c>
      <c r="O737" s="14">
        <f>SI(O([@[Fecha_Programada_Fin]]="";[@[Fecha_Cierre_Operativo]]="");"";SI([@[Fecha_Cierre_Operativo]]&lt;=SI([@[Fecha_Nueva_Programada]]&lt;&gt;"";[@[Fecha_Nueva_Programada]];[@[Fecha_Programada_Fin]]);"SÍ";"NO"))</f>
        <v/>
      </c>
      <c r="P737" s="14">
        <f>SI(O([@[Cumpli_Ingreso]]="";[@[Cumpli_Salida]]="");"";SI(Y([@[Cumpli_Ingreso]]="SÍ";[@[Cumpli_Salida]]="SÍ");"SÍ";"NO"))</f>
        <v/>
      </c>
      <c r="Q737" s="15">
        <f>SI(O([@[Fecha_Programada_Fin]]="";[@[Fecha_Cierre_Operativo]]="");"";MAX(0;ENTERO([@[Fecha_Cierre_Operativo]])-ENTERO(SI([@[Fecha_Nueva_Programada]]&lt;&gt;"";[@[Fecha_Nueva_Programada]];[@[Fecha_Programada_Fin]])))</f>
        <v/>
      </c>
      <c r="R737" s="12" t="n"/>
      <c r="S737" s="12" t="n"/>
      <c r="T737" s="13" t="n"/>
      <c r="U737" s="12" t="n">
        <v>20</v>
      </c>
      <c r="V737" s="12" t="n"/>
      <c r="W73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37" s="14">
        <f>SI([@SBAN]="";"";BUSCARV([@SBAN];Cronograma_Maestro!$A:$M;6;FALSO))</f>
        <v/>
      </c>
    </row>
    <row r="738">
      <c r="A738" s="11" t="inlineStr">
        <is>
          <t>6975</t>
        </is>
      </c>
      <c r="B738" s="12">
        <f>SI([@SBAN]="";"";BUSCARV([@SBAN];Cronograma_Maestro!$A:$M;2;FALSO))</f>
        <v/>
      </c>
      <c r="C738" s="12">
        <f>SI([@SBAN]="";"";BUSCARV([@SBAN];Cronograma_Maestro!$A:$M;3;FALSO))</f>
        <v/>
      </c>
      <c r="D738" s="12">
        <f>SI([@SBAN]="";"";BUSCARV([@SBAN];Cronograma_Maestro!$A:$M;4;FALSO))</f>
        <v/>
      </c>
      <c r="E738" s="12">
        <f>SI([@SBAN]="";"";BUSCARV([@SBAN];Cronograma_Maestro!$A:$M;5;FALSO))</f>
        <v/>
      </c>
      <c r="F738" s="12" t="inlineStr">
        <is>
          <t>John Edwin Jimenez Chavez</t>
        </is>
      </c>
      <c r="G738" s="12" t="inlineStr">
        <is>
          <t>PMU COLSOF</t>
        </is>
      </c>
      <c r="H738" s="13" t="n">
        <v>46304</v>
      </c>
      <c r="I738" s="13" t="n">
        <v>46304</v>
      </c>
      <c r="J738" s="13" t="n"/>
      <c r="K738" s="13" t="n"/>
      <c r="L738" s="12" t="inlineStr">
        <is>
          <t>Programada</t>
        </is>
      </c>
      <c r="M738" s="13" t="n"/>
      <c r="N738" s="14">
        <f>SI(O([@[Fecha_Programada_Inicio]]="";[@[Fecha_Inicio_Real]]="");"";SI([@[Fecha_Inicio_Real]]&lt;=[@[Fecha_Programada_Inicio]];"SÍ";"NO"))</f>
        <v/>
      </c>
      <c r="O738" s="14">
        <f>SI(O([@[Fecha_Programada_Fin]]="";[@[Fecha_Cierre_Operativo]]="");"";SI([@[Fecha_Cierre_Operativo]]&lt;=SI([@[Fecha_Nueva_Programada]]&lt;&gt;"";[@[Fecha_Nueva_Programada]];[@[Fecha_Programada_Fin]]);"SÍ";"NO"))</f>
        <v/>
      </c>
      <c r="P738" s="14">
        <f>SI(O([@[Cumpli_Ingreso]]="";[@[Cumpli_Salida]]="");"";SI(Y([@[Cumpli_Ingreso]]="SÍ";[@[Cumpli_Salida]]="SÍ");"SÍ";"NO"))</f>
        <v/>
      </c>
      <c r="Q738" s="15">
        <f>SI(O([@[Fecha_Programada_Fin]]="";[@[Fecha_Cierre_Operativo]]="");"";MAX(0;ENTERO([@[Fecha_Cierre_Operativo]])-ENTERO(SI([@[Fecha_Nueva_Programada]]&lt;&gt;"";[@[Fecha_Nueva_Programada]];[@[Fecha_Programada_Fin]])))</f>
        <v/>
      </c>
      <c r="R738" s="12" t="n"/>
      <c r="S738" s="12" t="n"/>
      <c r="T738" s="13" t="n"/>
      <c r="U738" s="12" t="n">
        <v>11</v>
      </c>
      <c r="V738" s="12" t="n"/>
      <c r="W73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38" s="14">
        <f>SI([@SBAN]="";"";BUSCARV([@SBAN];Cronograma_Maestro!$A:$M;6;FALSO))</f>
        <v/>
      </c>
    </row>
    <row r="739">
      <c r="A739" s="11" t="inlineStr">
        <is>
          <t>6976</t>
        </is>
      </c>
      <c r="B739" s="12">
        <f>SI([@SBAN]="";"";BUSCARV([@SBAN];Cronograma_Maestro!$A:$M;2;FALSO))</f>
        <v/>
      </c>
      <c r="C739" s="12">
        <f>SI([@SBAN]="";"";BUSCARV([@SBAN];Cronograma_Maestro!$A:$M;3;FALSO))</f>
        <v/>
      </c>
      <c r="D739" s="12">
        <f>SI([@SBAN]="";"";BUSCARV([@SBAN];Cronograma_Maestro!$A:$M;4;FALSO))</f>
        <v/>
      </c>
      <c r="E739" s="12">
        <f>SI([@SBAN]="";"";BUSCARV([@SBAN];Cronograma_Maestro!$A:$M;5;FALSO))</f>
        <v/>
      </c>
      <c r="F739" s="12" t="inlineStr">
        <is>
          <t>John Edwin Jimenez Chavez</t>
        </is>
      </c>
      <c r="G739" s="12" t="inlineStr">
        <is>
          <t>PMU COLSOF</t>
        </is>
      </c>
      <c r="H739" s="13" t="n">
        <v>46301</v>
      </c>
      <c r="I739" s="13" t="n">
        <v>46301</v>
      </c>
      <c r="J739" s="13" t="n"/>
      <c r="K739" s="13" t="n"/>
      <c r="L739" s="12" t="inlineStr">
        <is>
          <t>Programada</t>
        </is>
      </c>
      <c r="M739" s="13" t="n"/>
      <c r="N739" s="14">
        <f>SI(O([@[Fecha_Programada_Inicio]]="";[@[Fecha_Inicio_Real]]="");"";SI([@[Fecha_Inicio_Real]]&lt;=[@[Fecha_Programada_Inicio]];"SÍ";"NO"))</f>
        <v/>
      </c>
      <c r="O739" s="14">
        <f>SI(O([@[Fecha_Programada_Fin]]="";[@[Fecha_Cierre_Operativo]]="");"";SI([@[Fecha_Cierre_Operativo]]&lt;=SI([@[Fecha_Nueva_Programada]]&lt;&gt;"";[@[Fecha_Nueva_Programada]];[@[Fecha_Programada_Fin]]);"SÍ";"NO"))</f>
        <v/>
      </c>
      <c r="P739" s="14">
        <f>SI(O([@[Cumpli_Ingreso]]="";[@[Cumpli_Salida]]="");"";SI(Y([@[Cumpli_Ingreso]]="SÍ";[@[Cumpli_Salida]]="SÍ");"SÍ";"NO"))</f>
        <v/>
      </c>
      <c r="Q739" s="15">
        <f>SI(O([@[Fecha_Programada_Fin]]="";[@[Fecha_Cierre_Operativo]]="");"";MAX(0;ENTERO([@[Fecha_Cierre_Operativo]])-ENTERO(SI([@[Fecha_Nueva_Programada]]&lt;&gt;"";[@[Fecha_Nueva_Programada]];[@[Fecha_Programada_Fin]])))</f>
        <v/>
      </c>
      <c r="R739" s="12" t="n"/>
      <c r="S739" s="12" t="n"/>
      <c r="T739" s="13" t="n"/>
      <c r="U739" s="12" t="n">
        <v>18</v>
      </c>
      <c r="V739" s="12" t="n"/>
      <c r="W73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39" s="14">
        <f>SI([@SBAN]="";"";BUSCARV([@SBAN];Cronograma_Maestro!$A:$M;6;FALSO))</f>
        <v/>
      </c>
    </row>
    <row r="740">
      <c r="A740" s="11" t="inlineStr">
        <is>
          <t>6977</t>
        </is>
      </c>
      <c r="B740" s="12">
        <f>SI([@SBAN]="";"";BUSCARV([@SBAN];Cronograma_Maestro!$A:$M;2;FALSO))</f>
        <v/>
      </c>
      <c r="C740" s="12">
        <f>SI([@SBAN]="";"";BUSCARV([@SBAN];Cronograma_Maestro!$A:$M;3;FALSO))</f>
        <v/>
      </c>
      <c r="D740" s="12">
        <f>SI([@SBAN]="";"";BUSCARV([@SBAN];Cronograma_Maestro!$A:$M;4;FALSO))</f>
        <v/>
      </c>
      <c r="E740" s="12">
        <f>SI([@SBAN]="";"";BUSCARV([@SBAN];Cronograma_Maestro!$A:$M;5;FALSO))</f>
        <v/>
      </c>
      <c r="F740" s="12" t="inlineStr">
        <is>
          <t>John Edwin Jimenez Chavez</t>
        </is>
      </c>
      <c r="G740" s="12" t="inlineStr">
        <is>
          <t>PMU COLSOF</t>
        </is>
      </c>
      <c r="H740" s="13" t="n">
        <v>46323</v>
      </c>
      <c r="I740" s="13" t="n">
        <v>46323</v>
      </c>
      <c r="J740" s="13" t="n"/>
      <c r="K740" s="13" t="n"/>
      <c r="L740" s="12" t="inlineStr">
        <is>
          <t>Programada</t>
        </is>
      </c>
      <c r="M740" s="13" t="n"/>
      <c r="N740" s="14">
        <f>SI(O([@[Fecha_Programada_Inicio]]="";[@[Fecha_Inicio_Real]]="");"";SI([@[Fecha_Inicio_Real]]&lt;=[@[Fecha_Programada_Inicio]];"SÍ";"NO"))</f>
        <v/>
      </c>
      <c r="O740" s="14">
        <f>SI(O([@[Fecha_Programada_Fin]]="";[@[Fecha_Cierre_Operativo]]="");"";SI([@[Fecha_Cierre_Operativo]]&lt;=SI([@[Fecha_Nueva_Programada]]&lt;&gt;"";[@[Fecha_Nueva_Programada]];[@[Fecha_Programada_Fin]]);"SÍ";"NO"))</f>
        <v/>
      </c>
      <c r="P740" s="14">
        <f>SI(O([@[Cumpli_Ingreso]]="";[@[Cumpli_Salida]]="");"";SI(Y([@[Cumpli_Ingreso]]="SÍ";[@[Cumpli_Salida]]="SÍ");"SÍ";"NO"))</f>
        <v/>
      </c>
      <c r="Q740" s="15">
        <f>SI(O([@[Fecha_Programada_Fin]]="";[@[Fecha_Cierre_Operativo]]="");"";MAX(0;ENTERO([@[Fecha_Cierre_Operativo]])-ENTERO(SI([@[Fecha_Nueva_Programada]]&lt;&gt;"";[@[Fecha_Nueva_Programada]];[@[Fecha_Programada_Fin]])))</f>
        <v/>
      </c>
      <c r="R740" s="12" t="n"/>
      <c r="S740" s="12" t="n"/>
      <c r="T740" s="13" t="n"/>
      <c r="U740" s="12" t="n">
        <v>19</v>
      </c>
      <c r="V740" s="12" t="n"/>
      <c r="W74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40" s="14">
        <f>SI([@SBAN]="";"";BUSCARV([@SBAN];Cronograma_Maestro!$A:$M;6;FALSO))</f>
        <v/>
      </c>
    </row>
    <row r="741">
      <c r="A741" s="11" t="inlineStr">
        <is>
          <t>6978</t>
        </is>
      </c>
      <c r="B741" s="12">
        <f>SI([@SBAN]="";"";BUSCARV([@SBAN];Cronograma_Maestro!$A:$M;2;FALSO))</f>
        <v/>
      </c>
      <c r="C741" s="12">
        <f>SI([@SBAN]="";"";BUSCARV([@SBAN];Cronograma_Maestro!$A:$M;3;FALSO))</f>
        <v/>
      </c>
      <c r="D741" s="12">
        <f>SI([@SBAN]="";"";BUSCARV([@SBAN];Cronograma_Maestro!$A:$M;4;FALSO))</f>
        <v/>
      </c>
      <c r="E741" s="12">
        <f>SI([@SBAN]="";"";BUSCARV([@SBAN];Cronograma_Maestro!$A:$M;5;FALSO))</f>
        <v/>
      </c>
      <c r="F741" s="12" t="inlineStr">
        <is>
          <t>Alvaro Augusto Villalba Villamil</t>
        </is>
      </c>
      <c r="G741" s="12" t="inlineStr">
        <is>
          <t>PMU COLSOF</t>
        </is>
      </c>
      <c r="H741" s="13" t="n">
        <v>46314</v>
      </c>
      <c r="I741" s="13" t="n">
        <v>46316</v>
      </c>
      <c r="J741" s="13" t="n"/>
      <c r="K741" s="13" t="n"/>
      <c r="L741" s="12" t="inlineStr">
        <is>
          <t>Sede_Cerrada</t>
        </is>
      </c>
      <c r="M741" s="13" t="n"/>
      <c r="N741" s="14">
        <f>SI(O([@[Fecha_Programada_Inicio]]="";[@[Fecha_Inicio_Real]]="");"";SI([@[Fecha_Inicio_Real]]&lt;=[@[Fecha_Programada_Inicio]];"SÍ";"NO"))</f>
        <v/>
      </c>
      <c r="O741" s="14">
        <f>SI(O([@[Fecha_Programada_Fin]]="";[@[Fecha_Cierre_Operativo]]="");"";SI([@[Fecha_Cierre_Operativo]]&lt;=SI([@[Fecha_Nueva_Programada]]&lt;&gt;"";[@[Fecha_Nueva_Programada]];[@[Fecha_Programada_Fin]]);"SÍ";"NO"))</f>
        <v/>
      </c>
      <c r="P741" s="14">
        <f>SI(O([@[Cumpli_Ingreso]]="";[@[Cumpli_Salida]]="");"";SI(Y([@[Cumpli_Ingreso]]="SÍ";[@[Cumpli_Salida]]="SÍ");"SÍ";"NO"))</f>
        <v/>
      </c>
      <c r="Q741" s="15">
        <f>SI(O([@[Fecha_Programada_Fin]]="";[@[Fecha_Cierre_Operativo]]="");"";MAX(0;ENTERO([@[Fecha_Cierre_Operativo]])-ENTERO(SI([@[Fecha_Nueva_Programada]]&lt;&gt;"";[@[Fecha_Nueva_Programada]];[@[Fecha_Programada_Fin]])))</f>
        <v/>
      </c>
      <c r="R741" s="12" t="inlineStr">
        <is>
          <t>N/A - A Tiempo</t>
        </is>
      </c>
      <c r="S741" s="12" t="inlineStr">
        <is>
          <t>Firmada</t>
        </is>
      </c>
      <c r="T741" s="13" t="n"/>
      <c r="U741" s="12" t="n">
        <v>32</v>
      </c>
      <c r="V741" s="12" t="n"/>
      <c r="W74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41" s="14">
        <f>SI([@SBAN]="";"";BUSCARV([@SBAN];Cronograma_Maestro!$A:$M;6;FALSO))</f>
        <v/>
      </c>
    </row>
    <row r="742">
      <c r="A742" s="11" t="inlineStr">
        <is>
          <t>6982</t>
        </is>
      </c>
      <c r="B742" s="12">
        <f>SI([@SBAN]="";"";BUSCARV([@SBAN];Cronograma_Maestro!$A:$M;2;FALSO))</f>
        <v/>
      </c>
      <c r="C742" s="12">
        <f>SI([@SBAN]="";"";BUSCARV([@SBAN];Cronograma_Maestro!$A:$M;3;FALSO))</f>
        <v/>
      </c>
      <c r="D742" s="12">
        <f>SI([@SBAN]="";"";BUSCARV([@SBAN];Cronograma_Maestro!$A:$M;4;FALSO))</f>
        <v/>
      </c>
      <c r="E742" s="12">
        <f>SI([@SBAN]="";"";BUSCARV([@SBAN];Cronograma_Maestro!$A:$M;5;FALSO))</f>
        <v/>
      </c>
      <c r="F742" s="12" t="inlineStr">
        <is>
          <t>Alvaro Augusto Villalba Villamil</t>
        </is>
      </c>
      <c r="G742" s="12" t="inlineStr">
        <is>
          <t>PMU COLSOF</t>
        </is>
      </c>
      <c r="H742" s="13" t="n">
        <v>46310</v>
      </c>
      <c r="I742" s="13" t="n">
        <v>46310</v>
      </c>
      <c r="J742" s="13" t="n"/>
      <c r="K742" s="13" t="n"/>
      <c r="L742" s="12" t="inlineStr">
        <is>
          <t>Programada</t>
        </is>
      </c>
      <c r="M742" s="13" t="n"/>
      <c r="N742" s="14">
        <f>SI(O([@[Fecha_Programada_Inicio]]="";[@[Fecha_Inicio_Real]]="");"";SI([@[Fecha_Inicio_Real]]&lt;=[@[Fecha_Programada_Inicio]];"SÍ";"NO"))</f>
        <v/>
      </c>
      <c r="O742" s="14">
        <f>SI(O([@[Fecha_Programada_Fin]]="";[@[Fecha_Cierre_Operativo]]="");"";SI([@[Fecha_Cierre_Operativo]]&lt;=SI([@[Fecha_Nueva_Programada]]&lt;&gt;"";[@[Fecha_Nueva_Programada]];[@[Fecha_Programada_Fin]]);"SÍ";"NO"))</f>
        <v/>
      </c>
      <c r="P742" s="14">
        <f>SI(O([@[Cumpli_Ingreso]]="";[@[Cumpli_Salida]]="");"";SI(Y([@[Cumpli_Ingreso]]="SÍ";[@[Cumpli_Salida]]="SÍ");"SÍ";"NO"))</f>
        <v/>
      </c>
      <c r="Q742" s="15">
        <f>SI(O([@[Fecha_Programada_Fin]]="";[@[Fecha_Cierre_Operativo]]="");"";MAX(0;ENTERO([@[Fecha_Cierre_Operativo]])-ENTERO(SI([@[Fecha_Nueva_Programada]]&lt;&gt;"";[@[Fecha_Nueva_Programada]];[@[Fecha_Programada_Fin]])))</f>
        <v/>
      </c>
      <c r="R742" s="12" t="n"/>
      <c r="S742" s="12" t="n"/>
      <c r="T742" s="13" t="n"/>
      <c r="U742" s="12" t="n">
        <v>11</v>
      </c>
      <c r="V742" s="12" t="n"/>
      <c r="W74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42" s="14">
        <f>SI([@SBAN]="";"";BUSCARV([@SBAN];Cronograma_Maestro!$A:$M;6;FALSO))</f>
        <v/>
      </c>
    </row>
    <row r="743">
      <c r="A743" s="11" t="inlineStr">
        <is>
          <t>3980</t>
        </is>
      </c>
      <c r="B743" s="12">
        <f>SI([@SBAN]="";"";BUSCARV([@SBAN];Cronograma_Maestro!$A:$M;2;FALSO))</f>
        <v/>
      </c>
      <c r="C743" s="12">
        <f>SI([@SBAN]="";"";BUSCARV([@SBAN];Cronograma_Maestro!$A:$M;3;FALSO))</f>
        <v/>
      </c>
      <c r="D743" s="12">
        <f>SI([@SBAN]="";"";BUSCARV([@SBAN];Cronograma_Maestro!$A:$M;4;FALSO))</f>
        <v/>
      </c>
      <c r="E743" s="12">
        <f>SI([@SBAN]="";"";BUSCARV([@SBAN];Cronograma_Maestro!$A:$M;5;FALSO))</f>
        <v/>
      </c>
      <c r="F743" s="12" t="inlineStr">
        <is>
          <t>HAROLD STEED GARCIA</t>
        </is>
      </c>
      <c r="G743" s="12" t="inlineStr">
        <is>
          <t>PMU COLSOF</t>
        </is>
      </c>
      <c r="H743" s="13" t="n">
        <v>46274</v>
      </c>
      <c r="I743" s="13" t="n">
        <v>46275</v>
      </c>
      <c r="J743" s="13" t="n"/>
      <c r="K743" s="13" t="n"/>
      <c r="L743" s="12" t="inlineStr">
        <is>
          <t>Programada</t>
        </is>
      </c>
      <c r="M743" s="13" t="n"/>
      <c r="N743" s="14">
        <f>SI(O([@[Fecha_Programada_Inicio]]="";[@[Fecha_Inicio_Real]]="");"";SI([@[Fecha_Inicio_Real]]&lt;=[@[Fecha_Programada_Inicio]];"SÍ";"NO"))</f>
        <v/>
      </c>
      <c r="O743" s="14">
        <f>SI(O([@[Fecha_Programada_Fin]]="";[@[Fecha_Cierre_Operativo]]="");"";SI([@[Fecha_Cierre_Operativo]]&lt;=SI([@[Fecha_Nueva_Programada]]&lt;&gt;"";[@[Fecha_Nueva_Programada]];[@[Fecha_Programada_Fin]]);"SÍ";"NO"))</f>
        <v/>
      </c>
      <c r="P743" s="14">
        <f>SI(O([@[Cumpli_Ingreso]]="";[@[Cumpli_Salida]]="");"";SI(Y([@[Cumpli_Ingreso]]="SÍ";[@[Cumpli_Salida]]="SÍ");"SÍ";"NO"))</f>
        <v/>
      </c>
      <c r="Q743" s="15">
        <f>SI(O([@[Fecha_Programada_Fin]]="";[@[Fecha_Cierre_Operativo]]="");"";MAX(0;ENTERO([@[Fecha_Cierre_Operativo]])-ENTERO(SI([@[Fecha_Nueva_Programada]]&lt;&gt;"";[@[Fecha_Nueva_Programada]];[@[Fecha_Programada_Fin]])))</f>
        <v/>
      </c>
      <c r="R743" s="12" t="n"/>
      <c r="S743" s="12" t="n"/>
      <c r="T743" s="13" t="n"/>
      <c r="U743" s="12" t="n">
        <v>12</v>
      </c>
      <c r="V743" s="12" t="n"/>
      <c r="W74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43" s="14">
        <f>SI([@SBAN]="";"";BUSCARV([@SBAN];Cronograma_Maestro!$A:$M;6;FALSO))</f>
        <v/>
      </c>
    </row>
    <row r="744">
      <c r="A744" s="11" t="inlineStr">
        <is>
          <t>7935</t>
        </is>
      </c>
      <c r="B744" s="12">
        <f>SI([@SBAN]="";"";BUSCARV([@SBAN];Cronograma_Maestro!$A:$M;2;FALSO))</f>
        <v/>
      </c>
      <c r="C744" s="12">
        <f>SI([@SBAN]="";"";BUSCARV([@SBAN];Cronograma_Maestro!$A:$M;3;FALSO))</f>
        <v/>
      </c>
      <c r="D744" s="12">
        <f>SI([@SBAN]="";"";BUSCARV([@SBAN];Cronograma_Maestro!$A:$M;4;FALSO))</f>
        <v/>
      </c>
      <c r="E744" s="12">
        <f>SI([@SBAN]="";"";BUSCARV([@SBAN];Cronograma_Maestro!$A:$M;5;FALSO))</f>
        <v/>
      </c>
      <c r="F744" s="12" t="inlineStr">
        <is>
          <t>HEIDELVER STELLA HINCHAMON</t>
        </is>
      </c>
      <c r="G744" s="12" t="inlineStr">
        <is>
          <t>PMU COLSOF</t>
        </is>
      </c>
      <c r="H744" s="13" t="n">
        <v>46273</v>
      </c>
      <c r="I744" s="13" t="n">
        <v>46273</v>
      </c>
      <c r="J744" s="13" t="n"/>
      <c r="K744" s="13" t="n"/>
      <c r="L744" s="12" t="inlineStr">
        <is>
          <t>Programada</t>
        </is>
      </c>
      <c r="M744" s="13" t="n"/>
      <c r="N744" s="14">
        <f>SI(O([@[Fecha_Programada_Inicio]]="";[@[Fecha_Inicio_Real]]="");"";SI([@[Fecha_Inicio_Real]]&lt;=[@[Fecha_Programada_Inicio]];"SÍ";"NO"))</f>
        <v/>
      </c>
      <c r="O744" s="14">
        <f>SI(O([@[Fecha_Programada_Fin]]="";[@[Fecha_Cierre_Operativo]]="");"";SI([@[Fecha_Cierre_Operativo]]&lt;=SI([@[Fecha_Nueva_Programada]]&lt;&gt;"";[@[Fecha_Nueva_Programada]];[@[Fecha_Programada_Fin]]);"SÍ";"NO"))</f>
        <v/>
      </c>
      <c r="P744" s="14">
        <f>SI(O([@[Cumpli_Ingreso]]="";[@[Cumpli_Salida]]="");"";SI(Y([@[Cumpli_Ingreso]]="SÍ";[@[Cumpli_Salida]]="SÍ");"SÍ";"NO"))</f>
        <v/>
      </c>
      <c r="Q744" s="15">
        <f>SI(O([@[Fecha_Programada_Fin]]="";[@[Fecha_Cierre_Operativo]]="");"";MAX(0;ENTERO([@[Fecha_Cierre_Operativo]])-ENTERO(SI([@[Fecha_Nueva_Programada]]&lt;&gt;"";[@[Fecha_Nueva_Programada]];[@[Fecha_Programada_Fin]])))</f>
        <v/>
      </c>
      <c r="R744" s="12" t="n"/>
      <c r="S744" s="12" t="n"/>
      <c r="T744" s="13" t="n"/>
      <c r="U744" s="12" t="n">
        <v>17</v>
      </c>
      <c r="V744" s="12" t="n"/>
      <c r="W74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44" s="14">
        <f>SI([@SBAN]="";"";BUSCARV([@SBAN];Cronograma_Maestro!$A:$M;6;FALSO))</f>
        <v/>
      </c>
    </row>
    <row r="745">
      <c r="A745" s="11" t="inlineStr">
        <is>
          <t>7950</t>
        </is>
      </c>
      <c r="B745" s="12">
        <f>SI([@SBAN]="";"";BUSCARV([@SBAN];Cronograma_Maestro!$A:$M;2;FALSO))</f>
        <v/>
      </c>
      <c r="C745" s="12">
        <f>SI([@SBAN]="";"";BUSCARV([@SBAN];Cronograma_Maestro!$A:$M;3;FALSO))</f>
        <v/>
      </c>
      <c r="D745" s="12">
        <f>SI([@SBAN]="";"";BUSCARV([@SBAN];Cronograma_Maestro!$A:$M;4;FALSO))</f>
        <v/>
      </c>
      <c r="E745" s="12">
        <f>SI([@SBAN]="";"";BUSCARV([@SBAN];Cronograma_Maestro!$A:$M;5;FALSO))</f>
        <v/>
      </c>
      <c r="F745" s="12" t="inlineStr">
        <is>
          <t>HEIVER OVEYMAR BASTIDAS MAVISOY</t>
        </is>
      </c>
      <c r="G745" s="12" t="inlineStr">
        <is>
          <t>PMU COLSOF</t>
        </is>
      </c>
      <c r="H745" s="13" t="n">
        <v>46282</v>
      </c>
      <c r="I745" s="13" t="n">
        <v>46282</v>
      </c>
      <c r="J745" s="13" t="n"/>
      <c r="K745" s="13" t="n"/>
      <c r="L745" s="12" t="inlineStr">
        <is>
          <t>Programada</t>
        </is>
      </c>
      <c r="M745" s="13" t="n"/>
      <c r="N745" s="14">
        <f>SI(O([@[Fecha_Programada_Inicio]]="";[@[Fecha_Inicio_Real]]="");"";SI([@[Fecha_Inicio_Real]]&lt;=[@[Fecha_Programada_Inicio]];"SÍ";"NO"))</f>
        <v/>
      </c>
      <c r="O745" s="14">
        <f>SI(O([@[Fecha_Programada_Fin]]="";[@[Fecha_Cierre_Operativo]]="");"";SI([@[Fecha_Cierre_Operativo]]&lt;=SI([@[Fecha_Nueva_Programada]]&lt;&gt;"";[@[Fecha_Nueva_Programada]];[@[Fecha_Programada_Fin]]);"SÍ";"NO"))</f>
        <v/>
      </c>
      <c r="P745" s="14">
        <f>SI(O([@[Cumpli_Ingreso]]="";[@[Cumpli_Salida]]="");"";SI(Y([@[Cumpli_Ingreso]]="SÍ";[@[Cumpli_Salida]]="SÍ");"SÍ";"NO"))</f>
        <v/>
      </c>
      <c r="Q745" s="15">
        <f>SI(O([@[Fecha_Programada_Fin]]="";[@[Fecha_Cierre_Operativo]]="");"";MAX(0;ENTERO([@[Fecha_Cierre_Operativo]])-ENTERO(SI([@[Fecha_Nueva_Programada]]&lt;&gt;"";[@[Fecha_Nueva_Programada]];[@[Fecha_Programada_Fin]])))</f>
        <v/>
      </c>
      <c r="R745" s="12" t="n"/>
      <c r="S745" s="12" t="n"/>
      <c r="T745" s="13" t="n"/>
      <c r="U745" s="12" t="n">
        <v>27</v>
      </c>
      <c r="V745" s="12" t="n"/>
      <c r="W74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45" s="14">
        <f>SI([@SBAN]="";"";BUSCARV([@SBAN];Cronograma_Maestro!$A:$M;6;FALSO))</f>
        <v/>
      </c>
    </row>
    <row r="746">
      <c r="A746" s="11" t="inlineStr">
        <is>
          <t>7960</t>
        </is>
      </c>
      <c r="B746" s="12">
        <f>SI([@SBAN]="";"";BUSCARV([@SBAN];Cronograma_Maestro!$A:$M;2;FALSO))</f>
        <v/>
      </c>
      <c r="C746" s="12">
        <f>SI([@SBAN]="";"";BUSCARV([@SBAN];Cronograma_Maestro!$A:$M;3;FALSO))</f>
        <v/>
      </c>
      <c r="D746" s="12">
        <f>SI([@SBAN]="";"";BUSCARV([@SBAN];Cronograma_Maestro!$A:$M;4;FALSO))</f>
        <v/>
      </c>
      <c r="E746" s="12">
        <f>SI([@SBAN]="";"";BUSCARV([@SBAN];Cronograma_Maestro!$A:$M;5;FALSO))</f>
        <v/>
      </c>
      <c r="F746" s="12" t="inlineStr">
        <is>
          <t>HEIVER OVEYMAR BASTIDAS MAVISOY</t>
        </is>
      </c>
      <c r="G746" s="12" t="inlineStr">
        <is>
          <t>PMU COLSOF</t>
        </is>
      </c>
      <c r="H746" s="13" t="n">
        <v>46283</v>
      </c>
      <c r="I746" s="13" t="n">
        <v>46283</v>
      </c>
      <c r="J746" s="13" t="n"/>
      <c r="K746" s="13" t="n"/>
      <c r="L746" s="12" t="inlineStr">
        <is>
          <t>Programada</t>
        </is>
      </c>
      <c r="M746" s="13" t="n"/>
      <c r="N746" s="14">
        <f>SI(O([@[Fecha_Programada_Inicio]]="";[@[Fecha_Inicio_Real]]="");"";SI([@[Fecha_Inicio_Real]]&lt;=[@[Fecha_Programada_Inicio]];"SÍ";"NO"))</f>
        <v/>
      </c>
      <c r="O746" s="14">
        <f>SI(O([@[Fecha_Programada_Fin]]="";[@[Fecha_Cierre_Operativo]]="");"";SI([@[Fecha_Cierre_Operativo]]&lt;=SI([@[Fecha_Nueva_Programada]]&lt;&gt;"";[@[Fecha_Nueva_Programada]];[@[Fecha_Programada_Fin]]);"SÍ";"NO"))</f>
        <v/>
      </c>
      <c r="P746" s="14">
        <f>SI(O([@[Cumpli_Ingreso]]="";[@[Cumpli_Salida]]="");"";SI(Y([@[Cumpli_Ingreso]]="SÍ";[@[Cumpli_Salida]]="SÍ");"SÍ";"NO"))</f>
        <v/>
      </c>
      <c r="Q746" s="15">
        <f>SI(O([@[Fecha_Programada_Fin]]="";[@[Fecha_Cierre_Operativo]]="");"";MAX(0;ENTERO([@[Fecha_Cierre_Operativo]])-ENTERO(SI([@[Fecha_Nueva_Programada]]&lt;&gt;"";[@[Fecha_Nueva_Programada]];[@[Fecha_Programada_Fin]])))</f>
        <v/>
      </c>
      <c r="R746" s="12" t="n"/>
      <c r="S746" s="12" t="n"/>
      <c r="T746" s="13" t="n"/>
      <c r="U746" s="12" t="n">
        <v>16</v>
      </c>
      <c r="V746" s="12" t="n"/>
      <c r="W74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46" s="14">
        <f>SI([@SBAN]="";"";BUSCARV([@SBAN];Cronograma_Maestro!$A:$M;6;FALSO))</f>
        <v/>
      </c>
    </row>
    <row r="747">
      <c r="A747" s="11" t="inlineStr">
        <is>
          <t>7303</t>
        </is>
      </c>
      <c r="B747" s="12">
        <f>SI([@SBAN]="";"";BUSCARV([@SBAN];Cronograma_Maestro!$A:$M;2;FALSO))</f>
        <v/>
      </c>
      <c r="C747" s="12">
        <f>SI([@SBAN]="";"";BUSCARV([@SBAN];Cronograma_Maestro!$A:$M;3;FALSO))</f>
        <v/>
      </c>
      <c r="D747" s="12">
        <f>SI([@SBAN]="";"";BUSCARV([@SBAN];Cronograma_Maestro!$A:$M;4;FALSO))</f>
        <v/>
      </c>
      <c r="E747" s="12">
        <f>SI([@SBAN]="";"";BUSCARV([@SBAN];Cronograma_Maestro!$A:$M;5;FALSO))</f>
        <v/>
      </c>
      <c r="F747" s="12" t="inlineStr">
        <is>
          <t>JOAQUIN DE JESUS ROMERO PIÑEREZ</t>
        </is>
      </c>
      <c r="G747" s="12" t="inlineStr">
        <is>
          <t>PMU COLSOF</t>
        </is>
      </c>
      <c r="H747" s="13" t="n">
        <v>46266</v>
      </c>
      <c r="I747" s="13" t="n">
        <v>46266</v>
      </c>
      <c r="J747" s="13" t="n">
        <v>46266</v>
      </c>
      <c r="K747" s="13" t="n">
        <v>46266</v>
      </c>
      <c r="L747" s="12" t="inlineStr">
        <is>
          <t>Finalizada</t>
        </is>
      </c>
      <c r="M747" s="13" t="n"/>
      <c r="N747" s="14">
        <f>SI(O([@[Fecha_Programada_Inicio]]="";[@[Fecha_Inicio_Real]]="");"";SI([@[Fecha_Inicio_Real]]&lt;=[@[Fecha_Programada_Inicio]];"SÍ";"NO"))</f>
        <v/>
      </c>
      <c r="O747" s="14">
        <f>SI(O([@[Fecha_Programada_Fin]]="";[@[Fecha_Cierre_Operativo]]="");"";SI([@[Fecha_Cierre_Operativo]]&lt;=SI([@[Fecha_Nueva_Programada]]&lt;&gt;"";[@[Fecha_Nueva_Programada]];[@[Fecha_Programada_Fin]]);"SÍ";"NO"))</f>
        <v/>
      </c>
      <c r="P747" s="14">
        <f>SI(O([@[Cumpli_Ingreso]]="";[@[Cumpli_Salida]]="");"";SI(Y([@[Cumpli_Ingreso]]="SÍ";[@[Cumpli_Salida]]="SÍ");"SÍ";"NO"))</f>
        <v/>
      </c>
      <c r="Q747" s="15">
        <f>SI(O([@[Fecha_Programada_Fin]]="";[@[Fecha_Cierre_Operativo]]="");"";MAX(0;ENTERO([@[Fecha_Cierre_Operativo]])-ENTERO(SI([@[Fecha_Nueva_Programada]]&lt;&gt;"";[@[Fecha_Nueva_Programada]];[@[Fecha_Programada_Fin]])))</f>
        <v/>
      </c>
      <c r="R747" s="12" t="inlineStr">
        <is>
          <t>N/A - A Tiempo</t>
        </is>
      </c>
      <c r="S747" s="12" t="inlineStr">
        <is>
          <t>Pendiente Firma</t>
        </is>
      </c>
      <c r="T747" s="13" t="n"/>
      <c r="U747" s="12" t="n">
        <v>29</v>
      </c>
      <c r="V747" s="12" t="n"/>
      <c r="W74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47" s="14">
        <f>SI([@SBAN]="";"";BUSCARV([@SBAN];Cronograma_Maestro!$A:$M;6;FALSO))</f>
        <v/>
      </c>
    </row>
    <row r="748">
      <c r="A748" s="11" t="inlineStr">
        <is>
          <t>7305</t>
        </is>
      </c>
      <c r="B748" s="12">
        <f>SI([@SBAN]="";"";BUSCARV([@SBAN];Cronograma_Maestro!$A:$M;2;FALSO))</f>
        <v/>
      </c>
      <c r="C748" s="12">
        <f>SI([@SBAN]="";"";BUSCARV([@SBAN];Cronograma_Maestro!$A:$M;3;FALSO))</f>
        <v/>
      </c>
      <c r="D748" s="12">
        <f>SI([@SBAN]="";"";BUSCARV([@SBAN];Cronograma_Maestro!$A:$M;4;FALSO))</f>
        <v/>
      </c>
      <c r="E748" s="12">
        <f>SI([@SBAN]="";"";BUSCARV([@SBAN];Cronograma_Maestro!$A:$M;5;FALSO))</f>
        <v/>
      </c>
      <c r="F748" s="12" t="inlineStr">
        <is>
          <t>JOAQUIN DE JESUS ROMERO PIÑEREZ</t>
        </is>
      </c>
      <c r="G748" s="12" t="inlineStr">
        <is>
          <t>PMU COLSOF</t>
        </is>
      </c>
      <c r="H748" s="13" t="n">
        <v>46267</v>
      </c>
      <c r="I748" s="13" t="n">
        <v>46268</v>
      </c>
      <c r="J748" s="13" t="n"/>
      <c r="K748" s="13" t="n"/>
      <c r="L748" s="12" t="inlineStr">
        <is>
          <t>Programada</t>
        </is>
      </c>
      <c r="M748" s="13" t="n"/>
      <c r="N748" s="14">
        <f>SI(O([@[Fecha_Programada_Inicio]]="";[@[Fecha_Inicio_Real]]="");"";SI([@[Fecha_Inicio_Real]]&lt;=[@[Fecha_Programada_Inicio]];"SÍ";"NO"))</f>
        <v/>
      </c>
      <c r="O748" s="14">
        <f>SI(O([@[Fecha_Programada_Fin]]="";[@[Fecha_Cierre_Operativo]]="");"";SI([@[Fecha_Cierre_Operativo]]&lt;=SI([@[Fecha_Nueva_Programada]]&lt;&gt;"";[@[Fecha_Nueva_Programada]];[@[Fecha_Programada_Fin]]);"SÍ";"NO"))</f>
        <v/>
      </c>
      <c r="P748" s="14">
        <f>SI(O([@[Cumpli_Ingreso]]="";[@[Cumpli_Salida]]="");"";SI(Y([@[Cumpli_Ingreso]]="SÍ";[@[Cumpli_Salida]]="SÍ");"SÍ";"NO"))</f>
        <v/>
      </c>
      <c r="Q748" s="15">
        <f>SI(O([@[Fecha_Programada_Fin]]="";[@[Fecha_Cierre_Operativo]]="");"";MAX(0;ENTERO([@[Fecha_Cierre_Operativo]])-ENTERO(SI([@[Fecha_Nueva_Programada]]&lt;&gt;"";[@[Fecha_Nueva_Programada]];[@[Fecha_Programada_Fin]])))</f>
        <v/>
      </c>
      <c r="R748" s="12" t="n"/>
      <c r="S748" s="12" t="n"/>
      <c r="T748" s="13" t="n"/>
      <c r="U748" s="12" t="n">
        <v>24</v>
      </c>
      <c r="V748" s="12" t="n"/>
      <c r="W74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48" s="14">
        <f>SI([@SBAN]="";"";BUSCARV([@SBAN];Cronograma_Maestro!$A:$M;6;FALSO))</f>
        <v/>
      </c>
    </row>
    <row r="749">
      <c r="A749" s="11" t="inlineStr">
        <is>
          <t>7310</t>
        </is>
      </c>
      <c r="B749" s="12">
        <f>SI([@SBAN]="";"";BUSCARV([@SBAN];Cronograma_Maestro!$A:$M;2;FALSO))</f>
        <v/>
      </c>
      <c r="C749" s="12">
        <f>SI([@SBAN]="";"";BUSCARV([@SBAN];Cronograma_Maestro!$A:$M;3;FALSO))</f>
        <v/>
      </c>
      <c r="D749" s="12">
        <f>SI([@SBAN]="";"";BUSCARV([@SBAN];Cronograma_Maestro!$A:$M;4;FALSO))</f>
        <v/>
      </c>
      <c r="E749" s="12">
        <f>SI([@SBAN]="";"";BUSCARV([@SBAN];Cronograma_Maestro!$A:$M;5;FALSO))</f>
        <v/>
      </c>
      <c r="F749" s="12" t="inlineStr">
        <is>
          <t>JOAQUIN DE JESUS ROMERO PIÑEREZ</t>
        </is>
      </c>
      <c r="G749" s="12" t="inlineStr">
        <is>
          <t>PMU COLSOF</t>
        </is>
      </c>
      <c r="H749" s="13" t="n">
        <v>46293</v>
      </c>
      <c r="I749" s="13" t="n">
        <v>46294</v>
      </c>
      <c r="J749" s="13" t="n"/>
      <c r="K749" s="13" t="n"/>
      <c r="L749" s="12" t="inlineStr">
        <is>
          <t>Programada</t>
        </is>
      </c>
      <c r="M749" s="13" t="n"/>
      <c r="N749" s="14">
        <f>SI(O([@[Fecha_Programada_Inicio]]="";[@[Fecha_Inicio_Real]]="");"";SI([@[Fecha_Inicio_Real]]&lt;=[@[Fecha_Programada_Inicio]];"SÍ";"NO"))</f>
        <v/>
      </c>
      <c r="O749" s="14">
        <f>SI(O([@[Fecha_Programada_Fin]]="";[@[Fecha_Cierre_Operativo]]="");"";SI([@[Fecha_Cierre_Operativo]]&lt;=SI([@[Fecha_Nueva_Programada]]&lt;&gt;"";[@[Fecha_Nueva_Programada]];[@[Fecha_Programada_Fin]]);"SÍ";"NO"))</f>
        <v/>
      </c>
      <c r="P749" s="14">
        <f>SI(O([@[Cumpli_Ingreso]]="";[@[Cumpli_Salida]]="");"";SI(Y([@[Cumpli_Ingreso]]="SÍ";[@[Cumpli_Salida]]="SÍ");"SÍ";"NO"))</f>
        <v/>
      </c>
      <c r="Q749" s="15">
        <f>SI(O([@[Fecha_Programada_Fin]]="";[@[Fecha_Cierre_Operativo]]="");"";MAX(0;ENTERO([@[Fecha_Cierre_Operativo]])-ENTERO(SI([@[Fecha_Nueva_Programada]]&lt;&gt;"";[@[Fecha_Nueva_Programada]];[@[Fecha_Programada_Fin]])))</f>
        <v/>
      </c>
      <c r="R749" s="12" t="n"/>
      <c r="S749" s="12" t="n"/>
      <c r="T749" s="13" t="n"/>
      <c r="U749" s="12" t="n">
        <v>12</v>
      </c>
      <c r="V749" s="12" t="n"/>
      <c r="W74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49" s="14">
        <f>SI([@SBAN]="";"";BUSCARV([@SBAN];Cronograma_Maestro!$A:$M;6;FALSO))</f>
        <v/>
      </c>
    </row>
    <row r="750">
      <c r="A750" s="11" t="inlineStr">
        <is>
          <t>7315</t>
        </is>
      </c>
      <c r="B750" s="12">
        <f>SI([@SBAN]="";"";BUSCARV([@SBAN];Cronograma_Maestro!$A:$M;2;FALSO))</f>
        <v/>
      </c>
      <c r="C750" s="12">
        <f>SI([@SBAN]="";"";BUSCARV([@SBAN];Cronograma_Maestro!$A:$M;3;FALSO))</f>
        <v/>
      </c>
      <c r="D750" s="12">
        <f>SI([@SBAN]="";"";BUSCARV([@SBAN];Cronograma_Maestro!$A:$M;4;FALSO))</f>
        <v/>
      </c>
      <c r="E750" s="12">
        <f>SI([@SBAN]="";"";BUSCARV([@SBAN];Cronograma_Maestro!$A:$M;5;FALSO))</f>
        <v/>
      </c>
      <c r="F750" s="12" t="inlineStr">
        <is>
          <t>JOAQUIN DE JESUS ROMERO PIÑEREZ</t>
        </is>
      </c>
      <c r="G750" s="12" t="inlineStr">
        <is>
          <t>PMU COLSOF</t>
        </is>
      </c>
      <c r="H750" s="13" t="n">
        <v>46279</v>
      </c>
      <c r="I750" s="13" t="n">
        <v>46280</v>
      </c>
      <c r="J750" s="13" t="n"/>
      <c r="K750" s="13" t="n"/>
      <c r="L750" s="12" t="inlineStr">
        <is>
          <t>Programada</t>
        </is>
      </c>
      <c r="M750" s="13" t="n"/>
      <c r="N750" s="14">
        <f>SI(O([@[Fecha_Programada_Inicio]]="";[@[Fecha_Inicio_Real]]="");"";SI([@[Fecha_Inicio_Real]]&lt;=[@[Fecha_Programada_Inicio]];"SÍ";"NO"))</f>
        <v/>
      </c>
      <c r="O750" s="14">
        <f>SI(O([@[Fecha_Programada_Fin]]="";[@[Fecha_Cierre_Operativo]]="");"";SI([@[Fecha_Cierre_Operativo]]&lt;=SI([@[Fecha_Nueva_Programada]]&lt;&gt;"";[@[Fecha_Nueva_Programada]];[@[Fecha_Programada_Fin]]);"SÍ";"NO"))</f>
        <v/>
      </c>
      <c r="P750" s="14">
        <f>SI(O([@[Cumpli_Ingreso]]="";[@[Cumpli_Salida]]="");"";SI(Y([@[Cumpli_Ingreso]]="SÍ";[@[Cumpli_Salida]]="SÍ");"SÍ";"NO"))</f>
        <v/>
      </c>
      <c r="Q750" s="15">
        <f>SI(O([@[Fecha_Programada_Fin]]="";[@[Fecha_Cierre_Operativo]]="");"";MAX(0;ENTERO([@[Fecha_Cierre_Operativo]])-ENTERO(SI([@[Fecha_Nueva_Programada]]&lt;&gt;"";[@[Fecha_Nueva_Programada]];[@[Fecha_Programada_Fin]])))</f>
        <v/>
      </c>
      <c r="R750" s="12" t="n"/>
      <c r="S750" s="12" t="n"/>
      <c r="T750" s="13" t="n"/>
      <c r="U750" s="12" t="n">
        <v>23</v>
      </c>
      <c r="V750" s="12" t="n"/>
      <c r="W75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50" s="14">
        <f>SI([@SBAN]="";"";BUSCARV([@SBAN];Cronograma_Maestro!$A:$M;6;FALSO))</f>
        <v/>
      </c>
    </row>
    <row r="751">
      <c r="A751" s="11" t="inlineStr">
        <is>
          <t>7501</t>
        </is>
      </c>
      <c r="B751" s="12">
        <f>SI([@SBAN]="";"";BUSCARV([@SBAN];Cronograma_Maestro!$A:$M;2;FALSO))</f>
        <v/>
      </c>
      <c r="C751" s="12">
        <f>SI([@SBAN]="";"";BUSCARV([@SBAN];Cronograma_Maestro!$A:$M;3;FALSO))</f>
        <v/>
      </c>
      <c r="D751" s="12">
        <f>SI([@SBAN]="";"";BUSCARV([@SBAN];Cronograma_Maestro!$A:$M;4;FALSO))</f>
        <v/>
      </c>
      <c r="E751" s="12">
        <f>SI([@SBAN]="";"";BUSCARV([@SBAN];Cronograma_Maestro!$A:$M;5;FALSO))</f>
        <v/>
      </c>
      <c r="F751" s="12" t="inlineStr">
        <is>
          <t>ERIKA VARGAS</t>
        </is>
      </c>
      <c r="G751" s="12" t="inlineStr">
        <is>
          <t>PMU COLSOF</t>
        </is>
      </c>
      <c r="H751" s="13" t="n">
        <v>46336</v>
      </c>
      <c r="I751" s="13" t="n">
        <v>46336</v>
      </c>
      <c r="J751" s="13" t="n"/>
      <c r="K751" s="13" t="n"/>
      <c r="L751" s="12" t="inlineStr">
        <is>
          <t>Programada</t>
        </is>
      </c>
      <c r="M751" s="13" t="n"/>
      <c r="N751" s="14">
        <f>SI(O([@[Fecha_Programada_Inicio]]="";[@[Fecha_Inicio_Real]]="");"";SI([@[Fecha_Inicio_Real]]&lt;=[@[Fecha_Programada_Inicio]];"SÍ";"NO"))</f>
        <v/>
      </c>
      <c r="O751" s="14">
        <f>SI(O([@[Fecha_Programada_Fin]]="";[@[Fecha_Cierre_Operativo]]="");"";SI([@[Fecha_Cierre_Operativo]]&lt;=SI([@[Fecha_Nueva_Programada]]&lt;&gt;"";[@[Fecha_Nueva_Programada]];[@[Fecha_Programada_Fin]]);"SÍ";"NO"))</f>
        <v/>
      </c>
      <c r="P751" s="14">
        <f>SI(O([@[Cumpli_Ingreso]]="";[@[Cumpli_Salida]]="");"";SI(Y([@[Cumpli_Ingreso]]="SÍ";[@[Cumpli_Salida]]="SÍ");"SÍ";"NO"))</f>
        <v/>
      </c>
      <c r="Q751" s="15">
        <f>SI(O([@[Fecha_Programada_Fin]]="";[@[Fecha_Cierre_Operativo]]="");"";MAX(0;ENTERO([@[Fecha_Cierre_Operativo]])-ENTERO(SI([@[Fecha_Nueva_Programada]]&lt;&gt;"";[@[Fecha_Nueva_Programada]];[@[Fecha_Programada_Fin]])))</f>
        <v/>
      </c>
      <c r="R751" s="12" t="n"/>
      <c r="S751" s="12" t="n"/>
      <c r="T751" s="13" t="n"/>
      <c r="U751" s="12" t="n">
        <v>20</v>
      </c>
      <c r="V751" s="12" t="n"/>
      <c r="W75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51" s="14">
        <f>SI([@SBAN]="";"";BUSCARV([@SBAN];Cronograma_Maestro!$A:$M;6;FALSO))</f>
        <v/>
      </c>
    </row>
    <row r="752">
      <c r="A752" s="11" t="inlineStr">
        <is>
          <t>7503</t>
        </is>
      </c>
      <c r="B752" s="12">
        <f>SI([@SBAN]="";"";BUSCARV([@SBAN];Cronograma_Maestro!$A:$M;2;FALSO))</f>
        <v/>
      </c>
      <c r="C752" s="12">
        <f>SI([@SBAN]="";"";BUSCARV([@SBAN];Cronograma_Maestro!$A:$M;3;FALSO))</f>
        <v/>
      </c>
      <c r="D752" s="12">
        <f>SI([@SBAN]="";"";BUSCARV([@SBAN];Cronograma_Maestro!$A:$M;4;FALSO))</f>
        <v/>
      </c>
      <c r="E752" s="12">
        <f>SI([@SBAN]="";"";BUSCARV([@SBAN];Cronograma_Maestro!$A:$M;5;FALSO))</f>
        <v/>
      </c>
      <c r="F752" s="12" t="inlineStr">
        <is>
          <t>ERIKA VARGAS</t>
        </is>
      </c>
      <c r="G752" s="12" t="inlineStr">
        <is>
          <t>PMU COLSOF</t>
        </is>
      </c>
      <c r="H752" s="13" t="n">
        <v>46331</v>
      </c>
      <c r="I752" s="13" t="n">
        <v>46331</v>
      </c>
      <c r="J752" s="13" t="n"/>
      <c r="K752" s="13" t="n"/>
      <c r="L752" s="12" t="inlineStr">
        <is>
          <t>Programada</t>
        </is>
      </c>
      <c r="M752" s="13" t="n"/>
      <c r="N752" s="14">
        <f>SI(O([@[Fecha_Programada_Inicio]]="";[@[Fecha_Inicio_Real]]="");"";SI([@[Fecha_Inicio_Real]]&lt;=[@[Fecha_Programada_Inicio]];"SÍ";"NO"))</f>
        <v/>
      </c>
      <c r="O752" s="14">
        <f>SI(O([@[Fecha_Programada_Fin]]="";[@[Fecha_Cierre_Operativo]]="");"";SI([@[Fecha_Cierre_Operativo]]&lt;=SI([@[Fecha_Nueva_Programada]]&lt;&gt;"";[@[Fecha_Nueva_Programada]];[@[Fecha_Programada_Fin]]);"SÍ";"NO"))</f>
        <v/>
      </c>
      <c r="P752" s="14">
        <f>SI(O([@[Cumpli_Ingreso]]="";[@[Cumpli_Salida]]="");"";SI(Y([@[Cumpli_Ingreso]]="SÍ";[@[Cumpli_Salida]]="SÍ");"SÍ";"NO"))</f>
        <v/>
      </c>
      <c r="Q752" s="15">
        <f>SI(O([@[Fecha_Programada_Fin]]="";[@[Fecha_Cierre_Operativo]]="");"";MAX(0;ENTERO([@[Fecha_Cierre_Operativo]])-ENTERO(SI([@[Fecha_Nueva_Programada]]&lt;&gt;"";[@[Fecha_Nueva_Programada]];[@[Fecha_Programada_Fin]])))</f>
        <v/>
      </c>
      <c r="R752" s="12" t="n"/>
      <c r="S752" s="12" t="n"/>
      <c r="T752" s="13" t="n"/>
      <c r="U752" s="12" t="n">
        <v>49</v>
      </c>
      <c r="V752" s="12" t="n"/>
      <c r="W75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52" s="14">
        <f>SI([@SBAN]="";"";BUSCARV([@SBAN];Cronograma_Maestro!$A:$M;6;FALSO))</f>
        <v/>
      </c>
    </row>
    <row r="753">
      <c r="A753" s="11" t="inlineStr">
        <is>
          <t>7510</t>
        </is>
      </c>
      <c r="B753" s="12">
        <f>SI([@SBAN]="";"";BUSCARV([@SBAN];Cronograma_Maestro!$A:$M;2;FALSO))</f>
        <v/>
      </c>
      <c r="C753" s="12">
        <f>SI([@SBAN]="";"";BUSCARV([@SBAN];Cronograma_Maestro!$A:$M;3;FALSO))</f>
        <v/>
      </c>
      <c r="D753" s="12">
        <f>SI([@SBAN]="";"";BUSCARV([@SBAN];Cronograma_Maestro!$A:$M;4;FALSO))</f>
        <v/>
      </c>
      <c r="E753" s="12">
        <f>SI([@SBAN]="";"";BUSCARV([@SBAN];Cronograma_Maestro!$A:$M;5;FALSO))</f>
        <v/>
      </c>
      <c r="F753" s="12" t="inlineStr">
        <is>
          <t>ERIKA VARGAS</t>
        </is>
      </c>
      <c r="G753" s="12" t="inlineStr">
        <is>
          <t>PMU COLSOF</t>
        </is>
      </c>
      <c r="H753" s="13" t="n">
        <v>46317</v>
      </c>
      <c r="I753" s="13" t="n">
        <v>46317</v>
      </c>
      <c r="J753" s="13" t="n"/>
      <c r="K753" s="13" t="n"/>
      <c r="L753" s="12" t="inlineStr">
        <is>
          <t>Programada</t>
        </is>
      </c>
      <c r="M753" s="13" t="n"/>
      <c r="N753" s="14">
        <f>SI(O([@[Fecha_Programada_Inicio]]="";[@[Fecha_Inicio_Real]]="");"";SI([@[Fecha_Inicio_Real]]&lt;=[@[Fecha_Programada_Inicio]];"SÍ";"NO"))</f>
        <v/>
      </c>
      <c r="O753" s="14">
        <f>SI(O([@[Fecha_Programada_Fin]]="";[@[Fecha_Cierre_Operativo]]="");"";SI([@[Fecha_Cierre_Operativo]]&lt;=SI([@[Fecha_Nueva_Programada]]&lt;&gt;"";[@[Fecha_Nueva_Programada]];[@[Fecha_Programada_Fin]]);"SÍ";"NO"))</f>
        <v/>
      </c>
      <c r="P753" s="14">
        <f>SI(O([@[Cumpli_Ingreso]]="";[@[Cumpli_Salida]]="");"";SI(Y([@[Cumpli_Ingreso]]="SÍ";[@[Cumpli_Salida]]="SÍ");"SÍ";"NO"))</f>
        <v/>
      </c>
      <c r="Q753" s="15">
        <f>SI(O([@[Fecha_Programada_Fin]]="";[@[Fecha_Cierre_Operativo]]="");"";MAX(0;ENTERO([@[Fecha_Cierre_Operativo]])-ENTERO(SI([@[Fecha_Nueva_Programada]]&lt;&gt;"";[@[Fecha_Nueva_Programada]];[@[Fecha_Programada_Fin]])))</f>
        <v/>
      </c>
      <c r="R753" s="12" t="n"/>
      <c r="S753" s="12" t="n"/>
      <c r="T753" s="13" t="n"/>
      <c r="U753" s="12" t="n">
        <v>13</v>
      </c>
      <c r="V753" s="12" t="n"/>
      <c r="W75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53" s="14">
        <f>SI([@SBAN]="";"";BUSCARV([@SBAN];Cronograma_Maestro!$A:$M;6;FALSO))</f>
        <v/>
      </c>
    </row>
    <row r="754">
      <c r="A754" s="11" t="inlineStr">
        <is>
          <t>7514</t>
        </is>
      </c>
      <c r="B754" s="12">
        <f>SI([@SBAN]="";"";BUSCARV([@SBAN];Cronograma_Maestro!$A:$M;2;FALSO))</f>
        <v/>
      </c>
      <c r="C754" s="12">
        <f>SI([@SBAN]="";"";BUSCARV([@SBAN];Cronograma_Maestro!$A:$M;3;FALSO))</f>
        <v/>
      </c>
      <c r="D754" s="12">
        <f>SI([@SBAN]="";"";BUSCARV([@SBAN];Cronograma_Maestro!$A:$M;4;FALSO))</f>
        <v/>
      </c>
      <c r="E754" s="12">
        <f>SI([@SBAN]="";"";BUSCARV([@SBAN];Cronograma_Maestro!$A:$M;5;FALSO))</f>
        <v/>
      </c>
      <c r="F754" s="12" t="inlineStr">
        <is>
          <t>ERIKA VARGAS</t>
        </is>
      </c>
      <c r="G754" s="12" t="inlineStr">
        <is>
          <t>PMU COLSOF</t>
        </is>
      </c>
      <c r="H754" s="13" t="n">
        <v>46329</v>
      </c>
      <c r="I754" s="13" t="n">
        <v>46329</v>
      </c>
      <c r="J754" s="13" t="n"/>
      <c r="K754" s="13" t="n"/>
      <c r="L754" s="12" t="inlineStr">
        <is>
          <t>Programada</t>
        </is>
      </c>
      <c r="M754" s="13" t="n"/>
      <c r="N754" s="14">
        <f>SI(O([@[Fecha_Programada_Inicio]]="";[@[Fecha_Inicio_Real]]="");"";SI([@[Fecha_Inicio_Real]]&lt;=[@[Fecha_Programada_Inicio]];"SÍ";"NO"))</f>
        <v/>
      </c>
      <c r="O754" s="14">
        <f>SI(O([@[Fecha_Programada_Fin]]="";[@[Fecha_Cierre_Operativo]]="");"";SI([@[Fecha_Cierre_Operativo]]&lt;=SI([@[Fecha_Nueva_Programada]]&lt;&gt;"";[@[Fecha_Nueva_Programada]];[@[Fecha_Programada_Fin]]);"SÍ";"NO"))</f>
        <v/>
      </c>
      <c r="P754" s="14">
        <f>SI(O([@[Cumpli_Ingreso]]="";[@[Cumpli_Salida]]="");"";SI(Y([@[Cumpli_Ingreso]]="SÍ";[@[Cumpli_Salida]]="SÍ");"SÍ";"NO"))</f>
        <v/>
      </c>
      <c r="Q754" s="15">
        <f>SI(O([@[Fecha_Programada_Fin]]="";[@[Fecha_Cierre_Operativo]]="");"";MAX(0;ENTERO([@[Fecha_Cierre_Operativo]])-ENTERO(SI([@[Fecha_Nueva_Programada]]&lt;&gt;"";[@[Fecha_Nueva_Programada]];[@[Fecha_Programada_Fin]])))</f>
        <v/>
      </c>
      <c r="R754" s="12" t="n"/>
      <c r="S754" s="12" t="n"/>
      <c r="T754" s="13" t="n"/>
      <c r="U754" s="12" t="n">
        <v>22</v>
      </c>
      <c r="V754" s="12" t="n"/>
      <c r="W75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54" s="14">
        <f>SI([@SBAN]="";"";BUSCARV([@SBAN];Cronograma_Maestro!$A:$M;6;FALSO))</f>
        <v/>
      </c>
    </row>
    <row r="755">
      <c r="A755" s="11" t="inlineStr">
        <is>
          <t>7520</t>
        </is>
      </c>
      <c r="B755" s="12">
        <f>SI([@SBAN]="";"";BUSCARV([@SBAN];Cronograma_Maestro!$A:$M;2;FALSO))</f>
        <v/>
      </c>
      <c r="C755" s="12">
        <f>SI([@SBAN]="";"";BUSCARV([@SBAN];Cronograma_Maestro!$A:$M;3;FALSO))</f>
        <v/>
      </c>
      <c r="D755" s="12">
        <f>SI([@SBAN]="";"";BUSCARV([@SBAN];Cronograma_Maestro!$A:$M;4;FALSO))</f>
        <v/>
      </c>
      <c r="E755" s="12">
        <f>SI([@SBAN]="";"";BUSCARV([@SBAN];Cronograma_Maestro!$A:$M;5;FALSO))</f>
        <v/>
      </c>
      <c r="F755" s="12" t="inlineStr">
        <is>
          <t>ERIKA VARGAS</t>
        </is>
      </c>
      <c r="G755" s="12" t="inlineStr">
        <is>
          <t>PMU COLSOF</t>
        </is>
      </c>
      <c r="H755" s="13" t="n">
        <v>46324</v>
      </c>
      <c r="I755" s="13" t="n">
        <v>46324</v>
      </c>
      <c r="J755" s="13" t="n"/>
      <c r="K755" s="13" t="n"/>
      <c r="L755" s="12" t="inlineStr">
        <is>
          <t>Programada</t>
        </is>
      </c>
      <c r="M755" s="13" t="n"/>
      <c r="N755" s="14">
        <f>SI(O([@[Fecha_Programada_Inicio]]="";[@[Fecha_Inicio_Real]]="");"";SI([@[Fecha_Inicio_Real]]&lt;=[@[Fecha_Programada_Inicio]];"SÍ";"NO"))</f>
        <v/>
      </c>
      <c r="O755" s="14">
        <f>SI(O([@[Fecha_Programada_Fin]]="";[@[Fecha_Cierre_Operativo]]="");"";SI([@[Fecha_Cierre_Operativo]]&lt;=SI([@[Fecha_Nueva_Programada]]&lt;&gt;"";[@[Fecha_Nueva_Programada]];[@[Fecha_Programada_Fin]]);"SÍ";"NO"))</f>
        <v/>
      </c>
      <c r="P755" s="14">
        <f>SI(O([@[Cumpli_Ingreso]]="";[@[Cumpli_Salida]]="");"";SI(Y([@[Cumpli_Ingreso]]="SÍ";[@[Cumpli_Salida]]="SÍ");"SÍ";"NO"))</f>
        <v/>
      </c>
      <c r="Q755" s="15">
        <f>SI(O([@[Fecha_Programada_Fin]]="";[@[Fecha_Cierre_Operativo]]="");"";MAX(0;ENTERO([@[Fecha_Cierre_Operativo]])-ENTERO(SI([@[Fecha_Nueva_Programada]]&lt;&gt;"";[@[Fecha_Nueva_Programada]];[@[Fecha_Programada_Fin]])))</f>
        <v/>
      </c>
      <c r="R755" s="12" t="n"/>
      <c r="S755" s="12" t="n"/>
      <c r="T755" s="13" t="n"/>
      <c r="U755" s="12" t="n">
        <v>23</v>
      </c>
      <c r="V755" s="12" t="n"/>
      <c r="W75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55" s="14">
        <f>SI([@SBAN]="";"";BUSCARV([@SBAN];Cronograma_Maestro!$A:$M;6;FALSO))</f>
        <v/>
      </c>
    </row>
    <row r="756">
      <c r="A756" s="11" t="inlineStr">
        <is>
          <t>7525</t>
        </is>
      </c>
      <c r="B756" s="12">
        <f>SI([@SBAN]="";"";BUSCARV([@SBAN];Cronograma_Maestro!$A:$M;2;FALSO))</f>
        <v/>
      </c>
      <c r="C756" s="12">
        <f>SI([@SBAN]="";"";BUSCARV([@SBAN];Cronograma_Maestro!$A:$M;3;FALSO))</f>
        <v/>
      </c>
      <c r="D756" s="12">
        <f>SI([@SBAN]="";"";BUSCARV([@SBAN];Cronograma_Maestro!$A:$M;4;FALSO))</f>
        <v/>
      </c>
      <c r="E756" s="12">
        <f>SI([@SBAN]="";"";BUSCARV([@SBAN];Cronograma_Maestro!$A:$M;5;FALSO))</f>
        <v/>
      </c>
      <c r="F756" s="12" t="inlineStr">
        <is>
          <t>ERIKA VARGAS</t>
        </is>
      </c>
      <c r="G756" s="12" t="inlineStr">
        <is>
          <t>PMU COLSOF</t>
        </is>
      </c>
      <c r="H756" s="13" t="n">
        <v>46330</v>
      </c>
      <c r="I756" s="13" t="n">
        <v>46330</v>
      </c>
      <c r="J756" s="13" t="n"/>
      <c r="K756" s="13" t="n"/>
      <c r="L756" s="12" t="inlineStr">
        <is>
          <t>Programada</t>
        </is>
      </c>
      <c r="M756" s="13" t="n"/>
      <c r="N756" s="14">
        <f>SI(O([@[Fecha_Programada_Inicio]]="";[@[Fecha_Inicio_Real]]="");"";SI([@[Fecha_Inicio_Real]]&lt;=[@[Fecha_Programada_Inicio]];"SÍ";"NO"))</f>
        <v/>
      </c>
      <c r="O756" s="14">
        <f>SI(O([@[Fecha_Programada_Fin]]="";[@[Fecha_Cierre_Operativo]]="");"";SI([@[Fecha_Cierre_Operativo]]&lt;=SI([@[Fecha_Nueva_Programada]]&lt;&gt;"";[@[Fecha_Nueva_Programada]];[@[Fecha_Programada_Fin]]);"SÍ";"NO"))</f>
        <v/>
      </c>
      <c r="P756" s="14">
        <f>SI(O([@[Cumpli_Ingreso]]="";[@[Cumpli_Salida]]="");"";SI(Y([@[Cumpli_Ingreso]]="SÍ";[@[Cumpli_Salida]]="SÍ");"SÍ";"NO"))</f>
        <v/>
      </c>
      <c r="Q756" s="15">
        <f>SI(O([@[Fecha_Programada_Fin]]="";[@[Fecha_Cierre_Operativo]]="");"";MAX(0;ENTERO([@[Fecha_Cierre_Operativo]])-ENTERO(SI([@[Fecha_Nueva_Programada]]&lt;&gt;"";[@[Fecha_Nueva_Programada]];[@[Fecha_Programada_Fin]])))</f>
        <v/>
      </c>
      <c r="R756" s="12" t="n"/>
      <c r="S756" s="12" t="n"/>
      <c r="T756" s="13" t="n"/>
      <c r="U756" s="12" t="n">
        <v>18</v>
      </c>
      <c r="V756" s="12" t="n"/>
      <c r="W75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56" s="14">
        <f>SI([@SBAN]="";"";BUSCARV([@SBAN];Cronograma_Maestro!$A:$M;6;FALSO))</f>
        <v/>
      </c>
    </row>
    <row r="757">
      <c r="A757" s="11" t="inlineStr">
        <is>
          <t>7540</t>
        </is>
      </c>
      <c r="B757" s="12">
        <f>SI([@SBAN]="";"";BUSCARV([@SBAN];Cronograma_Maestro!$A:$M;2;FALSO))</f>
        <v/>
      </c>
      <c r="C757" s="12">
        <f>SI([@SBAN]="";"";BUSCARV([@SBAN];Cronograma_Maestro!$A:$M;3;FALSO))</f>
        <v/>
      </c>
      <c r="D757" s="12">
        <f>SI([@SBAN]="";"";BUSCARV([@SBAN];Cronograma_Maestro!$A:$M;4;FALSO))</f>
        <v/>
      </c>
      <c r="E757" s="12">
        <f>SI([@SBAN]="";"";BUSCARV([@SBAN];Cronograma_Maestro!$A:$M;5;FALSO))</f>
        <v/>
      </c>
      <c r="F757" s="12" t="inlineStr">
        <is>
          <t>ERIKA VARGAS</t>
        </is>
      </c>
      <c r="G757" s="12" t="inlineStr">
        <is>
          <t>PMU COLSOF</t>
        </is>
      </c>
      <c r="H757" s="13" t="n">
        <v>46316</v>
      </c>
      <c r="I757" s="13" t="n">
        <v>46316</v>
      </c>
      <c r="J757" s="13" t="n"/>
      <c r="K757" s="13" t="n"/>
      <c r="L757" s="12" t="inlineStr">
        <is>
          <t>Programada</t>
        </is>
      </c>
      <c r="M757" s="13" t="n"/>
      <c r="N757" s="14">
        <f>SI(O([@[Fecha_Programada_Inicio]]="";[@[Fecha_Inicio_Real]]="");"";SI([@[Fecha_Inicio_Real]]&lt;=[@[Fecha_Programada_Inicio]];"SÍ";"NO"))</f>
        <v/>
      </c>
      <c r="O757" s="14">
        <f>SI(O([@[Fecha_Programada_Fin]]="";[@[Fecha_Cierre_Operativo]]="");"";SI([@[Fecha_Cierre_Operativo]]&lt;=SI([@[Fecha_Nueva_Programada]]&lt;&gt;"";[@[Fecha_Nueva_Programada]];[@[Fecha_Programada_Fin]]);"SÍ";"NO"))</f>
        <v/>
      </c>
      <c r="P757" s="14">
        <f>SI(O([@[Cumpli_Ingreso]]="";[@[Cumpli_Salida]]="");"";SI(Y([@[Cumpli_Ingreso]]="SÍ";[@[Cumpli_Salida]]="SÍ");"SÍ";"NO"))</f>
        <v/>
      </c>
      <c r="Q757" s="15">
        <f>SI(O([@[Fecha_Programada_Fin]]="";[@[Fecha_Cierre_Operativo]]="");"";MAX(0;ENTERO([@[Fecha_Cierre_Operativo]])-ENTERO(SI([@[Fecha_Nueva_Programada]]&lt;&gt;"";[@[Fecha_Nueva_Programada]];[@[Fecha_Programada_Fin]])))</f>
        <v/>
      </c>
      <c r="R757" s="12" t="n"/>
      <c r="S757" s="12" t="n"/>
      <c r="T757" s="13" t="n"/>
      <c r="U757" s="12" t="n">
        <v>13</v>
      </c>
      <c r="V757" s="12" t="n"/>
      <c r="W75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57" s="14">
        <f>SI([@SBAN]="";"";BUSCARV([@SBAN];Cronograma_Maestro!$A:$M;6;FALSO))</f>
        <v/>
      </c>
    </row>
    <row r="758">
      <c r="A758" s="11" t="inlineStr">
        <is>
          <t>7545</t>
        </is>
      </c>
      <c r="B758" s="12">
        <f>SI([@SBAN]="";"";BUSCARV([@SBAN];Cronograma_Maestro!$A:$M;2;FALSO))</f>
        <v/>
      </c>
      <c r="C758" s="12">
        <f>SI([@SBAN]="";"";BUSCARV([@SBAN];Cronograma_Maestro!$A:$M;3;FALSO))</f>
        <v/>
      </c>
      <c r="D758" s="12">
        <f>SI([@SBAN]="";"";BUSCARV([@SBAN];Cronograma_Maestro!$A:$M;4;FALSO))</f>
        <v/>
      </c>
      <c r="E758" s="12">
        <f>SI([@SBAN]="";"";BUSCARV([@SBAN];Cronograma_Maestro!$A:$M;5;FALSO))</f>
        <v/>
      </c>
      <c r="F758" s="12" t="inlineStr">
        <is>
          <t>ERIKA VARGAS</t>
        </is>
      </c>
      <c r="G758" s="12" t="inlineStr">
        <is>
          <t>PMU COLSOF</t>
        </is>
      </c>
      <c r="H758" s="13" t="n">
        <v>46315</v>
      </c>
      <c r="I758" s="13" t="n">
        <v>46315</v>
      </c>
      <c r="J758" s="13" t="n"/>
      <c r="K758" s="13" t="n"/>
      <c r="L758" s="12" t="inlineStr">
        <is>
          <t>Programada</t>
        </is>
      </c>
      <c r="M758" s="13" t="n"/>
      <c r="N758" s="14">
        <f>SI(O([@[Fecha_Programada_Inicio]]="";[@[Fecha_Inicio_Real]]="");"";SI([@[Fecha_Inicio_Real]]&lt;=[@[Fecha_Programada_Inicio]];"SÍ";"NO"))</f>
        <v/>
      </c>
      <c r="O758" s="14">
        <f>SI(O([@[Fecha_Programada_Fin]]="";[@[Fecha_Cierre_Operativo]]="");"";SI([@[Fecha_Cierre_Operativo]]&lt;=SI([@[Fecha_Nueva_Programada]]&lt;&gt;"";[@[Fecha_Nueva_Programada]];[@[Fecha_Programada_Fin]]);"SÍ";"NO"))</f>
        <v/>
      </c>
      <c r="P758" s="14">
        <f>SI(O([@[Cumpli_Ingreso]]="";[@[Cumpli_Salida]]="");"";SI(Y([@[Cumpli_Ingreso]]="SÍ";[@[Cumpli_Salida]]="SÍ");"SÍ";"NO"))</f>
        <v/>
      </c>
      <c r="Q758" s="15">
        <f>SI(O([@[Fecha_Programada_Fin]]="";[@[Fecha_Cierre_Operativo]]="");"";MAX(0;ENTERO([@[Fecha_Cierre_Operativo]])-ENTERO(SI([@[Fecha_Nueva_Programada]]&lt;&gt;"";[@[Fecha_Nueva_Programada]];[@[Fecha_Programada_Fin]])))</f>
        <v/>
      </c>
      <c r="R758" s="12" t="n"/>
      <c r="S758" s="12" t="n"/>
      <c r="T758" s="13" t="n"/>
      <c r="U758" s="12" t="n">
        <v>12</v>
      </c>
      <c r="V758" s="12" t="n"/>
      <c r="W75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58" s="14">
        <f>SI([@SBAN]="";"";BUSCARV([@SBAN];Cronograma_Maestro!$A:$M;6;FALSO))</f>
        <v/>
      </c>
    </row>
    <row r="759">
      <c r="A759" s="11" t="inlineStr">
        <is>
          <t>7560</t>
        </is>
      </c>
      <c r="B759" s="12">
        <f>SI([@SBAN]="";"";BUSCARV([@SBAN];Cronograma_Maestro!$A:$M;2;FALSO))</f>
        <v/>
      </c>
      <c r="C759" s="12">
        <f>SI([@SBAN]="";"";BUSCARV([@SBAN];Cronograma_Maestro!$A:$M;3;FALSO))</f>
        <v/>
      </c>
      <c r="D759" s="12">
        <f>SI([@SBAN]="";"";BUSCARV([@SBAN];Cronograma_Maestro!$A:$M;4;FALSO))</f>
        <v/>
      </c>
      <c r="E759" s="12">
        <f>SI([@SBAN]="";"";BUSCARV([@SBAN];Cronograma_Maestro!$A:$M;5;FALSO))</f>
        <v/>
      </c>
      <c r="F759" s="12" t="inlineStr">
        <is>
          <t>ERIKA VARGAS</t>
        </is>
      </c>
      <c r="G759" s="12" t="inlineStr">
        <is>
          <t>PMU COLSOF</t>
        </is>
      </c>
      <c r="H759" s="13" t="n">
        <v>46323</v>
      </c>
      <c r="I759" s="13" t="n">
        <v>46323</v>
      </c>
      <c r="J759" s="13" t="n"/>
      <c r="K759" s="13" t="n"/>
      <c r="L759" s="12" t="inlineStr">
        <is>
          <t>Programada</t>
        </is>
      </c>
      <c r="M759" s="13" t="n"/>
      <c r="N759" s="14">
        <f>SI(O([@[Fecha_Programada_Inicio]]="";[@[Fecha_Inicio_Real]]="");"";SI([@[Fecha_Inicio_Real]]&lt;=[@[Fecha_Programada_Inicio]];"SÍ";"NO"))</f>
        <v/>
      </c>
      <c r="O759" s="14">
        <f>SI(O([@[Fecha_Programada_Fin]]="";[@[Fecha_Cierre_Operativo]]="");"";SI([@[Fecha_Cierre_Operativo]]&lt;=SI([@[Fecha_Nueva_Programada]]&lt;&gt;"";[@[Fecha_Nueva_Programada]];[@[Fecha_Programada_Fin]]);"SÍ";"NO"))</f>
        <v/>
      </c>
      <c r="P759" s="14">
        <f>SI(O([@[Cumpli_Ingreso]]="";[@[Cumpli_Salida]]="");"";SI(Y([@[Cumpli_Ingreso]]="SÍ";[@[Cumpli_Salida]]="SÍ");"SÍ";"NO"))</f>
        <v/>
      </c>
      <c r="Q759" s="15">
        <f>SI(O([@[Fecha_Programada_Fin]]="";[@[Fecha_Cierre_Operativo]]="");"";MAX(0;ENTERO([@[Fecha_Cierre_Operativo]])-ENTERO(SI([@[Fecha_Nueva_Programada]]&lt;&gt;"";[@[Fecha_Nueva_Programada]];[@[Fecha_Programada_Fin]])))</f>
        <v/>
      </c>
      <c r="R759" s="12" t="n"/>
      <c r="S759" s="12" t="n"/>
      <c r="T759" s="13" t="n"/>
      <c r="U759" s="12" t="n">
        <v>21</v>
      </c>
      <c r="V759" s="12" t="n"/>
      <c r="W75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59" s="14">
        <f>SI([@SBAN]="";"";BUSCARV([@SBAN];Cronograma_Maestro!$A:$M;6;FALSO))</f>
        <v/>
      </c>
    </row>
    <row r="760">
      <c r="A760" s="11" t="inlineStr">
        <is>
          <t>7565</t>
        </is>
      </c>
      <c r="B760" s="12">
        <f>SI([@SBAN]="";"";BUSCARV([@SBAN];Cronograma_Maestro!$A:$M;2;FALSO))</f>
        <v/>
      </c>
      <c r="C760" s="12">
        <f>SI([@SBAN]="";"";BUSCARV([@SBAN];Cronograma_Maestro!$A:$M;3;FALSO))</f>
        <v/>
      </c>
      <c r="D760" s="12">
        <f>SI([@SBAN]="";"";BUSCARV([@SBAN];Cronograma_Maestro!$A:$M;4;FALSO))</f>
        <v/>
      </c>
      <c r="E760" s="12">
        <f>SI([@SBAN]="";"";BUSCARV([@SBAN];Cronograma_Maestro!$A:$M;5;FALSO))</f>
        <v/>
      </c>
      <c r="F760" s="12" t="inlineStr">
        <is>
          <t>ERIKA VARGAS</t>
        </is>
      </c>
      <c r="G760" s="12" t="inlineStr">
        <is>
          <t>PMU COLSOF</t>
        </is>
      </c>
      <c r="H760" s="13" t="n">
        <v>46321</v>
      </c>
      <c r="I760" s="13" t="n">
        <v>46322</v>
      </c>
      <c r="J760" s="13" t="n"/>
      <c r="K760" s="13" t="n"/>
      <c r="L760" s="12" t="inlineStr">
        <is>
          <t>Programada</t>
        </is>
      </c>
      <c r="M760" s="13" t="n"/>
      <c r="N760" s="14">
        <f>SI(O([@[Fecha_Programada_Inicio]]="";[@[Fecha_Inicio_Real]]="");"";SI([@[Fecha_Inicio_Real]]&lt;=[@[Fecha_Programada_Inicio]];"SÍ";"NO"))</f>
        <v/>
      </c>
      <c r="O760" s="14">
        <f>SI(O([@[Fecha_Programada_Fin]]="";[@[Fecha_Cierre_Operativo]]="");"";SI([@[Fecha_Cierre_Operativo]]&lt;=SI([@[Fecha_Nueva_Programada]]&lt;&gt;"";[@[Fecha_Nueva_Programada]];[@[Fecha_Programada_Fin]]);"SÍ";"NO"))</f>
        <v/>
      </c>
      <c r="P760" s="14">
        <f>SI(O([@[Cumpli_Ingreso]]="";[@[Cumpli_Salida]]="");"";SI(Y([@[Cumpli_Ingreso]]="SÍ";[@[Cumpli_Salida]]="SÍ");"SÍ";"NO"))</f>
        <v/>
      </c>
      <c r="Q760" s="15">
        <f>SI(O([@[Fecha_Programada_Fin]]="";[@[Fecha_Cierre_Operativo]]="");"";MAX(0;ENTERO([@[Fecha_Cierre_Operativo]])-ENTERO(SI([@[Fecha_Nueva_Programada]]&lt;&gt;"";[@[Fecha_Nueva_Programada]];[@[Fecha_Programada_Fin]])))</f>
        <v/>
      </c>
      <c r="R760" s="12" t="n"/>
      <c r="S760" s="12" t="n"/>
      <c r="T760" s="13" t="n"/>
      <c r="U760" s="12" t="n">
        <v>42</v>
      </c>
      <c r="V760" s="12" t="n"/>
      <c r="W76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60" s="14">
        <f>SI([@SBAN]="";"";BUSCARV([@SBAN];Cronograma_Maestro!$A:$M;6;FALSO))</f>
        <v/>
      </c>
    </row>
    <row r="761">
      <c r="A761" s="11" t="inlineStr">
        <is>
          <t>7567</t>
        </is>
      </c>
      <c r="B761" s="12">
        <f>SI([@SBAN]="";"";BUSCARV([@SBAN];Cronograma_Maestro!$A:$M;2;FALSO))</f>
        <v/>
      </c>
      <c r="C761" s="12">
        <f>SI([@SBAN]="";"";BUSCARV([@SBAN];Cronograma_Maestro!$A:$M;3;FALSO))</f>
        <v/>
      </c>
      <c r="D761" s="12">
        <f>SI([@SBAN]="";"";BUSCARV([@SBAN];Cronograma_Maestro!$A:$M;4;FALSO))</f>
        <v/>
      </c>
      <c r="E761" s="12">
        <f>SI([@SBAN]="";"";BUSCARV([@SBAN];Cronograma_Maestro!$A:$M;5;FALSO))</f>
        <v/>
      </c>
      <c r="F761" s="12" t="inlineStr">
        <is>
          <t>ERIKA VARGAS</t>
        </is>
      </c>
      <c r="G761" s="12" t="inlineStr">
        <is>
          <t>PMU COLSOF</t>
        </is>
      </c>
      <c r="H761" s="13" t="n">
        <v>46314</v>
      </c>
      <c r="I761" s="13" t="n">
        <v>46314</v>
      </c>
      <c r="J761" s="13" t="n"/>
      <c r="K761" s="13" t="n"/>
      <c r="L761" s="12" t="inlineStr">
        <is>
          <t>Programada</t>
        </is>
      </c>
      <c r="M761" s="13" t="n"/>
      <c r="N761" s="14">
        <f>SI(O([@[Fecha_Programada_Inicio]]="";[@[Fecha_Inicio_Real]]="");"";SI([@[Fecha_Inicio_Real]]&lt;=[@[Fecha_Programada_Inicio]];"SÍ";"NO"))</f>
        <v/>
      </c>
      <c r="O761" s="14">
        <f>SI(O([@[Fecha_Programada_Fin]]="";[@[Fecha_Cierre_Operativo]]="");"";SI([@[Fecha_Cierre_Operativo]]&lt;=SI([@[Fecha_Nueva_Programada]]&lt;&gt;"";[@[Fecha_Nueva_Programada]];[@[Fecha_Programada_Fin]]);"SÍ";"NO"))</f>
        <v/>
      </c>
      <c r="P761" s="14">
        <f>SI(O([@[Cumpli_Ingreso]]="";[@[Cumpli_Salida]]="");"";SI(Y([@[Cumpli_Ingreso]]="SÍ";[@[Cumpli_Salida]]="SÍ");"SÍ";"NO"))</f>
        <v/>
      </c>
      <c r="Q761" s="15">
        <f>SI(O([@[Fecha_Programada_Fin]]="";[@[Fecha_Cierre_Operativo]]="");"";MAX(0;ENTERO([@[Fecha_Cierre_Operativo]])-ENTERO(SI([@[Fecha_Nueva_Programada]]&lt;&gt;"";[@[Fecha_Nueva_Programada]];[@[Fecha_Programada_Fin]])))</f>
        <v/>
      </c>
      <c r="R761" s="12" t="n"/>
      <c r="S761" s="12" t="n"/>
      <c r="T761" s="13" t="n"/>
      <c r="U761" s="12" t="n">
        <v>13</v>
      </c>
      <c r="V761" s="12" t="n"/>
      <c r="W76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61" s="14">
        <f>SI([@SBAN]="";"";BUSCARV([@SBAN];Cronograma_Maestro!$A:$M;6;FALSO))</f>
        <v/>
      </c>
    </row>
    <row r="762">
      <c r="A762" s="11" t="inlineStr">
        <is>
          <t>7580</t>
        </is>
      </c>
      <c r="B762" s="12">
        <f>SI([@SBAN]="";"";BUSCARV([@SBAN];Cronograma_Maestro!$A:$M;2;FALSO))</f>
        <v/>
      </c>
      <c r="C762" s="12">
        <f>SI([@SBAN]="";"";BUSCARV([@SBAN];Cronograma_Maestro!$A:$M;3;FALSO))</f>
        <v/>
      </c>
      <c r="D762" s="12">
        <f>SI([@SBAN]="";"";BUSCARV([@SBAN];Cronograma_Maestro!$A:$M;4;FALSO))</f>
        <v/>
      </c>
      <c r="E762" s="12">
        <f>SI([@SBAN]="";"";BUSCARV([@SBAN];Cronograma_Maestro!$A:$M;5;FALSO))</f>
        <v/>
      </c>
      <c r="F762" s="12" t="inlineStr">
        <is>
          <t>ERIKA VARGAS</t>
        </is>
      </c>
      <c r="G762" s="12" t="inlineStr">
        <is>
          <t>PMU COLSOF</t>
        </is>
      </c>
      <c r="H762" s="13" t="n">
        <v>46344</v>
      </c>
      <c r="I762" s="13" t="n">
        <v>46344</v>
      </c>
      <c r="J762" s="13" t="n"/>
      <c r="K762" s="13" t="n"/>
      <c r="L762" s="12" t="inlineStr">
        <is>
          <t>Programada</t>
        </is>
      </c>
      <c r="M762" s="13" t="n"/>
      <c r="N762" s="14">
        <f>SI(O([@[Fecha_Programada_Inicio]]="";[@[Fecha_Inicio_Real]]="");"";SI([@[Fecha_Inicio_Real]]&lt;=[@[Fecha_Programada_Inicio]];"SÍ";"NO"))</f>
        <v/>
      </c>
      <c r="O762" s="14">
        <f>SI(O([@[Fecha_Programada_Fin]]="";[@[Fecha_Cierre_Operativo]]="");"";SI([@[Fecha_Cierre_Operativo]]&lt;=SI([@[Fecha_Nueva_Programada]]&lt;&gt;"";[@[Fecha_Nueva_Programada]];[@[Fecha_Programada_Fin]]);"SÍ";"NO"))</f>
        <v/>
      </c>
      <c r="P762" s="14">
        <f>SI(O([@[Cumpli_Ingreso]]="";[@[Cumpli_Salida]]="");"";SI(Y([@[Cumpli_Ingreso]]="SÍ";[@[Cumpli_Salida]]="SÍ");"SÍ";"NO"))</f>
        <v/>
      </c>
      <c r="Q762" s="15">
        <f>SI(O([@[Fecha_Programada_Fin]]="";[@[Fecha_Cierre_Operativo]]="");"";MAX(0;ENTERO([@[Fecha_Cierre_Operativo]])-ENTERO(SI([@[Fecha_Nueva_Programada]]&lt;&gt;"";[@[Fecha_Nueva_Programada]];[@[Fecha_Programada_Fin]])))</f>
        <v/>
      </c>
      <c r="R762" s="12" t="n"/>
      <c r="S762" s="12" t="n"/>
      <c r="T762" s="13" t="n"/>
      <c r="U762" s="12" t="n">
        <v>14</v>
      </c>
      <c r="V762" s="12" t="n"/>
      <c r="W76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62" s="14">
        <f>SI([@SBAN]="";"";BUSCARV([@SBAN];Cronograma_Maestro!$A:$M;6;FALSO))</f>
        <v/>
      </c>
    </row>
    <row r="763">
      <c r="A763" s="11" t="inlineStr">
        <is>
          <t>7703</t>
        </is>
      </c>
      <c r="B763" s="12">
        <f>SI([@SBAN]="";"";BUSCARV([@SBAN];Cronograma_Maestro!$A:$M;2;FALSO))</f>
        <v/>
      </c>
      <c r="C763" s="12">
        <f>SI([@SBAN]="";"";BUSCARV([@SBAN];Cronograma_Maestro!$A:$M;3;FALSO))</f>
        <v/>
      </c>
      <c r="D763" s="12">
        <f>SI([@SBAN]="";"";BUSCARV([@SBAN];Cronograma_Maestro!$A:$M;4;FALSO))</f>
        <v/>
      </c>
      <c r="E763" s="12">
        <f>SI([@SBAN]="";"";BUSCARV([@SBAN];Cronograma_Maestro!$A:$M;5;FALSO))</f>
        <v/>
      </c>
      <c r="F763" s="12" t="inlineStr">
        <is>
          <t>Arnulfo Rojas Gomez</t>
        </is>
      </c>
      <c r="G763" s="12" t="inlineStr">
        <is>
          <t>PMU COLSOF</t>
        </is>
      </c>
      <c r="H763" s="13" t="n">
        <v>46268</v>
      </c>
      <c r="I763" s="13" t="n">
        <v>46274</v>
      </c>
      <c r="J763" s="13" t="n"/>
      <c r="K763" s="13" t="n"/>
      <c r="L763" s="12" t="inlineStr">
        <is>
          <t>Programada</t>
        </is>
      </c>
      <c r="M763" s="13" t="n"/>
      <c r="N763" s="14">
        <f>SI(O([@[Fecha_Programada_Inicio]]="";[@[Fecha_Inicio_Real]]="");"";SI([@[Fecha_Inicio_Real]]&lt;=[@[Fecha_Programada_Inicio]];"SÍ";"NO"))</f>
        <v/>
      </c>
      <c r="O763" s="14">
        <f>SI(O([@[Fecha_Programada_Fin]]="";[@[Fecha_Cierre_Operativo]]="");"";SI([@[Fecha_Cierre_Operativo]]&lt;=SI([@[Fecha_Nueva_Programada]]&lt;&gt;"";[@[Fecha_Nueva_Programada]];[@[Fecha_Programada_Fin]]);"SÍ";"NO"))</f>
        <v/>
      </c>
      <c r="P763" s="14">
        <f>SI(O([@[Cumpli_Ingreso]]="";[@[Cumpli_Salida]]="");"";SI(Y([@[Cumpli_Ingreso]]="SÍ";[@[Cumpli_Salida]]="SÍ");"SÍ";"NO"))</f>
        <v/>
      </c>
      <c r="Q763" s="15">
        <f>SI(O([@[Fecha_Programada_Fin]]="";[@[Fecha_Cierre_Operativo]]="");"";MAX(0;ENTERO([@[Fecha_Cierre_Operativo]])-ENTERO(SI([@[Fecha_Nueva_Programada]]&lt;&gt;"";[@[Fecha_Nueva_Programada]];[@[Fecha_Programada_Fin]])))</f>
        <v/>
      </c>
      <c r="R763" s="12" t="n"/>
      <c r="S763" s="12" t="n"/>
      <c r="T763" s="13" t="n"/>
      <c r="U763" s="12" t="n">
        <v>19</v>
      </c>
      <c r="V763" s="12" t="n"/>
      <c r="W76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63" s="14">
        <f>SI([@SBAN]="";"";BUSCARV([@SBAN];Cronograma_Maestro!$A:$M;6;FALSO))</f>
        <v/>
      </c>
    </row>
    <row r="764">
      <c r="A764" s="11" t="inlineStr">
        <is>
          <t>7350</t>
        </is>
      </c>
      <c r="B764" s="12">
        <f>SI([@SBAN]="";"";BUSCARV([@SBAN];Cronograma_Maestro!$A:$M;2;FALSO))</f>
        <v/>
      </c>
      <c r="C764" s="12">
        <f>SI([@SBAN]="";"";BUSCARV([@SBAN];Cronograma_Maestro!$A:$M;3;FALSO))</f>
        <v/>
      </c>
      <c r="D764" s="12">
        <f>SI([@SBAN]="";"";BUSCARV([@SBAN];Cronograma_Maestro!$A:$M;4;FALSO))</f>
        <v/>
      </c>
      <c r="E764" s="12">
        <f>SI([@SBAN]="";"";BUSCARV([@SBAN];Cronograma_Maestro!$A:$M;5;FALSO))</f>
        <v/>
      </c>
      <c r="F764" s="12" t="inlineStr">
        <is>
          <t>JOAQUIN DE JESUS ROMERO PIÑEREZ</t>
        </is>
      </c>
      <c r="G764" s="12" t="inlineStr">
        <is>
          <t>PMU COLSOF</t>
        </is>
      </c>
      <c r="H764" s="13" t="n">
        <v>46281</v>
      </c>
      <c r="I764" s="13" t="n">
        <v>46282</v>
      </c>
      <c r="J764" s="13" t="n"/>
      <c r="K764" s="13" t="n"/>
      <c r="L764" s="12" t="inlineStr">
        <is>
          <t>Programada</t>
        </is>
      </c>
      <c r="M764" s="13" t="n"/>
      <c r="N764" s="14">
        <f>SI(O([@[Fecha_Programada_Inicio]]="";[@[Fecha_Inicio_Real]]="");"";SI([@[Fecha_Inicio_Real]]&lt;=[@[Fecha_Programada_Inicio]];"SÍ";"NO"))</f>
        <v/>
      </c>
      <c r="O764" s="14">
        <f>SI(O([@[Fecha_Programada_Fin]]="";[@[Fecha_Cierre_Operativo]]="");"";SI([@[Fecha_Cierre_Operativo]]&lt;=SI([@[Fecha_Nueva_Programada]]&lt;&gt;"";[@[Fecha_Nueva_Programada]];[@[Fecha_Programada_Fin]]);"SÍ";"NO"))</f>
        <v/>
      </c>
      <c r="P764" s="14">
        <f>SI(O([@[Cumpli_Ingreso]]="";[@[Cumpli_Salida]]="");"";SI(Y([@[Cumpli_Ingreso]]="SÍ";[@[Cumpli_Salida]]="SÍ");"SÍ";"NO"))</f>
        <v/>
      </c>
      <c r="Q764" s="15">
        <f>SI(O([@[Fecha_Programada_Fin]]="";[@[Fecha_Cierre_Operativo]]="");"";MAX(0;ENTERO([@[Fecha_Cierre_Operativo]])-ENTERO(SI([@[Fecha_Nueva_Programada]]&lt;&gt;"";[@[Fecha_Nueva_Programada]];[@[Fecha_Programada_Fin]])))</f>
        <v/>
      </c>
      <c r="R764" s="12" t="n"/>
      <c r="S764" s="12" t="n"/>
      <c r="T764" s="13" t="n"/>
      <c r="U764" s="12" t="n">
        <v>14</v>
      </c>
      <c r="V764" s="12" t="n"/>
      <c r="W76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64" s="14">
        <f>SI([@SBAN]="";"";BUSCARV([@SBAN];Cronograma_Maestro!$A:$M;6;FALSO))</f>
        <v/>
      </c>
    </row>
    <row r="765">
      <c r="A765" s="11" t="inlineStr">
        <is>
          <t>7360</t>
        </is>
      </c>
      <c r="B765" s="12">
        <f>SI([@SBAN]="";"";BUSCARV([@SBAN];Cronograma_Maestro!$A:$M;2;FALSO))</f>
        <v/>
      </c>
      <c r="C765" s="12">
        <f>SI([@SBAN]="";"";BUSCARV([@SBAN];Cronograma_Maestro!$A:$M;3;FALSO))</f>
        <v/>
      </c>
      <c r="D765" s="12">
        <f>SI([@SBAN]="";"";BUSCARV([@SBAN];Cronograma_Maestro!$A:$M;4;FALSO))</f>
        <v/>
      </c>
      <c r="E765" s="12">
        <f>SI([@SBAN]="";"";BUSCARV([@SBAN];Cronograma_Maestro!$A:$M;5;FALSO))</f>
        <v/>
      </c>
      <c r="F765" s="12" t="inlineStr">
        <is>
          <t>JOAQUIN DE JESUS ROMERO PIÑEREZ</t>
        </is>
      </c>
      <c r="G765" s="12" t="inlineStr">
        <is>
          <t>PMU COLSOF</t>
        </is>
      </c>
      <c r="H765" s="13" t="n">
        <v>46272</v>
      </c>
      <c r="I765" s="13" t="n">
        <v>46273</v>
      </c>
      <c r="J765" s="13" t="n"/>
      <c r="K765" s="13" t="n"/>
      <c r="L765" s="12" t="inlineStr">
        <is>
          <t>Programada</t>
        </is>
      </c>
      <c r="M765" s="13" t="n"/>
      <c r="N765" s="14">
        <f>SI(O([@[Fecha_Programada_Inicio]]="";[@[Fecha_Inicio_Real]]="");"";SI([@[Fecha_Inicio_Real]]&lt;=[@[Fecha_Programada_Inicio]];"SÍ";"NO"))</f>
        <v/>
      </c>
      <c r="O765" s="14">
        <f>SI(O([@[Fecha_Programada_Fin]]="";[@[Fecha_Cierre_Operativo]]="");"";SI([@[Fecha_Cierre_Operativo]]&lt;=SI([@[Fecha_Nueva_Programada]]&lt;&gt;"";[@[Fecha_Nueva_Programada]];[@[Fecha_Programada_Fin]]);"SÍ";"NO"))</f>
        <v/>
      </c>
      <c r="P765" s="14">
        <f>SI(O([@[Cumpli_Ingreso]]="";[@[Cumpli_Salida]]="");"";SI(Y([@[Cumpli_Ingreso]]="SÍ";[@[Cumpli_Salida]]="SÍ");"SÍ";"NO"))</f>
        <v/>
      </c>
      <c r="Q765" s="15">
        <f>SI(O([@[Fecha_Programada_Fin]]="";[@[Fecha_Cierre_Operativo]]="");"";MAX(0;ENTERO([@[Fecha_Cierre_Operativo]])-ENTERO(SI([@[Fecha_Nueva_Programada]]&lt;&gt;"";[@[Fecha_Nueva_Programada]];[@[Fecha_Programada_Fin]])))</f>
        <v/>
      </c>
      <c r="R765" s="12" t="n"/>
      <c r="S765" s="12" t="n"/>
      <c r="T765" s="13" t="n"/>
      <c r="U765" s="12" t="n">
        <v>33</v>
      </c>
      <c r="V765" s="12" t="n"/>
      <c r="W76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65" s="14">
        <f>SI([@SBAN]="";"";BUSCARV([@SBAN];Cronograma_Maestro!$A:$M;6;FALSO))</f>
        <v/>
      </c>
    </row>
    <row r="766">
      <c r="A766" s="11" t="inlineStr">
        <is>
          <t>7370</t>
        </is>
      </c>
      <c r="B766" s="12">
        <f>SI([@SBAN]="";"";BUSCARV([@SBAN];Cronograma_Maestro!$A:$M;2;FALSO))</f>
        <v/>
      </c>
      <c r="C766" s="12">
        <f>SI([@SBAN]="";"";BUSCARV([@SBAN];Cronograma_Maestro!$A:$M;3;FALSO))</f>
        <v/>
      </c>
      <c r="D766" s="12">
        <f>SI([@SBAN]="";"";BUSCARV([@SBAN];Cronograma_Maestro!$A:$M;4;FALSO))</f>
        <v/>
      </c>
      <c r="E766" s="12">
        <f>SI([@SBAN]="";"";BUSCARV([@SBAN];Cronograma_Maestro!$A:$M;5;FALSO))</f>
        <v/>
      </c>
      <c r="F766" s="12" t="inlineStr">
        <is>
          <t>JOAQUIN DE JESUS ROMERO PIÑEREZ</t>
        </is>
      </c>
      <c r="G766" s="12" t="inlineStr">
        <is>
          <t>PMU COLSOF</t>
        </is>
      </c>
      <c r="H766" s="13" t="n">
        <v>46286</v>
      </c>
      <c r="I766" s="13" t="n">
        <v>46287</v>
      </c>
      <c r="J766" s="13" t="n"/>
      <c r="K766" s="13" t="n"/>
      <c r="L766" s="12" t="inlineStr">
        <is>
          <t>Programada</t>
        </is>
      </c>
      <c r="M766" s="13" t="n"/>
      <c r="N766" s="14">
        <f>SI(O([@[Fecha_Programada_Inicio]]="";[@[Fecha_Inicio_Real]]="");"";SI([@[Fecha_Inicio_Real]]&lt;=[@[Fecha_Programada_Inicio]];"SÍ";"NO"))</f>
        <v/>
      </c>
      <c r="O766" s="14">
        <f>SI(O([@[Fecha_Programada_Fin]]="";[@[Fecha_Cierre_Operativo]]="");"";SI([@[Fecha_Cierre_Operativo]]&lt;=SI([@[Fecha_Nueva_Programada]]&lt;&gt;"";[@[Fecha_Nueva_Programada]];[@[Fecha_Programada_Fin]]);"SÍ";"NO"))</f>
        <v/>
      </c>
      <c r="P766" s="14">
        <f>SI(O([@[Cumpli_Ingreso]]="";[@[Cumpli_Salida]]="");"";SI(Y([@[Cumpli_Ingreso]]="SÍ";[@[Cumpli_Salida]]="SÍ");"SÍ";"NO"))</f>
        <v/>
      </c>
      <c r="Q766" s="15">
        <f>SI(O([@[Fecha_Programada_Fin]]="";[@[Fecha_Cierre_Operativo]]="");"";MAX(0;ENTERO([@[Fecha_Cierre_Operativo]])-ENTERO(SI([@[Fecha_Nueva_Programada]]&lt;&gt;"";[@[Fecha_Nueva_Programada]];[@[Fecha_Programada_Fin]])))</f>
        <v/>
      </c>
      <c r="R766" s="12" t="n"/>
      <c r="S766" s="12" t="n"/>
      <c r="T766" s="13" t="n"/>
      <c r="U766" s="12" t="n">
        <v>36</v>
      </c>
      <c r="V766" s="12" t="n"/>
      <c r="W76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66" s="14">
        <f>SI([@SBAN]="";"";BUSCARV([@SBAN];Cronograma_Maestro!$A:$M;6;FALSO))</f>
        <v/>
      </c>
    </row>
    <row r="767">
      <c r="A767" s="11" t="inlineStr">
        <is>
          <t>7910</t>
        </is>
      </c>
      <c r="B767" s="12">
        <f>SI([@SBAN]="";"";BUSCARV([@SBAN];Cronograma_Maestro!$A:$M;2;FALSO))</f>
        <v/>
      </c>
      <c r="C767" s="12">
        <f>SI([@SBAN]="";"";BUSCARV([@SBAN];Cronograma_Maestro!$A:$M;3;FALSO))</f>
        <v/>
      </c>
      <c r="D767" s="12">
        <f>SI([@SBAN]="";"";BUSCARV([@SBAN];Cronograma_Maestro!$A:$M;4;FALSO))</f>
        <v/>
      </c>
      <c r="E767" s="12">
        <f>SI([@SBAN]="";"";BUSCARV([@SBAN];Cronograma_Maestro!$A:$M;5;FALSO))</f>
        <v/>
      </c>
      <c r="F767" s="12" t="inlineStr">
        <is>
          <t>JOSE ARTEAGA BRAVO</t>
        </is>
      </c>
      <c r="G767" s="12" t="inlineStr">
        <is>
          <t>PMU COLSOF</t>
        </is>
      </c>
      <c r="H767" s="13" t="n">
        <v>46276</v>
      </c>
      <c r="I767" s="13" t="n">
        <v>46276</v>
      </c>
      <c r="J767" s="13" t="n"/>
      <c r="K767" s="13" t="n"/>
      <c r="L767" s="12" t="inlineStr">
        <is>
          <t>Programada</t>
        </is>
      </c>
      <c r="M767" s="13" t="n"/>
      <c r="N767" s="14">
        <f>SI(O([@[Fecha_Programada_Inicio]]="";[@[Fecha_Inicio_Real]]="");"";SI([@[Fecha_Inicio_Real]]&lt;=[@[Fecha_Programada_Inicio]];"SÍ";"NO"))</f>
        <v/>
      </c>
      <c r="O767" s="14">
        <f>SI(O([@[Fecha_Programada_Fin]]="";[@[Fecha_Cierre_Operativo]]="");"";SI([@[Fecha_Cierre_Operativo]]&lt;=SI([@[Fecha_Nueva_Programada]]&lt;&gt;"";[@[Fecha_Nueva_Programada]];[@[Fecha_Programada_Fin]]);"SÍ";"NO"))</f>
        <v/>
      </c>
      <c r="P767" s="14">
        <f>SI(O([@[Cumpli_Ingreso]]="";[@[Cumpli_Salida]]="");"";SI(Y([@[Cumpli_Ingreso]]="SÍ";[@[Cumpli_Salida]]="SÍ");"SÍ";"NO"))</f>
        <v/>
      </c>
      <c r="Q767" s="15">
        <f>SI(O([@[Fecha_Programada_Fin]]="";[@[Fecha_Cierre_Operativo]]="");"";MAX(0;ENTERO([@[Fecha_Cierre_Operativo]])-ENTERO(SI([@[Fecha_Nueva_Programada]]&lt;&gt;"";[@[Fecha_Nueva_Programada]];[@[Fecha_Programada_Fin]])))</f>
        <v/>
      </c>
      <c r="R767" s="12" t="n"/>
      <c r="S767" s="12" t="n"/>
      <c r="T767" s="13" t="n"/>
      <c r="U767" s="12" t="n">
        <v>25</v>
      </c>
      <c r="V767" s="12" t="n"/>
      <c r="W76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67" s="14">
        <f>SI([@SBAN]="";"";BUSCARV([@SBAN];Cronograma_Maestro!$A:$M;6;FALSO))</f>
        <v/>
      </c>
    </row>
    <row r="768">
      <c r="A768" s="11" t="inlineStr">
        <is>
          <t>7920</t>
        </is>
      </c>
      <c r="B768" s="12">
        <f>SI([@SBAN]="";"";BUSCARV([@SBAN];Cronograma_Maestro!$A:$M;2;FALSO))</f>
        <v/>
      </c>
      <c r="C768" s="12">
        <f>SI([@SBAN]="";"";BUSCARV([@SBAN];Cronograma_Maestro!$A:$M;3;FALSO))</f>
        <v/>
      </c>
      <c r="D768" s="12">
        <f>SI([@SBAN]="";"";BUSCARV([@SBAN];Cronograma_Maestro!$A:$M;4;FALSO))</f>
        <v/>
      </c>
      <c r="E768" s="12">
        <f>SI([@SBAN]="";"";BUSCARV([@SBAN];Cronograma_Maestro!$A:$M;5;FALSO))</f>
        <v/>
      </c>
      <c r="F768" s="12" t="inlineStr">
        <is>
          <t>JOSE ARTEAGA BRAVO</t>
        </is>
      </c>
      <c r="G768" s="12" t="inlineStr">
        <is>
          <t>PMU COLSOF</t>
        </is>
      </c>
      <c r="H768" s="13" t="n">
        <v>46281</v>
      </c>
      <c r="I768" s="13" t="n">
        <v>46281</v>
      </c>
      <c r="J768" s="13" t="n"/>
      <c r="K768" s="13" t="n"/>
      <c r="L768" s="12" t="inlineStr">
        <is>
          <t>Programada</t>
        </is>
      </c>
      <c r="M768" s="13" t="n"/>
      <c r="N768" s="14">
        <f>SI(O([@[Fecha_Programada_Inicio]]="";[@[Fecha_Inicio_Real]]="");"";SI([@[Fecha_Inicio_Real]]&lt;=[@[Fecha_Programada_Inicio]];"SÍ";"NO"))</f>
        <v/>
      </c>
      <c r="O768" s="14">
        <f>SI(O([@[Fecha_Programada_Fin]]="";[@[Fecha_Cierre_Operativo]]="");"";SI([@[Fecha_Cierre_Operativo]]&lt;=SI([@[Fecha_Nueva_Programada]]&lt;&gt;"";[@[Fecha_Nueva_Programada]];[@[Fecha_Programada_Fin]]);"SÍ";"NO"))</f>
        <v/>
      </c>
      <c r="P768" s="14">
        <f>SI(O([@[Cumpli_Ingreso]]="";[@[Cumpli_Salida]]="");"";SI(Y([@[Cumpli_Ingreso]]="SÍ";[@[Cumpli_Salida]]="SÍ");"SÍ";"NO"))</f>
        <v/>
      </c>
      <c r="Q768" s="15">
        <f>SI(O([@[Fecha_Programada_Fin]]="";[@[Fecha_Cierre_Operativo]]="");"";MAX(0;ENTERO([@[Fecha_Cierre_Operativo]])-ENTERO(SI([@[Fecha_Nueva_Programada]]&lt;&gt;"";[@[Fecha_Nueva_Programada]];[@[Fecha_Programada_Fin]])))</f>
        <v/>
      </c>
      <c r="R768" s="12" t="n"/>
      <c r="S768" s="12" t="n"/>
      <c r="T768" s="13" t="n"/>
      <c r="U768" s="12" t="n">
        <v>24</v>
      </c>
      <c r="V768" s="12" t="n"/>
      <c r="W76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68" s="14">
        <f>SI([@SBAN]="";"";BUSCARV([@SBAN];Cronograma_Maestro!$A:$M;6;FALSO))</f>
        <v/>
      </c>
    </row>
    <row r="769">
      <c r="A769" s="11" t="inlineStr">
        <is>
          <t>7930</t>
        </is>
      </c>
      <c r="B769" s="12">
        <f>SI([@SBAN]="";"";BUSCARV([@SBAN];Cronograma_Maestro!$A:$M;2;FALSO))</f>
        <v/>
      </c>
      <c r="C769" s="12">
        <f>SI([@SBAN]="";"";BUSCARV([@SBAN];Cronograma_Maestro!$A:$M;3;FALSO))</f>
        <v/>
      </c>
      <c r="D769" s="12">
        <f>SI([@SBAN]="";"";BUSCARV([@SBAN];Cronograma_Maestro!$A:$M;4;FALSO))</f>
        <v/>
      </c>
      <c r="E769" s="12">
        <f>SI([@SBAN]="";"";BUSCARV([@SBAN];Cronograma_Maestro!$A:$M;5;FALSO))</f>
        <v/>
      </c>
      <c r="F769" s="12" t="inlineStr">
        <is>
          <t>JOSE ARTEAGA BRAVO</t>
        </is>
      </c>
      <c r="G769" s="12" t="inlineStr">
        <is>
          <t>PMU COLSOF</t>
        </is>
      </c>
      <c r="H769" s="13" t="n">
        <v>46283</v>
      </c>
      <c r="I769" s="13" t="n">
        <v>46283</v>
      </c>
      <c r="J769" s="13" t="n"/>
      <c r="K769" s="13" t="n"/>
      <c r="L769" s="12" t="inlineStr">
        <is>
          <t>Programada</t>
        </is>
      </c>
      <c r="M769" s="13" t="n"/>
      <c r="N769" s="14">
        <f>SI(O([@[Fecha_Programada_Inicio]]="";[@[Fecha_Inicio_Real]]="");"";SI([@[Fecha_Inicio_Real]]&lt;=[@[Fecha_Programada_Inicio]];"SÍ";"NO"))</f>
        <v/>
      </c>
      <c r="O769" s="14">
        <f>SI(O([@[Fecha_Programada_Fin]]="";[@[Fecha_Cierre_Operativo]]="");"";SI([@[Fecha_Cierre_Operativo]]&lt;=SI([@[Fecha_Nueva_Programada]]&lt;&gt;"";[@[Fecha_Nueva_Programada]];[@[Fecha_Programada_Fin]]);"SÍ";"NO"))</f>
        <v/>
      </c>
      <c r="P769" s="14">
        <f>SI(O([@[Cumpli_Ingreso]]="";[@[Cumpli_Salida]]="");"";SI(Y([@[Cumpli_Ingreso]]="SÍ";[@[Cumpli_Salida]]="SÍ");"SÍ";"NO"))</f>
        <v/>
      </c>
      <c r="Q769" s="15">
        <f>SI(O([@[Fecha_Programada_Fin]]="";[@[Fecha_Cierre_Operativo]]="");"";MAX(0;ENTERO([@[Fecha_Cierre_Operativo]])-ENTERO(SI([@[Fecha_Nueva_Programada]]&lt;&gt;"";[@[Fecha_Nueva_Programada]];[@[Fecha_Programada_Fin]])))</f>
        <v/>
      </c>
      <c r="R769" s="12" t="n"/>
      <c r="S769" s="12" t="n"/>
      <c r="T769" s="13" t="n"/>
      <c r="U769" s="12" t="n">
        <v>37</v>
      </c>
      <c r="V769" s="12" t="n"/>
      <c r="W76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69" s="14">
        <f>SI([@SBAN]="";"";BUSCARV([@SBAN];Cronograma_Maestro!$A:$M;6;FALSO))</f>
        <v/>
      </c>
    </row>
    <row r="770">
      <c r="A770" s="11" t="inlineStr">
        <is>
          <t>7940</t>
        </is>
      </c>
      <c r="B770" s="12">
        <f>SI([@SBAN]="";"";BUSCARV([@SBAN];Cronograma_Maestro!$A:$M;2;FALSO))</f>
        <v/>
      </c>
      <c r="C770" s="12">
        <f>SI([@SBAN]="";"";BUSCARV([@SBAN];Cronograma_Maestro!$A:$M;3;FALSO))</f>
        <v/>
      </c>
      <c r="D770" s="12">
        <f>SI([@SBAN]="";"";BUSCARV([@SBAN];Cronograma_Maestro!$A:$M;4;FALSO))</f>
        <v/>
      </c>
      <c r="E770" s="12">
        <f>SI([@SBAN]="";"";BUSCARV([@SBAN];Cronograma_Maestro!$A:$M;5;FALSO))</f>
        <v/>
      </c>
      <c r="F770" s="12" t="inlineStr">
        <is>
          <t>JOSE ARTEAGA BRAVO</t>
        </is>
      </c>
      <c r="G770" s="12" t="inlineStr">
        <is>
          <t>PMU COLSOF</t>
        </is>
      </c>
      <c r="H770" s="13" t="n">
        <v>46274</v>
      </c>
      <c r="I770" s="13" t="n">
        <v>46274</v>
      </c>
      <c r="J770" s="13" t="n"/>
      <c r="K770" s="13" t="n"/>
      <c r="L770" s="12" t="inlineStr">
        <is>
          <t>Programada</t>
        </is>
      </c>
      <c r="M770" s="13" t="n"/>
      <c r="N770" s="14">
        <f>SI(O([@[Fecha_Programada_Inicio]]="";[@[Fecha_Inicio_Real]]="");"";SI([@[Fecha_Inicio_Real]]&lt;=[@[Fecha_Programada_Inicio]];"SÍ";"NO"))</f>
        <v/>
      </c>
      <c r="O770" s="14">
        <f>SI(O([@[Fecha_Programada_Fin]]="";[@[Fecha_Cierre_Operativo]]="");"";SI([@[Fecha_Cierre_Operativo]]&lt;=SI([@[Fecha_Nueva_Programada]]&lt;&gt;"";[@[Fecha_Nueva_Programada]];[@[Fecha_Programada_Fin]]);"SÍ";"NO"))</f>
        <v/>
      </c>
      <c r="P770" s="14">
        <f>SI(O([@[Cumpli_Ingreso]]="";[@[Cumpli_Salida]]="");"";SI(Y([@[Cumpli_Ingreso]]="SÍ";[@[Cumpli_Salida]]="SÍ");"SÍ";"NO"))</f>
        <v/>
      </c>
      <c r="Q770" s="15">
        <f>SI(O([@[Fecha_Programada_Fin]]="";[@[Fecha_Cierre_Operativo]]="");"";MAX(0;ENTERO([@[Fecha_Cierre_Operativo]])-ENTERO(SI([@[Fecha_Nueva_Programada]]&lt;&gt;"";[@[Fecha_Nueva_Programada]];[@[Fecha_Programada_Fin]])))</f>
        <v/>
      </c>
      <c r="R770" s="12" t="n"/>
      <c r="S770" s="12" t="n"/>
      <c r="T770" s="13" t="n"/>
      <c r="U770" s="12" t="n">
        <v>17</v>
      </c>
      <c r="V770" s="12" t="n"/>
      <c r="W77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70" s="14">
        <f>SI([@SBAN]="";"";BUSCARV([@SBAN];Cronograma_Maestro!$A:$M;6;FALSO))</f>
        <v/>
      </c>
    </row>
    <row r="771">
      <c r="A771" s="11" t="inlineStr">
        <is>
          <t>7901</t>
        </is>
      </c>
      <c r="B771" s="12">
        <f>SI([@SBAN]="";"";BUSCARV([@SBAN];Cronograma_Maestro!$A:$M;2;FALSO))</f>
        <v/>
      </c>
      <c r="C771" s="12">
        <f>SI([@SBAN]="";"";BUSCARV([@SBAN];Cronograma_Maestro!$A:$M;3;FALSO))</f>
        <v/>
      </c>
      <c r="D771" s="12">
        <f>SI([@SBAN]="";"";BUSCARV([@SBAN];Cronograma_Maestro!$A:$M;4;FALSO))</f>
        <v/>
      </c>
      <c r="E771" s="12">
        <f>SI([@SBAN]="";"";BUSCARV([@SBAN];Cronograma_Maestro!$A:$M;5;FALSO))</f>
        <v/>
      </c>
      <c r="F771" s="12" t="inlineStr">
        <is>
          <t>JOSE EVANGELISTA PINCHAO PINCHAO</t>
        </is>
      </c>
      <c r="G771" s="12" t="inlineStr">
        <is>
          <t>PMU COLSOF</t>
        </is>
      </c>
      <c r="H771" s="13" t="n">
        <v>46266</v>
      </c>
      <c r="I771" s="13" t="n">
        <v>46267</v>
      </c>
      <c r="J771" s="13" t="n">
        <v>46266</v>
      </c>
      <c r="K771" s="13" t="n"/>
      <c r="L771" s="12" t="inlineStr">
        <is>
          <t>En Proceso</t>
        </is>
      </c>
      <c r="M771" s="13" t="n"/>
      <c r="N771" s="14">
        <f>SI(O([@[Fecha_Programada_Inicio]]="";[@[Fecha_Inicio_Real]]="");"";SI([@[Fecha_Inicio_Real]]&lt;=[@[Fecha_Programada_Inicio]];"SÍ";"NO"))</f>
        <v/>
      </c>
      <c r="O771" s="14">
        <f>SI(O([@[Fecha_Programada_Fin]]="";[@[Fecha_Cierre_Operativo]]="");"";SI([@[Fecha_Cierre_Operativo]]&lt;=SI([@[Fecha_Nueva_Programada]]&lt;&gt;"";[@[Fecha_Nueva_Programada]];[@[Fecha_Programada_Fin]]);"SÍ";"NO"))</f>
        <v/>
      </c>
      <c r="P771" s="14">
        <f>SI(O([@[Cumpli_Ingreso]]="";[@[Cumpli_Salida]]="");"";SI(Y([@[Cumpli_Ingreso]]="SÍ";[@[Cumpli_Salida]]="SÍ");"SÍ";"NO"))</f>
        <v/>
      </c>
      <c r="Q771" s="15">
        <f>SI(O([@[Fecha_Programada_Fin]]="";[@[Fecha_Cierre_Operativo]]="");"";MAX(0;ENTERO([@[Fecha_Cierre_Operativo]])-ENTERO(SI([@[Fecha_Nueva_Programada]]&lt;&gt;"";[@[Fecha_Nueva_Programada]];[@[Fecha_Programada_Fin]])))</f>
        <v/>
      </c>
      <c r="R771" s="12" t="n"/>
      <c r="S771" s="12" t="n"/>
      <c r="T771" s="13" t="n"/>
      <c r="U771" s="12" t="n">
        <v>26</v>
      </c>
      <c r="V771" s="12" t="n"/>
      <c r="W77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71" s="14">
        <f>SI([@SBAN]="";"";BUSCARV([@SBAN];Cronograma_Maestro!$A:$M;6;FALSO))</f>
        <v/>
      </c>
    </row>
    <row r="772">
      <c r="A772" s="11" t="inlineStr">
        <is>
          <t>8103</t>
        </is>
      </c>
      <c r="B772" s="12">
        <f>SI([@SBAN]="";"";BUSCARV([@SBAN];Cronograma_Maestro!$A:$M;2;FALSO))</f>
        <v/>
      </c>
      <c r="C772" s="12">
        <f>SI([@SBAN]="";"";BUSCARV([@SBAN];Cronograma_Maestro!$A:$M;3;FALSO))</f>
        <v/>
      </c>
      <c r="D772" s="12">
        <f>SI([@SBAN]="";"";BUSCARV([@SBAN];Cronograma_Maestro!$A:$M;4;FALSO))</f>
        <v/>
      </c>
      <c r="E772" s="12">
        <f>SI([@SBAN]="";"";BUSCARV([@SBAN];Cronograma_Maestro!$A:$M;5;FALSO))</f>
        <v/>
      </c>
      <c r="F772" s="12" t="inlineStr">
        <is>
          <t>LUIS BALLESTEROS</t>
        </is>
      </c>
      <c r="G772" s="12" t="inlineStr">
        <is>
          <t>PMU COLSOF</t>
        </is>
      </c>
      <c r="H772" s="13" t="n">
        <v>46274</v>
      </c>
      <c r="I772" s="13" t="n">
        <v>46275</v>
      </c>
      <c r="J772" s="13" t="n"/>
      <c r="K772" s="13" t="n"/>
      <c r="L772" s="12" t="inlineStr">
        <is>
          <t>Programada</t>
        </is>
      </c>
      <c r="M772" s="13" t="n"/>
      <c r="N772" s="14">
        <f>SI(O([@[Fecha_Programada_Inicio]]="";[@[Fecha_Inicio_Real]]="");"";SI([@[Fecha_Inicio_Real]]&lt;=[@[Fecha_Programada_Inicio]];"SÍ";"NO"))</f>
        <v/>
      </c>
      <c r="O772" s="14">
        <f>SI(O([@[Fecha_Programada_Fin]]="";[@[Fecha_Cierre_Operativo]]="");"";SI([@[Fecha_Cierre_Operativo]]&lt;=SI([@[Fecha_Nueva_Programada]]&lt;&gt;"";[@[Fecha_Nueva_Programada]];[@[Fecha_Programada_Fin]]);"SÍ";"NO"))</f>
        <v/>
      </c>
      <c r="P772" s="14">
        <f>SI(O([@[Cumpli_Ingreso]]="";[@[Cumpli_Salida]]="");"";SI(Y([@[Cumpli_Ingreso]]="SÍ";[@[Cumpli_Salida]]="SÍ");"SÍ";"NO"))</f>
        <v/>
      </c>
      <c r="Q772" s="15">
        <f>SI(O([@[Fecha_Programada_Fin]]="";[@[Fecha_Cierre_Operativo]]="");"";MAX(0;ENTERO([@[Fecha_Cierre_Operativo]])-ENTERO(SI([@[Fecha_Nueva_Programada]]&lt;&gt;"";[@[Fecha_Nueva_Programada]];[@[Fecha_Programada_Fin]])))</f>
        <v/>
      </c>
      <c r="R772" s="12" t="n"/>
      <c r="S772" s="12" t="n"/>
      <c r="T772" s="13" t="n"/>
      <c r="U772" s="12" t="n">
        <v>25</v>
      </c>
      <c r="V772" s="12" t="n"/>
      <c r="W77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72" s="14">
        <f>SI([@SBAN]="";"";BUSCARV([@SBAN];Cronograma_Maestro!$A:$M;6;FALSO))</f>
        <v/>
      </c>
    </row>
    <row r="773">
      <c r="A773" s="11" t="inlineStr">
        <is>
          <t>7903</t>
        </is>
      </c>
      <c r="B773" s="12">
        <f>SI([@SBAN]="";"";BUSCARV([@SBAN];Cronograma_Maestro!$A:$M;2;FALSO))</f>
        <v/>
      </c>
      <c r="C773" s="12">
        <f>SI([@SBAN]="";"";BUSCARV([@SBAN];Cronograma_Maestro!$A:$M;3;FALSO))</f>
        <v/>
      </c>
      <c r="D773" s="12">
        <f>SI([@SBAN]="";"";BUSCARV([@SBAN];Cronograma_Maestro!$A:$M;4;FALSO))</f>
        <v/>
      </c>
      <c r="E773" s="12">
        <f>SI([@SBAN]="";"";BUSCARV([@SBAN];Cronograma_Maestro!$A:$M;5;FALSO))</f>
        <v/>
      </c>
      <c r="F773" s="12" t="inlineStr">
        <is>
          <t>WILLIAM FABIAN GONZALEZ
DANIEL GRAJALES VALLEJO</t>
        </is>
      </c>
      <c r="G773" s="12" t="inlineStr">
        <is>
          <t>PMU COLSOF</t>
        </is>
      </c>
      <c r="H773" s="13" t="n">
        <v>46280</v>
      </c>
      <c r="I773" s="13" t="n">
        <v>46280</v>
      </c>
      <c r="J773" s="13" t="n"/>
      <c r="K773" s="13" t="n"/>
      <c r="L773" s="12" t="inlineStr">
        <is>
          <t>Programada</t>
        </is>
      </c>
      <c r="M773" s="13" t="n"/>
      <c r="N773" s="14">
        <f>SI(O([@[Fecha_Programada_Inicio]]="";[@[Fecha_Inicio_Real]]="");"";SI([@[Fecha_Inicio_Real]]&lt;=[@[Fecha_Programada_Inicio]];"SÍ";"NO"))</f>
        <v/>
      </c>
      <c r="O773" s="14">
        <f>SI(O([@[Fecha_Programada_Fin]]="";[@[Fecha_Cierre_Operativo]]="");"";SI([@[Fecha_Cierre_Operativo]]&lt;=SI([@[Fecha_Nueva_Programada]]&lt;&gt;"";[@[Fecha_Nueva_Programada]];[@[Fecha_Programada_Fin]]);"SÍ";"NO"))</f>
        <v/>
      </c>
      <c r="P773" s="14">
        <f>SI(O([@[Cumpli_Ingreso]]="";[@[Cumpli_Salida]]="");"";SI(Y([@[Cumpli_Ingreso]]="SÍ";[@[Cumpli_Salida]]="SÍ");"SÍ";"NO"))</f>
        <v/>
      </c>
      <c r="Q773" s="15">
        <f>SI(O([@[Fecha_Programada_Fin]]="";[@[Fecha_Cierre_Operativo]]="");"";MAX(0;ENTERO([@[Fecha_Cierre_Operativo]])-ENTERO(SI([@[Fecha_Nueva_Programada]]&lt;&gt;"";[@[Fecha_Nueva_Programada]];[@[Fecha_Programada_Fin]])))</f>
        <v/>
      </c>
      <c r="R773" s="12" t="n"/>
      <c r="S773" s="12" t="n"/>
      <c r="T773" s="13" t="n"/>
      <c r="U773" s="12" t="n">
        <v>32</v>
      </c>
      <c r="V773" s="12" t="n"/>
      <c r="W77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73" s="14">
        <f>SI([@SBAN]="";"";BUSCARV([@SBAN];Cronograma_Maestro!$A:$M;6;FALSO))</f>
        <v/>
      </c>
    </row>
    <row r="774">
      <c r="A774" s="11" t="inlineStr">
        <is>
          <t>8110</t>
        </is>
      </c>
      <c r="B774" s="12">
        <f>SI([@SBAN]="";"";BUSCARV([@SBAN];Cronograma_Maestro!$A:$M;2;FALSO))</f>
        <v/>
      </c>
      <c r="C774" s="12">
        <f>SI([@SBAN]="";"";BUSCARV([@SBAN];Cronograma_Maestro!$A:$M;3;FALSO))</f>
        <v/>
      </c>
      <c r="D774" s="12">
        <f>SI([@SBAN]="";"";BUSCARV([@SBAN];Cronograma_Maestro!$A:$M;4;FALSO))</f>
        <v/>
      </c>
      <c r="E774" s="12">
        <f>SI([@SBAN]="";"";BUSCARV([@SBAN];Cronograma_Maestro!$A:$M;5;FALSO))</f>
        <v/>
      </c>
      <c r="F774" s="12" t="inlineStr">
        <is>
          <t>YAMID ALBERTO THYME THYME</t>
        </is>
      </c>
      <c r="G774" s="12" t="inlineStr">
        <is>
          <t>PMU COLSOF</t>
        </is>
      </c>
      <c r="H774" s="13" t="n">
        <v>46274</v>
      </c>
      <c r="I774" s="13" t="n">
        <v>46275</v>
      </c>
      <c r="J774" s="13" t="n"/>
      <c r="K774" s="13" t="n"/>
      <c r="L774" s="12" t="inlineStr">
        <is>
          <t>Programada</t>
        </is>
      </c>
      <c r="M774" s="13" t="n"/>
      <c r="N774" s="14">
        <f>SI(O([@[Fecha_Programada_Inicio]]="";[@[Fecha_Inicio_Real]]="");"";SI([@[Fecha_Inicio_Real]]&lt;=[@[Fecha_Programada_Inicio]];"SÍ";"NO"))</f>
        <v/>
      </c>
      <c r="O774" s="14">
        <f>SI(O([@[Fecha_Programada_Fin]]="";[@[Fecha_Cierre_Operativo]]="");"";SI([@[Fecha_Cierre_Operativo]]&lt;=SI([@[Fecha_Nueva_Programada]]&lt;&gt;"";[@[Fecha_Nueva_Programada]];[@[Fecha_Programada_Fin]]);"SÍ";"NO"))</f>
        <v/>
      </c>
      <c r="P774" s="14">
        <f>SI(O([@[Cumpli_Ingreso]]="";[@[Cumpli_Salida]]="");"";SI(Y([@[Cumpli_Ingreso]]="SÍ";[@[Cumpli_Salida]]="SÍ");"SÍ";"NO"))</f>
        <v/>
      </c>
      <c r="Q774" s="15">
        <f>SI(O([@[Fecha_Programada_Fin]]="";[@[Fecha_Cierre_Operativo]]="");"";MAX(0;ENTERO([@[Fecha_Cierre_Operativo]])-ENTERO(SI([@[Fecha_Nueva_Programada]]&lt;&gt;"";[@[Fecha_Nueva_Programada]];[@[Fecha_Programada_Fin]])))</f>
        <v/>
      </c>
      <c r="R774" s="12" t="n"/>
      <c r="S774" s="12" t="n"/>
      <c r="T774" s="13" t="n"/>
      <c r="U774" s="12" t="n">
        <v>12</v>
      </c>
      <c r="V774" s="12" t="n"/>
      <c r="W77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74" s="14">
        <f>SI([@SBAN]="";"";BUSCARV([@SBAN];Cronograma_Maestro!$A:$M;6;FALSO))</f>
        <v/>
      </c>
    </row>
    <row r="775">
      <c r="A775" s="11" t="inlineStr">
        <is>
          <t>8303</t>
        </is>
      </c>
      <c r="B775" s="12">
        <f>SI([@SBAN]="";"";BUSCARV([@SBAN];Cronograma_Maestro!$A:$M;2;FALSO))</f>
        <v/>
      </c>
      <c r="C775" s="12">
        <f>SI([@SBAN]="";"";BUSCARV([@SBAN];Cronograma_Maestro!$A:$M;3;FALSO))</f>
        <v/>
      </c>
      <c r="D775" s="12">
        <f>SI([@SBAN]="";"";BUSCARV([@SBAN];Cronograma_Maestro!$A:$M;4;FALSO))</f>
        <v/>
      </c>
      <c r="E775" s="12">
        <f>SI([@SBAN]="";"";BUSCARV([@SBAN];Cronograma_Maestro!$A:$M;5;FALSO))</f>
        <v/>
      </c>
      <c r="F775" s="12" t="inlineStr">
        <is>
          <t>EDGARDO LEON CEBALLOS</t>
        </is>
      </c>
      <c r="G775" s="12" t="inlineStr">
        <is>
          <t>PMU COLSOF</t>
        </is>
      </c>
      <c r="H775" s="13" t="n">
        <v>46268</v>
      </c>
      <c r="I775" s="13" t="n">
        <v>46269</v>
      </c>
      <c r="J775" s="13" t="n"/>
      <c r="K775" s="13" t="n"/>
      <c r="L775" s="12" t="inlineStr">
        <is>
          <t>Programada</t>
        </is>
      </c>
      <c r="M775" s="13" t="n"/>
      <c r="N775" s="14">
        <f>SI(O([@[Fecha_Programada_Inicio]]="";[@[Fecha_Inicio_Real]]="");"";SI([@[Fecha_Inicio_Real]]&lt;=[@[Fecha_Programada_Inicio]];"SÍ";"NO"))</f>
        <v/>
      </c>
      <c r="O775" s="14">
        <f>SI(O([@[Fecha_Programada_Fin]]="";[@[Fecha_Cierre_Operativo]]="");"";SI([@[Fecha_Cierre_Operativo]]&lt;=SI([@[Fecha_Nueva_Programada]]&lt;&gt;"";[@[Fecha_Nueva_Programada]];[@[Fecha_Programada_Fin]]);"SÍ";"NO"))</f>
        <v/>
      </c>
      <c r="P775" s="14">
        <f>SI(O([@[Cumpli_Ingreso]]="";[@[Cumpli_Salida]]="");"";SI(Y([@[Cumpli_Ingreso]]="SÍ";[@[Cumpli_Salida]]="SÍ");"SÍ";"NO"))</f>
        <v/>
      </c>
      <c r="Q775" s="15">
        <f>SI(O([@[Fecha_Programada_Fin]]="";[@[Fecha_Cierre_Operativo]]="");"";MAX(0;ENTERO([@[Fecha_Cierre_Operativo]])-ENTERO(SI([@[Fecha_Nueva_Programada]]&lt;&gt;"";[@[Fecha_Nueva_Programada]];[@[Fecha_Programada_Fin]])))</f>
        <v/>
      </c>
      <c r="R775" s="12" t="n"/>
      <c r="S775" s="12" t="n"/>
      <c r="T775" s="13" t="n"/>
      <c r="U775" s="12" t="n">
        <v>40</v>
      </c>
      <c r="V775" s="12" t="n"/>
      <c r="W77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75" s="14">
        <f>SI([@SBAN]="";"";BUSCARV([@SBAN];Cronograma_Maestro!$A:$M;6;FALSO))</f>
        <v/>
      </c>
    </row>
    <row r="776">
      <c r="A776" s="11" t="inlineStr">
        <is>
          <t>8315</t>
        </is>
      </c>
      <c r="B776" s="12">
        <f>SI([@SBAN]="";"";BUSCARV([@SBAN];Cronograma_Maestro!$A:$M;2;FALSO))</f>
        <v/>
      </c>
      <c r="C776" s="12">
        <f>SI([@SBAN]="";"";BUSCARV([@SBAN];Cronograma_Maestro!$A:$M;3;FALSO))</f>
        <v/>
      </c>
      <c r="D776" s="12">
        <f>SI([@SBAN]="";"";BUSCARV([@SBAN];Cronograma_Maestro!$A:$M;4;FALSO))</f>
        <v/>
      </c>
      <c r="E776" s="12">
        <f>SI([@SBAN]="";"";BUSCARV([@SBAN];Cronograma_Maestro!$A:$M;5;FALSO))</f>
        <v/>
      </c>
      <c r="F776" s="12" t="inlineStr">
        <is>
          <t>JORGE STIWER PALMA</t>
        </is>
      </c>
      <c r="G776" s="12" t="inlineStr">
        <is>
          <t>PMU COLSOF</t>
        </is>
      </c>
      <c r="H776" s="13" t="n">
        <v>46301</v>
      </c>
      <c r="I776" s="13" t="n">
        <v>46302</v>
      </c>
      <c r="J776" s="13" t="n"/>
      <c r="K776" s="13" t="n"/>
      <c r="L776" s="12" t="inlineStr">
        <is>
          <t>Programada</t>
        </is>
      </c>
      <c r="M776" s="13" t="n"/>
      <c r="N776" s="14">
        <f>SI(O([@[Fecha_Programada_Inicio]]="";[@[Fecha_Inicio_Real]]="");"";SI([@[Fecha_Inicio_Real]]&lt;=[@[Fecha_Programada_Inicio]];"SÍ";"NO"))</f>
        <v/>
      </c>
      <c r="O776" s="14">
        <f>SI(O([@[Fecha_Programada_Fin]]="";[@[Fecha_Cierre_Operativo]]="");"";SI([@[Fecha_Cierre_Operativo]]&lt;=SI([@[Fecha_Nueva_Programada]]&lt;&gt;"";[@[Fecha_Nueva_Programada]];[@[Fecha_Programada_Fin]]);"SÍ";"NO"))</f>
        <v/>
      </c>
      <c r="P776" s="14">
        <f>SI(O([@[Cumpli_Ingreso]]="";[@[Cumpli_Salida]]="");"";SI(Y([@[Cumpli_Ingreso]]="SÍ";[@[Cumpli_Salida]]="SÍ");"SÍ";"NO"))</f>
        <v/>
      </c>
      <c r="Q776" s="15">
        <f>SI(O([@[Fecha_Programada_Fin]]="";[@[Fecha_Cierre_Operativo]]="");"";MAX(0;ENTERO([@[Fecha_Cierre_Operativo]])-ENTERO(SI([@[Fecha_Nueva_Programada]]&lt;&gt;"";[@[Fecha_Nueva_Programada]];[@[Fecha_Programada_Fin]])))</f>
        <v/>
      </c>
      <c r="R776" s="12" t="n"/>
      <c r="S776" s="12" t="n"/>
      <c r="T776" s="13" t="n"/>
      <c r="U776" s="12" t="n">
        <v>12</v>
      </c>
      <c r="V776" s="12" t="n"/>
      <c r="W77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76" s="14">
        <f>SI([@SBAN]="";"";BUSCARV([@SBAN];Cronograma_Maestro!$A:$M;6;FALSO))</f>
        <v/>
      </c>
    </row>
    <row r="777">
      <c r="A777" s="11" t="inlineStr">
        <is>
          <t>8420</t>
        </is>
      </c>
      <c r="B777" s="12">
        <f>SI([@SBAN]="";"";BUSCARV([@SBAN];Cronograma_Maestro!$A:$M;2;FALSO))</f>
        <v/>
      </c>
      <c r="C777" s="12">
        <f>SI([@SBAN]="";"";BUSCARV([@SBAN];Cronograma_Maestro!$A:$M;3;FALSO))</f>
        <v/>
      </c>
      <c r="D777" s="12">
        <f>SI([@SBAN]="";"";BUSCARV([@SBAN];Cronograma_Maestro!$A:$M;4;FALSO))</f>
        <v/>
      </c>
      <c r="E777" s="12">
        <f>SI([@SBAN]="";"";BUSCARV([@SBAN];Cronograma_Maestro!$A:$M;5;FALSO))</f>
        <v/>
      </c>
      <c r="F777" s="12" t="inlineStr">
        <is>
          <t>OSCAR MUÑOZ DASILVA</t>
        </is>
      </c>
      <c r="G777" s="12" t="inlineStr">
        <is>
          <t>PMU COLSOF</t>
        </is>
      </c>
      <c r="H777" s="13" t="n">
        <v>46293</v>
      </c>
      <c r="I777" s="13" t="n">
        <v>46295</v>
      </c>
      <c r="J777" s="13" t="n"/>
      <c r="K777" s="13" t="n"/>
      <c r="L777" s="12" t="inlineStr">
        <is>
          <t>Programada</t>
        </is>
      </c>
      <c r="M777" s="13" t="n"/>
      <c r="N777" s="14">
        <f>SI(O([@[Fecha_Programada_Inicio]]="";[@[Fecha_Inicio_Real]]="");"";SI([@[Fecha_Inicio_Real]]&lt;=[@[Fecha_Programada_Inicio]];"SÍ";"NO"))</f>
        <v/>
      </c>
      <c r="O777" s="14">
        <f>SI(O([@[Fecha_Programada_Fin]]="";[@[Fecha_Cierre_Operativo]]="");"";SI([@[Fecha_Cierre_Operativo]]&lt;=SI([@[Fecha_Nueva_Programada]]&lt;&gt;"";[@[Fecha_Nueva_Programada]];[@[Fecha_Programada_Fin]]);"SÍ";"NO"))</f>
        <v/>
      </c>
      <c r="P777" s="14">
        <f>SI(O([@[Cumpli_Ingreso]]="";[@[Cumpli_Salida]]="");"";SI(Y([@[Cumpli_Ingreso]]="SÍ";[@[Cumpli_Salida]]="SÍ");"SÍ";"NO"))</f>
        <v/>
      </c>
      <c r="Q777" s="15">
        <f>SI(O([@[Fecha_Programada_Fin]]="";[@[Fecha_Cierre_Operativo]]="");"";MAX(0;ENTERO([@[Fecha_Cierre_Operativo]])-ENTERO(SI([@[Fecha_Nueva_Programada]]&lt;&gt;"";[@[Fecha_Nueva_Programada]];[@[Fecha_Programada_Fin]])))</f>
        <v/>
      </c>
      <c r="R777" s="12" t="n"/>
      <c r="S777" s="12" t="n"/>
      <c r="T777" s="13" t="n"/>
      <c r="U777" s="12" t="n">
        <v>17</v>
      </c>
      <c r="V777" s="12" t="n"/>
      <c r="W77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77" s="14">
        <f>SI([@SBAN]="";"";BUSCARV([@SBAN];Cronograma_Maestro!$A:$M;6;FALSO))</f>
        <v/>
      </c>
    </row>
    <row r="778">
      <c r="A778" s="11" t="inlineStr">
        <is>
          <t>8503</t>
        </is>
      </c>
      <c r="B778" s="12">
        <f>SI([@SBAN]="";"";BUSCARV([@SBAN];Cronograma_Maestro!$A:$M;2;FALSO))</f>
        <v/>
      </c>
      <c r="C778" s="12">
        <f>SI([@SBAN]="";"";BUSCARV([@SBAN];Cronograma_Maestro!$A:$M;3;FALSO))</f>
        <v/>
      </c>
      <c r="D778" s="12">
        <f>SI([@SBAN]="";"";BUSCARV([@SBAN];Cronograma_Maestro!$A:$M;4;FALSO))</f>
        <v/>
      </c>
      <c r="E778" s="12">
        <f>SI([@SBAN]="";"";BUSCARV([@SBAN];Cronograma_Maestro!$A:$M;5;FALSO))</f>
        <v/>
      </c>
      <c r="F778" s="12" t="inlineStr">
        <is>
          <t>SALOMON STIVEN OSORIO</t>
        </is>
      </c>
      <c r="G778" s="12" t="inlineStr">
        <is>
          <t>PMU COLSOF</t>
        </is>
      </c>
      <c r="H778" s="13" t="n">
        <v>46268</v>
      </c>
      <c r="I778" s="13" t="n">
        <v>46269</v>
      </c>
      <c r="J778" s="13" t="n"/>
      <c r="K778" s="13" t="n"/>
      <c r="L778" s="12" t="inlineStr">
        <is>
          <t>Programada</t>
        </is>
      </c>
      <c r="M778" s="13" t="n"/>
      <c r="N778" s="14">
        <f>SI(O([@[Fecha_Programada_Inicio]]="";[@[Fecha_Inicio_Real]]="");"";SI([@[Fecha_Inicio_Real]]&lt;=[@[Fecha_Programada_Inicio]];"SÍ";"NO"))</f>
        <v/>
      </c>
      <c r="O778" s="14">
        <f>SI(O([@[Fecha_Programada_Fin]]="";[@[Fecha_Cierre_Operativo]]="");"";SI([@[Fecha_Cierre_Operativo]]&lt;=SI([@[Fecha_Nueva_Programada]]&lt;&gt;"";[@[Fecha_Nueva_Programada]];[@[Fecha_Programada_Fin]]);"SÍ";"NO"))</f>
        <v/>
      </c>
      <c r="P778" s="14">
        <f>SI(O([@[Cumpli_Ingreso]]="";[@[Cumpli_Salida]]="");"";SI(Y([@[Cumpli_Ingreso]]="SÍ";[@[Cumpli_Salida]]="SÍ");"SÍ";"NO"))</f>
        <v/>
      </c>
      <c r="Q778" s="15">
        <f>SI(O([@[Fecha_Programada_Fin]]="";[@[Fecha_Cierre_Operativo]]="");"";MAX(0;ENTERO([@[Fecha_Cierre_Operativo]])-ENTERO(SI([@[Fecha_Nueva_Programada]]&lt;&gt;"";[@[Fecha_Nueva_Programada]];[@[Fecha_Programada_Fin]])))</f>
        <v/>
      </c>
      <c r="R778" s="12" t="n"/>
      <c r="S778" s="12" t="n"/>
      <c r="T778" s="13" t="n"/>
      <c r="U778" s="12" t="n">
        <v>13</v>
      </c>
      <c r="V778" s="12" t="n"/>
      <c r="W77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78" s="14">
        <f>SI([@SBAN]="";"";BUSCARV([@SBAN];Cronograma_Maestro!$A:$M;6;FALSO))</f>
        <v/>
      </c>
    </row>
    <row r="779">
      <c r="A779" s="11" t="inlineStr">
        <is>
          <t>8505</t>
        </is>
      </c>
      <c r="B779" s="12">
        <f>SI([@SBAN]="";"";BUSCARV([@SBAN];Cronograma_Maestro!$A:$M;2;FALSO))</f>
        <v/>
      </c>
      <c r="C779" s="12">
        <f>SI([@SBAN]="";"";BUSCARV([@SBAN];Cronograma_Maestro!$A:$M;3;FALSO))</f>
        <v/>
      </c>
      <c r="D779" s="12">
        <f>SI([@SBAN]="";"";BUSCARV([@SBAN];Cronograma_Maestro!$A:$M;4;FALSO))</f>
        <v/>
      </c>
      <c r="E779" s="12">
        <f>SI([@SBAN]="";"";BUSCARV([@SBAN];Cronograma_Maestro!$A:$M;5;FALSO))</f>
        <v/>
      </c>
      <c r="F779" s="12" t="inlineStr">
        <is>
          <t>Gerardo Vanegas</t>
        </is>
      </c>
      <c r="G779" s="12" t="inlineStr">
        <is>
          <t>PMU COLSOF</t>
        </is>
      </c>
      <c r="H779" s="13" t="n">
        <v>46267</v>
      </c>
      <c r="I779" s="13" t="n">
        <v>46274</v>
      </c>
      <c r="J779" s="13" t="n"/>
      <c r="K779" s="13" t="n"/>
      <c r="L779" s="12" t="inlineStr">
        <is>
          <t>Programada</t>
        </is>
      </c>
      <c r="M779" s="13" t="n"/>
      <c r="N779" s="14">
        <f>SI(O([@[Fecha_Programada_Inicio]]="";[@[Fecha_Inicio_Real]]="");"";SI([@[Fecha_Inicio_Real]]&lt;=[@[Fecha_Programada_Inicio]];"SÍ";"NO"))</f>
        <v/>
      </c>
      <c r="O779" s="14">
        <f>SI(O([@[Fecha_Programada_Fin]]="";[@[Fecha_Cierre_Operativo]]="");"";SI([@[Fecha_Cierre_Operativo]]&lt;=SI([@[Fecha_Nueva_Programada]]&lt;&gt;"";[@[Fecha_Nueva_Programada]];[@[Fecha_Programada_Fin]]);"SÍ";"NO"))</f>
        <v/>
      </c>
      <c r="P779" s="14">
        <f>SI(O([@[Cumpli_Ingreso]]="";[@[Cumpli_Salida]]="");"";SI(Y([@[Cumpli_Ingreso]]="SÍ";[@[Cumpli_Salida]]="SÍ");"SÍ";"NO"))</f>
        <v/>
      </c>
      <c r="Q779" s="15">
        <f>SI(O([@[Fecha_Programada_Fin]]="";[@[Fecha_Cierre_Operativo]]="");"";MAX(0;ENTERO([@[Fecha_Cierre_Operativo]])-ENTERO(SI([@[Fecha_Nueva_Programada]]&lt;&gt;"";[@[Fecha_Nueva_Programada]];[@[Fecha_Programada_Fin]])))</f>
        <v/>
      </c>
      <c r="R779" s="12" t="n"/>
      <c r="S779" s="12" t="n"/>
      <c r="T779" s="13" t="n"/>
      <c r="U779" s="12" t="n">
        <v>12</v>
      </c>
      <c r="V779" s="12" t="n"/>
      <c r="W77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79" s="14">
        <f>SI([@SBAN]="";"";BUSCARV([@SBAN];Cronograma_Maestro!$A:$M;6;FALSO))</f>
        <v/>
      </c>
    </row>
    <row r="780">
      <c r="A780" s="11" t="inlineStr">
        <is>
          <t>8510</t>
        </is>
      </c>
      <c r="B780" s="12">
        <f>SI([@SBAN]="";"";BUSCARV([@SBAN];Cronograma_Maestro!$A:$M;2;FALSO))</f>
        <v/>
      </c>
      <c r="C780" s="12">
        <f>SI([@SBAN]="";"";BUSCARV([@SBAN];Cronograma_Maestro!$A:$M;3;FALSO))</f>
        <v/>
      </c>
      <c r="D780" s="12">
        <f>SI([@SBAN]="";"";BUSCARV([@SBAN];Cronograma_Maestro!$A:$M;4;FALSO))</f>
        <v/>
      </c>
      <c r="E780" s="12">
        <f>SI([@SBAN]="";"";BUSCARV([@SBAN];Cronograma_Maestro!$A:$M;5;FALSO))</f>
        <v/>
      </c>
      <c r="F780" s="12" t="inlineStr">
        <is>
          <t>Andres Diaz</t>
        </is>
      </c>
      <c r="G780" s="12" t="inlineStr">
        <is>
          <t>PMU COLSOF</t>
        </is>
      </c>
      <c r="H780" s="13" t="n">
        <v>46266</v>
      </c>
      <c r="I780" s="13" t="n">
        <v>46272</v>
      </c>
      <c r="J780" s="13" t="n">
        <v>46266</v>
      </c>
      <c r="K780" s="13" t="n"/>
      <c r="L780" s="12" t="inlineStr">
        <is>
          <t>En Proceso</t>
        </is>
      </c>
      <c r="M780" s="13" t="n"/>
      <c r="N780" s="14">
        <f>SI(O([@[Fecha_Programada_Inicio]]="";[@[Fecha_Inicio_Real]]="");"";SI([@[Fecha_Inicio_Real]]&lt;=[@[Fecha_Programada_Inicio]];"SÍ";"NO"))</f>
        <v/>
      </c>
      <c r="O780" s="14">
        <f>SI(O([@[Fecha_Programada_Fin]]="";[@[Fecha_Cierre_Operativo]]="");"";SI([@[Fecha_Cierre_Operativo]]&lt;=SI([@[Fecha_Nueva_Programada]]&lt;&gt;"";[@[Fecha_Nueva_Programada]];[@[Fecha_Programada_Fin]]);"SÍ";"NO"))</f>
        <v/>
      </c>
      <c r="P780" s="14">
        <f>SI(O([@[Cumpli_Ingreso]]="";[@[Cumpli_Salida]]="");"";SI(Y([@[Cumpli_Ingreso]]="SÍ";[@[Cumpli_Salida]]="SÍ");"SÍ";"NO"))</f>
        <v/>
      </c>
      <c r="Q780" s="15">
        <f>SI(O([@[Fecha_Programada_Fin]]="";[@[Fecha_Cierre_Operativo]]="");"";MAX(0;ENTERO([@[Fecha_Cierre_Operativo]])-ENTERO(SI([@[Fecha_Nueva_Programada]]&lt;&gt;"";[@[Fecha_Nueva_Programada]];[@[Fecha_Programada_Fin]])))</f>
        <v/>
      </c>
      <c r="R780" s="12" t="n"/>
      <c r="S780" s="12" t="n"/>
      <c r="T780" s="13" t="n"/>
      <c r="U780" s="12" t="n">
        <v>15</v>
      </c>
      <c r="V780" s="12" t="n"/>
      <c r="W78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80" s="14">
        <f>SI([@SBAN]="";"";BUSCARV([@SBAN];Cronograma_Maestro!$A:$M;6;FALSO))</f>
        <v/>
      </c>
    </row>
    <row r="781">
      <c r="A781" s="11" t="inlineStr">
        <is>
          <t>8520</t>
        </is>
      </c>
      <c r="B781" s="12">
        <f>SI([@SBAN]="";"";BUSCARV([@SBAN];Cronograma_Maestro!$A:$M;2;FALSO))</f>
        <v/>
      </c>
      <c r="C781" s="12">
        <f>SI([@SBAN]="";"";BUSCARV([@SBAN];Cronograma_Maestro!$A:$M;3;FALSO))</f>
        <v/>
      </c>
      <c r="D781" s="12">
        <f>SI([@SBAN]="";"";BUSCARV([@SBAN];Cronograma_Maestro!$A:$M;4;FALSO))</f>
        <v/>
      </c>
      <c r="E781" s="12">
        <f>SI([@SBAN]="";"";BUSCARV([@SBAN];Cronograma_Maestro!$A:$M;5;FALSO))</f>
        <v/>
      </c>
      <c r="F781" s="12" t="inlineStr">
        <is>
          <t>Andres Diaz</t>
        </is>
      </c>
      <c r="G781" s="12" t="inlineStr">
        <is>
          <t>PMU COLSOF</t>
        </is>
      </c>
      <c r="H781" s="13" t="n">
        <v>46280</v>
      </c>
      <c r="I781" s="13" t="n">
        <v>46283</v>
      </c>
      <c r="J781" s="13" t="n"/>
      <c r="K781" s="13" t="n"/>
      <c r="L781" s="12" t="inlineStr">
        <is>
          <t>Programada</t>
        </is>
      </c>
      <c r="M781" s="13" t="n"/>
      <c r="N781" s="14">
        <f>SI(O([@[Fecha_Programada_Inicio]]="";[@[Fecha_Inicio_Real]]="");"";SI([@[Fecha_Inicio_Real]]&lt;=[@[Fecha_Programada_Inicio]];"SÍ";"NO"))</f>
        <v/>
      </c>
      <c r="O781" s="14">
        <f>SI(O([@[Fecha_Programada_Fin]]="";[@[Fecha_Cierre_Operativo]]="");"";SI([@[Fecha_Cierre_Operativo]]&lt;=SI([@[Fecha_Nueva_Programada]]&lt;&gt;"";[@[Fecha_Nueva_Programada]];[@[Fecha_Programada_Fin]]);"SÍ";"NO"))</f>
        <v/>
      </c>
      <c r="P781" s="14">
        <f>SI(O([@[Cumpli_Ingreso]]="";[@[Cumpli_Salida]]="");"";SI(Y([@[Cumpli_Ingreso]]="SÍ";[@[Cumpli_Salida]]="SÍ");"SÍ";"NO"))</f>
        <v/>
      </c>
      <c r="Q781" s="15">
        <f>SI(O([@[Fecha_Programada_Fin]]="";[@[Fecha_Cierre_Operativo]]="");"";MAX(0;ENTERO([@[Fecha_Cierre_Operativo]])-ENTERO(SI([@[Fecha_Nueva_Programada]]&lt;&gt;"";[@[Fecha_Nueva_Programada]];[@[Fecha_Programada_Fin]])))</f>
        <v/>
      </c>
      <c r="R781" s="12" t="n"/>
      <c r="S781" s="12" t="n"/>
      <c r="T781" s="13" t="n"/>
      <c r="U781" s="12" t="n">
        <v>12</v>
      </c>
      <c r="V781" s="12" t="n"/>
      <c r="W78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81" s="14">
        <f>SI([@SBAN]="";"";BUSCARV([@SBAN];Cronograma_Maestro!$A:$M;6;FALSO))</f>
        <v/>
      </c>
    </row>
    <row r="782">
      <c r="A782" s="11" t="inlineStr">
        <is>
          <t>8601</t>
        </is>
      </c>
      <c r="B782" s="12">
        <f>SI([@SBAN]="";"";BUSCARV([@SBAN];Cronograma_Maestro!$A:$M;2;FALSO))</f>
        <v/>
      </c>
      <c r="C782" s="12">
        <f>SI([@SBAN]="";"";BUSCARV([@SBAN];Cronograma_Maestro!$A:$M;3;FALSO))</f>
        <v/>
      </c>
      <c r="D782" s="12">
        <f>SI([@SBAN]="";"";BUSCARV([@SBAN];Cronograma_Maestro!$A:$M;4;FALSO))</f>
        <v/>
      </c>
      <c r="E782" s="12">
        <f>SI([@SBAN]="";"";BUSCARV([@SBAN];Cronograma_Maestro!$A:$M;5;FALSO))</f>
        <v/>
      </c>
      <c r="F782" s="12" t="inlineStr">
        <is>
          <t>Juan Sebastian Lopez Acevedo</t>
        </is>
      </c>
      <c r="G782" s="12" t="inlineStr">
        <is>
          <t>PMU COLSOF</t>
        </is>
      </c>
      <c r="H782" s="13" t="n">
        <v>46272</v>
      </c>
      <c r="I782" s="13" t="n">
        <v>46273</v>
      </c>
      <c r="J782" s="13" t="n"/>
      <c r="K782" s="13" t="n"/>
      <c r="L782" s="12" t="inlineStr">
        <is>
          <t>Programada</t>
        </is>
      </c>
      <c r="M782" s="13" t="n"/>
      <c r="N782" s="14">
        <f>SI(O([@[Fecha_Programada_Inicio]]="";[@[Fecha_Inicio_Real]]="");"";SI([@[Fecha_Inicio_Real]]&lt;=[@[Fecha_Programada_Inicio]];"SÍ";"NO"))</f>
        <v/>
      </c>
      <c r="O782" s="14">
        <f>SI(O([@[Fecha_Programada_Fin]]="";[@[Fecha_Cierre_Operativo]]="");"";SI([@[Fecha_Cierre_Operativo]]&lt;=SI([@[Fecha_Nueva_Programada]]&lt;&gt;"";[@[Fecha_Nueva_Programada]];[@[Fecha_Programada_Fin]]);"SÍ";"NO"))</f>
        <v/>
      </c>
      <c r="P782" s="14">
        <f>SI(O([@[Cumpli_Ingreso]]="";[@[Cumpli_Salida]]="");"";SI(Y([@[Cumpli_Ingreso]]="SÍ";[@[Cumpli_Salida]]="SÍ");"SÍ";"NO"))</f>
        <v/>
      </c>
      <c r="Q782" s="15">
        <f>SI(O([@[Fecha_Programada_Fin]]="";[@[Fecha_Cierre_Operativo]]="");"";MAX(0;ENTERO([@[Fecha_Cierre_Operativo]])-ENTERO(SI([@[Fecha_Nueva_Programada]]&lt;&gt;"";[@[Fecha_Nueva_Programada]];[@[Fecha_Programada_Fin]])))</f>
        <v/>
      </c>
      <c r="R782" s="12" t="n"/>
      <c r="S782" s="12" t="n"/>
      <c r="T782" s="13" t="n"/>
      <c r="U782" s="12" t="n">
        <v>20</v>
      </c>
      <c r="V782" s="12" t="n"/>
      <c r="W78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82" s="14">
        <f>SI([@SBAN]="";"";BUSCARV([@SBAN];Cronograma_Maestro!$A:$M;6;FALSO))</f>
        <v/>
      </c>
    </row>
    <row r="783">
      <c r="A783" s="11" t="inlineStr">
        <is>
          <t>8603</t>
        </is>
      </c>
      <c r="B783" s="12">
        <f>SI([@SBAN]="";"";BUSCARV([@SBAN];Cronograma_Maestro!$A:$M;2;FALSO))</f>
        <v/>
      </c>
      <c r="C783" s="12">
        <f>SI([@SBAN]="";"";BUSCARV([@SBAN];Cronograma_Maestro!$A:$M;3;FALSO))</f>
        <v/>
      </c>
      <c r="D783" s="12">
        <f>SI([@SBAN]="";"";BUSCARV([@SBAN];Cronograma_Maestro!$A:$M;4;FALSO))</f>
        <v/>
      </c>
      <c r="E783" s="12">
        <f>SI([@SBAN]="";"";BUSCARV([@SBAN];Cronograma_Maestro!$A:$M;5;FALSO))</f>
        <v/>
      </c>
      <c r="F783" s="12" t="inlineStr">
        <is>
          <t>Juan Sebastian Lopez Acevedo</t>
        </is>
      </c>
      <c r="G783" s="12" t="inlineStr">
        <is>
          <t>PMU COLSOF</t>
        </is>
      </c>
      <c r="H783" s="13" t="n">
        <v>46267</v>
      </c>
      <c r="I783" s="13" t="n">
        <v>46269</v>
      </c>
      <c r="J783" s="13" t="n"/>
      <c r="K783" s="13" t="n"/>
      <c r="L783" s="12" t="inlineStr">
        <is>
          <t>Programada</t>
        </is>
      </c>
      <c r="M783" s="13" t="n"/>
      <c r="N783" s="14">
        <f>SI(O([@[Fecha_Programada_Inicio]]="";[@[Fecha_Inicio_Real]]="");"";SI([@[Fecha_Inicio_Real]]&lt;=[@[Fecha_Programada_Inicio]];"SÍ";"NO"))</f>
        <v/>
      </c>
      <c r="O783" s="14">
        <f>SI(O([@[Fecha_Programada_Fin]]="";[@[Fecha_Cierre_Operativo]]="");"";SI([@[Fecha_Cierre_Operativo]]&lt;=SI([@[Fecha_Nueva_Programada]]&lt;&gt;"";[@[Fecha_Nueva_Programada]];[@[Fecha_Programada_Fin]]);"SÍ";"NO"))</f>
        <v/>
      </c>
      <c r="P783" s="14">
        <f>SI(O([@[Cumpli_Ingreso]]="";[@[Cumpli_Salida]]="");"";SI(Y([@[Cumpli_Ingreso]]="SÍ";[@[Cumpli_Salida]]="SÍ");"SÍ";"NO"))</f>
        <v/>
      </c>
      <c r="Q783" s="15">
        <f>SI(O([@[Fecha_Programada_Fin]]="";[@[Fecha_Cierre_Operativo]]="");"";MAX(0;ENTERO([@[Fecha_Cierre_Operativo]])-ENTERO(SI([@[Fecha_Nueva_Programada]]&lt;&gt;"";[@[Fecha_Nueva_Programada]];[@[Fecha_Programada_Fin]])))</f>
        <v/>
      </c>
      <c r="R783" s="12" t="n"/>
      <c r="S783" s="12" t="n"/>
      <c r="T783" s="13" t="n"/>
      <c r="U783" s="12" t="n">
        <v>49</v>
      </c>
      <c r="V783" s="12" t="n"/>
      <c r="W78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83" s="14">
        <f>SI([@SBAN]="";"";BUSCARV([@SBAN];Cronograma_Maestro!$A:$M;6;FALSO))</f>
        <v/>
      </c>
    </row>
    <row r="784">
      <c r="A784" s="11" t="inlineStr">
        <is>
          <t>8610</t>
        </is>
      </c>
      <c r="B784" s="12">
        <f>SI([@SBAN]="";"";BUSCARV([@SBAN];Cronograma_Maestro!$A:$M;2;FALSO))</f>
        <v/>
      </c>
      <c r="C784" s="12">
        <f>SI([@SBAN]="";"";BUSCARV([@SBAN];Cronograma_Maestro!$A:$M;3;FALSO))</f>
        <v/>
      </c>
      <c r="D784" s="12">
        <f>SI([@SBAN]="";"";BUSCARV([@SBAN];Cronograma_Maestro!$A:$M;4;FALSO))</f>
        <v/>
      </c>
      <c r="E784" s="12">
        <f>SI([@SBAN]="";"";BUSCARV([@SBAN];Cronograma_Maestro!$A:$M;5;FALSO))</f>
        <v/>
      </c>
      <c r="F784" s="12" t="inlineStr">
        <is>
          <t>Juan Sebastian Lopez Acevedo</t>
        </is>
      </c>
      <c r="G784" s="12" t="inlineStr">
        <is>
          <t>PMU COLSOF</t>
        </is>
      </c>
      <c r="H784" s="13" t="n">
        <v>46300</v>
      </c>
      <c r="I784" s="13" t="n">
        <v>46301</v>
      </c>
      <c r="J784" s="13" t="n"/>
      <c r="K784" s="13" t="n"/>
      <c r="L784" s="12" t="inlineStr">
        <is>
          <t>Programada</t>
        </is>
      </c>
      <c r="M784" s="13" t="n"/>
      <c r="N784" s="14">
        <f>SI(O([@[Fecha_Programada_Inicio]]="";[@[Fecha_Inicio_Real]]="");"";SI([@[Fecha_Inicio_Real]]&lt;=[@[Fecha_Programada_Inicio]];"SÍ";"NO"))</f>
        <v/>
      </c>
      <c r="O784" s="14">
        <f>SI(O([@[Fecha_Programada_Fin]]="";[@[Fecha_Cierre_Operativo]]="");"";SI([@[Fecha_Cierre_Operativo]]&lt;=SI([@[Fecha_Nueva_Programada]]&lt;&gt;"";[@[Fecha_Nueva_Programada]];[@[Fecha_Programada_Fin]]);"SÍ";"NO"))</f>
        <v/>
      </c>
      <c r="P784" s="14">
        <f>SI(O([@[Cumpli_Ingreso]]="";[@[Cumpli_Salida]]="");"";SI(Y([@[Cumpli_Ingreso]]="SÍ";[@[Cumpli_Salida]]="SÍ");"SÍ";"NO"))</f>
        <v/>
      </c>
      <c r="Q784" s="15">
        <f>SI(O([@[Fecha_Programada_Fin]]="";[@[Fecha_Cierre_Operativo]]="");"";MAX(0;ENTERO([@[Fecha_Cierre_Operativo]])-ENTERO(SI([@[Fecha_Nueva_Programada]]&lt;&gt;"";[@[Fecha_Nueva_Programada]];[@[Fecha_Programada_Fin]])))</f>
        <v/>
      </c>
      <c r="R784" s="12" t="n"/>
      <c r="S784" s="12" t="n"/>
      <c r="T784" s="13" t="n"/>
      <c r="U784" s="12" t="n">
        <v>16</v>
      </c>
      <c r="V784" s="12" t="n"/>
      <c r="W78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84" s="14">
        <f>SI([@SBAN]="";"";BUSCARV([@SBAN];Cronograma_Maestro!$A:$M;6;FALSO))</f>
        <v/>
      </c>
    </row>
    <row r="785">
      <c r="A785" s="11" t="inlineStr">
        <is>
          <t>8615</t>
        </is>
      </c>
      <c r="B785" s="12">
        <f>SI([@SBAN]="";"";BUSCARV([@SBAN];Cronograma_Maestro!$A:$M;2;FALSO))</f>
        <v/>
      </c>
      <c r="C785" s="12">
        <f>SI([@SBAN]="";"";BUSCARV([@SBAN];Cronograma_Maestro!$A:$M;3;FALSO))</f>
        <v/>
      </c>
      <c r="D785" s="12">
        <f>SI([@SBAN]="";"";BUSCARV([@SBAN];Cronograma_Maestro!$A:$M;4;FALSO))</f>
        <v/>
      </c>
      <c r="E785" s="12">
        <f>SI([@SBAN]="";"";BUSCARV([@SBAN];Cronograma_Maestro!$A:$M;5;FALSO))</f>
        <v/>
      </c>
      <c r="F785" s="12" t="inlineStr">
        <is>
          <t>Juan Sebastian Lopez Acevedo</t>
        </is>
      </c>
      <c r="G785" s="12" t="inlineStr">
        <is>
          <t>PMU COLSOF</t>
        </is>
      </c>
      <c r="H785" s="13" t="n">
        <v>46280</v>
      </c>
      <c r="I785" s="13" t="n">
        <v>46281</v>
      </c>
      <c r="J785" s="13" t="n"/>
      <c r="K785" s="13" t="n"/>
      <c r="L785" s="12" t="inlineStr">
        <is>
          <t>Programada</t>
        </is>
      </c>
      <c r="M785" s="13" t="n"/>
      <c r="N785" s="14">
        <f>SI(O([@[Fecha_Programada_Inicio]]="";[@[Fecha_Inicio_Real]]="");"";SI([@[Fecha_Inicio_Real]]&lt;=[@[Fecha_Programada_Inicio]];"SÍ";"NO"))</f>
        <v/>
      </c>
      <c r="O785" s="14">
        <f>SI(O([@[Fecha_Programada_Fin]]="";[@[Fecha_Cierre_Operativo]]="");"";SI([@[Fecha_Cierre_Operativo]]&lt;=SI([@[Fecha_Nueva_Programada]]&lt;&gt;"";[@[Fecha_Nueva_Programada]];[@[Fecha_Programada_Fin]]);"SÍ";"NO"))</f>
        <v/>
      </c>
      <c r="P785" s="14">
        <f>SI(O([@[Cumpli_Ingreso]]="";[@[Cumpli_Salida]]="");"";SI(Y([@[Cumpli_Ingreso]]="SÍ";[@[Cumpli_Salida]]="SÍ");"SÍ";"NO"))</f>
        <v/>
      </c>
      <c r="Q785" s="15">
        <f>SI(O([@[Fecha_Programada_Fin]]="";[@[Fecha_Cierre_Operativo]]="");"";MAX(0;ENTERO([@[Fecha_Cierre_Operativo]])-ENTERO(SI([@[Fecha_Nueva_Programada]]&lt;&gt;"";[@[Fecha_Nueva_Programada]];[@[Fecha_Programada_Fin]])))</f>
        <v/>
      </c>
      <c r="R785" s="12" t="n"/>
      <c r="S785" s="12" t="n"/>
      <c r="T785" s="13" t="n"/>
      <c r="U785" s="12" t="n">
        <v>17</v>
      </c>
      <c r="V785" s="12" t="n"/>
      <c r="W78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85" s="14">
        <f>SI([@SBAN]="";"";BUSCARV([@SBAN];Cronograma_Maestro!$A:$M;6;FALSO))</f>
        <v/>
      </c>
    </row>
    <row r="786">
      <c r="A786" s="11" t="inlineStr">
        <is>
          <t>8620</t>
        </is>
      </c>
      <c r="B786" s="12">
        <f>SI([@SBAN]="";"";BUSCARV([@SBAN];Cronograma_Maestro!$A:$M;2;FALSO))</f>
        <v/>
      </c>
      <c r="C786" s="12">
        <f>SI([@SBAN]="";"";BUSCARV([@SBAN];Cronograma_Maestro!$A:$M;3;FALSO))</f>
        <v/>
      </c>
      <c r="D786" s="12">
        <f>SI([@SBAN]="";"";BUSCARV([@SBAN];Cronograma_Maestro!$A:$M;4;FALSO))</f>
        <v/>
      </c>
      <c r="E786" s="12">
        <f>SI([@SBAN]="";"";BUSCARV([@SBAN];Cronograma_Maestro!$A:$M;5;FALSO))</f>
        <v/>
      </c>
      <c r="F786" s="12" t="inlineStr">
        <is>
          <t>Juan Sebastian Lopez Acevedo</t>
        </is>
      </c>
      <c r="G786" s="12" t="inlineStr">
        <is>
          <t>PMU COLSOF</t>
        </is>
      </c>
      <c r="H786" s="13" t="n">
        <v>46302</v>
      </c>
      <c r="I786" s="13" t="n">
        <v>46303</v>
      </c>
      <c r="J786" s="13" t="n"/>
      <c r="K786" s="13" t="n"/>
      <c r="L786" s="12" t="inlineStr">
        <is>
          <t>Programada</t>
        </is>
      </c>
      <c r="M786" s="13" t="n"/>
      <c r="N786" s="14">
        <f>SI(O([@[Fecha_Programada_Inicio]]="";[@[Fecha_Inicio_Real]]="");"";SI([@[Fecha_Inicio_Real]]&lt;=[@[Fecha_Programada_Inicio]];"SÍ";"NO"))</f>
        <v/>
      </c>
      <c r="O786" s="14">
        <f>SI(O([@[Fecha_Programada_Fin]]="";[@[Fecha_Cierre_Operativo]]="");"";SI([@[Fecha_Cierre_Operativo]]&lt;=SI([@[Fecha_Nueva_Programada]]&lt;&gt;"";[@[Fecha_Nueva_Programada]];[@[Fecha_Programada_Fin]]);"SÍ";"NO"))</f>
        <v/>
      </c>
      <c r="P786" s="14">
        <f>SI(O([@[Cumpli_Ingreso]]="";[@[Cumpli_Salida]]="");"";SI(Y([@[Cumpli_Ingreso]]="SÍ";[@[Cumpli_Salida]]="SÍ");"SÍ";"NO"))</f>
        <v/>
      </c>
      <c r="Q786" s="15">
        <f>SI(O([@[Fecha_Programada_Fin]]="";[@[Fecha_Cierre_Operativo]]="");"";MAX(0;ENTERO([@[Fecha_Cierre_Operativo]])-ENTERO(SI([@[Fecha_Nueva_Programada]]&lt;&gt;"";[@[Fecha_Nueva_Programada]];[@[Fecha_Programada_Fin]])))</f>
        <v/>
      </c>
      <c r="R786" s="12" t="n"/>
      <c r="S786" s="12" t="n"/>
      <c r="T786" s="13" t="n"/>
      <c r="U786" s="12" t="n">
        <v>18</v>
      </c>
      <c r="V786" s="12" t="n"/>
      <c r="W78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86" s="14">
        <f>SI([@SBAN]="";"";BUSCARV([@SBAN];Cronograma_Maestro!$A:$M;6;FALSO))</f>
        <v/>
      </c>
    </row>
    <row r="787">
      <c r="A787" s="11" t="inlineStr">
        <is>
          <t>8623</t>
        </is>
      </c>
      <c r="B787" s="12">
        <f>SI([@SBAN]="";"";BUSCARV([@SBAN];Cronograma_Maestro!$A:$M;2;FALSO))</f>
        <v/>
      </c>
      <c r="C787" s="12">
        <f>SI([@SBAN]="";"";BUSCARV([@SBAN];Cronograma_Maestro!$A:$M;3;FALSO))</f>
        <v/>
      </c>
      <c r="D787" s="12">
        <f>SI([@SBAN]="";"";BUSCARV([@SBAN];Cronograma_Maestro!$A:$M;4;FALSO))</f>
        <v/>
      </c>
      <c r="E787" s="12">
        <f>SI([@SBAN]="";"";BUSCARV([@SBAN];Cronograma_Maestro!$A:$M;5;FALSO))</f>
        <v/>
      </c>
      <c r="F787" s="12" t="inlineStr">
        <is>
          <t>Juan Sebastian Lopez Acevedo</t>
        </is>
      </c>
      <c r="G787" s="12" t="inlineStr">
        <is>
          <t>PMU COLSOF</t>
        </is>
      </c>
      <c r="H787" s="13" t="n">
        <v>46274</v>
      </c>
      <c r="I787" s="13" t="n">
        <v>46275</v>
      </c>
      <c r="J787" s="13" t="n"/>
      <c r="K787" s="13" t="n"/>
      <c r="L787" s="12" t="inlineStr">
        <is>
          <t>Programada</t>
        </is>
      </c>
      <c r="M787" s="13" t="n"/>
      <c r="N787" s="14">
        <f>SI(O([@[Fecha_Programada_Inicio]]="";[@[Fecha_Inicio_Real]]="");"";SI([@[Fecha_Inicio_Real]]&lt;=[@[Fecha_Programada_Inicio]];"SÍ";"NO"))</f>
        <v/>
      </c>
      <c r="O787" s="14">
        <f>SI(O([@[Fecha_Programada_Fin]]="";[@[Fecha_Cierre_Operativo]]="");"";SI([@[Fecha_Cierre_Operativo]]&lt;=SI([@[Fecha_Nueva_Programada]]&lt;&gt;"";[@[Fecha_Nueva_Programada]];[@[Fecha_Programada_Fin]]);"SÍ";"NO"))</f>
        <v/>
      </c>
      <c r="P787" s="14">
        <f>SI(O([@[Cumpli_Ingreso]]="";[@[Cumpli_Salida]]="");"";SI(Y([@[Cumpli_Ingreso]]="SÍ";[@[Cumpli_Salida]]="SÍ");"SÍ";"NO"))</f>
        <v/>
      </c>
      <c r="Q787" s="15">
        <f>SI(O([@[Fecha_Programada_Fin]]="";[@[Fecha_Cierre_Operativo]]="");"";MAX(0;ENTERO([@[Fecha_Cierre_Operativo]])-ENTERO(SI([@[Fecha_Nueva_Programada]]&lt;&gt;"";[@[Fecha_Nueva_Programada]];[@[Fecha_Programada_Fin]])))</f>
        <v/>
      </c>
      <c r="R787" s="12" t="n"/>
      <c r="S787" s="12" t="n"/>
      <c r="T787" s="13" t="n"/>
      <c r="U787" s="12" t="n">
        <v>14</v>
      </c>
      <c r="V787" s="12" t="n"/>
      <c r="W78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87" s="14">
        <f>SI([@SBAN]="";"";BUSCARV([@SBAN];Cronograma_Maestro!$A:$M;6;FALSO))</f>
        <v/>
      </c>
    </row>
    <row r="788">
      <c r="A788" s="11" t="inlineStr">
        <is>
          <t>8630</t>
        </is>
      </c>
      <c r="B788" s="12">
        <f>SI([@SBAN]="";"";BUSCARV([@SBAN];Cronograma_Maestro!$A:$M;2;FALSO))</f>
        <v/>
      </c>
      <c r="C788" s="12">
        <f>SI([@SBAN]="";"";BUSCARV([@SBAN];Cronograma_Maestro!$A:$M;3;FALSO))</f>
        <v/>
      </c>
      <c r="D788" s="12">
        <f>SI([@SBAN]="";"";BUSCARV([@SBAN];Cronograma_Maestro!$A:$M;4;FALSO))</f>
        <v/>
      </c>
      <c r="E788" s="12">
        <f>SI([@SBAN]="";"";BUSCARV([@SBAN];Cronograma_Maestro!$A:$M;5;FALSO))</f>
        <v/>
      </c>
      <c r="F788" s="12" t="inlineStr">
        <is>
          <t>Juan Sebastian Lopez Acevedo</t>
        </is>
      </c>
      <c r="G788" s="12" t="inlineStr">
        <is>
          <t>PMU COLSOF</t>
        </is>
      </c>
      <c r="H788" s="13" t="n">
        <v>46294</v>
      </c>
      <c r="I788" s="13" t="n">
        <v>46295</v>
      </c>
      <c r="J788" s="13" t="n"/>
      <c r="K788" s="13" t="n"/>
      <c r="L788" s="12" t="inlineStr">
        <is>
          <t>Programada</t>
        </is>
      </c>
      <c r="M788" s="13" t="n"/>
      <c r="N788" s="14">
        <f>SI(O([@[Fecha_Programada_Inicio]]="";[@[Fecha_Inicio_Real]]="");"";SI([@[Fecha_Inicio_Real]]&lt;=[@[Fecha_Programada_Inicio]];"SÍ";"NO"))</f>
        <v/>
      </c>
      <c r="O788" s="14">
        <f>SI(O([@[Fecha_Programada_Fin]]="";[@[Fecha_Cierre_Operativo]]="");"";SI([@[Fecha_Cierre_Operativo]]&lt;=SI([@[Fecha_Nueva_Programada]]&lt;&gt;"";[@[Fecha_Nueva_Programada]];[@[Fecha_Programada_Fin]]);"SÍ";"NO"))</f>
        <v/>
      </c>
      <c r="P788" s="14">
        <f>SI(O([@[Cumpli_Ingreso]]="";[@[Cumpli_Salida]]="");"";SI(Y([@[Cumpli_Ingreso]]="SÍ";[@[Cumpli_Salida]]="SÍ");"SÍ";"NO"))</f>
        <v/>
      </c>
      <c r="Q788" s="15">
        <f>SI(O([@[Fecha_Programada_Fin]]="";[@[Fecha_Cierre_Operativo]]="");"";MAX(0;ENTERO([@[Fecha_Cierre_Operativo]])-ENTERO(SI([@[Fecha_Nueva_Programada]]&lt;&gt;"";[@[Fecha_Nueva_Programada]];[@[Fecha_Programada_Fin]])))</f>
        <v/>
      </c>
      <c r="R788" s="12" t="n"/>
      <c r="S788" s="12" t="n"/>
      <c r="T788" s="13" t="n"/>
      <c r="U788" s="12" t="n">
        <v>14</v>
      </c>
      <c r="V788" s="12" t="n"/>
      <c r="W78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88" s="14">
        <f>SI([@SBAN]="";"";BUSCARV([@SBAN];Cronograma_Maestro!$A:$M;6;FALSO))</f>
        <v/>
      </c>
    </row>
    <row r="789">
      <c r="A789" s="11" t="inlineStr">
        <is>
          <t>8635</t>
        </is>
      </c>
      <c r="B789" s="12">
        <f>SI([@SBAN]="";"";BUSCARV([@SBAN];Cronograma_Maestro!$A:$M;2;FALSO))</f>
        <v/>
      </c>
      <c r="C789" s="12">
        <f>SI([@SBAN]="";"";BUSCARV([@SBAN];Cronograma_Maestro!$A:$M;3;FALSO))</f>
        <v/>
      </c>
      <c r="D789" s="12">
        <f>SI([@SBAN]="";"";BUSCARV([@SBAN];Cronograma_Maestro!$A:$M;4;FALSO))</f>
        <v/>
      </c>
      <c r="E789" s="12">
        <f>SI([@SBAN]="";"";BUSCARV([@SBAN];Cronograma_Maestro!$A:$M;5;FALSO))</f>
        <v/>
      </c>
      <c r="F789" s="12" t="inlineStr">
        <is>
          <t>Nelson Leonardo Paez Suarez</t>
        </is>
      </c>
      <c r="G789" s="12" t="inlineStr">
        <is>
          <t>PMU COLSOF</t>
        </is>
      </c>
      <c r="H789" s="13" t="n">
        <v>46280</v>
      </c>
      <c r="I789" s="13" t="n">
        <v>46280</v>
      </c>
      <c r="J789" s="13" t="n"/>
      <c r="K789" s="13" t="n"/>
      <c r="L789" s="12" t="inlineStr">
        <is>
          <t>Programada</t>
        </is>
      </c>
      <c r="M789" s="13" t="n"/>
      <c r="N789" s="14">
        <f>SI(O([@[Fecha_Programada_Inicio]]="";[@[Fecha_Inicio_Real]]="");"";SI([@[Fecha_Inicio_Real]]&lt;=[@[Fecha_Programada_Inicio]];"SÍ";"NO"))</f>
        <v/>
      </c>
      <c r="O789" s="14">
        <f>SI(O([@[Fecha_Programada_Fin]]="";[@[Fecha_Cierre_Operativo]]="");"";SI([@[Fecha_Cierre_Operativo]]&lt;=SI([@[Fecha_Nueva_Programada]]&lt;&gt;"";[@[Fecha_Nueva_Programada]];[@[Fecha_Programada_Fin]]);"SÍ";"NO"))</f>
        <v/>
      </c>
      <c r="P789" s="14">
        <f>SI(O([@[Cumpli_Ingreso]]="";[@[Cumpli_Salida]]="");"";SI(Y([@[Cumpli_Ingreso]]="SÍ";[@[Cumpli_Salida]]="SÍ");"SÍ";"NO"))</f>
        <v/>
      </c>
      <c r="Q789" s="15">
        <f>SI(O([@[Fecha_Programada_Fin]]="";[@[Fecha_Cierre_Operativo]]="");"";MAX(0;ENTERO([@[Fecha_Cierre_Operativo]])-ENTERO(SI([@[Fecha_Nueva_Programada]]&lt;&gt;"";[@[Fecha_Nueva_Programada]];[@[Fecha_Programada_Fin]])))</f>
        <v/>
      </c>
      <c r="R789" s="12" t="n"/>
      <c r="S789" s="12" t="n"/>
      <c r="T789" s="13" t="n"/>
      <c r="U789" s="12" t="n">
        <v>14</v>
      </c>
      <c r="V789" s="12" t="n"/>
      <c r="W78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89" s="14">
        <f>SI([@SBAN]="";"";BUSCARV([@SBAN];Cronograma_Maestro!$A:$M;6;FALSO))</f>
        <v/>
      </c>
    </row>
    <row r="790">
      <c r="A790" s="11" t="inlineStr">
        <is>
          <t>8640</t>
        </is>
      </c>
      <c r="B790" s="12">
        <f>SI([@SBAN]="";"";BUSCARV([@SBAN];Cronograma_Maestro!$A:$M;2;FALSO))</f>
        <v/>
      </c>
      <c r="C790" s="12">
        <f>SI([@SBAN]="";"";BUSCARV([@SBAN];Cronograma_Maestro!$A:$M;3;FALSO))</f>
        <v/>
      </c>
      <c r="D790" s="12">
        <f>SI([@SBAN]="";"";BUSCARV([@SBAN];Cronograma_Maestro!$A:$M;4;FALSO))</f>
        <v/>
      </c>
      <c r="E790" s="12">
        <f>SI([@SBAN]="";"";BUSCARV([@SBAN];Cronograma_Maestro!$A:$M;5;FALSO))</f>
        <v/>
      </c>
      <c r="F790" s="12" t="inlineStr">
        <is>
          <t>Juan Sebastian Lopez Acevedo</t>
        </is>
      </c>
      <c r="G790" s="12" t="inlineStr">
        <is>
          <t>PMU COLSOF</t>
        </is>
      </c>
      <c r="H790" s="13" t="n">
        <v>46304</v>
      </c>
      <c r="I790" s="13" t="n">
        <v>46308</v>
      </c>
      <c r="J790" s="13" t="n"/>
      <c r="K790" s="13" t="n"/>
      <c r="L790" s="12" t="inlineStr">
        <is>
          <t>Programada</t>
        </is>
      </c>
      <c r="M790" s="13" t="n"/>
      <c r="N790" s="14">
        <f>SI(O([@[Fecha_Programada_Inicio]]="";[@[Fecha_Inicio_Real]]="");"";SI([@[Fecha_Inicio_Real]]&lt;=[@[Fecha_Programada_Inicio]];"SÍ";"NO"))</f>
        <v/>
      </c>
      <c r="O790" s="14">
        <f>SI(O([@[Fecha_Programada_Fin]]="";[@[Fecha_Cierre_Operativo]]="");"";SI([@[Fecha_Cierre_Operativo]]&lt;=SI([@[Fecha_Nueva_Programada]]&lt;&gt;"";[@[Fecha_Nueva_Programada]];[@[Fecha_Programada_Fin]]);"SÍ";"NO"))</f>
        <v/>
      </c>
      <c r="P790" s="14">
        <f>SI(O([@[Cumpli_Ingreso]]="";[@[Cumpli_Salida]]="");"";SI(Y([@[Cumpli_Ingreso]]="SÍ";[@[Cumpli_Salida]]="SÍ");"SÍ";"NO"))</f>
        <v/>
      </c>
      <c r="Q790" s="15">
        <f>SI(O([@[Fecha_Programada_Fin]]="";[@[Fecha_Cierre_Operativo]]="");"";MAX(0;ENTERO([@[Fecha_Cierre_Operativo]])-ENTERO(SI([@[Fecha_Nueva_Programada]]&lt;&gt;"";[@[Fecha_Nueva_Programada]];[@[Fecha_Programada_Fin]])))</f>
        <v/>
      </c>
      <c r="R790" s="12" t="n"/>
      <c r="S790" s="12" t="n"/>
      <c r="T790" s="13" t="n"/>
      <c r="U790" s="12" t="n">
        <v>26</v>
      </c>
      <c r="V790" s="12" t="n"/>
      <c r="W79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90" s="14">
        <f>SI([@SBAN]="";"";BUSCARV([@SBAN];Cronograma_Maestro!$A:$M;6;FALSO))</f>
        <v/>
      </c>
    </row>
    <row r="791">
      <c r="A791" s="11" t="inlineStr">
        <is>
          <t>8645</t>
        </is>
      </c>
      <c r="B791" s="12">
        <f>SI([@SBAN]="";"";BUSCARV([@SBAN];Cronograma_Maestro!$A:$M;2;FALSO))</f>
        <v/>
      </c>
      <c r="C791" s="12">
        <f>SI([@SBAN]="";"";BUSCARV([@SBAN];Cronograma_Maestro!$A:$M;3;FALSO))</f>
        <v/>
      </c>
      <c r="D791" s="12">
        <f>SI([@SBAN]="";"";BUSCARV([@SBAN];Cronograma_Maestro!$A:$M;4;FALSO))</f>
        <v/>
      </c>
      <c r="E791" s="12">
        <f>SI([@SBAN]="";"";BUSCARV([@SBAN];Cronograma_Maestro!$A:$M;5;FALSO))</f>
        <v/>
      </c>
      <c r="F791" s="12" t="inlineStr">
        <is>
          <t>Juan Sebastian Lopez Acevedo</t>
        </is>
      </c>
      <c r="G791" s="12" t="inlineStr">
        <is>
          <t>PMU COLSOF</t>
        </is>
      </c>
      <c r="H791" s="13" t="n">
        <v>46286</v>
      </c>
      <c r="I791" s="13" t="n">
        <v>46287</v>
      </c>
      <c r="J791" s="13" t="n"/>
      <c r="K791" s="13" t="n"/>
      <c r="L791" s="12" t="inlineStr">
        <is>
          <t>Programada</t>
        </is>
      </c>
      <c r="M791" s="13" t="n"/>
      <c r="N791" s="14">
        <f>SI(O([@[Fecha_Programada_Inicio]]="";[@[Fecha_Inicio_Real]]="");"";SI([@[Fecha_Inicio_Real]]&lt;=[@[Fecha_Programada_Inicio]];"SÍ";"NO"))</f>
        <v/>
      </c>
      <c r="O791" s="14">
        <f>SI(O([@[Fecha_Programada_Fin]]="";[@[Fecha_Cierre_Operativo]]="");"";SI([@[Fecha_Cierre_Operativo]]&lt;=SI([@[Fecha_Nueva_Programada]]&lt;&gt;"";[@[Fecha_Nueva_Programada]];[@[Fecha_Programada_Fin]]);"SÍ";"NO"))</f>
        <v/>
      </c>
      <c r="P791" s="14">
        <f>SI(O([@[Cumpli_Ingreso]]="";[@[Cumpli_Salida]]="");"";SI(Y([@[Cumpli_Ingreso]]="SÍ";[@[Cumpli_Salida]]="SÍ");"SÍ";"NO"))</f>
        <v/>
      </c>
      <c r="Q791" s="15">
        <f>SI(O([@[Fecha_Programada_Fin]]="";[@[Fecha_Cierre_Operativo]]="");"";MAX(0;ENTERO([@[Fecha_Cierre_Operativo]])-ENTERO(SI([@[Fecha_Nueva_Programada]]&lt;&gt;"";[@[Fecha_Nueva_Programada]];[@[Fecha_Programada_Fin]])))</f>
        <v/>
      </c>
      <c r="R791" s="12" t="n"/>
      <c r="S791" s="12" t="n"/>
      <c r="T791" s="13" t="n"/>
      <c r="U791" s="12" t="n">
        <v>26</v>
      </c>
      <c r="V791" s="12" t="n"/>
      <c r="W79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91" s="14">
        <f>SI([@SBAN]="";"";BUSCARV([@SBAN];Cronograma_Maestro!$A:$M;6;FALSO))</f>
        <v/>
      </c>
    </row>
    <row r="792">
      <c r="A792" s="11" t="inlineStr">
        <is>
          <t>8646</t>
        </is>
      </c>
      <c r="B792" s="12">
        <f>SI([@SBAN]="";"";BUSCARV([@SBAN];Cronograma_Maestro!$A:$M;2;FALSO))</f>
        <v/>
      </c>
      <c r="C792" s="12">
        <f>SI([@SBAN]="";"";BUSCARV([@SBAN];Cronograma_Maestro!$A:$M;3;FALSO))</f>
        <v/>
      </c>
      <c r="D792" s="12">
        <f>SI([@SBAN]="";"";BUSCARV([@SBAN];Cronograma_Maestro!$A:$M;4;FALSO))</f>
        <v/>
      </c>
      <c r="E792" s="12">
        <f>SI([@SBAN]="";"";BUSCARV([@SBAN];Cronograma_Maestro!$A:$M;5;FALSO))</f>
        <v/>
      </c>
      <c r="F792" s="12" t="inlineStr">
        <is>
          <t>Juan Sebastian Lopez Acevedo</t>
        </is>
      </c>
      <c r="G792" s="12" t="inlineStr">
        <is>
          <t>PMU COLSOF</t>
        </is>
      </c>
      <c r="H792" s="13" t="n">
        <v>46282</v>
      </c>
      <c r="I792" s="13" t="n">
        <v>46283</v>
      </c>
      <c r="J792" s="13" t="n"/>
      <c r="K792" s="13" t="n"/>
      <c r="L792" s="12" t="inlineStr">
        <is>
          <t>Programada</t>
        </is>
      </c>
      <c r="M792" s="13" t="n"/>
      <c r="N792" s="14">
        <f>SI(O([@[Fecha_Programada_Inicio]]="";[@[Fecha_Inicio_Real]]="");"";SI([@[Fecha_Inicio_Real]]&lt;=[@[Fecha_Programada_Inicio]];"SÍ";"NO"))</f>
        <v/>
      </c>
      <c r="O792" s="14">
        <f>SI(O([@[Fecha_Programada_Fin]]="";[@[Fecha_Cierre_Operativo]]="");"";SI([@[Fecha_Cierre_Operativo]]&lt;=SI([@[Fecha_Nueva_Programada]]&lt;&gt;"";[@[Fecha_Nueva_Programada]];[@[Fecha_Programada_Fin]]);"SÍ";"NO"))</f>
        <v/>
      </c>
      <c r="P792" s="14">
        <f>SI(O([@[Cumpli_Ingreso]]="";[@[Cumpli_Salida]]="");"";SI(Y([@[Cumpli_Ingreso]]="SÍ";[@[Cumpli_Salida]]="SÍ");"SÍ";"NO"))</f>
        <v/>
      </c>
      <c r="Q792" s="15">
        <f>SI(O([@[Fecha_Programada_Fin]]="";[@[Fecha_Cierre_Operativo]]="");"";MAX(0;ENTERO([@[Fecha_Cierre_Operativo]])-ENTERO(SI([@[Fecha_Nueva_Programada]]&lt;&gt;"";[@[Fecha_Nueva_Programada]];[@[Fecha_Programada_Fin]])))</f>
        <v/>
      </c>
      <c r="R792" s="12" t="n"/>
      <c r="S792" s="12" t="n"/>
      <c r="T792" s="13" t="n"/>
      <c r="U792" s="12" t="n">
        <v>16</v>
      </c>
      <c r="V792" s="12" t="n"/>
      <c r="W79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92" s="14">
        <f>SI([@SBAN]="";"";BUSCARV([@SBAN];Cronograma_Maestro!$A:$M;6;FALSO))</f>
        <v/>
      </c>
    </row>
    <row r="793">
      <c r="A793" s="11" t="inlineStr">
        <is>
          <t>8648</t>
        </is>
      </c>
      <c r="B793" s="12">
        <f>SI([@SBAN]="";"";BUSCARV([@SBAN];Cronograma_Maestro!$A:$M;2;FALSO))</f>
        <v/>
      </c>
      <c r="C793" s="12">
        <f>SI([@SBAN]="";"";BUSCARV([@SBAN];Cronograma_Maestro!$A:$M;3;FALSO))</f>
        <v/>
      </c>
      <c r="D793" s="12">
        <f>SI([@SBAN]="";"";BUSCARV([@SBAN];Cronograma_Maestro!$A:$M;4;FALSO))</f>
        <v/>
      </c>
      <c r="E793" s="12">
        <f>SI([@SBAN]="";"";BUSCARV([@SBAN];Cronograma_Maestro!$A:$M;5;FALSO))</f>
        <v/>
      </c>
      <c r="F793" s="12" t="inlineStr">
        <is>
          <t>Juan Sebastian Lopez Acevedo</t>
        </is>
      </c>
      <c r="G793" s="12" t="inlineStr">
        <is>
          <t>PMU COLSOF</t>
        </is>
      </c>
      <c r="H793" s="13" t="n">
        <v>46309</v>
      </c>
      <c r="I793" s="13" t="n">
        <v>46310</v>
      </c>
      <c r="J793" s="13" t="n"/>
      <c r="K793" s="13" t="n"/>
      <c r="L793" s="12" t="inlineStr">
        <is>
          <t>Programada</t>
        </is>
      </c>
      <c r="M793" s="13" t="n"/>
      <c r="N793" s="14">
        <f>SI(O([@[Fecha_Programada_Inicio]]="";[@[Fecha_Inicio_Real]]="");"";SI([@[Fecha_Inicio_Real]]&lt;=[@[Fecha_Programada_Inicio]];"SÍ";"NO"))</f>
        <v/>
      </c>
      <c r="O793" s="14">
        <f>SI(O([@[Fecha_Programada_Fin]]="";[@[Fecha_Cierre_Operativo]]="");"";SI([@[Fecha_Cierre_Operativo]]&lt;=SI([@[Fecha_Nueva_Programada]]&lt;&gt;"";[@[Fecha_Nueva_Programada]];[@[Fecha_Programada_Fin]]);"SÍ";"NO"))</f>
        <v/>
      </c>
      <c r="P793" s="14">
        <f>SI(O([@[Cumpli_Ingreso]]="";[@[Cumpli_Salida]]="");"";SI(Y([@[Cumpli_Ingreso]]="SÍ";[@[Cumpli_Salida]]="SÍ");"SÍ";"NO"))</f>
        <v/>
      </c>
      <c r="Q793" s="15">
        <f>SI(O([@[Fecha_Programada_Fin]]="";[@[Fecha_Cierre_Operativo]]="");"";MAX(0;ENTERO([@[Fecha_Cierre_Operativo]])-ENTERO(SI([@[Fecha_Nueva_Programada]]&lt;&gt;"";[@[Fecha_Nueva_Programada]];[@[Fecha_Programada_Fin]])))</f>
        <v/>
      </c>
      <c r="R793" s="12" t="n"/>
      <c r="S793" s="12" t="n"/>
      <c r="T793" s="13" t="n"/>
      <c r="U793" s="12" t="n">
        <v>12</v>
      </c>
      <c r="V793" s="12" t="n"/>
      <c r="W79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93" s="14">
        <f>SI([@SBAN]="";"";BUSCARV([@SBAN];Cronograma_Maestro!$A:$M;6;FALSO))</f>
        <v/>
      </c>
    </row>
    <row r="794">
      <c r="A794" s="11" t="inlineStr">
        <is>
          <t>8650</t>
        </is>
      </c>
      <c r="B794" s="12">
        <f>SI([@SBAN]="";"";BUSCARV([@SBAN];Cronograma_Maestro!$A:$M;2;FALSO))</f>
        <v/>
      </c>
      <c r="C794" s="12">
        <f>SI([@SBAN]="";"";BUSCARV([@SBAN];Cronograma_Maestro!$A:$M;3;FALSO))</f>
        <v/>
      </c>
      <c r="D794" s="12">
        <f>SI([@SBAN]="";"";BUSCARV([@SBAN];Cronograma_Maestro!$A:$M;4;FALSO))</f>
        <v/>
      </c>
      <c r="E794" s="12">
        <f>SI([@SBAN]="";"";BUSCARV([@SBAN];Cronograma_Maestro!$A:$M;5;FALSO))</f>
        <v/>
      </c>
      <c r="F794" s="12" t="inlineStr">
        <is>
          <t>Juan Sebastian Lopez Acevedo</t>
        </is>
      </c>
      <c r="G794" s="12" t="inlineStr">
        <is>
          <t>PMU COLSOF</t>
        </is>
      </c>
      <c r="H794" s="13" t="n">
        <v>46288</v>
      </c>
      <c r="I794" s="13" t="n">
        <v>46289</v>
      </c>
      <c r="J794" s="13" t="n"/>
      <c r="K794" s="13" t="n"/>
      <c r="L794" s="12" t="inlineStr">
        <is>
          <t>Programada</t>
        </is>
      </c>
      <c r="M794" s="13" t="n"/>
      <c r="N794" s="14">
        <f>SI(O([@[Fecha_Programada_Inicio]]="";[@[Fecha_Inicio_Real]]="");"";SI([@[Fecha_Inicio_Real]]&lt;=[@[Fecha_Programada_Inicio]];"SÍ";"NO"))</f>
        <v/>
      </c>
      <c r="O794" s="14">
        <f>SI(O([@[Fecha_Programada_Fin]]="";[@[Fecha_Cierre_Operativo]]="");"";SI([@[Fecha_Cierre_Operativo]]&lt;=SI([@[Fecha_Nueva_Programada]]&lt;&gt;"";[@[Fecha_Nueva_Programada]];[@[Fecha_Programada_Fin]]);"SÍ";"NO"))</f>
        <v/>
      </c>
      <c r="P794" s="14">
        <f>SI(O([@[Cumpli_Ingreso]]="";[@[Cumpli_Salida]]="");"";SI(Y([@[Cumpli_Ingreso]]="SÍ";[@[Cumpli_Salida]]="SÍ");"SÍ";"NO"))</f>
        <v/>
      </c>
      <c r="Q794" s="15">
        <f>SI(O([@[Fecha_Programada_Fin]]="";[@[Fecha_Cierre_Operativo]]="");"";MAX(0;ENTERO([@[Fecha_Cierre_Operativo]])-ENTERO(SI([@[Fecha_Nueva_Programada]]&lt;&gt;"";[@[Fecha_Nueva_Programada]];[@[Fecha_Programada_Fin]])))</f>
        <v/>
      </c>
      <c r="R794" s="12" t="n"/>
      <c r="S794" s="12" t="n"/>
      <c r="T794" s="13" t="n"/>
      <c r="U794" s="12" t="n">
        <v>14</v>
      </c>
      <c r="V794" s="12" t="n"/>
      <c r="W79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94" s="14">
        <f>SI([@SBAN]="";"";BUSCARV([@SBAN];Cronograma_Maestro!$A:$M;6;FALSO))</f>
        <v/>
      </c>
    </row>
    <row r="795">
      <c r="A795" s="11" t="inlineStr">
        <is>
          <t>8660</t>
        </is>
      </c>
      <c r="B795" s="12">
        <f>SI([@SBAN]="";"";BUSCARV([@SBAN];Cronograma_Maestro!$A:$M;2;FALSO))</f>
        <v/>
      </c>
      <c r="C795" s="12">
        <f>SI([@SBAN]="";"";BUSCARV([@SBAN];Cronograma_Maestro!$A:$M;3;FALSO))</f>
        <v/>
      </c>
      <c r="D795" s="12">
        <f>SI([@SBAN]="";"";BUSCARV([@SBAN];Cronograma_Maestro!$A:$M;4;FALSO))</f>
        <v/>
      </c>
      <c r="E795" s="12">
        <f>SI([@SBAN]="";"";BUSCARV([@SBAN];Cronograma_Maestro!$A:$M;5;FALSO))</f>
        <v/>
      </c>
      <c r="F795" s="12" t="inlineStr">
        <is>
          <t>Juan Sebastian Lopez Acevedo</t>
        </is>
      </c>
      <c r="G795" s="12" t="inlineStr">
        <is>
          <t>PMU COLSOF</t>
        </is>
      </c>
      <c r="H795" s="13" t="n">
        <v>46296</v>
      </c>
      <c r="I795" s="13" t="n">
        <v>46297</v>
      </c>
      <c r="J795" s="13" t="n"/>
      <c r="K795" s="13" t="n"/>
      <c r="L795" s="12" t="inlineStr">
        <is>
          <t>Programada</t>
        </is>
      </c>
      <c r="M795" s="13" t="n"/>
      <c r="N795" s="14">
        <f>SI(O([@[Fecha_Programada_Inicio]]="";[@[Fecha_Inicio_Real]]="");"";SI([@[Fecha_Inicio_Real]]&lt;=[@[Fecha_Programada_Inicio]];"SÍ";"NO"))</f>
        <v/>
      </c>
      <c r="O795" s="14">
        <f>SI(O([@[Fecha_Programada_Fin]]="";[@[Fecha_Cierre_Operativo]]="");"";SI([@[Fecha_Cierre_Operativo]]&lt;=SI([@[Fecha_Nueva_Programada]]&lt;&gt;"";[@[Fecha_Nueva_Programada]];[@[Fecha_Programada_Fin]]);"SÍ";"NO"))</f>
        <v/>
      </c>
      <c r="P795" s="14">
        <f>SI(O([@[Cumpli_Ingreso]]="";[@[Cumpli_Salida]]="");"";SI(Y([@[Cumpli_Ingreso]]="SÍ";[@[Cumpli_Salida]]="SÍ");"SÍ";"NO"))</f>
        <v/>
      </c>
      <c r="Q795" s="15">
        <f>SI(O([@[Fecha_Programada_Fin]]="";[@[Fecha_Cierre_Operativo]]="");"";MAX(0;ENTERO([@[Fecha_Cierre_Operativo]])-ENTERO(SI([@[Fecha_Nueva_Programada]]&lt;&gt;"";[@[Fecha_Nueva_Programada]];[@[Fecha_Programada_Fin]])))</f>
        <v/>
      </c>
      <c r="R795" s="12" t="n"/>
      <c r="S795" s="12" t="n"/>
      <c r="T795" s="13" t="n"/>
      <c r="U795" s="12" t="n">
        <v>13</v>
      </c>
      <c r="V795" s="12" t="n"/>
      <c r="W79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95" s="14">
        <f>SI([@SBAN]="";"";BUSCARV([@SBAN];Cronograma_Maestro!$A:$M;6;FALSO))</f>
        <v/>
      </c>
    </row>
    <row r="796">
      <c r="A796" s="11" t="inlineStr">
        <is>
          <t>8663</t>
        </is>
      </c>
      <c r="B796" s="12">
        <f>SI([@SBAN]="";"";BUSCARV([@SBAN];Cronograma_Maestro!$A:$M;2;FALSO))</f>
        <v/>
      </c>
      <c r="C796" s="12">
        <f>SI([@SBAN]="";"";BUSCARV([@SBAN];Cronograma_Maestro!$A:$M;3;FALSO))</f>
        <v/>
      </c>
      <c r="D796" s="12">
        <f>SI([@SBAN]="";"";BUSCARV([@SBAN];Cronograma_Maestro!$A:$M;4;FALSO))</f>
        <v/>
      </c>
      <c r="E796" s="12">
        <f>SI([@SBAN]="";"";BUSCARV([@SBAN];Cronograma_Maestro!$A:$M;5;FALSO))</f>
        <v/>
      </c>
      <c r="F796" s="12" t="inlineStr">
        <is>
          <t>Juan Sebastian Lopez Acevedo</t>
        </is>
      </c>
      <c r="G796" s="12" t="inlineStr">
        <is>
          <t>PMU COLSOF</t>
        </is>
      </c>
      <c r="H796" s="13" t="n">
        <v>46276</v>
      </c>
      <c r="I796" s="13" t="n">
        <v>46279</v>
      </c>
      <c r="J796" s="13" t="n"/>
      <c r="K796" s="13" t="n"/>
      <c r="L796" s="12" t="inlineStr">
        <is>
          <t>Programada</t>
        </is>
      </c>
      <c r="M796" s="13" t="n"/>
      <c r="N796" s="14">
        <f>SI(O([@[Fecha_Programada_Inicio]]="";[@[Fecha_Inicio_Real]]="");"";SI([@[Fecha_Inicio_Real]]&lt;=[@[Fecha_Programada_Inicio]];"SÍ";"NO"))</f>
        <v/>
      </c>
      <c r="O796" s="14">
        <f>SI(O([@[Fecha_Programada_Fin]]="";[@[Fecha_Cierre_Operativo]]="");"";SI([@[Fecha_Cierre_Operativo]]&lt;=SI([@[Fecha_Nueva_Programada]]&lt;&gt;"";[@[Fecha_Nueva_Programada]];[@[Fecha_Programada_Fin]]);"SÍ";"NO"))</f>
        <v/>
      </c>
      <c r="P796" s="14">
        <f>SI(O([@[Cumpli_Ingreso]]="";[@[Cumpli_Salida]]="");"";SI(Y([@[Cumpli_Ingreso]]="SÍ";[@[Cumpli_Salida]]="SÍ");"SÍ";"NO"))</f>
        <v/>
      </c>
      <c r="Q796" s="15">
        <f>SI(O([@[Fecha_Programada_Fin]]="";[@[Fecha_Cierre_Operativo]]="");"";MAX(0;ENTERO([@[Fecha_Cierre_Operativo]])-ENTERO(SI([@[Fecha_Nueva_Programada]]&lt;&gt;"";[@[Fecha_Nueva_Programada]];[@[Fecha_Programada_Fin]])))</f>
        <v/>
      </c>
      <c r="R796" s="12" t="n"/>
      <c r="S796" s="12" t="n"/>
      <c r="T796" s="13" t="n"/>
      <c r="U796" s="12" t="n">
        <v>17</v>
      </c>
      <c r="V796" s="12" t="n"/>
      <c r="W79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96" s="14">
        <f>SI([@SBAN]="";"";BUSCARV([@SBAN];Cronograma_Maestro!$A:$M;6;FALSO))</f>
        <v/>
      </c>
    </row>
    <row r="797">
      <c r="A797" s="11" t="inlineStr">
        <is>
          <t>8665</t>
        </is>
      </c>
      <c r="B797" s="12">
        <f>SI([@SBAN]="";"";BUSCARV([@SBAN];Cronograma_Maestro!$A:$M;2;FALSO))</f>
        <v/>
      </c>
      <c r="C797" s="12">
        <f>SI([@SBAN]="";"";BUSCARV([@SBAN];Cronograma_Maestro!$A:$M;3;FALSO))</f>
        <v/>
      </c>
      <c r="D797" s="12">
        <f>SI([@SBAN]="";"";BUSCARV([@SBAN];Cronograma_Maestro!$A:$M;4;FALSO))</f>
        <v/>
      </c>
      <c r="E797" s="12">
        <f>SI([@SBAN]="";"";BUSCARV([@SBAN];Cronograma_Maestro!$A:$M;5;FALSO))</f>
        <v/>
      </c>
      <c r="F797" s="12" t="inlineStr">
        <is>
          <t>Juan Sebastian Lopez Acevedo</t>
        </is>
      </c>
      <c r="G797" s="12" t="inlineStr">
        <is>
          <t>PMU COLSOF</t>
        </is>
      </c>
      <c r="H797" s="13" t="n">
        <v>46290</v>
      </c>
      <c r="I797" s="13" t="n">
        <v>46293</v>
      </c>
      <c r="J797" s="13" t="n"/>
      <c r="K797" s="13" t="n"/>
      <c r="L797" s="12" t="inlineStr">
        <is>
          <t>Programada</t>
        </is>
      </c>
      <c r="M797" s="13" t="n"/>
      <c r="N797" s="14">
        <f>SI(O([@[Fecha_Programada_Inicio]]="";[@[Fecha_Inicio_Real]]="");"";SI([@[Fecha_Inicio_Real]]&lt;=[@[Fecha_Programada_Inicio]];"SÍ";"NO"))</f>
        <v/>
      </c>
      <c r="O797" s="14">
        <f>SI(O([@[Fecha_Programada_Fin]]="";[@[Fecha_Cierre_Operativo]]="");"";SI([@[Fecha_Cierre_Operativo]]&lt;=SI([@[Fecha_Nueva_Programada]]&lt;&gt;"";[@[Fecha_Nueva_Programada]];[@[Fecha_Programada_Fin]]);"SÍ";"NO"))</f>
        <v/>
      </c>
      <c r="P797" s="14">
        <f>SI(O([@[Cumpli_Ingreso]]="";[@[Cumpli_Salida]]="");"";SI(Y([@[Cumpli_Ingreso]]="SÍ";[@[Cumpli_Salida]]="SÍ");"SÍ";"NO"))</f>
        <v/>
      </c>
      <c r="Q797" s="15">
        <f>SI(O([@[Fecha_Programada_Fin]]="";[@[Fecha_Cierre_Operativo]]="");"";MAX(0;ENTERO([@[Fecha_Cierre_Operativo]])-ENTERO(SI([@[Fecha_Nueva_Programada]]&lt;&gt;"";[@[Fecha_Nueva_Programada]];[@[Fecha_Programada_Fin]])))</f>
        <v/>
      </c>
      <c r="R797" s="12" t="n"/>
      <c r="S797" s="12" t="n"/>
      <c r="T797" s="13" t="n"/>
      <c r="U797" s="12" t="n">
        <v>20</v>
      </c>
      <c r="V797" s="12" t="n"/>
      <c r="W79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97" s="14">
        <f>SI([@SBAN]="";"";BUSCARV([@SBAN];Cronograma_Maestro!$A:$M;6;FALSO))</f>
        <v/>
      </c>
    </row>
    <row r="798">
      <c r="A798" s="11" t="inlineStr">
        <is>
          <t>1300</t>
        </is>
      </c>
      <c r="B798" s="12">
        <f>SI([@SBAN]="";"";BUSCARV([@SBAN];Cronograma_Maestro!$A:$M;2;FALSO))</f>
        <v/>
      </c>
      <c r="C798" s="12">
        <f>SI([@SBAN]="";"";BUSCARV([@SBAN];Cronograma_Maestro!$A:$M;3;FALSO))</f>
        <v/>
      </c>
      <c r="D798" s="12">
        <f>SI([@SBAN]="";"";BUSCARV([@SBAN];Cronograma_Maestro!$A:$M;4;FALSO))</f>
        <v/>
      </c>
      <c r="E798" s="12">
        <f>SI([@SBAN]="";"";BUSCARV([@SBAN];Cronograma_Maestro!$A:$M;5;FALSO))</f>
        <v/>
      </c>
      <c r="F798" s="12" t="inlineStr">
        <is>
          <t>JONATHAN  FELIPE JARABE CHALARCA</t>
        </is>
      </c>
      <c r="G798" s="12" t="inlineStr">
        <is>
          <t>PMU COLSOF</t>
        </is>
      </c>
      <c r="H798" s="13" t="n">
        <v>46272</v>
      </c>
      <c r="I798" s="13" t="n">
        <v>46367</v>
      </c>
      <c r="J798" s="13" t="n"/>
      <c r="K798" s="13" t="n"/>
      <c r="L798" s="12" t="inlineStr">
        <is>
          <t>Programada</t>
        </is>
      </c>
      <c r="M798" s="13" t="n"/>
      <c r="N798" s="14">
        <f>SI(O([@[Fecha_Programada_Inicio]]="";[@[Fecha_Inicio_Real]]="");"";SI([@[Fecha_Inicio_Real]]&lt;=[@[Fecha_Programada_Inicio]];"SÍ";"NO"))</f>
        <v/>
      </c>
      <c r="O798" s="14">
        <f>SI(O([@[Fecha_Programada_Fin]]="";[@[Fecha_Cierre_Operativo]]="");"";SI([@[Fecha_Cierre_Operativo]]&lt;=SI([@[Fecha_Nueva_Programada]]&lt;&gt;"";[@[Fecha_Nueva_Programada]];[@[Fecha_Programada_Fin]]);"SÍ";"NO"))</f>
        <v/>
      </c>
      <c r="P798" s="14">
        <f>SI(O([@[Cumpli_Ingreso]]="";[@[Cumpli_Salida]]="");"";SI(Y([@[Cumpli_Ingreso]]="SÍ";[@[Cumpli_Salida]]="SÍ");"SÍ";"NO"))</f>
        <v/>
      </c>
      <c r="Q798" s="15">
        <f>SI(O([@[Fecha_Programada_Fin]]="";[@[Fecha_Cierre_Operativo]]="");"";MAX(0;ENTERO([@[Fecha_Cierre_Operativo]])-ENTERO(SI([@[Fecha_Nueva_Programada]]&lt;&gt;"";[@[Fecha_Nueva_Programada]];[@[Fecha_Programada_Fin]])))</f>
        <v/>
      </c>
      <c r="R798" s="12" t="n"/>
      <c r="S798" s="12" t="n"/>
      <c r="T798" s="13" t="n"/>
      <c r="U798" s="12" t="n">
        <v>154</v>
      </c>
      <c r="V798" s="12" t="n"/>
      <c r="W79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98" s="14">
        <f>SI([@SBAN]="";"";BUSCARV([@SBAN];Cronograma_Maestro!$A:$M;6;FALSO))</f>
        <v/>
      </c>
    </row>
    <row r="799">
      <c r="A799" s="11" t="inlineStr">
        <is>
          <t>3000</t>
        </is>
      </c>
      <c r="B799" s="12">
        <f>SI([@SBAN]="";"";BUSCARV([@SBAN];Cronograma_Maestro!$A:$M;2;FALSO))</f>
        <v/>
      </c>
      <c r="C799" s="12">
        <f>SI([@SBAN]="";"";BUSCARV([@SBAN];Cronograma_Maestro!$A:$M;3;FALSO))</f>
        <v/>
      </c>
      <c r="D799" s="12">
        <f>SI([@SBAN]="";"";BUSCARV([@SBAN];Cronograma_Maestro!$A:$M;4;FALSO))</f>
        <v/>
      </c>
      <c r="E799" s="12">
        <f>SI([@SBAN]="";"";BUSCARV([@SBAN];Cronograma_Maestro!$A:$M;5;FALSO))</f>
        <v/>
      </c>
      <c r="F799" s="12" t="inlineStr">
        <is>
          <t>Grupo Bogota</t>
        </is>
      </c>
      <c r="G799" s="12" t="inlineStr">
        <is>
          <t>PMU COLSOF</t>
        </is>
      </c>
      <c r="H799" s="13" t="n">
        <v>46272</v>
      </c>
      <c r="I799" s="13" t="n">
        <v>46367</v>
      </c>
      <c r="J799" s="13" t="n"/>
      <c r="K799" s="13" t="n"/>
      <c r="L799" s="12" t="inlineStr">
        <is>
          <t>Programada</t>
        </is>
      </c>
      <c r="M799" s="13" t="n"/>
      <c r="N799" s="14">
        <f>SI(O([@[Fecha_Programada_Inicio]]="";[@[Fecha_Inicio_Real]]="");"";SI([@[Fecha_Inicio_Real]]&lt;=[@[Fecha_Programada_Inicio]];"SÍ";"NO"))</f>
        <v/>
      </c>
      <c r="O799" s="14">
        <f>SI(O([@[Fecha_Programada_Fin]]="";[@[Fecha_Cierre_Operativo]]="");"";SI([@[Fecha_Cierre_Operativo]]&lt;=SI([@[Fecha_Nueva_Programada]]&lt;&gt;"";[@[Fecha_Nueva_Programada]];[@[Fecha_Programada_Fin]]);"SÍ";"NO"))</f>
        <v/>
      </c>
      <c r="P799" s="14">
        <f>SI(O([@[Cumpli_Ingreso]]="";[@[Cumpli_Salida]]="");"";SI(Y([@[Cumpli_Ingreso]]="SÍ";[@[Cumpli_Salida]]="SÍ");"SÍ";"NO"))</f>
        <v/>
      </c>
      <c r="Q799" s="15">
        <f>SI(O([@[Fecha_Programada_Fin]]="";[@[Fecha_Cierre_Operativo]]="");"";MAX(0;ENTERO([@[Fecha_Cierre_Operativo]])-ENTERO(SI([@[Fecha_Nueva_Programada]]&lt;&gt;"";[@[Fecha_Nueva_Programada]];[@[Fecha_Programada_Fin]])))</f>
        <v/>
      </c>
      <c r="R799" s="12" t="n"/>
      <c r="S799" s="12" t="n"/>
      <c r="T799" s="13" t="n"/>
      <c r="U799" s="12" t="n">
        <v>122</v>
      </c>
      <c r="V799" s="12" t="n"/>
      <c r="W79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799" s="14">
        <f>SI([@SBAN]="";"";BUSCARV([@SBAN];Cronograma_Maestro!$A:$M;6;FALSO))</f>
        <v/>
      </c>
    </row>
    <row r="800">
      <c r="A800" s="11" t="inlineStr">
        <is>
          <t>1800</t>
        </is>
      </c>
      <c r="B800" s="12">
        <f>SI([@SBAN]="";"";BUSCARV([@SBAN];Cronograma_Maestro!$A:$M;2;FALSO))</f>
        <v/>
      </c>
      <c r="C800" s="12">
        <f>SI([@SBAN]="";"";BUSCARV([@SBAN];Cronograma_Maestro!$A:$M;3;FALSO))</f>
        <v/>
      </c>
      <c r="D800" s="12">
        <f>SI([@SBAN]="";"";BUSCARV([@SBAN];Cronograma_Maestro!$A:$M;4;FALSO))</f>
        <v/>
      </c>
      <c r="E800" s="12">
        <f>SI([@SBAN]="";"";BUSCARV([@SBAN];Cronograma_Maestro!$A:$M;5;FALSO))</f>
        <v/>
      </c>
      <c r="F800" s="12" t="inlineStr">
        <is>
          <t>DIEGO ALEJANDRO HERNÁNDEZ OROZCO</t>
        </is>
      </c>
      <c r="G800" s="12" t="inlineStr">
        <is>
          <t>PMU COLSOF</t>
        </is>
      </c>
      <c r="H800" s="13" t="n">
        <v>46272</v>
      </c>
      <c r="I800" s="13" t="n">
        <v>46367</v>
      </c>
      <c r="J800" s="13" t="n"/>
      <c r="K800" s="13" t="n"/>
      <c r="L800" s="12" t="inlineStr">
        <is>
          <t>Programada</t>
        </is>
      </c>
      <c r="M800" s="13" t="n"/>
      <c r="N800" s="14">
        <f>SI(O([@[Fecha_Programada_Inicio]]="";[@[Fecha_Inicio_Real]]="");"";SI([@[Fecha_Inicio_Real]]&lt;=[@[Fecha_Programada_Inicio]];"SÍ";"NO"))</f>
        <v/>
      </c>
      <c r="O800" s="14">
        <f>SI(O([@[Fecha_Programada_Fin]]="";[@[Fecha_Cierre_Operativo]]="");"";SI([@[Fecha_Cierre_Operativo]]&lt;=SI([@[Fecha_Nueva_Programada]]&lt;&gt;"";[@[Fecha_Nueva_Programada]];[@[Fecha_Programada_Fin]]);"SÍ";"NO"))</f>
        <v/>
      </c>
      <c r="P800" s="14">
        <f>SI(O([@[Cumpli_Ingreso]]="";[@[Cumpli_Salida]]="");"";SI(Y([@[Cumpli_Ingreso]]="SÍ";[@[Cumpli_Salida]]="SÍ");"SÍ";"NO"))</f>
        <v/>
      </c>
      <c r="Q800" s="15">
        <f>SI(O([@[Fecha_Programada_Fin]]="";[@[Fecha_Cierre_Operativo]]="");"";MAX(0;ENTERO([@[Fecha_Cierre_Operativo]])-ENTERO(SI([@[Fecha_Nueva_Programada]]&lt;&gt;"";[@[Fecha_Nueva_Programada]];[@[Fecha_Programada_Fin]])))</f>
        <v/>
      </c>
      <c r="R800" s="12" t="n"/>
      <c r="S800" s="12" t="n"/>
      <c r="T800" s="13" t="n"/>
      <c r="U800" s="12" t="n">
        <v>112</v>
      </c>
      <c r="V800" s="12" t="n"/>
      <c r="W80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800" s="14">
        <f>SI([@SBAN]="";"";BUSCARV([@SBAN];Cronograma_Maestro!$A:$M;6;FALSO))</f>
        <v/>
      </c>
    </row>
    <row r="801">
      <c r="A801" s="11" t="inlineStr">
        <is>
          <t>1600</t>
        </is>
      </c>
      <c r="B801" s="12">
        <f>SI([@SBAN]="";"";BUSCARV([@SBAN];Cronograma_Maestro!$A:$M;2;FALSO))</f>
        <v/>
      </c>
      <c r="C801" s="12">
        <f>SI([@SBAN]="";"";BUSCARV([@SBAN];Cronograma_Maestro!$A:$M;3;FALSO))</f>
        <v/>
      </c>
      <c r="D801" s="12">
        <f>SI([@SBAN]="";"";BUSCARV([@SBAN];Cronograma_Maestro!$A:$M;4;FALSO))</f>
        <v/>
      </c>
      <c r="E801" s="12">
        <f>SI([@SBAN]="";"";BUSCARV([@SBAN];Cronograma_Maestro!$A:$M;5;FALSO))</f>
        <v/>
      </c>
      <c r="F801" s="12" t="inlineStr">
        <is>
          <t>JOSÉ CONTRERAS VALERA</t>
        </is>
      </c>
      <c r="G801" s="12" t="inlineStr">
        <is>
          <t>PMU COLSOF</t>
        </is>
      </c>
      <c r="H801" s="13" t="n">
        <v>46272</v>
      </c>
      <c r="I801" s="13" t="n">
        <v>46367</v>
      </c>
      <c r="J801" s="13" t="n"/>
      <c r="K801" s="13" t="n"/>
      <c r="L801" s="12" t="inlineStr">
        <is>
          <t>Programada</t>
        </is>
      </c>
      <c r="M801" s="13" t="n"/>
      <c r="N801" s="14">
        <f>SI(O([@[Fecha_Programada_Inicio]]="";[@[Fecha_Inicio_Real]]="");"";SI([@[Fecha_Inicio_Real]]&lt;=[@[Fecha_Programada_Inicio]];"SÍ";"NO"))</f>
        <v/>
      </c>
      <c r="O801" s="14">
        <f>SI(O([@[Fecha_Programada_Fin]]="";[@[Fecha_Cierre_Operativo]]="");"";SI([@[Fecha_Cierre_Operativo]]&lt;=SI([@[Fecha_Nueva_Programada]]&lt;&gt;"";[@[Fecha_Nueva_Programada]];[@[Fecha_Programada_Fin]]);"SÍ";"NO"))</f>
        <v/>
      </c>
      <c r="P801" s="14">
        <f>SI(O([@[Cumpli_Ingreso]]="";[@[Cumpli_Salida]]="");"";SI(Y([@[Cumpli_Ingreso]]="SÍ";[@[Cumpli_Salida]]="SÍ");"SÍ";"NO"))</f>
        <v/>
      </c>
      <c r="Q801" s="15">
        <f>SI(O([@[Fecha_Programada_Fin]]="";[@[Fecha_Cierre_Operativo]]="");"";MAX(0;ENTERO([@[Fecha_Cierre_Operativo]])-ENTERO(SI([@[Fecha_Nueva_Programada]]&lt;&gt;"";[@[Fecha_Nueva_Programada]];[@[Fecha_Programada_Fin]])))</f>
        <v/>
      </c>
      <c r="R801" s="12" t="n"/>
      <c r="S801" s="12" t="n"/>
      <c r="T801" s="13" t="n"/>
      <c r="U801" s="12" t="n">
        <v>71</v>
      </c>
      <c r="V801" s="12" t="n"/>
      <c r="W80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801" s="14">
        <f>SI([@SBAN]="";"";BUSCARV([@SBAN];Cronograma_Maestro!$A:$M;6;FALSO))</f>
        <v/>
      </c>
    </row>
    <row r="802">
      <c r="A802" s="11" t="inlineStr">
        <is>
          <t>6900</t>
        </is>
      </c>
      <c r="B802" s="12">
        <f>SI([@SBAN]="";"";BUSCARV([@SBAN];Cronograma_Maestro!$A:$M;2;FALSO))</f>
        <v/>
      </c>
      <c r="C802" s="12">
        <f>SI([@SBAN]="";"";BUSCARV([@SBAN];Cronograma_Maestro!$A:$M;3;FALSO))</f>
        <v/>
      </c>
      <c r="D802" s="12">
        <f>SI([@SBAN]="";"";BUSCARV([@SBAN];Cronograma_Maestro!$A:$M;4;FALSO))</f>
        <v/>
      </c>
      <c r="E802" s="12">
        <f>SI([@SBAN]="";"";BUSCARV([@SBAN];Cronograma_Maestro!$A:$M;5;FALSO))</f>
        <v/>
      </c>
      <c r="F802" s="12" t="inlineStr">
        <is>
          <t>CARLOS ANDRES BRAVO MARTINEZ</t>
        </is>
      </c>
      <c r="G802" s="12" t="inlineStr">
        <is>
          <t>PMU COLSOF</t>
        </is>
      </c>
      <c r="H802" s="13" t="n">
        <v>46272</v>
      </c>
      <c r="I802" s="13" t="n">
        <v>46367</v>
      </c>
      <c r="J802" s="13" t="n"/>
      <c r="K802" s="13" t="n"/>
      <c r="L802" s="12" t="inlineStr">
        <is>
          <t>Programada</t>
        </is>
      </c>
      <c r="M802" s="13" t="n"/>
      <c r="N802" s="14">
        <f>SI(O([@[Fecha_Programada_Inicio]]="";[@[Fecha_Inicio_Real]]="");"";SI([@[Fecha_Inicio_Real]]&lt;=[@[Fecha_Programada_Inicio]];"SÍ";"NO"))</f>
        <v/>
      </c>
      <c r="O802" s="14">
        <f>SI(O([@[Fecha_Programada_Fin]]="";[@[Fecha_Cierre_Operativo]]="");"";SI([@[Fecha_Cierre_Operativo]]&lt;=SI([@[Fecha_Nueva_Programada]]&lt;&gt;"";[@[Fecha_Nueva_Programada]];[@[Fecha_Programada_Fin]]);"SÍ";"NO"))</f>
        <v/>
      </c>
      <c r="P802" s="14">
        <f>SI(O([@[Cumpli_Ingreso]]="";[@[Cumpli_Salida]]="");"";SI(Y([@[Cumpli_Ingreso]]="SÍ";[@[Cumpli_Salida]]="SÍ");"SÍ";"NO"))</f>
        <v/>
      </c>
      <c r="Q802" s="15">
        <f>SI(O([@[Fecha_Programada_Fin]]="";[@[Fecha_Cierre_Operativo]]="");"";MAX(0;ENTERO([@[Fecha_Cierre_Operativo]])-ENTERO(SI([@[Fecha_Nueva_Programada]]&lt;&gt;"";[@[Fecha_Nueva_Programada]];[@[Fecha_Programada_Fin]])))</f>
        <v/>
      </c>
      <c r="R802" s="12" t="n"/>
      <c r="S802" s="12" t="n"/>
      <c r="T802" s="13" t="n"/>
      <c r="U802" s="12" t="n">
        <v>87</v>
      </c>
      <c r="V802" s="12" t="n"/>
      <c r="W80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802" s="14">
        <f>SI([@SBAN]="";"";BUSCARV([@SBAN];Cronograma_Maestro!$A:$M;6;FALSO))</f>
        <v/>
      </c>
    </row>
    <row r="803">
      <c r="A803" s="11" t="inlineStr">
        <is>
          <t>1500</t>
        </is>
      </c>
      <c r="B803" s="12">
        <f>SI([@SBAN]="";"";BUSCARV([@SBAN];Cronograma_Maestro!$A:$M;2;FALSO))</f>
        <v/>
      </c>
      <c r="C803" s="12">
        <f>SI([@SBAN]="";"";BUSCARV([@SBAN];Cronograma_Maestro!$A:$M;3;FALSO))</f>
        <v/>
      </c>
      <c r="D803" s="12">
        <f>SI([@SBAN]="";"";BUSCARV([@SBAN];Cronograma_Maestro!$A:$M;4;FALSO))</f>
        <v/>
      </c>
      <c r="E803" s="12">
        <f>SI([@SBAN]="";"";BUSCARV([@SBAN];Cronograma_Maestro!$A:$M;5;FALSO))</f>
        <v/>
      </c>
      <c r="F803" s="12" t="inlineStr">
        <is>
          <t>CARLOS ENRIQUE CUCHIVAGUEN FORERO</t>
        </is>
      </c>
      <c r="G803" s="12" t="inlineStr">
        <is>
          <t>PMU COLSOF</t>
        </is>
      </c>
      <c r="H803" s="13" t="n">
        <v>46272</v>
      </c>
      <c r="I803" s="13" t="n">
        <v>46367</v>
      </c>
      <c r="J803" s="13" t="n"/>
      <c r="K803" s="13" t="n"/>
      <c r="L803" s="12" t="inlineStr">
        <is>
          <t>Programada</t>
        </is>
      </c>
      <c r="M803" s="13" t="n"/>
      <c r="N803" s="14">
        <f>SI(O([@[Fecha_Programada_Inicio]]="";[@[Fecha_Inicio_Real]]="");"";SI([@[Fecha_Inicio_Real]]&lt;=[@[Fecha_Programada_Inicio]];"SÍ";"NO"))</f>
        <v/>
      </c>
      <c r="O803" s="14">
        <f>SI(O([@[Fecha_Programada_Fin]]="";[@[Fecha_Cierre_Operativo]]="");"";SI([@[Fecha_Cierre_Operativo]]&lt;=SI([@[Fecha_Nueva_Programada]]&lt;&gt;"";[@[Fecha_Nueva_Programada]];[@[Fecha_Programada_Fin]]);"SÍ";"NO"))</f>
        <v/>
      </c>
      <c r="P803" s="14">
        <f>SI(O([@[Cumpli_Ingreso]]="";[@[Cumpli_Salida]]="");"";SI(Y([@[Cumpli_Ingreso]]="SÍ";[@[Cumpli_Salida]]="SÍ");"SÍ";"NO"))</f>
        <v/>
      </c>
      <c r="Q803" s="15">
        <f>SI(O([@[Fecha_Programada_Fin]]="";[@[Fecha_Cierre_Operativo]]="");"";MAX(0;ENTERO([@[Fecha_Cierre_Operativo]])-ENTERO(SI([@[Fecha_Nueva_Programada]]&lt;&gt;"";[@[Fecha_Nueva_Programada]];[@[Fecha_Programada_Fin]])))</f>
        <v/>
      </c>
      <c r="R803" s="12" t="n"/>
      <c r="S803" s="12" t="n"/>
      <c r="T803" s="13" t="n"/>
      <c r="U803" s="12" t="n">
        <v>108</v>
      </c>
      <c r="V803" s="12" t="n"/>
      <c r="W80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803" s="14">
        <f>SI([@SBAN]="";"";BUSCARV([@SBAN];Cronograma_Maestro!$A:$M;6;FALSO))</f>
        <v/>
      </c>
    </row>
    <row r="804">
      <c r="A804" s="11" t="inlineStr">
        <is>
          <t>6000</t>
        </is>
      </c>
      <c r="B804" s="12">
        <f>SI([@SBAN]="";"";BUSCARV([@SBAN];Cronograma_Maestro!$A:$M;2;FALSO))</f>
        <v/>
      </c>
      <c r="C804" s="12">
        <f>SI([@SBAN]="";"";BUSCARV([@SBAN];Cronograma_Maestro!$A:$M;3;FALSO))</f>
        <v/>
      </c>
      <c r="D804" s="12">
        <f>SI([@SBAN]="";"";BUSCARV([@SBAN];Cronograma_Maestro!$A:$M;4;FALSO))</f>
        <v/>
      </c>
      <c r="E804" s="12">
        <f>SI([@SBAN]="";"";BUSCARV([@SBAN];Cronograma_Maestro!$A:$M;5;FALSO))</f>
        <v/>
      </c>
      <c r="F804" s="12" t="inlineStr">
        <is>
          <t>CARLOS MIGUEL JIMENEZ</t>
        </is>
      </c>
      <c r="G804" s="12" t="inlineStr">
        <is>
          <t>PMU COLSOF</t>
        </is>
      </c>
      <c r="H804" s="13" t="n">
        <v>46272</v>
      </c>
      <c r="I804" s="13" t="n">
        <v>46367</v>
      </c>
      <c r="J804" s="13" t="n"/>
      <c r="K804" s="13" t="n"/>
      <c r="L804" s="12" t="inlineStr">
        <is>
          <t>Programada</t>
        </is>
      </c>
      <c r="M804" s="13" t="n"/>
      <c r="N804" s="14">
        <f>SI(O([@[Fecha_Programada_Inicio]]="";[@[Fecha_Inicio_Real]]="");"";SI([@[Fecha_Inicio_Real]]&lt;=[@[Fecha_Programada_Inicio]];"SÍ";"NO"))</f>
        <v/>
      </c>
      <c r="O804" s="14">
        <f>SI(O([@[Fecha_Programada_Fin]]="";[@[Fecha_Cierre_Operativo]]="");"";SI([@[Fecha_Cierre_Operativo]]&lt;=SI([@[Fecha_Nueva_Programada]]&lt;&gt;"";[@[Fecha_Nueva_Programada]];[@[Fecha_Programada_Fin]]);"SÍ";"NO"))</f>
        <v/>
      </c>
      <c r="P804" s="14">
        <f>SI(O([@[Cumpli_Ingreso]]="";[@[Cumpli_Salida]]="");"";SI(Y([@[Cumpli_Ingreso]]="SÍ";[@[Cumpli_Salida]]="SÍ");"SÍ";"NO"))</f>
        <v/>
      </c>
      <c r="Q804" s="15">
        <f>SI(O([@[Fecha_Programada_Fin]]="";[@[Fecha_Cierre_Operativo]]="");"";MAX(0;ENTERO([@[Fecha_Cierre_Operativo]])-ENTERO(SI([@[Fecha_Nueva_Programada]]&lt;&gt;"";[@[Fecha_Nueva_Programada]];[@[Fecha_Programada_Fin]])))</f>
        <v/>
      </c>
      <c r="R804" s="12" t="n"/>
      <c r="S804" s="12" t="n"/>
      <c r="T804" s="13" t="n"/>
      <c r="U804" s="12" t="n">
        <v>83</v>
      </c>
      <c r="V804" s="12" t="n"/>
      <c r="W80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804" s="14">
        <f>SI([@SBAN]="";"";BUSCARV([@SBAN];Cronograma_Maestro!$A:$M;6;FALSO))</f>
        <v/>
      </c>
    </row>
    <row r="805">
      <c r="A805" s="11" t="inlineStr">
        <is>
          <t>3900</t>
        </is>
      </c>
      <c r="B805" s="12">
        <f>SI([@SBAN]="";"";BUSCARV([@SBAN];Cronograma_Maestro!$A:$M;2;FALSO))</f>
        <v/>
      </c>
      <c r="C805" s="12">
        <f>SI([@SBAN]="";"";BUSCARV([@SBAN];Cronograma_Maestro!$A:$M;3;FALSO))</f>
        <v/>
      </c>
      <c r="D805" s="12">
        <f>SI([@SBAN]="";"";BUSCARV([@SBAN];Cronograma_Maestro!$A:$M;4;FALSO))</f>
        <v/>
      </c>
      <c r="E805" s="12">
        <f>SI([@SBAN]="";"";BUSCARV([@SBAN];Cronograma_Maestro!$A:$M;5;FALSO))</f>
        <v/>
      </c>
      <c r="F805" s="12" t="inlineStr">
        <is>
          <t>VICTOR ALFONSO ULLOA ACOSTA</t>
        </is>
      </c>
      <c r="G805" s="12" t="inlineStr">
        <is>
          <t>PMU COLSOF</t>
        </is>
      </c>
      <c r="H805" s="13" t="n">
        <v>46272</v>
      </c>
      <c r="I805" s="13" t="n">
        <v>46367</v>
      </c>
      <c r="J805" s="13" t="n"/>
      <c r="K805" s="13" t="n"/>
      <c r="L805" s="12" t="inlineStr">
        <is>
          <t>Programada</t>
        </is>
      </c>
      <c r="M805" s="13" t="n"/>
      <c r="N805" s="14">
        <f>SI(O([@[Fecha_Programada_Inicio]]="";[@[Fecha_Inicio_Real]]="");"";SI([@[Fecha_Inicio_Real]]&lt;=[@[Fecha_Programada_Inicio]];"SÍ";"NO"))</f>
        <v/>
      </c>
      <c r="O805" s="14">
        <f>SI(O([@[Fecha_Programada_Fin]]="";[@[Fecha_Cierre_Operativo]]="");"";SI([@[Fecha_Cierre_Operativo]]&lt;=SI([@[Fecha_Nueva_Programada]]&lt;&gt;"";[@[Fecha_Nueva_Programada]];[@[Fecha_Programada_Fin]]);"SÍ";"NO"))</f>
        <v/>
      </c>
      <c r="P805" s="14">
        <f>SI(O([@[Cumpli_Ingreso]]="";[@[Cumpli_Salida]]="");"";SI(Y([@[Cumpli_Ingreso]]="SÍ";[@[Cumpli_Salida]]="SÍ");"SÍ";"NO"))</f>
        <v/>
      </c>
      <c r="Q805" s="15">
        <f>SI(O([@[Fecha_Programada_Fin]]="";[@[Fecha_Cierre_Operativo]]="");"";MAX(0;ENTERO([@[Fecha_Cierre_Operativo]])-ENTERO(SI([@[Fecha_Nueva_Programada]]&lt;&gt;"";[@[Fecha_Nueva_Programada]];[@[Fecha_Programada_Fin]])))</f>
        <v/>
      </c>
      <c r="R805" s="12" t="n"/>
      <c r="S805" s="12" t="n"/>
      <c r="T805" s="13" t="n"/>
      <c r="U805" s="12" t="n">
        <v>106</v>
      </c>
      <c r="V805" s="12" t="n"/>
      <c r="W80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805" s="14">
        <f>SI([@SBAN]="";"";BUSCARV([@SBAN];Cronograma_Maestro!$A:$M;6;FALSO))</f>
        <v/>
      </c>
    </row>
    <row r="806">
      <c r="A806" s="11" t="inlineStr">
        <is>
          <t>9000</t>
        </is>
      </c>
      <c r="B806" s="12">
        <f>SI([@SBAN]="";"";BUSCARV([@SBAN];Cronograma_Maestro!$A:$M;2;FALSO))</f>
        <v/>
      </c>
      <c r="C806" s="12">
        <f>SI([@SBAN]="";"";BUSCARV([@SBAN];Cronograma_Maestro!$A:$M;3;FALSO))</f>
        <v/>
      </c>
      <c r="D806" s="12">
        <f>SI([@SBAN]="";"";BUSCARV([@SBAN];Cronograma_Maestro!$A:$M;4;FALSO))</f>
        <v/>
      </c>
      <c r="E806" s="12">
        <f>SI([@SBAN]="";"";BUSCARV([@SBAN];Cronograma_Maestro!$A:$M;5;FALSO))</f>
        <v/>
      </c>
      <c r="F806" s="12" t="inlineStr">
        <is>
          <t>Grupo Bogota</t>
        </is>
      </c>
      <c r="G806" s="12" t="inlineStr">
        <is>
          <t>PMU COLSOF</t>
        </is>
      </c>
      <c r="H806" s="13" t="n">
        <v>46266</v>
      </c>
      <c r="I806" s="13" t="n">
        <v>46367</v>
      </c>
      <c r="J806" s="13" t="n"/>
      <c r="K806" s="13" t="n"/>
      <c r="L806" s="12" t="inlineStr">
        <is>
          <t>Programada</t>
        </is>
      </c>
      <c r="M806" s="13" t="n"/>
      <c r="N806" s="14">
        <f>SI(O([@[Fecha_Programada_Inicio]]="";[@[Fecha_Inicio_Real]]="");"";SI([@[Fecha_Inicio_Real]]&lt;=[@[Fecha_Programada_Inicio]];"SÍ";"NO"))</f>
        <v/>
      </c>
      <c r="O806" s="14">
        <f>SI(O([@[Fecha_Programada_Fin]]="";[@[Fecha_Cierre_Operativo]]="");"";SI([@[Fecha_Cierre_Operativo]]&lt;=SI([@[Fecha_Nueva_Programada]]&lt;&gt;"";[@[Fecha_Nueva_Programada]];[@[Fecha_Programada_Fin]]);"SÍ";"NO"))</f>
        <v/>
      </c>
      <c r="P806" s="14">
        <f>SI(O([@[Cumpli_Ingreso]]="";[@[Cumpli_Salida]]="");"";SI(Y([@[Cumpli_Ingreso]]="SÍ";[@[Cumpli_Salida]]="SÍ");"SÍ";"NO"))</f>
        <v/>
      </c>
      <c r="Q806" s="15">
        <f>SI(O([@[Fecha_Programada_Fin]]="";[@[Fecha_Cierre_Operativo]]="");"";MAX(0;ENTERO([@[Fecha_Cierre_Operativo]])-ENTERO(SI([@[Fecha_Nueva_Programada]]&lt;&gt;"";[@[Fecha_Nueva_Programada]];[@[Fecha_Programada_Fin]])))</f>
        <v/>
      </c>
      <c r="R806" s="12" t="n"/>
      <c r="S806" s="12" t="n"/>
      <c r="T806" s="13" t="n"/>
      <c r="U806" s="12" t="n">
        <v>1525</v>
      </c>
      <c r="V806" s="12" t="n"/>
      <c r="W80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806" s="14">
        <f>SI([@SBAN]="";"";BUSCARV([@SBAN];Cronograma_Maestro!$A:$M;6;FALSO))</f>
        <v/>
      </c>
    </row>
    <row r="807">
      <c r="A807" s="11" t="inlineStr">
        <is>
          <t>1411</t>
        </is>
      </c>
      <c r="B807" s="12">
        <f>SI([@SBAN]="";"";BUSCARV([@SBAN];Cronograma_Maestro!$A:$M;2;FALSO))</f>
        <v/>
      </c>
      <c r="C807" s="12">
        <f>SI([@SBAN]="";"";BUSCARV([@SBAN];Cronograma_Maestro!$A:$M;3;FALSO))</f>
        <v/>
      </c>
      <c r="D807" s="12">
        <f>SI([@SBAN]="";"";BUSCARV([@SBAN];Cronograma_Maestro!$A:$M;4;FALSO))</f>
        <v/>
      </c>
      <c r="E807" s="12">
        <f>SI([@SBAN]="";"";BUSCARV([@SBAN];Cronograma_Maestro!$A:$M;5;FALSO))</f>
        <v/>
      </c>
      <c r="F807" s="12" t="inlineStr">
        <is>
          <t>ANA ELVIRA BELTRAN</t>
        </is>
      </c>
      <c r="G807" s="12" t="inlineStr">
        <is>
          <t>PMU COLSOF</t>
        </is>
      </c>
      <c r="H807" s="13" t="n">
        <v>46280</v>
      </c>
      <c r="I807" s="13" t="n">
        <v>46282</v>
      </c>
      <c r="J807" s="13" t="n"/>
      <c r="K807" s="13" t="n"/>
      <c r="L807" s="12" t="inlineStr">
        <is>
          <t>Programada</t>
        </is>
      </c>
      <c r="M807" s="13" t="n"/>
      <c r="N807" s="14">
        <f>SI(O([@[Fecha_Programada_Inicio]]="";[@[Fecha_Inicio_Real]]="");"";SI([@[Fecha_Inicio_Real]]&lt;=[@[Fecha_Programada_Inicio]];"SÍ";"NO"))</f>
        <v/>
      </c>
      <c r="O807" s="14">
        <f>SI(O([@[Fecha_Programada_Fin]]="";[@[Fecha_Cierre_Operativo]]="");"";SI([@[Fecha_Cierre_Operativo]]&lt;=SI([@[Fecha_Nueva_Programada]]&lt;&gt;"";[@[Fecha_Nueva_Programada]];[@[Fecha_Programada_Fin]]);"SÍ";"NO"))</f>
        <v/>
      </c>
      <c r="P807" s="14">
        <f>SI(O([@[Cumpli_Ingreso]]="";[@[Cumpli_Salida]]="");"";SI(Y([@[Cumpli_Ingreso]]="SÍ";[@[Cumpli_Salida]]="SÍ");"SÍ";"NO"))</f>
        <v/>
      </c>
      <c r="Q807" s="15">
        <f>SI(O([@[Fecha_Programada_Fin]]="";[@[Fecha_Cierre_Operativo]]="");"";MAX(0;ENTERO([@[Fecha_Cierre_Operativo]])-ENTERO(SI([@[Fecha_Nueva_Programada]]&lt;&gt;"";[@[Fecha_Nueva_Programada]];[@[Fecha_Programada_Fin]])))</f>
        <v/>
      </c>
      <c r="R807" s="12" t="n"/>
      <c r="S807" s="12" t="n"/>
      <c r="T807" s="13" t="n"/>
      <c r="U807" s="12" t="n">
        <v>66</v>
      </c>
      <c r="V807" s="12" t="n"/>
      <c r="W80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807" s="14">
        <f>SI([@SBAN]="";"";BUSCARV([@SBAN];Cronograma_Maestro!$A:$M;6;FALSO))</f>
        <v/>
      </c>
    </row>
    <row r="808">
      <c r="A808" s="11" t="inlineStr">
        <is>
          <t>9000</t>
        </is>
      </c>
      <c r="B808" s="12">
        <f>SI([@SBAN]="";"";BUSCARV([@SBAN];Cronograma_Maestro!$A:$M;2;FALSO))</f>
        <v/>
      </c>
      <c r="C808" s="12">
        <f>SI([@SBAN]="";"";BUSCARV([@SBAN];Cronograma_Maestro!$A:$M;3;FALSO))</f>
        <v/>
      </c>
      <c r="D808" s="12">
        <f>SI([@SBAN]="";"";BUSCARV([@SBAN];Cronograma_Maestro!$A:$M;4;FALSO))</f>
        <v/>
      </c>
      <c r="E808" s="12">
        <f>SI([@SBAN]="";"";BUSCARV([@SBAN];Cronograma_Maestro!$A:$M;5;FALSO))</f>
        <v/>
      </c>
      <c r="F808" s="12" t="inlineStr">
        <is>
          <t>Grupo Bogota</t>
        </is>
      </c>
      <c r="G808" s="12" t="inlineStr">
        <is>
          <t>PMU COLSOF</t>
        </is>
      </c>
      <c r="H808" s="13" t="n">
        <v>46266</v>
      </c>
      <c r="I808" s="13" t="n">
        <v>46367</v>
      </c>
      <c r="J808" s="13" t="n"/>
      <c r="K808" s="13" t="n"/>
      <c r="L808" s="12" t="inlineStr">
        <is>
          <t>Programada</t>
        </is>
      </c>
      <c r="M808" s="13" t="n"/>
      <c r="N808" s="14">
        <f>SI(O([@[Fecha_Programada_Inicio]]="";[@[Fecha_Inicio_Real]]="");"";SI([@[Fecha_Inicio_Real]]&lt;=[@[Fecha_Programada_Inicio]];"SÍ";"NO"))</f>
        <v/>
      </c>
      <c r="O808" s="14">
        <f>SI(O([@[Fecha_Programada_Fin]]="";[@[Fecha_Cierre_Operativo]]="");"";SI([@[Fecha_Cierre_Operativo]]&lt;=SI([@[Fecha_Nueva_Programada]]&lt;&gt;"";[@[Fecha_Nueva_Programada]];[@[Fecha_Programada_Fin]]);"SÍ";"NO"))</f>
        <v/>
      </c>
      <c r="P808" s="14">
        <f>SI(O([@[Cumpli_Ingreso]]="";[@[Cumpli_Salida]]="");"";SI(Y([@[Cumpli_Ingreso]]="SÍ";[@[Cumpli_Salida]]="SÍ");"SÍ";"NO"))</f>
        <v/>
      </c>
      <c r="Q808" s="15">
        <f>SI(O([@[Fecha_Programada_Fin]]="";[@[Fecha_Cierre_Operativo]]="");"";MAX(0;ENTERO([@[Fecha_Cierre_Operativo]])-ENTERO(SI([@[Fecha_Nueva_Programada]]&lt;&gt;"";[@[Fecha_Nueva_Programada]];[@[Fecha_Programada_Fin]])))</f>
        <v/>
      </c>
      <c r="R808" s="12" t="n"/>
      <c r="S808" s="12" t="n"/>
      <c r="T808" s="13" t="n"/>
      <c r="U808" s="12" t="n">
        <v>1360</v>
      </c>
      <c r="V808" s="12" t="n"/>
      <c r="W80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808" s="14">
        <f>SI([@SBAN]="";"";BUSCARV([@SBAN];Cronograma_Maestro!$A:$M;6;FALSO))</f>
        <v/>
      </c>
    </row>
    <row r="809">
      <c r="A809" s="11" t="inlineStr">
        <is>
          <t>9000</t>
        </is>
      </c>
      <c r="B809" s="12">
        <f>SI([@SBAN]="";"";BUSCARV([@SBAN];Cronograma_Maestro!$A:$M;2;FALSO))</f>
        <v/>
      </c>
      <c r="C809" s="12">
        <f>SI([@SBAN]="";"";BUSCARV([@SBAN];Cronograma_Maestro!$A:$M;3;FALSO))</f>
        <v/>
      </c>
      <c r="D809" s="12">
        <f>SI([@SBAN]="";"";BUSCARV([@SBAN];Cronograma_Maestro!$A:$M;4;FALSO))</f>
        <v/>
      </c>
      <c r="E809" s="12">
        <f>SI([@SBAN]="";"";BUSCARV([@SBAN];Cronograma_Maestro!$A:$M;5;FALSO))</f>
        <v/>
      </c>
      <c r="F809" s="12" t="inlineStr">
        <is>
          <t>Grupo Bogota</t>
        </is>
      </c>
      <c r="G809" s="12" t="inlineStr">
        <is>
          <t>PMU COLSOF</t>
        </is>
      </c>
      <c r="H809" s="13" t="n">
        <v>46266</v>
      </c>
      <c r="I809" s="13" t="n">
        <v>46367</v>
      </c>
      <c r="J809" s="13" t="n"/>
      <c r="K809" s="13" t="n"/>
      <c r="L809" s="12" t="inlineStr">
        <is>
          <t>Programada</t>
        </is>
      </c>
      <c r="M809" s="13" t="n"/>
      <c r="N809" s="14">
        <f>SI(O([@[Fecha_Programada_Inicio]]="";[@[Fecha_Inicio_Real]]="");"";SI([@[Fecha_Inicio_Real]]&lt;=[@[Fecha_Programada_Inicio]];"SÍ";"NO"))</f>
        <v/>
      </c>
      <c r="O809" s="14">
        <f>SI(O([@[Fecha_Programada_Fin]]="";[@[Fecha_Cierre_Operativo]]="");"";SI([@[Fecha_Cierre_Operativo]]&lt;=SI([@[Fecha_Nueva_Programada]]&lt;&gt;"";[@[Fecha_Nueva_Programada]];[@[Fecha_Programada_Fin]]);"SÍ";"NO"))</f>
        <v/>
      </c>
      <c r="P809" s="14">
        <f>SI(O([@[Cumpli_Ingreso]]="";[@[Cumpli_Salida]]="");"";SI(Y([@[Cumpli_Ingreso]]="SÍ";[@[Cumpli_Salida]]="SÍ");"SÍ";"NO"))</f>
        <v/>
      </c>
      <c r="Q809" s="15">
        <f>SI(O([@[Fecha_Programada_Fin]]="";[@[Fecha_Cierre_Operativo]]="");"";MAX(0;ENTERO([@[Fecha_Cierre_Operativo]])-ENTERO(SI([@[Fecha_Nueva_Programada]]&lt;&gt;"";[@[Fecha_Nueva_Programada]];[@[Fecha_Programada_Fin]])))</f>
        <v/>
      </c>
      <c r="R809" s="12" t="n"/>
      <c r="S809" s="12" t="n"/>
      <c r="T809" s="13" t="n"/>
      <c r="U809" s="12" t="n">
        <v>46</v>
      </c>
      <c r="V809" s="12" t="n"/>
      <c r="W80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809" s="14">
        <f>SI([@SBAN]="";"";BUSCARV([@SBAN];Cronograma_Maestro!$A:$M;6;FALSO))</f>
        <v/>
      </c>
    </row>
    <row r="810">
      <c r="A810" s="11" t="inlineStr">
        <is>
          <t>1600</t>
        </is>
      </c>
      <c r="B810" s="12">
        <f>SI([@SBAN]="";"";BUSCARV([@SBAN];Cronograma_Maestro!$A:$M;2;FALSO))</f>
        <v/>
      </c>
      <c r="C810" s="12">
        <f>SI([@SBAN]="";"";BUSCARV([@SBAN];Cronograma_Maestro!$A:$M;3;FALSO))</f>
        <v/>
      </c>
      <c r="D810" s="12">
        <f>SI([@SBAN]="";"";BUSCARV([@SBAN];Cronograma_Maestro!$A:$M;4;FALSO))</f>
        <v/>
      </c>
      <c r="E810" s="12">
        <f>SI([@SBAN]="";"";BUSCARV([@SBAN];Cronograma_Maestro!$A:$M;5;FALSO))</f>
        <v/>
      </c>
      <c r="F810" s="12" t="inlineStr">
        <is>
          <t>JOSÉ CONTRERAS VALERA</t>
        </is>
      </c>
      <c r="G810" s="12" t="inlineStr">
        <is>
          <t>PMU COLSOF</t>
        </is>
      </c>
      <c r="H810" s="13" t="n">
        <v>46272</v>
      </c>
      <c r="I810" s="13" t="n">
        <v>46367</v>
      </c>
      <c r="J810" s="13" t="n"/>
      <c r="K810" s="13" t="n"/>
      <c r="L810" s="12" t="inlineStr">
        <is>
          <t>Programada</t>
        </is>
      </c>
      <c r="M810" s="13" t="n"/>
      <c r="N810" s="14">
        <f>SI(O([@[Fecha_Programada_Inicio]]="";[@[Fecha_Inicio_Real]]="");"";SI([@[Fecha_Inicio_Real]]&lt;=[@[Fecha_Programada_Inicio]];"SÍ";"NO"))</f>
        <v/>
      </c>
      <c r="O810" s="14">
        <f>SI(O([@[Fecha_Programada_Fin]]="";[@[Fecha_Cierre_Operativo]]="");"";SI([@[Fecha_Cierre_Operativo]]&lt;=SI([@[Fecha_Nueva_Programada]]&lt;&gt;"";[@[Fecha_Nueva_Programada]];[@[Fecha_Programada_Fin]]);"SÍ";"NO"))</f>
        <v/>
      </c>
      <c r="P810" s="14">
        <f>SI(O([@[Cumpli_Ingreso]]="";[@[Cumpli_Salida]]="");"";SI(Y([@[Cumpli_Ingreso]]="SÍ";[@[Cumpli_Salida]]="SÍ");"SÍ";"NO"))</f>
        <v/>
      </c>
      <c r="Q810" s="15">
        <f>SI(O([@[Fecha_Programada_Fin]]="";[@[Fecha_Cierre_Operativo]]="");"";MAX(0;ENTERO([@[Fecha_Cierre_Operativo]])-ENTERO(SI([@[Fecha_Nueva_Programada]]&lt;&gt;"";[@[Fecha_Nueva_Programada]];[@[Fecha_Programada_Fin]])))</f>
        <v/>
      </c>
      <c r="R810" s="12" t="n"/>
      <c r="S810" s="12" t="n"/>
      <c r="T810" s="13" t="n"/>
      <c r="U810" s="12" t="n"/>
      <c r="V810" s="12" t="n"/>
      <c r="W81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810" s="14">
        <f>SI([@SBAN]="";"";BUSCARV([@SBAN];Cronograma_Maestro!$A:$M;6;FALSO))</f>
        <v/>
      </c>
    </row>
    <row r="811">
      <c r="A811" s="11" t="inlineStr">
        <is>
          <t>3000</t>
        </is>
      </c>
      <c r="B811" s="12">
        <f>SI([@SBAN]="";"";BUSCARV([@SBAN];Cronograma_Maestro!$A:$M;2;FALSO))</f>
        <v/>
      </c>
      <c r="C811" s="12">
        <f>SI([@SBAN]="";"";BUSCARV([@SBAN];Cronograma_Maestro!$A:$M;3;FALSO))</f>
        <v/>
      </c>
      <c r="D811" s="12">
        <f>SI([@SBAN]="";"";BUSCARV([@SBAN];Cronograma_Maestro!$A:$M;4;FALSO))</f>
        <v/>
      </c>
      <c r="E811" s="12">
        <f>SI([@SBAN]="";"";BUSCARV([@SBAN];Cronograma_Maestro!$A:$M;5;FALSO))</f>
        <v/>
      </c>
      <c r="F811" s="12" t="inlineStr">
        <is>
          <t>Grupo Bogota</t>
        </is>
      </c>
      <c r="G811" s="12" t="inlineStr">
        <is>
          <t>PMU COLSOF</t>
        </is>
      </c>
      <c r="H811" s="13" t="n">
        <v>46272</v>
      </c>
      <c r="I811" s="13" t="n">
        <v>46367</v>
      </c>
      <c r="J811" s="13" t="n"/>
      <c r="K811" s="13" t="n"/>
      <c r="L811" s="12" t="inlineStr">
        <is>
          <t>Programada</t>
        </is>
      </c>
      <c r="M811" s="13" t="n"/>
      <c r="N811" s="14">
        <f>SI(O([@[Fecha_Programada_Inicio]]="";[@[Fecha_Inicio_Real]]="");"";SI([@[Fecha_Inicio_Real]]&lt;=[@[Fecha_Programada_Inicio]];"SÍ";"NO"))</f>
        <v/>
      </c>
      <c r="O811" s="14">
        <f>SI(O([@[Fecha_Programada_Fin]]="";[@[Fecha_Cierre_Operativo]]="");"";SI([@[Fecha_Cierre_Operativo]]&lt;=SI([@[Fecha_Nueva_Programada]]&lt;&gt;"";[@[Fecha_Nueva_Programada]];[@[Fecha_Programada_Fin]]);"SÍ";"NO"))</f>
        <v/>
      </c>
      <c r="P811" s="14">
        <f>SI(O([@[Cumpli_Ingreso]]="";[@[Cumpli_Salida]]="");"";SI(Y([@[Cumpli_Ingreso]]="SÍ";[@[Cumpli_Salida]]="SÍ");"SÍ";"NO"))</f>
        <v/>
      </c>
      <c r="Q811" s="15">
        <f>SI(O([@[Fecha_Programada_Fin]]="";[@[Fecha_Cierre_Operativo]]="");"";MAX(0;ENTERO([@[Fecha_Cierre_Operativo]])-ENTERO(SI([@[Fecha_Nueva_Programada]]&lt;&gt;"";[@[Fecha_Nueva_Programada]];[@[Fecha_Programada_Fin]])))</f>
        <v/>
      </c>
      <c r="R811" s="12" t="n"/>
      <c r="S811" s="12" t="n"/>
      <c r="T811" s="13" t="n"/>
      <c r="U811" s="12" t="n"/>
      <c r="V811" s="12" t="n"/>
      <c r="W81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811" s="14">
        <f>SI([@SBAN]="";"";BUSCARV([@SBAN];Cronograma_Maestro!$A:$M;6;FALSO))</f>
        <v/>
      </c>
    </row>
    <row r="812">
      <c r="A812" s="11" t="inlineStr">
        <is>
          <t>3000</t>
        </is>
      </c>
      <c r="B812" s="12">
        <f>SI([@SBAN]="";"";BUSCARV([@SBAN];Cronograma_Maestro!$A:$M;2;FALSO))</f>
        <v/>
      </c>
      <c r="C812" s="12">
        <f>SI([@SBAN]="";"";BUSCARV([@SBAN];Cronograma_Maestro!$A:$M;3;FALSO))</f>
        <v/>
      </c>
      <c r="D812" s="12">
        <f>SI([@SBAN]="";"";BUSCARV([@SBAN];Cronograma_Maestro!$A:$M;4;FALSO))</f>
        <v/>
      </c>
      <c r="E812" s="12">
        <f>SI([@SBAN]="";"";BUSCARV([@SBAN];Cronograma_Maestro!$A:$M;5;FALSO))</f>
        <v/>
      </c>
      <c r="F812" s="12" t="inlineStr">
        <is>
          <t>CESAR AUGUSTO PORRAS</t>
        </is>
      </c>
      <c r="G812" s="12" t="inlineStr">
        <is>
          <t>PMU COLSOF</t>
        </is>
      </c>
      <c r="H812" s="13" t="n">
        <v>46272</v>
      </c>
      <c r="I812" s="13" t="n">
        <v>46367</v>
      </c>
      <c r="J812" s="13" t="n"/>
      <c r="K812" s="13" t="n"/>
      <c r="L812" s="12" t="inlineStr">
        <is>
          <t>Programada</t>
        </is>
      </c>
      <c r="M812" s="13" t="n"/>
      <c r="N812" s="14">
        <f>SI(O([@[Fecha_Programada_Inicio]]="";[@[Fecha_Inicio_Real]]="");"";SI([@[Fecha_Inicio_Real]]&lt;=[@[Fecha_Programada_Inicio]];"SÍ";"NO"))</f>
        <v/>
      </c>
      <c r="O812" s="14">
        <f>SI(O([@[Fecha_Programada_Fin]]="";[@[Fecha_Cierre_Operativo]]="");"";SI([@[Fecha_Cierre_Operativo]]&lt;=SI([@[Fecha_Nueva_Programada]]&lt;&gt;"";[@[Fecha_Nueva_Programada]];[@[Fecha_Programada_Fin]]);"SÍ";"NO"))</f>
        <v/>
      </c>
      <c r="P812" s="14">
        <f>SI(O([@[Cumpli_Ingreso]]="";[@[Cumpli_Salida]]="");"";SI(Y([@[Cumpli_Ingreso]]="SÍ";[@[Cumpli_Salida]]="SÍ");"SÍ";"NO"))</f>
        <v/>
      </c>
      <c r="Q812" s="15">
        <f>SI(O([@[Fecha_Programada_Fin]]="";[@[Fecha_Cierre_Operativo]]="");"";MAX(0;ENTERO([@[Fecha_Cierre_Operativo]])-ENTERO(SI([@[Fecha_Nueva_Programada]]&lt;&gt;"";[@[Fecha_Nueva_Programada]];[@[Fecha_Programada_Fin]])))</f>
        <v/>
      </c>
      <c r="R812" s="12" t="n"/>
      <c r="S812" s="12" t="n"/>
      <c r="T812" s="13" t="n"/>
      <c r="U812" s="12" t="n"/>
      <c r="V812" s="12" t="n"/>
      <c r="W81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812" s="14">
        <f>SI([@SBAN]="";"";BUSCARV([@SBAN];Cronograma_Maestro!$A:$M;6;FALSO))</f>
        <v/>
      </c>
    </row>
    <row r="813">
      <c r="A813" s="11" t="inlineStr">
        <is>
          <t>1300</t>
        </is>
      </c>
      <c r="B813" s="12">
        <f>SI([@SBAN]="";"";BUSCARV([@SBAN];Cronograma_Maestro!$A:$M;2;FALSO))</f>
        <v/>
      </c>
      <c r="C813" s="12">
        <f>SI([@SBAN]="";"";BUSCARV([@SBAN];Cronograma_Maestro!$A:$M;3;FALSO))</f>
        <v/>
      </c>
      <c r="D813" s="12">
        <f>SI([@SBAN]="";"";BUSCARV([@SBAN];Cronograma_Maestro!$A:$M;4;FALSO))</f>
        <v/>
      </c>
      <c r="E813" s="12">
        <f>SI([@SBAN]="";"";BUSCARV([@SBAN];Cronograma_Maestro!$A:$M;5;FALSO))</f>
        <v/>
      </c>
      <c r="F813" s="12" t="inlineStr">
        <is>
          <t>JONATHAN  FELIPE JARABE CHALARCA</t>
        </is>
      </c>
      <c r="G813" s="12" t="inlineStr">
        <is>
          <t>PMU COLSOF</t>
        </is>
      </c>
      <c r="H813" s="13" t="n">
        <v>46272</v>
      </c>
      <c r="I813" s="13" t="n">
        <v>46367</v>
      </c>
      <c r="J813" s="13" t="n"/>
      <c r="K813" s="13" t="n"/>
      <c r="L813" s="12" t="inlineStr">
        <is>
          <t>Programada</t>
        </is>
      </c>
      <c r="M813" s="13" t="n"/>
      <c r="N813" s="14">
        <f>SI(O([@[Fecha_Programada_Inicio]]="";[@[Fecha_Inicio_Real]]="");"";SI([@[Fecha_Inicio_Real]]&lt;=[@[Fecha_Programada_Inicio]];"SÍ";"NO"))</f>
        <v/>
      </c>
      <c r="O813" s="14">
        <f>SI(O([@[Fecha_Programada_Fin]]="";[@[Fecha_Cierre_Operativo]]="");"";SI([@[Fecha_Cierre_Operativo]]&lt;=SI([@[Fecha_Nueva_Programada]]&lt;&gt;"";[@[Fecha_Nueva_Programada]];[@[Fecha_Programada_Fin]]);"SÍ";"NO"))</f>
        <v/>
      </c>
      <c r="P813" s="14">
        <f>SI(O([@[Cumpli_Ingreso]]="";[@[Cumpli_Salida]]="");"";SI(Y([@[Cumpli_Ingreso]]="SÍ";[@[Cumpli_Salida]]="SÍ");"SÍ";"NO"))</f>
        <v/>
      </c>
      <c r="Q813" s="15">
        <f>SI(O([@[Fecha_Programada_Fin]]="";[@[Fecha_Cierre_Operativo]]="");"";MAX(0;ENTERO([@[Fecha_Cierre_Operativo]])-ENTERO(SI([@[Fecha_Nueva_Programada]]&lt;&gt;"";[@[Fecha_Nueva_Programada]];[@[Fecha_Programada_Fin]])))</f>
        <v/>
      </c>
      <c r="R813" s="12" t="n"/>
      <c r="S813" s="12" t="n"/>
      <c r="T813" s="13" t="n"/>
      <c r="U813" s="12" t="n"/>
      <c r="V813" s="12" t="n"/>
      <c r="W81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813" s="14">
        <f>SI([@SBAN]="";"";BUSCARV([@SBAN];Cronograma_Maestro!$A:$M;6;FALSO))</f>
        <v/>
      </c>
    </row>
    <row r="814">
      <c r="A814" s="11" t="inlineStr">
        <is>
          <t>1300</t>
        </is>
      </c>
      <c r="B814" s="12">
        <f>SI([@SBAN]="";"";BUSCARV([@SBAN];Cronograma_Maestro!$A:$M;2;FALSO))</f>
        <v/>
      </c>
      <c r="C814" s="12">
        <f>SI([@SBAN]="";"";BUSCARV([@SBAN];Cronograma_Maestro!$A:$M;3;FALSO))</f>
        <v/>
      </c>
      <c r="D814" s="12">
        <f>SI([@SBAN]="";"";BUSCARV([@SBAN];Cronograma_Maestro!$A:$M;4;FALSO))</f>
        <v/>
      </c>
      <c r="E814" s="12">
        <f>SI([@SBAN]="";"";BUSCARV([@SBAN];Cronograma_Maestro!$A:$M;5;FALSO))</f>
        <v/>
      </c>
      <c r="F814" s="12" t="inlineStr">
        <is>
          <t>MIGUEL ANGEL VEGA ARRIETA</t>
        </is>
      </c>
      <c r="G814" s="12" t="inlineStr">
        <is>
          <t>PMU COLSOF</t>
        </is>
      </c>
      <c r="H814" s="13" t="n">
        <v>46272</v>
      </c>
      <c r="I814" s="13" t="n">
        <v>46367</v>
      </c>
      <c r="J814" s="13" t="n"/>
      <c r="K814" s="13" t="n"/>
      <c r="L814" s="12" t="inlineStr">
        <is>
          <t>Programada</t>
        </is>
      </c>
      <c r="M814" s="13" t="n"/>
      <c r="N814" s="14">
        <f>SI(O([@[Fecha_Programada_Inicio]]="";[@[Fecha_Inicio_Real]]="");"";SI([@[Fecha_Inicio_Real]]&lt;=[@[Fecha_Programada_Inicio]];"SÍ";"NO"))</f>
        <v/>
      </c>
      <c r="O814" s="14">
        <f>SI(O([@[Fecha_Programada_Fin]]="";[@[Fecha_Cierre_Operativo]]="");"";SI([@[Fecha_Cierre_Operativo]]&lt;=SI([@[Fecha_Nueva_Programada]]&lt;&gt;"";[@[Fecha_Nueva_Programada]];[@[Fecha_Programada_Fin]]);"SÍ";"NO"))</f>
        <v/>
      </c>
      <c r="P814" s="14">
        <f>SI(O([@[Cumpli_Ingreso]]="";[@[Cumpli_Salida]]="");"";SI(Y([@[Cumpli_Ingreso]]="SÍ";[@[Cumpli_Salida]]="SÍ");"SÍ";"NO"))</f>
        <v/>
      </c>
      <c r="Q814" s="15">
        <f>SI(O([@[Fecha_Programada_Fin]]="";[@[Fecha_Cierre_Operativo]]="");"";MAX(0;ENTERO([@[Fecha_Cierre_Operativo]])-ENTERO(SI([@[Fecha_Nueva_Programada]]&lt;&gt;"";[@[Fecha_Nueva_Programada]];[@[Fecha_Programada_Fin]])))</f>
        <v/>
      </c>
      <c r="R814" s="12" t="n"/>
      <c r="S814" s="12" t="n"/>
      <c r="T814" s="13" t="n"/>
      <c r="U814" s="12" t="n"/>
      <c r="V814" s="12" t="n"/>
      <c r="W81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814" s="14">
        <f>SI([@SBAN]="";"";BUSCARV([@SBAN];Cronograma_Maestro!$A:$M;6;FALSO))</f>
        <v/>
      </c>
    </row>
    <row r="815">
      <c r="A815" s="11" t="inlineStr">
        <is>
          <t>6900</t>
        </is>
      </c>
      <c r="B815" s="12">
        <f>SI([@SBAN]="";"";BUSCARV([@SBAN];Cronograma_Maestro!$A:$M;2;FALSO))</f>
        <v/>
      </c>
      <c r="C815" s="12">
        <f>SI([@SBAN]="";"";BUSCARV([@SBAN];Cronograma_Maestro!$A:$M;3;FALSO))</f>
        <v/>
      </c>
      <c r="D815" s="12">
        <f>SI([@SBAN]="";"";BUSCARV([@SBAN];Cronograma_Maestro!$A:$M;4;FALSO))</f>
        <v/>
      </c>
      <c r="E815" s="12">
        <f>SI([@SBAN]="";"";BUSCARV([@SBAN];Cronograma_Maestro!$A:$M;5;FALSO))</f>
        <v/>
      </c>
      <c r="F815" s="12" t="inlineStr">
        <is>
          <t>CARLOS ANDRES BRAVO MARTINEZ</t>
        </is>
      </c>
      <c r="G815" s="12" t="inlineStr">
        <is>
          <t>PMU COLSOF</t>
        </is>
      </c>
      <c r="H815" s="13" t="n">
        <v>46272</v>
      </c>
      <c r="I815" s="13" t="n">
        <v>46367</v>
      </c>
      <c r="J815" s="13" t="n"/>
      <c r="K815" s="13" t="n"/>
      <c r="L815" s="12" t="inlineStr">
        <is>
          <t>Programada</t>
        </is>
      </c>
      <c r="M815" s="13" t="n"/>
      <c r="N815" s="14">
        <f>SI(O([@[Fecha_Programada_Inicio]]="";[@[Fecha_Inicio_Real]]="");"";SI([@[Fecha_Inicio_Real]]&lt;=[@[Fecha_Programada_Inicio]];"SÍ";"NO"))</f>
        <v/>
      </c>
      <c r="O815" s="14">
        <f>SI(O([@[Fecha_Programada_Fin]]="";[@[Fecha_Cierre_Operativo]]="");"";SI([@[Fecha_Cierre_Operativo]]&lt;=SI([@[Fecha_Nueva_Programada]]&lt;&gt;"";[@[Fecha_Nueva_Programada]];[@[Fecha_Programada_Fin]]);"SÍ";"NO"))</f>
        <v/>
      </c>
      <c r="P815" s="14">
        <f>SI(O([@[Cumpli_Ingreso]]="";[@[Cumpli_Salida]]="");"";SI(Y([@[Cumpli_Ingreso]]="SÍ";[@[Cumpli_Salida]]="SÍ");"SÍ";"NO"))</f>
        <v/>
      </c>
      <c r="Q815" s="15">
        <f>SI(O([@[Fecha_Programada_Fin]]="";[@[Fecha_Cierre_Operativo]]="");"";MAX(0;ENTERO([@[Fecha_Cierre_Operativo]])-ENTERO(SI([@[Fecha_Nueva_Programada]]&lt;&gt;"";[@[Fecha_Nueva_Programada]];[@[Fecha_Programada_Fin]])))</f>
        <v/>
      </c>
      <c r="R815" s="12" t="n"/>
      <c r="S815" s="12" t="n"/>
      <c r="T815" s="13" t="n"/>
      <c r="U815" s="12" t="n"/>
      <c r="V815" s="12" t="n"/>
      <c r="W81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815" s="14">
        <f>SI([@SBAN]="";"";BUSCARV([@SBAN];Cronograma_Maestro!$A:$M;6;FALSO))</f>
        <v/>
      </c>
    </row>
    <row r="816">
      <c r="A816" s="11" t="inlineStr">
        <is>
          <t>6900</t>
        </is>
      </c>
      <c r="B816" s="12">
        <f>SI([@SBAN]="";"";BUSCARV([@SBAN];Cronograma_Maestro!$A:$M;2;FALSO))</f>
        <v/>
      </c>
      <c r="C816" s="12">
        <f>SI([@SBAN]="";"";BUSCARV([@SBAN];Cronograma_Maestro!$A:$M;3;FALSO))</f>
        <v/>
      </c>
      <c r="D816" s="12">
        <f>SI([@SBAN]="";"";BUSCARV([@SBAN];Cronograma_Maestro!$A:$M;4;FALSO))</f>
        <v/>
      </c>
      <c r="E816" s="12">
        <f>SI([@SBAN]="";"";BUSCARV([@SBAN];Cronograma_Maestro!$A:$M;5;FALSO))</f>
        <v/>
      </c>
      <c r="F816" s="12" t="inlineStr">
        <is>
          <t>JIMMY FABIAN ERAZO CERON</t>
        </is>
      </c>
      <c r="G816" s="12" t="inlineStr">
        <is>
          <t>PMU COLSOF</t>
        </is>
      </c>
      <c r="H816" s="13" t="n">
        <v>46272</v>
      </c>
      <c r="I816" s="13" t="n">
        <v>46367</v>
      </c>
      <c r="J816" s="13" t="n"/>
      <c r="K816" s="13" t="n"/>
      <c r="L816" s="12" t="inlineStr">
        <is>
          <t>Programada</t>
        </is>
      </c>
      <c r="M816" s="13" t="n"/>
      <c r="N816" s="14">
        <f>SI(O([@[Fecha_Programada_Inicio]]="";[@[Fecha_Inicio_Real]]="");"";SI([@[Fecha_Inicio_Real]]&lt;=[@[Fecha_Programada_Inicio]];"SÍ";"NO"))</f>
        <v/>
      </c>
      <c r="O816" s="14">
        <f>SI(O([@[Fecha_Programada_Fin]]="";[@[Fecha_Cierre_Operativo]]="");"";SI([@[Fecha_Cierre_Operativo]]&lt;=SI([@[Fecha_Nueva_Programada]]&lt;&gt;"";[@[Fecha_Nueva_Programada]];[@[Fecha_Programada_Fin]]);"SÍ";"NO"))</f>
        <v/>
      </c>
      <c r="P816" s="14">
        <f>SI(O([@[Cumpli_Ingreso]]="";[@[Cumpli_Salida]]="");"";SI(Y([@[Cumpli_Ingreso]]="SÍ";[@[Cumpli_Salida]]="SÍ");"SÍ";"NO"))</f>
        <v/>
      </c>
      <c r="Q816" s="15">
        <f>SI(O([@[Fecha_Programada_Fin]]="";[@[Fecha_Cierre_Operativo]]="");"";MAX(0;ENTERO([@[Fecha_Cierre_Operativo]])-ENTERO(SI([@[Fecha_Nueva_Programada]]&lt;&gt;"";[@[Fecha_Nueva_Programada]];[@[Fecha_Programada_Fin]])))</f>
        <v/>
      </c>
      <c r="R816" s="12" t="n"/>
      <c r="S816" s="12" t="n"/>
      <c r="T816" s="13" t="n"/>
      <c r="U816" s="12" t="n"/>
      <c r="V816" s="12" t="n"/>
      <c r="W816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816" s="14">
        <f>SI([@SBAN]="";"";BUSCARV([@SBAN];Cronograma_Maestro!$A:$M;6;FALSO))</f>
        <v/>
      </c>
    </row>
    <row r="817">
      <c r="A817" s="11" t="inlineStr">
        <is>
          <t>6900</t>
        </is>
      </c>
      <c r="B817" s="12">
        <f>SI([@SBAN]="";"";BUSCARV([@SBAN];Cronograma_Maestro!$A:$M;2;FALSO))</f>
        <v/>
      </c>
      <c r="C817" s="12">
        <f>SI([@SBAN]="";"";BUSCARV([@SBAN];Cronograma_Maestro!$A:$M;3;FALSO))</f>
        <v/>
      </c>
      <c r="D817" s="12">
        <f>SI([@SBAN]="";"";BUSCARV([@SBAN];Cronograma_Maestro!$A:$M;4;FALSO))</f>
        <v/>
      </c>
      <c r="E817" s="12">
        <f>SI([@SBAN]="";"";BUSCARV([@SBAN];Cronograma_Maestro!$A:$M;5;FALSO))</f>
        <v/>
      </c>
      <c r="F817" s="12" t="inlineStr">
        <is>
          <t>MABEL BOTINA IBARRA</t>
        </is>
      </c>
      <c r="G817" s="12" t="inlineStr">
        <is>
          <t>PMU COLSOF</t>
        </is>
      </c>
      <c r="H817" s="13" t="n">
        <v>46272</v>
      </c>
      <c r="I817" s="13" t="n">
        <v>46367</v>
      </c>
      <c r="J817" s="13" t="n"/>
      <c r="K817" s="13" t="n"/>
      <c r="L817" s="12" t="inlineStr">
        <is>
          <t>Programada</t>
        </is>
      </c>
      <c r="M817" s="13" t="n"/>
      <c r="N817" s="14">
        <f>SI(O([@[Fecha_Programada_Inicio]]="";[@[Fecha_Inicio_Real]]="");"";SI([@[Fecha_Inicio_Real]]&lt;=[@[Fecha_Programada_Inicio]];"SÍ";"NO"))</f>
        <v/>
      </c>
      <c r="O817" s="14">
        <f>SI(O([@[Fecha_Programada_Fin]]="";[@[Fecha_Cierre_Operativo]]="");"";SI([@[Fecha_Cierre_Operativo]]&lt;=SI([@[Fecha_Nueva_Programada]]&lt;&gt;"";[@[Fecha_Nueva_Programada]];[@[Fecha_Programada_Fin]]);"SÍ";"NO"))</f>
        <v/>
      </c>
      <c r="P817" s="14">
        <f>SI(O([@[Cumpli_Ingreso]]="";[@[Cumpli_Salida]]="");"";SI(Y([@[Cumpli_Ingreso]]="SÍ";[@[Cumpli_Salida]]="SÍ");"SÍ";"NO"))</f>
        <v/>
      </c>
      <c r="Q817" s="15">
        <f>SI(O([@[Fecha_Programada_Fin]]="";[@[Fecha_Cierre_Operativo]]="");"";MAX(0;ENTERO([@[Fecha_Cierre_Operativo]])-ENTERO(SI([@[Fecha_Nueva_Programada]]&lt;&gt;"";[@[Fecha_Nueva_Programada]];[@[Fecha_Programada_Fin]])))</f>
        <v/>
      </c>
      <c r="R817" s="12" t="n"/>
      <c r="S817" s="12" t="n"/>
      <c r="T817" s="13" t="n"/>
      <c r="U817" s="12" t="n"/>
      <c r="V817" s="12" t="n"/>
      <c r="W817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817" s="14">
        <f>SI([@SBAN]="";"";BUSCARV([@SBAN];Cronograma_Maestro!$A:$M;6;FALSO))</f>
        <v/>
      </c>
    </row>
    <row r="818">
      <c r="A818" s="11" t="inlineStr">
        <is>
          <t>1600</t>
        </is>
      </c>
      <c r="B818" s="12">
        <f>SI([@SBAN]="";"";BUSCARV([@SBAN];Cronograma_Maestro!$A:$M;2;FALSO))</f>
        <v/>
      </c>
      <c r="C818" s="12">
        <f>SI([@SBAN]="";"";BUSCARV([@SBAN];Cronograma_Maestro!$A:$M;3;FALSO))</f>
        <v/>
      </c>
      <c r="D818" s="12">
        <f>SI([@SBAN]="";"";BUSCARV([@SBAN];Cronograma_Maestro!$A:$M;4;FALSO))</f>
        <v/>
      </c>
      <c r="E818" s="12">
        <f>SI([@SBAN]="";"";BUSCARV([@SBAN];Cronograma_Maestro!$A:$M;5;FALSO))</f>
        <v/>
      </c>
      <c r="F818" s="12" t="inlineStr">
        <is>
          <t>Daniel Torres Oviedo</t>
        </is>
      </c>
      <c r="G818" s="12" t="inlineStr">
        <is>
          <t>PMU COLSOF</t>
        </is>
      </c>
      <c r="H818" s="13" t="n">
        <v>46272</v>
      </c>
      <c r="I818" s="13" t="n">
        <v>46367</v>
      </c>
      <c r="J818" s="13" t="n"/>
      <c r="K818" s="13" t="n"/>
      <c r="L818" s="12" t="inlineStr">
        <is>
          <t>Programada</t>
        </is>
      </c>
      <c r="M818" s="13" t="n"/>
      <c r="N818" s="14">
        <f>SI(O([@[Fecha_Programada_Inicio]]="";[@[Fecha_Inicio_Real]]="");"";SI([@[Fecha_Inicio_Real]]&lt;=[@[Fecha_Programada_Inicio]];"SÍ";"NO"))</f>
        <v/>
      </c>
      <c r="O818" s="14">
        <f>SI(O([@[Fecha_Programada_Fin]]="";[@[Fecha_Cierre_Operativo]]="");"";SI([@[Fecha_Cierre_Operativo]]&lt;=SI([@[Fecha_Nueva_Programada]]&lt;&gt;"";[@[Fecha_Nueva_Programada]];[@[Fecha_Programada_Fin]]);"SÍ";"NO"))</f>
        <v/>
      </c>
      <c r="P818" s="14">
        <f>SI(O([@[Cumpli_Ingreso]]="";[@[Cumpli_Salida]]="");"";SI(Y([@[Cumpli_Ingreso]]="SÍ";[@[Cumpli_Salida]]="SÍ");"SÍ";"NO"))</f>
        <v/>
      </c>
      <c r="Q818" s="15">
        <f>SI(O([@[Fecha_Programada_Fin]]="";[@[Fecha_Cierre_Operativo]]="");"";MAX(0;ENTERO([@[Fecha_Cierre_Operativo]])-ENTERO(SI([@[Fecha_Nueva_Programada]]&lt;&gt;"";[@[Fecha_Nueva_Programada]];[@[Fecha_Programada_Fin]])))</f>
        <v/>
      </c>
      <c r="R818" s="12" t="n"/>
      <c r="S818" s="12" t="n"/>
      <c r="T818" s="13" t="n"/>
      <c r="U818" s="12" t="n"/>
      <c r="V818" s="12" t="n"/>
      <c r="W818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818" s="14">
        <f>SI([@SBAN]="";"";BUSCARV([@SBAN];Cronograma_Maestro!$A:$M;6;FALSO))</f>
        <v/>
      </c>
    </row>
    <row r="819">
      <c r="A819" s="11" t="inlineStr">
        <is>
          <t>1600</t>
        </is>
      </c>
      <c r="B819" s="12">
        <f>SI([@SBAN]="";"";BUSCARV([@SBAN];Cronograma_Maestro!$A:$M;2;FALSO))</f>
        <v/>
      </c>
      <c r="C819" s="12">
        <f>SI([@SBAN]="";"";BUSCARV([@SBAN];Cronograma_Maestro!$A:$M;3;FALSO))</f>
        <v/>
      </c>
      <c r="D819" s="12">
        <f>SI([@SBAN]="";"";BUSCARV([@SBAN];Cronograma_Maestro!$A:$M;4;FALSO))</f>
        <v/>
      </c>
      <c r="E819" s="12">
        <f>SI([@SBAN]="";"";BUSCARV([@SBAN];Cronograma_Maestro!$A:$M;5;FALSO))</f>
        <v/>
      </c>
      <c r="F819" s="12" t="inlineStr">
        <is>
          <t>ANDREY TIMOTHY RODRIGUEZ MARTINEZ</t>
        </is>
      </c>
      <c r="G819" s="12" t="inlineStr">
        <is>
          <t>PMU COLSOF</t>
        </is>
      </c>
      <c r="H819" s="13" t="n">
        <v>46272</v>
      </c>
      <c r="I819" s="13" t="n">
        <v>46367</v>
      </c>
      <c r="J819" s="13" t="n"/>
      <c r="K819" s="13" t="n"/>
      <c r="L819" s="12" t="inlineStr">
        <is>
          <t>Programada</t>
        </is>
      </c>
      <c r="M819" s="13" t="n"/>
      <c r="N819" s="14">
        <f>SI(O([@[Fecha_Programada_Inicio]]="";[@[Fecha_Inicio_Real]]="");"";SI([@[Fecha_Inicio_Real]]&lt;=[@[Fecha_Programada_Inicio]];"SÍ";"NO"))</f>
        <v/>
      </c>
      <c r="O819" s="14">
        <f>SI(O([@[Fecha_Programada_Fin]]="";[@[Fecha_Cierre_Operativo]]="");"";SI([@[Fecha_Cierre_Operativo]]&lt;=SI([@[Fecha_Nueva_Programada]]&lt;&gt;"";[@[Fecha_Nueva_Programada]];[@[Fecha_Programada_Fin]]);"SÍ";"NO"))</f>
        <v/>
      </c>
      <c r="P819" s="14">
        <f>SI(O([@[Cumpli_Ingreso]]="";[@[Cumpli_Salida]]="");"";SI(Y([@[Cumpli_Ingreso]]="SÍ";[@[Cumpli_Salida]]="SÍ");"SÍ";"NO"))</f>
        <v/>
      </c>
      <c r="Q819" s="15">
        <f>SI(O([@[Fecha_Programada_Fin]]="";[@[Fecha_Cierre_Operativo]]="");"";MAX(0;ENTERO([@[Fecha_Cierre_Operativo]])-ENTERO(SI([@[Fecha_Nueva_Programada]]&lt;&gt;"";[@[Fecha_Nueva_Programada]];[@[Fecha_Programada_Fin]])))</f>
        <v/>
      </c>
      <c r="R819" s="12" t="n"/>
      <c r="S819" s="12" t="n"/>
      <c r="T819" s="13" t="n"/>
      <c r="U819" s="12" t="n"/>
      <c r="V819" s="12" t="n"/>
      <c r="W819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819" s="14">
        <f>SI([@SBAN]="";"";BUSCARV([@SBAN];Cronograma_Maestro!$A:$M;6;FALSO))</f>
        <v/>
      </c>
    </row>
    <row r="820">
      <c r="A820" s="11" t="inlineStr">
        <is>
          <t>1800</t>
        </is>
      </c>
      <c r="B820" s="12">
        <f>SI([@SBAN]="";"";BUSCARV([@SBAN];Cronograma_Maestro!$A:$M;2;FALSO))</f>
        <v/>
      </c>
      <c r="C820" s="12">
        <f>SI([@SBAN]="";"";BUSCARV([@SBAN];Cronograma_Maestro!$A:$M;3;FALSO))</f>
        <v/>
      </c>
      <c r="D820" s="12">
        <f>SI([@SBAN]="";"";BUSCARV([@SBAN];Cronograma_Maestro!$A:$M;4;FALSO))</f>
        <v/>
      </c>
      <c r="E820" s="12">
        <f>SI([@SBAN]="";"";BUSCARV([@SBAN];Cronograma_Maestro!$A:$M;5;FALSO))</f>
        <v/>
      </c>
      <c r="F820" s="12" t="inlineStr">
        <is>
          <t>DIEGO ALEJANDRO HERNÁNDEZ OROZCO</t>
        </is>
      </c>
      <c r="G820" s="12" t="inlineStr">
        <is>
          <t>PMU COLSOF</t>
        </is>
      </c>
      <c r="H820" s="13" t="n">
        <v>46272</v>
      </c>
      <c r="I820" s="13" t="n">
        <v>46367</v>
      </c>
      <c r="J820" s="13" t="n"/>
      <c r="K820" s="13" t="n"/>
      <c r="L820" s="12" t="inlineStr">
        <is>
          <t>Programada</t>
        </is>
      </c>
      <c r="M820" s="13" t="n"/>
      <c r="N820" s="14">
        <f>SI(O([@[Fecha_Programada_Inicio]]="";[@[Fecha_Inicio_Real]]="");"";SI([@[Fecha_Inicio_Real]]&lt;=[@[Fecha_Programada_Inicio]];"SÍ";"NO"))</f>
        <v/>
      </c>
      <c r="O820" s="14">
        <f>SI(O([@[Fecha_Programada_Fin]]="";[@[Fecha_Cierre_Operativo]]="");"";SI([@[Fecha_Cierre_Operativo]]&lt;=SI([@[Fecha_Nueva_Programada]]&lt;&gt;"";[@[Fecha_Nueva_Programada]];[@[Fecha_Programada_Fin]]);"SÍ";"NO"))</f>
        <v/>
      </c>
      <c r="P820" s="14">
        <f>SI(O([@[Cumpli_Ingreso]]="";[@[Cumpli_Salida]]="");"";SI(Y([@[Cumpli_Ingreso]]="SÍ";[@[Cumpli_Salida]]="SÍ");"SÍ";"NO"))</f>
        <v/>
      </c>
      <c r="Q820" s="15">
        <f>SI(O([@[Fecha_Programada_Fin]]="";[@[Fecha_Cierre_Operativo]]="");"";MAX(0;ENTERO([@[Fecha_Cierre_Operativo]])-ENTERO(SI([@[Fecha_Nueva_Programada]]&lt;&gt;"";[@[Fecha_Nueva_Programada]];[@[Fecha_Programada_Fin]])))</f>
        <v/>
      </c>
      <c r="R820" s="12" t="n"/>
      <c r="S820" s="12" t="n"/>
      <c r="T820" s="13" t="n"/>
      <c r="U820" s="12" t="n"/>
      <c r="V820" s="12" t="n"/>
      <c r="W820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820" s="14">
        <f>SI([@SBAN]="";"";BUSCARV([@SBAN];Cronograma_Maestro!$A:$M;6;FALSO))</f>
        <v/>
      </c>
    </row>
    <row r="821">
      <c r="A821" s="11" t="inlineStr">
        <is>
          <t>1500</t>
        </is>
      </c>
      <c r="B821" s="12">
        <f>SI([@SBAN]="";"";BUSCARV([@SBAN];Cronograma_Maestro!$A:$M;2;FALSO))</f>
        <v/>
      </c>
      <c r="C821" s="12">
        <f>SI([@SBAN]="";"";BUSCARV([@SBAN];Cronograma_Maestro!$A:$M;3;FALSO))</f>
        <v/>
      </c>
      <c r="D821" s="12">
        <f>SI([@SBAN]="";"";BUSCARV([@SBAN];Cronograma_Maestro!$A:$M;4;FALSO))</f>
        <v/>
      </c>
      <c r="E821" s="12">
        <f>SI([@SBAN]="";"";BUSCARV([@SBAN];Cronograma_Maestro!$A:$M;5;FALSO))</f>
        <v/>
      </c>
      <c r="F821" s="12" t="inlineStr">
        <is>
          <t>CARLOS ENRIQUE CUCHIVAGUEN FORERO</t>
        </is>
      </c>
      <c r="G821" s="12" t="inlineStr">
        <is>
          <t>PMU COLSOF</t>
        </is>
      </c>
      <c r="H821" s="13" t="n">
        <v>46272</v>
      </c>
      <c r="I821" s="13" t="n">
        <v>46367</v>
      </c>
      <c r="J821" s="13" t="n"/>
      <c r="K821" s="13" t="n"/>
      <c r="L821" s="12" t="inlineStr">
        <is>
          <t>Programada</t>
        </is>
      </c>
      <c r="M821" s="13" t="n"/>
      <c r="N821" s="14">
        <f>SI(O([@[Fecha_Programada_Inicio]]="";[@[Fecha_Inicio_Real]]="");"";SI([@[Fecha_Inicio_Real]]&lt;=[@[Fecha_Programada_Inicio]];"SÍ";"NO"))</f>
        <v/>
      </c>
      <c r="O821" s="14">
        <f>SI(O([@[Fecha_Programada_Fin]]="";[@[Fecha_Cierre_Operativo]]="");"";SI([@[Fecha_Cierre_Operativo]]&lt;=SI([@[Fecha_Nueva_Programada]]&lt;&gt;"";[@[Fecha_Nueva_Programada]];[@[Fecha_Programada_Fin]]);"SÍ";"NO"))</f>
        <v/>
      </c>
      <c r="P821" s="14">
        <f>SI(O([@[Cumpli_Ingreso]]="";[@[Cumpli_Salida]]="");"";SI(Y([@[Cumpli_Ingreso]]="SÍ";[@[Cumpli_Salida]]="SÍ");"SÍ";"NO"))</f>
        <v/>
      </c>
      <c r="Q821" s="15">
        <f>SI(O([@[Fecha_Programada_Fin]]="";[@[Fecha_Cierre_Operativo]]="");"";MAX(0;ENTERO([@[Fecha_Cierre_Operativo]])-ENTERO(SI([@[Fecha_Nueva_Programada]]&lt;&gt;"";[@[Fecha_Nueva_Programada]];[@[Fecha_Programada_Fin]])))</f>
        <v/>
      </c>
      <c r="R821" s="12" t="n"/>
      <c r="S821" s="12" t="n"/>
      <c r="T821" s="13" t="n"/>
      <c r="U821" s="12" t="n"/>
      <c r="V821" s="12" t="n"/>
      <c r="W821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821" s="14">
        <f>SI([@SBAN]="";"";BUSCARV([@SBAN];Cronograma_Maestro!$A:$M;6;FALSO))</f>
        <v/>
      </c>
    </row>
    <row r="822">
      <c r="A822" s="11" t="inlineStr">
        <is>
          <t>6000</t>
        </is>
      </c>
      <c r="B822" s="12">
        <f>SI([@SBAN]="";"";BUSCARV([@SBAN];Cronograma_Maestro!$A:$M;2;FALSO))</f>
        <v/>
      </c>
      <c r="C822" s="12">
        <f>SI([@SBAN]="";"";BUSCARV([@SBAN];Cronograma_Maestro!$A:$M;3;FALSO))</f>
        <v/>
      </c>
      <c r="D822" s="12">
        <f>SI([@SBAN]="";"";BUSCARV([@SBAN];Cronograma_Maestro!$A:$M;4;FALSO))</f>
        <v/>
      </c>
      <c r="E822" s="12">
        <f>SI([@SBAN]="";"";BUSCARV([@SBAN];Cronograma_Maestro!$A:$M;5;FALSO))</f>
        <v/>
      </c>
      <c r="F822" s="12" t="inlineStr">
        <is>
          <t>CARLOS MIGUEL JIMENEZ</t>
        </is>
      </c>
      <c r="G822" s="12" t="inlineStr">
        <is>
          <t>PMU COLSOF</t>
        </is>
      </c>
      <c r="H822" s="13" t="n">
        <v>46272</v>
      </c>
      <c r="I822" s="13" t="n">
        <v>46367</v>
      </c>
      <c r="J822" s="13" t="n"/>
      <c r="K822" s="13" t="n"/>
      <c r="L822" s="12" t="inlineStr">
        <is>
          <t>Programada</t>
        </is>
      </c>
      <c r="M822" s="13" t="n"/>
      <c r="N822" s="14">
        <f>SI(O([@[Fecha_Programada_Inicio]]="";[@[Fecha_Inicio_Real]]="");"";SI([@[Fecha_Inicio_Real]]&lt;=[@[Fecha_Programada_Inicio]];"SÍ";"NO"))</f>
        <v/>
      </c>
      <c r="O822" s="14">
        <f>SI(O([@[Fecha_Programada_Fin]]="";[@[Fecha_Cierre_Operativo]]="");"";SI([@[Fecha_Cierre_Operativo]]&lt;=SI([@[Fecha_Nueva_Programada]]&lt;&gt;"";[@[Fecha_Nueva_Programada]];[@[Fecha_Programada_Fin]]);"SÍ";"NO"))</f>
        <v/>
      </c>
      <c r="P822" s="14">
        <f>SI(O([@[Cumpli_Ingreso]]="";[@[Cumpli_Salida]]="");"";SI(Y([@[Cumpli_Ingreso]]="SÍ";[@[Cumpli_Salida]]="SÍ");"SÍ";"NO"))</f>
        <v/>
      </c>
      <c r="Q822" s="15">
        <f>SI(O([@[Fecha_Programada_Fin]]="";[@[Fecha_Cierre_Operativo]]="");"";MAX(0;ENTERO([@[Fecha_Cierre_Operativo]])-ENTERO(SI([@[Fecha_Nueva_Programada]]&lt;&gt;"";[@[Fecha_Nueva_Programada]];[@[Fecha_Programada_Fin]])))</f>
        <v/>
      </c>
      <c r="R822" s="12" t="n"/>
      <c r="S822" s="12" t="n"/>
      <c r="T822" s="13" t="n"/>
      <c r="U822" s="12" t="n"/>
      <c r="V822" s="12" t="n"/>
      <c r="W822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822" s="14">
        <f>SI([@SBAN]="";"";BUSCARV([@SBAN];Cronograma_Maestro!$A:$M;6;FALSO))</f>
        <v/>
      </c>
    </row>
    <row r="823">
      <c r="A823" s="11" t="inlineStr">
        <is>
          <t>6000</t>
        </is>
      </c>
      <c r="B823" s="12">
        <f>SI([@SBAN]="";"";BUSCARV([@SBAN];Cronograma_Maestro!$A:$M;2;FALSO))</f>
        <v/>
      </c>
      <c r="C823" s="12">
        <f>SI([@SBAN]="";"";BUSCARV([@SBAN];Cronograma_Maestro!$A:$M;3;FALSO))</f>
        <v/>
      </c>
      <c r="D823" s="12">
        <f>SI([@SBAN]="";"";BUSCARV([@SBAN];Cronograma_Maestro!$A:$M;4;FALSO))</f>
        <v/>
      </c>
      <c r="E823" s="12">
        <f>SI([@SBAN]="";"";BUSCARV([@SBAN];Cronograma_Maestro!$A:$M;5;FALSO))</f>
        <v/>
      </c>
      <c r="F823" s="12" t="inlineStr">
        <is>
          <t>CRISTIAN VARGAS RODRIGUEZ</t>
        </is>
      </c>
      <c r="G823" s="12" t="inlineStr">
        <is>
          <t>PMU COLSOF</t>
        </is>
      </c>
      <c r="H823" s="13" t="n">
        <v>46272</v>
      </c>
      <c r="I823" s="13" t="n">
        <v>46367</v>
      </c>
      <c r="J823" s="13" t="n"/>
      <c r="K823" s="13" t="n"/>
      <c r="L823" s="12" t="inlineStr">
        <is>
          <t>Programada</t>
        </is>
      </c>
      <c r="M823" s="13" t="n"/>
      <c r="N823" s="14">
        <f>SI(O([@[Fecha_Programada_Inicio]]="";[@[Fecha_Inicio_Real]]="");"";SI([@[Fecha_Inicio_Real]]&lt;=[@[Fecha_Programada_Inicio]];"SÍ";"NO"))</f>
        <v/>
      </c>
      <c r="O823" s="14">
        <f>SI(O([@[Fecha_Programada_Fin]]="";[@[Fecha_Cierre_Operativo]]="");"";SI([@[Fecha_Cierre_Operativo]]&lt;=SI([@[Fecha_Nueva_Programada]]&lt;&gt;"";[@[Fecha_Nueva_Programada]];[@[Fecha_Programada_Fin]]);"SÍ";"NO"))</f>
        <v/>
      </c>
      <c r="P823" s="14">
        <f>SI(O([@[Cumpli_Ingreso]]="";[@[Cumpli_Salida]]="");"";SI(Y([@[Cumpli_Ingreso]]="SÍ";[@[Cumpli_Salida]]="SÍ");"SÍ";"NO"))</f>
        <v/>
      </c>
      <c r="Q823" s="15">
        <f>SI(O([@[Fecha_Programada_Fin]]="";[@[Fecha_Cierre_Operativo]]="");"";MAX(0;ENTERO([@[Fecha_Cierre_Operativo]])-ENTERO(SI([@[Fecha_Nueva_Programada]]&lt;&gt;"";[@[Fecha_Nueva_Programada]];[@[Fecha_Programada_Fin]])))</f>
        <v/>
      </c>
      <c r="R823" s="12" t="n"/>
      <c r="S823" s="12" t="n"/>
      <c r="T823" s="13" t="n"/>
      <c r="U823" s="12" t="n"/>
      <c r="V823" s="12" t="n"/>
      <c r="W823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823" s="14">
        <f>SI([@SBAN]="";"";BUSCARV([@SBAN];Cronograma_Maestro!$A:$M;6;FALSO))</f>
        <v/>
      </c>
    </row>
    <row r="824">
      <c r="A824" s="11" t="inlineStr">
        <is>
          <t>3900</t>
        </is>
      </c>
      <c r="B824" s="12">
        <f>SI([@SBAN]="";"";BUSCARV([@SBAN];Cronograma_Maestro!$A:$M;2;FALSO))</f>
        <v/>
      </c>
      <c r="C824" s="12">
        <f>SI([@SBAN]="";"";BUSCARV([@SBAN];Cronograma_Maestro!$A:$M;3;FALSO))</f>
        <v/>
      </c>
      <c r="D824" s="12">
        <f>SI([@SBAN]="";"";BUSCARV([@SBAN];Cronograma_Maestro!$A:$M;4;FALSO))</f>
        <v/>
      </c>
      <c r="E824" s="12">
        <f>SI([@SBAN]="";"";BUSCARV([@SBAN];Cronograma_Maestro!$A:$M;5;FALSO))</f>
        <v/>
      </c>
      <c r="F824" s="12" t="inlineStr">
        <is>
          <t>VICTOR ALFONSO ULLOA ACOSTA</t>
        </is>
      </c>
      <c r="G824" s="12" t="inlineStr">
        <is>
          <t>PMU COLSOF</t>
        </is>
      </c>
      <c r="H824" s="13" t="n">
        <v>46272</v>
      </c>
      <c r="I824" s="13" t="n">
        <v>46367</v>
      </c>
      <c r="J824" s="13" t="n"/>
      <c r="K824" s="13" t="n"/>
      <c r="L824" s="12" t="inlineStr">
        <is>
          <t>Programada</t>
        </is>
      </c>
      <c r="M824" s="13" t="n"/>
      <c r="N824" s="14">
        <f>SI(O([@[Fecha_Programada_Inicio]]="";[@[Fecha_Inicio_Real]]="");"";SI([@[Fecha_Inicio_Real]]&lt;=[@[Fecha_Programada_Inicio]];"SÍ";"NO"))</f>
        <v/>
      </c>
      <c r="O824" s="14">
        <f>SI(O([@[Fecha_Programada_Fin]]="";[@[Fecha_Cierre_Operativo]]="");"";SI([@[Fecha_Cierre_Operativo]]&lt;=SI([@[Fecha_Nueva_Programada]]&lt;&gt;"";[@[Fecha_Nueva_Programada]];[@[Fecha_Programada_Fin]]);"SÍ";"NO"))</f>
        <v/>
      </c>
      <c r="P824" s="14">
        <f>SI(O([@[Cumpli_Ingreso]]="";[@[Cumpli_Salida]]="");"";SI(Y([@[Cumpli_Ingreso]]="SÍ";[@[Cumpli_Salida]]="SÍ");"SÍ";"NO"))</f>
        <v/>
      </c>
      <c r="Q824" s="15">
        <f>SI(O([@[Fecha_Programada_Fin]]="";[@[Fecha_Cierre_Operativo]]="");"";MAX(0;ENTERO([@[Fecha_Cierre_Operativo]])-ENTERO(SI([@[Fecha_Nueva_Programada]]&lt;&gt;"";[@[Fecha_Nueva_Programada]];[@[Fecha_Programada_Fin]])))</f>
        <v/>
      </c>
      <c r="R824" s="12" t="n"/>
      <c r="S824" s="12" t="n"/>
      <c r="T824" s="13" t="n"/>
      <c r="U824" s="12" t="n"/>
      <c r="V824" s="12" t="n"/>
      <c r="W824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824" s="14">
        <f>SI([@SBAN]="";"";BUSCARV([@SBAN];Cronograma_Maestro!$A:$M;6;FALSO))</f>
        <v/>
      </c>
    </row>
    <row r="825">
      <c r="A825" s="11" t="inlineStr">
        <is>
          <t>3900</t>
        </is>
      </c>
      <c r="B825" s="12">
        <f>SI([@SBAN]="";"";BUSCARV([@SBAN];Cronograma_Maestro!$A:$M;2;FALSO))</f>
        <v/>
      </c>
      <c r="C825" s="12">
        <f>SI([@SBAN]="";"";BUSCARV([@SBAN];Cronograma_Maestro!$A:$M;3;FALSO))</f>
        <v/>
      </c>
      <c r="D825" s="12">
        <f>SI([@SBAN]="";"";BUSCARV([@SBAN];Cronograma_Maestro!$A:$M;4;FALSO))</f>
        <v/>
      </c>
      <c r="E825" s="12">
        <f>SI([@SBAN]="";"";BUSCARV([@SBAN];Cronograma_Maestro!$A:$M;5;FALSO))</f>
        <v/>
      </c>
      <c r="F825" s="12" t="inlineStr">
        <is>
          <t>WILLIAM FERNANDO ALDANA NIÑO</t>
        </is>
      </c>
      <c r="G825" s="12" t="inlineStr">
        <is>
          <t>PMU COLSOF</t>
        </is>
      </c>
      <c r="H825" s="13" t="n">
        <v>46272</v>
      </c>
      <c r="I825" s="13" t="n">
        <v>46367</v>
      </c>
      <c r="J825" s="13" t="n"/>
      <c r="K825" s="13" t="n"/>
      <c r="L825" s="12" t="inlineStr">
        <is>
          <t>Programada</t>
        </is>
      </c>
      <c r="M825" s="13" t="n"/>
      <c r="N825" s="14">
        <f>SI(O([@[Fecha_Programada_Inicio]]="";[@[Fecha_Inicio_Real]]="");"";SI([@[Fecha_Inicio_Real]]&lt;=[@[Fecha_Programada_Inicio]];"SÍ";"NO"))</f>
        <v/>
      </c>
      <c r="O825" s="14">
        <f>SI(O([@[Fecha_Programada_Fin]]="";[@[Fecha_Cierre_Operativo]]="");"";SI([@[Fecha_Cierre_Operativo]]&lt;=SI([@[Fecha_Nueva_Programada]]&lt;&gt;"";[@[Fecha_Nueva_Programada]];[@[Fecha_Programada_Fin]]);"SÍ";"NO"))</f>
        <v/>
      </c>
      <c r="P825" s="14">
        <f>SI(O([@[Cumpli_Ingreso]]="";[@[Cumpli_Salida]]="");"";SI(Y([@[Cumpli_Ingreso]]="SÍ";[@[Cumpli_Salida]]="SÍ");"SÍ";"NO"))</f>
        <v/>
      </c>
      <c r="Q825" s="15">
        <f>SI(O([@[Fecha_Programada_Fin]]="";[@[Fecha_Cierre_Operativo]]="");"";MAX(0;ENTERO([@[Fecha_Cierre_Operativo]])-ENTERO(SI([@[Fecha_Nueva_Programada]]&lt;&gt;"";[@[Fecha_Nueva_Programada]];[@[Fecha_Programada_Fin]])))</f>
        <v/>
      </c>
      <c r="R825" s="12" t="n"/>
      <c r="S825" s="12" t="n"/>
      <c r="T825" s="13" t="n"/>
      <c r="U825" s="12" t="n"/>
      <c r="V825" s="12" t="n"/>
      <c r="W825" s="14">
        <f>SI.ERROR(SI(O([@[Fecha_Programada_Inicio]]="";[@[Fecha_Programada_Fin]]="");"";SI(Y([@[Fecha_Programada_Fin]]&gt;=[@[Fecha_Programada_Inicio]];SI([@[Fecha_Cierre_Operativo]]="";VERDADERO;[@[Fecha_Cierre_Operativo]]&gt;=[@[Fecha_Inicio_Real]]);SI([@[Fecha_Cierre_Administrativo]]="";VERDADERO;Y([@[Fecha_Cierre_Operativo]]&lt;&gt;"";[@[Fecha_Cierre_Administrativo]]&gt;=[@[Fecha_Cierre_Operativo]])));"OK";"REVISAR"));"REVISAR")</f>
        <v/>
      </c>
      <c r="X825" s="14">
        <f>SI([@SBAN]="";"";BUSCARV([@SBAN];Cronograma_Maestro!$A:$M;6;FALSO))</f>
        <v/>
      </c>
    </row>
    <row r="826">
      <c r="A826" s="11" t="n"/>
      <c r="B826" s="12" t="n"/>
      <c r="C826" s="12" t="n"/>
      <c r="D826" s="12" t="n"/>
      <c r="E826" s="12" t="n"/>
      <c r="F826" s="12" t="n"/>
      <c r="G826" s="12" t="n"/>
      <c r="H826" s="13" t="n"/>
      <c r="I826" s="13" t="n"/>
      <c r="J826" s="13" t="n"/>
      <c r="K826" s="13" t="n"/>
      <c r="L826" s="12" t="n"/>
      <c r="M826" s="13" t="n"/>
      <c r="N826" s="14">
        <f>SI(O(H826="";J826="");"";SI(J826&lt;=H826;"SÍ";"NO"))</f>
        <v/>
      </c>
      <c r="O826" s="14">
        <f>SI(O(I826="";K826="");"";SI(K826&lt;=SI(M826&lt;&gt;"";M826;I826);"SÍ";"NO"))</f>
        <v/>
      </c>
      <c r="P826" s="14">
        <f>SI(O(N826="";O826="");"";SI(Y(N826="SÍ";O826="SÍ");"SÍ";"NO"))</f>
        <v/>
      </c>
      <c r="Q826" s="15">
        <f>SI(O(I826="";K826="");"";MAX(0;ENTERO(K826)-ENTERO(SI(M826&lt;&gt;"";M826;I826))))</f>
        <v/>
      </c>
      <c r="R826" s="12" t="n"/>
      <c r="S826" s="12" t="n"/>
      <c r="T826" s="13" t="n"/>
      <c r="U826" s="12" t="n"/>
      <c r="V826" s="12" t="n"/>
      <c r="W826" s="14">
        <f>SI.ERROR(SI(O($H826="";$I826="");"";SI(Y($I826&gt;=$H826;SI($K826="";VERDADERO;$K826&gt;=$J826);SI($T826="";VERDADERO;Y($K826&lt;&gt;"";$T826&gt;=$K826)));"OK";"REVISAR"));"REVISAR")</f>
        <v/>
      </c>
      <c r="X826" s="14" t="n"/>
    </row>
    <row r="827">
      <c r="A827" s="11" t="n"/>
      <c r="B827" s="12" t="n"/>
      <c r="C827" s="12" t="n"/>
      <c r="D827" s="12" t="n"/>
      <c r="E827" s="12" t="n"/>
      <c r="F827" s="12" t="n"/>
      <c r="G827" s="12" t="n"/>
      <c r="H827" s="13" t="n"/>
      <c r="I827" s="13" t="n"/>
      <c r="J827" s="13" t="n"/>
      <c r="K827" s="13" t="n"/>
      <c r="L827" s="12" t="n"/>
      <c r="M827" s="13" t="n"/>
      <c r="N827" s="14">
        <f>SI(O(H827="";J827="");"";SI(J827&lt;=H827;"SÍ";"NO"))</f>
        <v/>
      </c>
      <c r="O827" s="14">
        <f>SI(O(I827="";K827="");"";SI(K827&lt;=SI(M827&lt;&gt;"";M827;I827);"SÍ";"NO"))</f>
        <v/>
      </c>
      <c r="P827" s="14">
        <f>SI(O(N827="";O827="");"";SI(Y(N827="SÍ";O827="SÍ");"SÍ";"NO"))</f>
        <v/>
      </c>
      <c r="Q827" s="15">
        <f>SI(O(I827="";K827="");"";MAX(0;ENTERO(K827)-ENTERO(SI(M827&lt;&gt;"";M827;I827))))</f>
        <v/>
      </c>
      <c r="R827" s="12" t="n"/>
      <c r="S827" s="12" t="n"/>
      <c r="T827" s="13" t="n"/>
      <c r="U827" s="12" t="n"/>
      <c r="V827" s="12" t="n"/>
      <c r="W827" s="14">
        <f>SI.ERROR(SI(O($H827="";$I827="");"";SI(Y($I827&gt;=$H827;SI($K827="";VERDADERO;$K827&gt;=$J827);SI($T827="";VERDADERO;Y($K827&lt;&gt;"";$T827&gt;=$K827)));"OK";"REVISAR"));"REVISAR")</f>
        <v/>
      </c>
      <c r="X827" s="14" t="n"/>
    </row>
    <row r="828">
      <c r="A828" s="11" t="n"/>
      <c r="B828" s="12" t="n"/>
      <c r="C828" s="12" t="n"/>
      <c r="D828" s="12" t="n"/>
      <c r="E828" s="12" t="n"/>
      <c r="F828" s="12" t="n"/>
      <c r="G828" s="12" t="n"/>
      <c r="H828" s="13" t="n"/>
      <c r="I828" s="13" t="n"/>
      <c r="J828" s="13" t="n"/>
      <c r="K828" s="13" t="n"/>
      <c r="L828" s="12" t="n"/>
      <c r="M828" s="13" t="n"/>
      <c r="N828" s="14">
        <f>SI(O(H828="";J828="");"";SI(J828&lt;=H828;"SÍ";"NO"))</f>
        <v/>
      </c>
      <c r="O828" s="14">
        <f>SI(O(I828="";K828="");"";SI(K828&lt;=SI(M828&lt;&gt;"";M828;I828);"SÍ";"NO"))</f>
        <v/>
      </c>
      <c r="P828" s="14">
        <f>SI(O(N828="";O828="");"";SI(Y(N828="SÍ";O828="SÍ");"SÍ";"NO"))</f>
        <v/>
      </c>
      <c r="Q828" s="15">
        <f>SI(O(I828="";K828="");"";MAX(0;ENTERO(K828)-ENTERO(SI(M828&lt;&gt;"";M828;I828))))</f>
        <v/>
      </c>
      <c r="R828" s="12" t="n"/>
      <c r="S828" s="12" t="n"/>
      <c r="T828" s="13" t="n"/>
      <c r="U828" s="12" t="n"/>
      <c r="V828" s="12" t="n"/>
      <c r="W828" s="14">
        <f>SI.ERROR(SI(O($H828="";$I828="");"";SI(Y($I828&gt;=$H828;SI($K828="";VERDADERO;$K828&gt;=$J828);SI($T828="";VERDADERO;Y($K828&lt;&gt;"";$T828&gt;=$K828)));"OK";"REVISAR"));"REVISAR")</f>
        <v/>
      </c>
      <c r="X828" s="14" t="n"/>
    </row>
    <row r="829">
      <c r="A829" s="11" t="n"/>
      <c r="B829" s="12" t="n"/>
      <c r="C829" s="12" t="n"/>
      <c r="D829" s="12" t="n"/>
      <c r="E829" s="12" t="n"/>
      <c r="F829" s="12" t="n"/>
      <c r="G829" s="12" t="n"/>
      <c r="H829" s="13" t="n"/>
      <c r="I829" s="13" t="n"/>
      <c r="J829" s="13" t="n"/>
      <c r="K829" s="13" t="n"/>
      <c r="L829" s="12" t="n"/>
      <c r="M829" s="13" t="n"/>
      <c r="N829" s="14">
        <f>SI(O(H829="";J829="");"";SI(J829&lt;=H829;"SÍ";"NO"))</f>
        <v/>
      </c>
      <c r="O829" s="14">
        <f>SI(O(I829="";K829="");"";SI(K829&lt;=SI(M829&lt;&gt;"";M829;I829);"SÍ";"NO"))</f>
        <v/>
      </c>
      <c r="P829" s="14">
        <f>SI(O(N829="";O829="");"";SI(Y(N829="SÍ";O829="SÍ");"SÍ";"NO"))</f>
        <v/>
      </c>
      <c r="Q829" s="15">
        <f>SI(O(I829="";K829="");"";MAX(0;ENTERO(K829)-ENTERO(SI(M829&lt;&gt;"";M829;I829))))</f>
        <v/>
      </c>
      <c r="R829" s="12" t="n"/>
      <c r="S829" s="12" t="n"/>
      <c r="T829" s="13" t="n"/>
      <c r="U829" s="12" t="n"/>
      <c r="V829" s="12" t="n"/>
      <c r="W829" s="14">
        <f>SI.ERROR(SI(O($H829="";$I829="");"";SI(Y($I829&gt;=$H829;SI($K829="";VERDADERO;$K829&gt;=$J829);SI($T829="";VERDADERO;Y($K829&lt;&gt;"";$T829&gt;=$K829)));"OK";"REVISAR"));"REVISAR")</f>
        <v/>
      </c>
      <c r="X829" s="14" t="n"/>
    </row>
    <row r="830">
      <c r="A830" s="11" t="n"/>
      <c r="B830" s="12" t="n"/>
      <c r="C830" s="12" t="n"/>
      <c r="D830" s="12" t="n"/>
      <c r="E830" s="12" t="n"/>
      <c r="F830" s="12" t="n"/>
      <c r="G830" s="12" t="n"/>
      <c r="H830" s="13" t="n"/>
      <c r="I830" s="13" t="n"/>
      <c r="J830" s="13" t="n"/>
      <c r="K830" s="13" t="n"/>
      <c r="L830" s="12" t="n"/>
      <c r="M830" s="13" t="n"/>
      <c r="N830" s="14">
        <f>SI(O(H830="";J830="");"";SI(J830&lt;=H830;"SÍ";"NO"))</f>
        <v/>
      </c>
      <c r="O830" s="14">
        <f>SI(O(I830="";K830="");"";SI(K830&lt;=SI(M830&lt;&gt;"";M830;I830);"SÍ";"NO"))</f>
        <v/>
      </c>
      <c r="P830" s="14">
        <f>SI(O(N830="";O830="");"";SI(Y(N830="SÍ";O830="SÍ");"SÍ";"NO"))</f>
        <v/>
      </c>
      <c r="Q830" s="15">
        <f>SI(O(I830="";K830="");"";MAX(0;ENTERO(K830)-ENTERO(SI(M830&lt;&gt;"";M830;I830))))</f>
        <v/>
      </c>
      <c r="R830" s="12" t="n"/>
      <c r="S830" s="12" t="n"/>
      <c r="T830" s="13" t="n"/>
      <c r="U830" s="12" t="n"/>
      <c r="V830" s="12" t="n"/>
      <c r="W830" s="14">
        <f>SI.ERROR(SI(O($H830="";$I830="");"";SI(Y($I830&gt;=$H830;SI($K830="";VERDADERO;$K830&gt;=$J830);SI($T830="";VERDADERO;Y($K830&lt;&gt;"";$T830&gt;=$K830)));"OK";"REVISAR"));"REVISAR")</f>
        <v/>
      </c>
      <c r="X830" s="14" t="n"/>
    </row>
    <row r="831">
      <c r="A831" s="11" t="n"/>
      <c r="B831" s="12" t="n"/>
      <c r="C831" s="12" t="n"/>
      <c r="D831" s="12" t="n"/>
      <c r="E831" s="12" t="n"/>
      <c r="F831" s="12" t="n"/>
      <c r="G831" s="12" t="n"/>
      <c r="H831" s="13" t="n"/>
      <c r="I831" s="13" t="n"/>
      <c r="J831" s="13" t="n"/>
      <c r="K831" s="13" t="n"/>
      <c r="L831" s="12" t="n"/>
      <c r="M831" s="13" t="n"/>
      <c r="N831" s="14">
        <f>SI(O(H831="";J831="");"";SI(J831&lt;=H831;"SÍ";"NO"))</f>
        <v/>
      </c>
      <c r="O831" s="14">
        <f>SI(O(I831="";K831="");"";SI(K831&lt;=SI(M831&lt;&gt;"";M831;I831);"SÍ";"NO"))</f>
        <v/>
      </c>
      <c r="P831" s="14">
        <f>SI(O(N831="";O831="");"";SI(Y(N831="SÍ";O831="SÍ");"SÍ";"NO"))</f>
        <v/>
      </c>
      <c r="Q831" s="15">
        <f>SI(O(I831="";K831="");"";MAX(0;ENTERO(K831)-ENTERO(SI(M831&lt;&gt;"";M831;I831))))</f>
        <v/>
      </c>
      <c r="R831" s="12" t="n"/>
      <c r="S831" s="12" t="n"/>
      <c r="T831" s="13" t="n"/>
      <c r="U831" s="12" t="n"/>
      <c r="V831" s="12" t="n"/>
      <c r="W831" s="14">
        <f>SI.ERROR(SI(O($H831="";$I831="");"";SI(Y($I831&gt;=$H831;SI($K831="";VERDADERO;$K831&gt;=$J831);SI($T831="";VERDADERO;Y($K831&lt;&gt;"";$T831&gt;=$K831)));"OK";"REVISAR"));"REVISAR")</f>
        <v/>
      </c>
      <c r="X831" s="14" t="n"/>
    </row>
    <row r="832">
      <c r="A832" s="11" t="n"/>
      <c r="B832" s="12" t="n"/>
      <c r="C832" s="12" t="n"/>
      <c r="D832" s="12" t="n"/>
      <c r="E832" s="12" t="n"/>
      <c r="F832" s="12" t="n"/>
      <c r="G832" s="12" t="n"/>
      <c r="H832" s="13" t="n"/>
      <c r="I832" s="13" t="n"/>
      <c r="J832" s="13" t="n"/>
      <c r="K832" s="13" t="n"/>
      <c r="L832" s="12" t="n"/>
      <c r="M832" s="13" t="n"/>
      <c r="N832" s="14">
        <f>SI(O(H832="";J832="");"";SI(J832&lt;=H832;"SÍ";"NO"))</f>
        <v/>
      </c>
      <c r="O832" s="14">
        <f>SI(O(I832="";K832="");"";SI(K832&lt;=SI(M832&lt;&gt;"";M832;I832);"SÍ";"NO"))</f>
        <v/>
      </c>
      <c r="P832" s="14">
        <f>SI(O(N832="";O832="");"";SI(Y(N832="SÍ";O832="SÍ");"SÍ";"NO"))</f>
        <v/>
      </c>
      <c r="Q832" s="15">
        <f>SI(O(I832="";K832="");"";MAX(0;ENTERO(K832)-ENTERO(SI(M832&lt;&gt;"";M832;I832))))</f>
        <v/>
      </c>
      <c r="R832" s="12" t="n"/>
      <c r="S832" s="12" t="n"/>
      <c r="T832" s="13" t="n"/>
      <c r="U832" s="12" t="n"/>
      <c r="V832" s="12" t="n"/>
      <c r="W832" s="14">
        <f>SI.ERROR(SI(O($H832="";$I832="");"";SI(Y($I832&gt;=$H832;SI($K832="";VERDADERO;$K832&gt;=$J832);SI($T832="";VERDADERO;Y($K832&lt;&gt;"";$T832&gt;=$K832)));"OK";"REVISAR"));"REVISAR")</f>
        <v/>
      </c>
      <c r="X832" s="14" t="n"/>
    </row>
    <row r="833">
      <c r="A833" s="11" t="n"/>
      <c r="B833" s="12" t="n"/>
      <c r="C833" s="12" t="n"/>
      <c r="D833" s="12" t="n"/>
      <c r="E833" s="12" t="n"/>
      <c r="F833" s="12" t="n"/>
      <c r="G833" s="12" t="n"/>
      <c r="H833" s="13" t="n"/>
      <c r="I833" s="13" t="n"/>
      <c r="J833" s="13" t="n"/>
      <c r="K833" s="13" t="n"/>
      <c r="L833" s="12" t="n"/>
      <c r="M833" s="13" t="n"/>
      <c r="N833" s="14">
        <f>SI(O(H833="";J833="");"";SI(J833&lt;=H833;"SÍ";"NO"))</f>
        <v/>
      </c>
      <c r="O833" s="14">
        <f>SI(O(I833="";K833="");"";SI(K833&lt;=SI(M833&lt;&gt;"";M833;I833);"SÍ";"NO"))</f>
        <v/>
      </c>
      <c r="P833" s="14">
        <f>SI(O(N833="";O833="");"";SI(Y(N833="SÍ";O833="SÍ");"SÍ";"NO"))</f>
        <v/>
      </c>
      <c r="Q833" s="15">
        <f>SI(O(I833="";K833="");"";MAX(0;ENTERO(K833)-ENTERO(SI(M833&lt;&gt;"";M833;I833))))</f>
        <v/>
      </c>
      <c r="R833" s="12" t="n"/>
      <c r="S833" s="12" t="n"/>
      <c r="T833" s="13" t="n"/>
      <c r="U833" s="12" t="n"/>
      <c r="V833" s="12" t="n"/>
      <c r="W833" s="14">
        <f>SI.ERROR(SI(O($H833="";$I833="");"";SI(Y($I833&gt;=$H833;SI($K833="";VERDADERO;$K833&gt;=$J833);SI($T833="";VERDADERO;Y($K833&lt;&gt;"";$T833&gt;=$K833)));"OK";"REVISAR"));"REVISAR")</f>
        <v/>
      </c>
      <c r="X833" s="14" t="n"/>
    </row>
    <row r="834">
      <c r="A834" s="11" t="n"/>
      <c r="B834" s="12" t="n"/>
      <c r="C834" s="12" t="n"/>
      <c r="D834" s="12" t="n"/>
      <c r="E834" s="12" t="n"/>
      <c r="F834" s="12" t="n"/>
      <c r="G834" s="12" t="n"/>
      <c r="H834" s="13" t="n"/>
      <c r="I834" s="13" t="n"/>
      <c r="J834" s="13" t="n"/>
      <c r="K834" s="13" t="n"/>
      <c r="L834" s="12" t="n"/>
      <c r="M834" s="13" t="n"/>
      <c r="N834" s="14">
        <f>SI(O(H834="";J834="");"";SI(J834&lt;=H834;"SÍ";"NO"))</f>
        <v/>
      </c>
      <c r="O834" s="14">
        <f>SI(O(I834="";K834="");"";SI(K834&lt;=SI(M834&lt;&gt;"";M834;I834);"SÍ";"NO"))</f>
        <v/>
      </c>
      <c r="P834" s="14">
        <f>SI(O(N834="";O834="");"";SI(Y(N834="SÍ";O834="SÍ");"SÍ";"NO"))</f>
        <v/>
      </c>
      <c r="Q834" s="15">
        <f>SI(O(I834="";K834="");"";MAX(0;ENTERO(K834)-ENTERO(SI(M834&lt;&gt;"";M834;I834))))</f>
        <v/>
      </c>
      <c r="R834" s="12" t="n"/>
      <c r="S834" s="12" t="n"/>
      <c r="T834" s="13" t="n"/>
      <c r="U834" s="12" t="n"/>
      <c r="V834" s="12" t="n"/>
      <c r="W834" s="14">
        <f>SI.ERROR(SI(O($H834="";$I834="");"";SI(Y($I834&gt;=$H834;SI($K834="";VERDADERO;$K834&gt;=$J834);SI($T834="";VERDADERO;Y($K834&lt;&gt;"";$T834&gt;=$K834)));"OK";"REVISAR"));"REVISAR")</f>
        <v/>
      </c>
      <c r="X834" s="14" t="n"/>
    </row>
    <row r="835">
      <c r="A835" s="11" t="n"/>
      <c r="B835" s="12" t="n"/>
      <c r="C835" s="12" t="n"/>
      <c r="D835" s="12" t="n"/>
      <c r="E835" s="12" t="n"/>
      <c r="F835" s="12" t="n"/>
      <c r="G835" s="12" t="n"/>
      <c r="H835" s="13" t="n"/>
      <c r="I835" s="13" t="n"/>
      <c r="J835" s="13" t="n"/>
      <c r="K835" s="13" t="n"/>
      <c r="L835" s="12" t="n"/>
      <c r="M835" s="13" t="n"/>
      <c r="N835" s="14">
        <f>SI(O(H835="";J835="");"";SI(J835&lt;=H835;"SÍ";"NO"))</f>
        <v/>
      </c>
      <c r="O835" s="14">
        <f>SI(O(I835="";K835="");"";SI(K835&lt;=SI(M835&lt;&gt;"";M835;I835);"SÍ";"NO"))</f>
        <v/>
      </c>
      <c r="P835" s="14">
        <f>SI(O(N835="";O835="");"";SI(Y(N835="SÍ";O835="SÍ");"SÍ";"NO"))</f>
        <v/>
      </c>
      <c r="Q835" s="15">
        <f>SI(O(I835="";K835="");"";MAX(0;ENTERO(K835)-ENTERO(SI(M835&lt;&gt;"";M835;I835))))</f>
        <v/>
      </c>
      <c r="R835" s="12" t="n"/>
      <c r="S835" s="12" t="n"/>
      <c r="T835" s="13" t="n"/>
      <c r="U835" s="12" t="n"/>
      <c r="V835" s="12" t="n"/>
      <c r="W835" s="14">
        <f>SI.ERROR(SI(O($H835="";$I835="");"";SI(Y($I835&gt;=$H835;SI($K835="";VERDADERO;$K835&gt;=$J835);SI($T835="";VERDADERO;Y($K835&lt;&gt;"";$T835&gt;=$K835)));"OK";"REVISAR"));"REVISAR")</f>
        <v/>
      </c>
      <c r="X835" s="14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/>
  <conditionalFormatting sqref="L2:L835">
    <cfRule type="cellIs" priority="1" operator="equal" dxfId="0">
      <formula>"Programada"</formula>
    </cfRule>
    <cfRule type="cellIs" priority="2" operator="equal" dxfId="1">
      <formula>"En Proceso"</formula>
    </cfRule>
    <cfRule type="cellIs" priority="3" operator="equal" dxfId="2">
      <formula>"Finalizada"</formula>
    </cfRule>
    <cfRule type="cellIs" priority="4" operator="equal" dxfId="3">
      <formula>"Reprogramada"</formula>
    </cfRule>
    <cfRule type="cellIs" priority="5" operator="equal" dxfId="4">
      <formula>"Sede_Cerrada"</formula>
    </cfRule>
    <cfRule type="cellIs" priority="6" operator="equal" dxfId="5">
      <formula>"Cancelada"</formula>
    </cfRule>
  </conditionalFormatting>
  <conditionalFormatting sqref="N2:N835">
    <cfRule type="cellIs" priority="7" operator="equal" dxfId="6">
      <formula>"SÍ"</formula>
    </cfRule>
    <cfRule type="cellIs" priority="8" operator="equal" dxfId="7">
      <formula>"NO"</formula>
    </cfRule>
  </conditionalFormatting>
  <conditionalFormatting sqref="O2:O835">
    <cfRule type="cellIs" priority="9" operator="equal" dxfId="6">
      <formula>"SÍ"</formula>
    </cfRule>
    <cfRule type="cellIs" priority="10" operator="equal" dxfId="7">
      <formula>"NO"</formula>
    </cfRule>
  </conditionalFormatting>
  <conditionalFormatting sqref="P2:P835">
    <cfRule type="cellIs" priority="11" operator="equal" dxfId="6">
      <formula>"SÍ"</formula>
    </cfRule>
    <cfRule type="cellIs" priority="12" operator="equal" dxfId="7">
      <formula>"NO"</formula>
    </cfRule>
  </conditionalFormatting>
  <conditionalFormatting sqref="W2:W835">
    <cfRule type="cellIs" priority="13" operator="equal" dxfId="6">
      <formula>"OK"</formula>
    </cfRule>
    <cfRule type="cellIs" priority="14" operator="equal" dxfId="7">
      <formula>"REVISAR"</formula>
    </cfRule>
  </conditionalFormatting>
  <conditionalFormatting sqref="K2:K835">
    <cfRule type="expression" priority="15" dxfId="7">
      <formula>=Y($K2&lt;&gt;"";$J2&lt;&gt;"";$K2&lt;$J2)</formula>
    </cfRule>
  </conditionalFormatting>
  <conditionalFormatting sqref="I2:I835">
    <cfRule type="expression" priority="16" dxfId="7">
      <formula>=Y($I2&lt;&gt;"";$H2&lt;&gt;"";$I2&lt;$H2)</formula>
    </cfRule>
  </conditionalFormatting>
  <dataValidations count="11">
    <dataValidation sqref="A2:A835" showDropDown="0" showInputMessage="0" showErrorMessage="1" allowBlank="1" errorTitle="SBAN inválido" error="El SBAN no está en el cronograma maestro. Verifíquelo." type="list">
      <formula1>=Cronograma_Maestro!$A$2:$A$826</formula1>
    </dataValidation>
    <dataValidation sqref="L2:L835" showDropDown="0" showInputMessage="0" showErrorMessage="1" allowBlank="1" errorTitle="Valor inválido" error="Seleccione un estado de la lista." type="list">
      <formula1>=Listas_Validacion!$C$3:$C$8</formula1>
    </dataValidation>
    <dataValidation sqref="R2:R835" showDropDown="0" showInputMessage="0" showErrorMessage="1" allowBlank="1" errorTitle="Valor inválido" error="Seleccione una causal de la lista." type="list">
      <formula1>=Listas_Validacion!$E$3:$E$9</formula1>
    </dataValidation>
    <dataValidation sqref="S2:S835" showDropDown="0" showInputMessage="0" showErrorMessage="1" allowBlank="1" errorTitle="Valor inválido" error="Seleccione: Pendiente Firma o Firmada." type="list">
      <formula1>=Listas_Validacion!$G$3:$G$4</formula1>
    </dataValidation>
    <dataValidation sqref="G2:G835" showDropDown="0" showInputMessage="0" showErrorMessage="1" allowBlank="1" errorTitle="Valor inválido" error="Entidad de calidad: PMU COLSOF." type="list">
      <formula1>=Listas_Validacion!$I$3:$I$4</formula1>
    </dataValidation>
    <dataValidation sqref="H2:H835" showDropDown="0" showInputMessage="1" showErrorMessage="1" allowBlank="1" errorTitle="Fecha inválida" error="Solo se aceptan fechas reales en DÍA/MES/AÑO (ej. 05/04/2026 = 5 de abril). El valor quedó como texto o está fuera de rango: bórrelo y use el calendario." promptTitle="Fecha (DÍA/MES/AÑO)" prompt="Escriba DÍA/MES/AÑO: 05/04/2026 = 5 de abril. También puede usar el calendario nativo." type="custom">
      <formula1>=O($H2="";Y(ESNUMERO($H2);$H2&gt;=FECHA(2026;1;1);$H2&lt;=FECHA(2031;12;31)))</formula1>
    </dataValidation>
    <dataValidation sqref="I2:I835" showDropDown="0" showInputMessage="1" showErrorMessage="1" allowBlank="1" errorTitle="Fecha inválida" error="Solo se aceptan fechas reales en DÍA/MES/AÑO (ej. 05/04/2026 = 5 de abril). El valor quedó como texto o está fuera de rango: bórrelo y use el calendario." promptTitle="Fecha (DÍA/MES/AÑO)" prompt="Escriba DÍA/MES/AÑO: 05/04/2026 = 5 de abril. También puede usar el calendario nativo." type="custom">
      <formula1>=O($I2="";Y(ESNUMERO($I2);$I2&gt;=FECHA(2026;1;1);$I2&lt;=FECHA(2031;12;31)))</formula1>
    </dataValidation>
    <dataValidation sqref="J2:J835" showDropDown="0" showInputMessage="1" showErrorMessage="1" allowBlank="1" errorTitle="Fecha inválida" error="Solo se aceptan fechas reales en DÍA/MES/AÑO (ej. 05/04/2026 = 5 de abril). El valor quedó como texto o está fuera de rango: bórrelo y use el calendario." promptTitle="Fecha (DÍA/MES/AÑO)" prompt="Escriba DÍA/MES/AÑO: 05/04/2026 = 5 de abril. También puede usar el calendario nativo." type="custom">
      <formula1>=O($J2="";Y(ESNUMERO($J2);$J2&gt;=FECHA(2026;1;1);$J2&lt;=FECHA(2031;12;31)))</formula1>
    </dataValidation>
    <dataValidation sqref="K2:K835" showDropDown="0" showInputMessage="1" showErrorMessage="1" allowBlank="1" errorTitle="Fecha inválida" error="Solo se aceptan fechas reales en DÍA/MES/AÑO (ej. 05/04/2026 = 5 de abril). El valor quedó como texto o está fuera de rango: bórrelo y use el calendario." promptTitle="Fecha (DÍA/MES/AÑO)" prompt="Escriba DÍA/MES/AÑO: 05/04/2026 = 5 de abril. También puede usar el calendario nativo." type="custom">
      <formula1>=O($K2="";Y(ESNUMERO($K2);$K2&gt;=FECHA(2026;1;1);$K2&lt;=FECHA(2031;12;31)))</formula1>
    </dataValidation>
    <dataValidation sqref="T2:T835" showDropDown="0" showInputMessage="1" showErrorMessage="1" allowBlank="1" errorTitle="Fecha inválida" error="Solo se aceptan fechas reales en DÍA/MES/AÑO (ej. 05/04/2026 = 5 de abril). El valor quedó como texto o está fuera de rango: bórrelo y use el calendario." promptTitle="Fecha (DÍA/MES/AÑO)" prompt="Escriba DÍA/MES/AÑO: 05/04/2026 = 5 de abril. También puede usar el calendario nativo." type="custom">
      <formula1>=O($T2="";Y(ESNUMERO($T2);$T2&gt;=FECHA(2026;1;1);$T2&lt;=FECHA(2031;12;31)))</formula1>
    </dataValidation>
    <dataValidation sqref="M2:M835" showDropDown="0" showInputMessage="1" showErrorMessage="1" allowBlank="0" errorTitle="Dato obligatorio" error="Si el estado es Reprogramada debe registrar la nueva fecha programada (DÍA/MES/AÑO)." promptTitle="Nueva fecha (reprogramación)" prompt="OBLIGATORIA si el estado es Reprogramada." type="custom">
      <formula1>=SI($L2="Reprogramada";Y($M2&lt;&gt;"";ESNUMERO($M2);$M2&gt;=FECHA(2026;1;1);$M2&lt;=FECHA(2031;12;31));O($M2="";Y(ESNUMERO($M2);$M2&gt;=FECHA(2026;1;1);$M2&lt;=FECHA(2031;12;31))))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2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4" customWidth="1" min="4" max="4"/>
    <col width="14" customWidth="1" min="5" max="5"/>
    <col width="26" customWidth="1" min="6" max="6"/>
    <col width="26" customWidth="1" min="7" max="7"/>
    <col width="14" customWidth="1" min="8" max="8"/>
    <col width="12" customWidth="1" min="9" max="9"/>
    <col width="14" customWidth="1" min="10" max="10"/>
    <col width="12" customWidth="1" min="11" max="11"/>
    <col width="12" customWidth="1" min="12" max="12"/>
    <col width="10" customWidth="1" min="13" max="13"/>
  </cols>
  <sheetData>
    <row r="1">
      <c r="A1" s="6" t="inlineStr">
        <is>
          <t>SBAN</t>
        </is>
      </c>
      <c r="B1" s="6" t="inlineStr">
        <is>
          <t>Nombre_Oficina</t>
        </is>
      </c>
      <c r="C1" s="6" t="inlineStr">
        <is>
          <t>Municipio</t>
        </is>
      </c>
      <c r="D1" s="6" t="inlineStr">
        <is>
          <t>Departamento</t>
        </is>
      </c>
      <c r="E1" s="6" t="inlineStr">
        <is>
          <t>Region</t>
        </is>
      </c>
      <c r="F1" s="6" t="inlineStr">
        <is>
          <t>Horario</t>
        </is>
      </c>
      <c r="G1" s="6" t="inlineStr">
        <is>
          <t>Direccion</t>
        </is>
      </c>
      <c r="H1" s="6" t="inlineStr">
        <is>
          <t>Telefono</t>
        </is>
      </c>
      <c r="I1" s="6" t="inlineStr">
        <is>
          <t>Dias_Apertura</t>
        </is>
      </c>
      <c r="J1" s="6" t="inlineStr">
        <is>
          <t>Aliado</t>
        </is>
      </c>
      <c r="K1" s="6" t="inlineStr">
        <is>
          <t>Fecha_Inicio</t>
        </is>
      </c>
      <c r="L1" s="6" t="inlineStr">
        <is>
          <t>Fecha_Fin</t>
        </is>
      </c>
      <c r="M1" s="6" t="inlineStr">
        <is>
          <t>Total_Equipos</t>
        </is>
      </c>
    </row>
    <row r="2">
      <c r="A2" s="16" t="inlineStr">
        <is>
          <t>10</t>
        </is>
      </c>
      <c r="B2" s="17" t="inlineStr">
        <is>
          <t>CENTRO DE NEGOCIOS BOGOTA CENTRO</t>
        </is>
      </c>
      <c r="C2" s="17" t="inlineStr">
        <is>
          <t>Bogotá, D.C.</t>
        </is>
      </c>
      <c r="D2" s="17" t="inlineStr">
        <is>
          <t>Bogotá D.C</t>
        </is>
      </c>
      <c r="E2" s="17" t="inlineStr">
        <is>
          <t>BOGOTA</t>
        </is>
      </c>
      <c r="F2" s="17" t="inlineStr">
        <is>
          <t>8:00 AM A 3:30 P.M.</t>
        </is>
      </c>
      <c r="G2" s="17" t="inlineStr">
        <is>
          <t>Calle 12 c 8-35</t>
        </is>
      </c>
      <c r="H2" s="17" t="inlineStr">
        <is>
          <t>6013821400</t>
        </is>
      </c>
      <c r="I2" s="17" t="inlineStr">
        <is>
          <t>LUNES A VIERNES</t>
        </is>
      </c>
      <c r="J2" s="17" t="inlineStr">
        <is>
          <t>GESTIONATECH</t>
        </is>
      </c>
      <c r="K2" s="18" t="n">
        <v>46302</v>
      </c>
      <c r="L2" s="18" t="n">
        <v>46304</v>
      </c>
      <c r="M2" s="17" t="n">
        <v>56</v>
      </c>
    </row>
    <row r="3">
      <c r="A3" s="19" t="inlineStr">
        <is>
          <t>20</t>
        </is>
      </c>
      <c r="B3" s="20" t="inlineStr">
        <is>
          <t>BOGOTA CENTRO DE PAGOS, RECAUDOS Y DEPOSITOS JUDICIALES CHAPINERO</t>
        </is>
      </c>
      <c r="C3" s="20" t="inlineStr">
        <is>
          <t>Bogotá, D.C.</t>
        </is>
      </c>
      <c r="D3" s="20" t="inlineStr">
        <is>
          <t>Bogotá D.C</t>
        </is>
      </c>
      <c r="E3" s="20" t="inlineStr">
        <is>
          <t>BOGOTA</t>
        </is>
      </c>
      <c r="F3" s="20" t="inlineStr">
        <is>
          <t>8:00 AM A 3:30 P.M.</t>
        </is>
      </c>
      <c r="G3" s="20" t="inlineStr">
        <is>
          <t>Carrera 13 No. 62 - 09</t>
        </is>
      </c>
      <c r="H3" s="20" t="inlineStr">
        <is>
          <t>6013821400</t>
        </is>
      </c>
      <c r="I3" s="20" t="inlineStr">
        <is>
          <t>LUNES A VIERNES</t>
        </is>
      </c>
      <c r="J3" s="20" t="inlineStr">
        <is>
          <t>GESTIONATECH</t>
        </is>
      </c>
      <c r="K3" s="21" t="n">
        <v>46300</v>
      </c>
      <c r="L3" s="21" t="n">
        <v>46301</v>
      </c>
      <c r="M3" s="20" t="n">
        <v>28</v>
      </c>
    </row>
    <row r="4">
      <c r="A4" s="16" t="inlineStr">
        <is>
          <t>70</t>
        </is>
      </c>
      <c r="B4" s="17" t="inlineStr">
        <is>
          <t>BOGOTA - AVENIDA JIMENEZ</t>
        </is>
      </c>
      <c r="C4" s="17" t="inlineStr">
        <is>
          <t>Bogotá, D.C.</t>
        </is>
      </c>
      <c r="D4" s="17" t="inlineStr">
        <is>
          <t>Bogotá D.C</t>
        </is>
      </c>
      <c r="E4" s="17" t="inlineStr">
        <is>
          <t>BOGOTA</t>
        </is>
      </c>
      <c r="F4" s="17" t="inlineStr">
        <is>
          <t>9:00 A.M. A 4:00 P.M.</t>
        </is>
      </c>
      <c r="G4" s="17" t="inlineStr">
        <is>
          <t>Calle 15 No.8-32</t>
        </is>
      </c>
      <c r="H4" s="17" t="inlineStr">
        <is>
          <t>6013821400</t>
        </is>
      </c>
      <c r="I4" s="17" t="inlineStr">
        <is>
          <t>LUNES A VIERNES</t>
        </is>
      </c>
      <c r="J4" s="17" t="inlineStr">
        <is>
          <t>GESTIONATECH</t>
        </is>
      </c>
      <c r="K4" s="18" t="n">
        <v>46293</v>
      </c>
      <c r="L4" s="18" t="n">
        <v>46295</v>
      </c>
      <c r="M4" s="17" t="n">
        <v>45</v>
      </c>
    </row>
    <row r="5">
      <c r="A5" s="19" t="inlineStr">
        <is>
          <t>230</t>
        </is>
      </c>
      <c r="B5" s="20" t="inlineStr">
        <is>
          <t>BOGOTA - CAN</t>
        </is>
      </c>
      <c r="C5" s="20" t="inlineStr">
        <is>
          <t>Bogotá, D.C.</t>
        </is>
      </c>
      <c r="D5" s="20" t="inlineStr">
        <is>
          <t>Bogotá D.C</t>
        </is>
      </c>
      <c r="E5" s="20" t="inlineStr">
        <is>
          <t>BOGOTA</t>
        </is>
      </c>
      <c r="F5" s="20" t="inlineStr">
        <is>
          <t>9:00 A.M. A 4:00 P.M.</t>
        </is>
      </c>
      <c r="G5" s="20" t="inlineStr">
        <is>
          <t>CALLE 44 No 54 - 82</t>
        </is>
      </c>
      <c r="H5" s="20" t="inlineStr">
        <is>
          <t>6013821400</t>
        </is>
      </c>
      <c r="I5" s="20" t="inlineStr">
        <is>
          <t>LUNES A VIERNES</t>
        </is>
      </c>
      <c r="J5" s="20" t="inlineStr">
        <is>
          <t>GESTIONATECH</t>
        </is>
      </c>
      <c r="K5" s="21" t="n">
        <v>46321</v>
      </c>
      <c r="L5" s="21" t="n">
        <v>46321</v>
      </c>
      <c r="M5" s="20" t="n">
        <v>25</v>
      </c>
    </row>
    <row r="6">
      <c r="A6" s="16" t="inlineStr">
        <is>
          <t>250</t>
        </is>
      </c>
      <c r="B6" s="17" t="inlineStr">
        <is>
          <t>BOGOTA - PALOQUEMAO</t>
        </is>
      </c>
      <c r="C6" s="17" t="inlineStr">
        <is>
          <t>Bogotá, D.C.</t>
        </is>
      </c>
      <c r="D6" s="17" t="inlineStr">
        <is>
          <t>Bogotá D.C</t>
        </is>
      </c>
      <c r="E6" s="17" t="inlineStr">
        <is>
          <t>BOGOTA</t>
        </is>
      </c>
      <c r="F6" s="17" t="inlineStr">
        <is>
          <t>8:00 A.M.  A 3:00 P.M.</t>
        </is>
      </c>
      <c r="G6" s="17" t="inlineStr">
        <is>
          <t>Avenida Calle 19 N° 25 - 04</t>
        </is>
      </c>
      <c r="H6" s="17" t="inlineStr">
        <is>
          <t>6013821400</t>
        </is>
      </c>
      <c r="I6" s="17" t="inlineStr">
        <is>
          <t>LUNES A VIERNES</t>
        </is>
      </c>
      <c r="J6" s="17" t="inlineStr">
        <is>
          <t>GESTIONATECH</t>
        </is>
      </c>
      <c r="K6" s="18" t="n">
        <v>46316</v>
      </c>
      <c r="L6" s="18" t="n">
        <v>46316</v>
      </c>
      <c r="M6" s="17" t="n">
        <v>19</v>
      </c>
    </row>
    <row r="7">
      <c r="A7" s="19" t="inlineStr">
        <is>
          <t>260</t>
        </is>
      </c>
      <c r="B7" s="20" t="inlineStr">
        <is>
          <t>BOGOTA - CORABASTOS</t>
        </is>
      </c>
      <c r="C7" s="20" t="inlineStr">
        <is>
          <t>Bogotá, D.C.</t>
        </is>
      </c>
      <c r="D7" s="20" t="inlineStr">
        <is>
          <t>Bogotá D.C</t>
        </is>
      </c>
      <c r="E7" s="20" t="inlineStr">
        <is>
          <t>BOGOTA</t>
        </is>
      </c>
      <c r="F7" s="20" t="inlineStr">
        <is>
          <t>DE LUNES A VIERNES DE 8:00 A.M. A 3:00 PM Y SABADO 8:00 A.M. A 12 P.M.</t>
        </is>
      </c>
      <c r="G7" s="20" t="inlineStr">
        <is>
          <t>Cra. 86 No. 24 A 19 Sur Local D</t>
        </is>
      </c>
      <c r="H7" s="20" t="inlineStr">
        <is>
          <t>6013821400</t>
        </is>
      </c>
      <c r="I7" s="20" t="inlineStr">
        <is>
          <t>LUNES A VIERNES Y SABADO</t>
        </is>
      </c>
      <c r="J7" s="20" t="inlineStr">
        <is>
          <t>GESTIONATECH</t>
        </is>
      </c>
      <c r="K7" s="21" t="n">
        <v>46308</v>
      </c>
      <c r="L7" s="21" t="n">
        <v>46309</v>
      </c>
      <c r="M7" s="20" t="n">
        <v>37</v>
      </c>
    </row>
    <row r="8">
      <c r="A8" s="16" t="inlineStr">
        <is>
          <t>280</t>
        </is>
      </c>
      <c r="B8" s="17" t="inlineStr">
        <is>
          <t>BOGOTA - CODABAS</t>
        </is>
      </c>
      <c r="C8" s="17" t="inlineStr">
        <is>
          <t>Bogotá, D.C.</t>
        </is>
      </c>
      <c r="D8" s="17" t="inlineStr">
        <is>
          <t>Bogotá D.C</t>
        </is>
      </c>
      <c r="E8" s="17" t="inlineStr">
        <is>
          <t>BOGOTA</t>
        </is>
      </c>
      <c r="F8" s="17" t="inlineStr">
        <is>
          <t>7.00 A.M. A 2:00 PM</t>
        </is>
      </c>
      <c r="G8" s="17" t="inlineStr">
        <is>
          <t>Cra. 7a No. 180-71/75 módulo 1 local 29</t>
        </is>
      </c>
      <c r="H8" s="17" t="inlineStr">
        <is>
          <t>6013821400</t>
        </is>
      </c>
      <c r="I8" s="17" t="inlineStr">
        <is>
          <t>LUNES A VIERNES</t>
        </is>
      </c>
      <c r="J8" s="17" t="inlineStr">
        <is>
          <t>GESTIONATECH</t>
        </is>
      </c>
      <c r="K8" s="18" t="n">
        <v>46297</v>
      </c>
      <c r="L8" s="18" t="n">
        <v>46297</v>
      </c>
      <c r="M8" s="17" t="n">
        <v>16</v>
      </c>
    </row>
    <row r="9">
      <c r="A9" s="19" t="inlineStr">
        <is>
          <t>290</t>
        </is>
      </c>
      <c r="B9" s="20" t="inlineStr">
        <is>
          <t>UBATE</t>
        </is>
      </c>
      <c r="C9" s="20" t="inlineStr">
        <is>
          <t>Ubate</t>
        </is>
      </c>
      <c r="D9" s="20" t="inlineStr">
        <is>
          <t>Cundinamarca</t>
        </is>
      </c>
      <c r="E9" s="20" t="inlineStr">
        <is>
          <t>BOGOTA</t>
        </is>
      </c>
      <c r="F9" s="20" t="inlineStr">
        <is>
          <t>8:00 A.M.  A 3:00 P.M.</t>
        </is>
      </c>
      <c r="G9" s="20" t="inlineStr">
        <is>
          <t>CLL 6 NO 5-04     CALLE 6 No. 6-02</t>
        </is>
      </c>
      <c r="H9" s="20" t="inlineStr">
        <is>
          <t>6013821400</t>
        </is>
      </c>
      <c r="I9" s="20" t="inlineStr">
        <is>
          <t>LUNES A VIERNES</t>
        </is>
      </c>
      <c r="J9" s="20" t="inlineStr">
        <is>
          <t>GESTIONATECH</t>
        </is>
      </c>
      <c r="K9" s="21" t="n">
        <v>46273</v>
      </c>
      <c r="L9" s="21" t="n">
        <v>46273</v>
      </c>
      <c r="M9" s="20" t="n">
        <v>32</v>
      </c>
    </row>
    <row r="10">
      <c r="A10" s="16" t="inlineStr">
        <is>
          <t>360</t>
        </is>
      </c>
      <c r="B10" s="17" t="inlineStr">
        <is>
          <t>BOGOTÀ - CALLE CIEN</t>
        </is>
      </c>
      <c r="C10" s="17" t="inlineStr">
        <is>
          <t>Bogotá, D.C.</t>
        </is>
      </c>
      <c r="D10" s="17" t="inlineStr">
        <is>
          <t>Bogotá D.C</t>
        </is>
      </c>
      <c r="E10" s="17" t="inlineStr">
        <is>
          <t>BOGOTA</t>
        </is>
      </c>
      <c r="F10" s="17" t="inlineStr">
        <is>
          <t>9:00 A.M. A 4:00 P.M.</t>
        </is>
      </c>
      <c r="G10" s="17" t="inlineStr">
        <is>
          <t>Calle 100 N°-49-13 Local 3B</t>
        </is>
      </c>
      <c r="H10" s="17" t="inlineStr">
        <is>
          <t>6013821400</t>
        </is>
      </c>
      <c r="I10" s="17" t="inlineStr">
        <is>
          <t>LUNES A VIERNES</t>
        </is>
      </c>
      <c r="J10" s="17" t="inlineStr">
        <is>
          <t>GESTIONATECH</t>
        </is>
      </c>
      <c r="K10" s="18" t="n">
        <v>46318</v>
      </c>
      <c r="L10" s="18" t="n">
        <v>46318</v>
      </c>
      <c r="M10" s="17" t="n">
        <v>23</v>
      </c>
    </row>
    <row r="11">
      <c r="A11" s="19" t="inlineStr">
        <is>
          <t>590</t>
        </is>
      </c>
      <c r="B11" s="20" t="inlineStr">
        <is>
          <t>BOGOTA - BARRIO RESTREPO</t>
        </is>
      </c>
      <c r="C11" s="20" t="inlineStr">
        <is>
          <t>Bogotá, D.C.</t>
        </is>
      </c>
      <c r="D11" s="20" t="inlineStr">
        <is>
          <t>Bogotá D.C</t>
        </is>
      </c>
      <c r="E11" s="20" t="inlineStr">
        <is>
          <t>BOGOTA</t>
        </is>
      </c>
      <c r="F11" s="20" t="inlineStr">
        <is>
          <t>9:00 A.M. A 4:00 P.M.</t>
        </is>
      </c>
      <c r="G11" s="20" t="inlineStr">
        <is>
          <t>Cra.18 No.15-31/37/ 38 sur</t>
        </is>
      </c>
      <c r="H11" s="20" t="inlineStr">
        <is>
          <t>6013821400</t>
        </is>
      </c>
      <c r="I11" s="20" t="inlineStr">
        <is>
          <t>LUNES A VIERNES</t>
        </is>
      </c>
      <c r="J11" s="20" t="inlineStr">
        <is>
          <t>GESTIONATECH</t>
        </is>
      </c>
      <c r="K11" s="21" t="n">
        <v>46310</v>
      </c>
      <c r="L11" s="21" t="n">
        <v>46311</v>
      </c>
      <c r="M11" s="20" t="n">
        <v>32</v>
      </c>
    </row>
    <row r="12">
      <c r="A12" s="16" t="inlineStr">
        <is>
          <t>700</t>
        </is>
      </c>
      <c r="B12" s="17" t="inlineStr">
        <is>
          <t>LA CALERA</t>
        </is>
      </c>
      <c r="C12" s="17" t="inlineStr">
        <is>
          <t>La Calera</t>
        </is>
      </c>
      <c r="D12" s="17" t="inlineStr">
        <is>
          <t>Cundinamarca</t>
        </is>
      </c>
      <c r="E12" s="17" t="inlineStr">
        <is>
          <t>BOGOTA</t>
        </is>
      </c>
      <c r="F12" s="17" t="inlineStr">
        <is>
          <t>8:00 A.M.  A 3:00 P.M.</t>
        </is>
      </c>
      <c r="G12" s="17" t="inlineStr">
        <is>
          <t>Calle 7 No 3-40/46</t>
        </is>
      </c>
      <c r="H12" s="17" t="inlineStr">
        <is>
          <t>6013821400</t>
        </is>
      </c>
      <c r="I12" s="17" t="inlineStr">
        <is>
          <t>LUNES A VIERNES</t>
        </is>
      </c>
      <c r="J12" s="17" t="inlineStr">
        <is>
          <t>GESTIONATECH</t>
        </is>
      </c>
      <c r="K12" s="18" t="n">
        <v>46280</v>
      </c>
      <c r="L12" s="18" t="n">
        <v>46280</v>
      </c>
      <c r="M12" s="17" t="n">
        <v>17</v>
      </c>
    </row>
    <row r="13">
      <c r="A13" s="19" t="inlineStr">
        <is>
          <t>730</t>
        </is>
      </c>
      <c r="B13" s="20" t="inlineStr">
        <is>
          <t>UNE</t>
        </is>
      </c>
      <c r="C13" s="20" t="inlineStr">
        <is>
          <t>Une</t>
        </is>
      </c>
      <c r="D13" s="20" t="inlineStr">
        <is>
          <t>Cundinamarca</t>
        </is>
      </c>
      <c r="E13" s="20" t="inlineStr">
        <is>
          <t>BOGOTA</t>
        </is>
      </c>
      <c r="F13" s="20" t="inlineStr">
        <is>
          <t>8:00 A.M.  A 3:00 P.M.</t>
        </is>
      </c>
      <c r="G13" s="20" t="inlineStr">
        <is>
          <t>Carrera  3 No 2-15</t>
        </is>
      </c>
      <c r="H13" s="20" t="inlineStr">
        <is>
          <t>6013821400</t>
        </is>
      </c>
      <c r="I13" s="20" t="inlineStr">
        <is>
          <t>LUNES A VIERNES</t>
        </is>
      </c>
      <c r="J13" s="20" t="inlineStr">
        <is>
          <t>GESTIONATECH</t>
        </is>
      </c>
      <c r="K13" s="21" t="n">
        <v>46274</v>
      </c>
      <c r="L13" s="21" t="n">
        <v>46274</v>
      </c>
      <c r="M13" s="20" t="n">
        <v>14</v>
      </c>
    </row>
    <row r="14">
      <c r="A14" s="16" t="inlineStr">
        <is>
          <t>750</t>
        </is>
      </c>
      <c r="B14" s="17" t="inlineStr">
        <is>
          <t>BOGOTÀ - SUBA</t>
        </is>
      </c>
      <c r="C14" s="17" t="inlineStr">
        <is>
          <t>Bogotá, D.C.</t>
        </is>
      </c>
      <c r="D14" s="17" t="inlineStr">
        <is>
          <t>Bogotá D.C</t>
        </is>
      </c>
      <c r="E14" s="17" t="inlineStr">
        <is>
          <t>BOGOTA</t>
        </is>
      </c>
      <c r="F14" s="17" t="inlineStr">
        <is>
          <t>9:00 A.M. A 4:00 P.M.</t>
        </is>
      </c>
      <c r="G14" s="17" t="inlineStr">
        <is>
          <t>Calle 146B N° 91-01</t>
        </is>
      </c>
      <c r="H14" s="17" t="inlineStr">
        <is>
          <t>6013821400</t>
        </is>
      </c>
      <c r="I14" s="17" t="inlineStr">
        <is>
          <t>LUNES A VIERNES</t>
        </is>
      </c>
      <c r="J14" s="17" t="inlineStr">
        <is>
          <t>GESTIONATECH</t>
        </is>
      </c>
      <c r="K14" s="18" t="n">
        <v>46296</v>
      </c>
      <c r="L14" s="18" t="n">
        <v>46296</v>
      </c>
      <c r="M14" s="17" t="n">
        <v>14</v>
      </c>
    </row>
    <row r="15">
      <c r="A15" s="19" t="inlineStr">
        <is>
          <t>820</t>
        </is>
      </c>
      <c r="B15" s="20" t="inlineStr">
        <is>
          <t>BOGOTA - AVENIDA CHILE</t>
        </is>
      </c>
      <c r="C15" s="20" t="inlineStr">
        <is>
          <t>Bogotá, D.C.</t>
        </is>
      </c>
      <c r="D15" s="20" t="inlineStr">
        <is>
          <t>Bogotá D.C</t>
        </is>
      </c>
      <c r="E15" s="20" t="inlineStr">
        <is>
          <t>BOGOTA</t>
        </is>
      </c>
      <c r="F15" s="20" t="inlineStr">
        <is>
          <t>9:00 A.M. A 4:00 P.M.</t>
        </is>
      </c>
      <c r="G15" s="20" t="inlineStr">
        <is>
          <t>Call 72 No. 10 - 51</t>
        </is>
      </c>
      <c r="H15" s="20" t="inlineStr">
        <is>
          <t>6013821400</t>
        </is>
      </c>
      <c r="I15" s="20" t="inlineStr">
        <is>
          <t>LUNES A VIERNES</t>
        </is>
      </c>
      <c r="J15" s="20" t="inlineStr">
        <is>
          <t>GESTIONATECH</t>
        </is>
      </c>
      <c r="K15" s="21" t="n">
        <v>46314</v>
      </c>
      <c r="L15" s="21" t="n">
        <v>46315</v>
      </c>
      <c r="M15" s="20" t="n">
        <v>28</v>
      </c>
    </row>
    <row r="16">
      <c r="A16" s="16" t="inlineStr">
        <is>
          <t>850</t>
        </is>
      </c>
      <c r="B16" s="17" t="inlineStr">
        <is>
          <t>BOGOTA - PUENTE ARANDA</t>
        </is>
      </c>
      <c r="C16" s="17" t="inlineStr">
        <is>
          <t>Bogotá, D.C.</t>
        </is>
      </c>
      <c r="D16" s="17" t="inlineStr">
        <is>
          <t>Bogotá D.C</t>
        </is>
      </c>
      <c r="E16" s="17" t="inlineStr">
        <is>
          <t>BOGOTA</t>
        </is>
      </c>
      <c r="F16" s="17" t="inlineStr">
        <is>
          <t>9:00 A.M. A 4:00 P.M.</t>
        </is>
      </c>
      <c r="G16" s="17" t="inlineStr">
        <is>
          <t>Calle 13 No. 60 - 60</t>
        </is>
      </c>
      <c r="H16" s="17" t="inlineStr">
        <is>
          <t>6013821400</t>
        </is>
      </c>
      <c r="I16" s="17" t="inlineStr">
        <is>
          <t>LUNES A VIERNES</t>
        </is>
      </c>
      <c r="J16" s="17" t="inlineStr">
        <is>
          <t>GESTIONATECH</t>
        </is>
      </c>
      <c r="K16" s="18" t="n">
        <v>46317</v>
      </c>
      <c r="L16" s="18" t="n">
        <v>46317</v>
      </c>
      <c r="M16" s="17" t="n">
        <v>23</v>
      </c>
    </row>
    <row r="17">
      <c r="A17" s="19" t="inlineStr">
        <is>
          <t>890</t>
        </is>
      </c>
      <c r="B17" s="20" t="inlineStr">
        <is>
          <t>BOGOTA - USME</t>
        </is>
      </c>
      <c r="C17" s="20" t="inlineStr">
        <is>
          <t>Bogotá, D.C.</t>
        </is>
      </c>
      <c r="D17" s="20" t="inlineStr">
        <is>
          <t>Bogotá D.C</t>
        </is>
      </c>
      <c r="E17" s="20" t="inlineStr">
        <is>
          <t>BOGOTA</t>
        </is>
      </c>
      <c r="F17" s="20" t="inlineStr">
        <is>
          <t>7.00 A.M. A 2:00 PM</t>
        </is>
      </c>
      <c r="G17" s="20" t="inlineStr">
        <is>
          <t>CALLE 137 B SUR No. 2 A -64</t>
        </is>
      </c>
      <c r="H17" s="20" t="inlineStr">
        <is>
          <t>6013821400</t>
        </is>
      </c>
      <c r="I17" s="20" t="inlineStr">
        <is>
          <t>LUNES A VIERNES</t>
        </is>
      </c>
      <c r="J17" s="20" t="inlineStr">
        <is>
          <t>GESTIONATECH</t>
        </is>
      </c>
      <c r="K17" s="21" t="n">
        <v>46322</v>
      </c>
      <c r="L17" s="21" t="n">
        <v>46322</v>
      </c>
      <c r="M17" s="20" t="n">
        <v>18</v>
      </c>
    </row>
    <row r="18">
      <c r="A18" s="16" t="inlineStr">
        <is>
          <t>900</t>
        </is>
      </c>
      <c r="B18" s="17" t="inlineStr">
        <is>
          <t>FACATATIVA</t>
        </is>
      </c>
      <c r="C18" s="17" t="inlineStr">
        <is>
          <t>Facatativá</t>
        </is>
      </c>
      <c r="D18" s="17" t="inlineStr">
        <is>
          <t>Cundinamarca</t>
        </is>
      </c>
      <c r="E18" s="17" t="inlineStr">
        <is>
          <t>BOGOTA</t>
        </is>
      </c>
      <c r="F18" s="17" t="inlineStr">
        <is>
          <t>8:00 A.M.  A 3:00 P.M.</t>
        </is>
      </c>
      <c r="G18" s="17" t="inlineStr">
        <is>
          <t>Carrera 3 No. 5-40</t>
        </is>
      </c>
      <c r="H18" s="17" t="inlineStr">
        <is>
          <t>6013821400</t>
        </is>
      </c>
      <c r="I18" s="17" t="inlineStr">
        <is>
          <t>LUNES A VIERNES</t>
        </is>
      </c>
      <c r="J18" s="17" t="inlineStr">
        <is>
          <t>GESTIONATECH</t>
        </is>
      </c>
      <c r="K18" s="18" t="n">
        <v>46296</v>
      </c>
      <c r="L18" s="18" t="n">
        <v>46296</v>
      </c>
      <c r="M18" s="17" t="n">
        <v>34</v>
      </c>
    </row>
    <row r="19">
      <c r="A19" s="19" t="inlineStr">
        <is>
          <t>910</t>
        </is>
      </c>
      <c r="B19" s="20" t="inlineStr">
        <is>
          <t>FUNZA</t>
        </is>
      </c>
      <c r="C19" s="20" t="inlineStr">
        <is>
          <t>Funza</t>
        </is>
      </c>
      <c r="D19" s="20" t="inlineStr">
        <is>
          <t>Cundinamarca</t>
        </is>
      </c>
      <c r="E19" s="20" t="inlineStr">
        <is>
          <t>BOGOTA</t>
        </is>
      </c>
      <c r="F19" s="20" t="inlineStr">
        <is>
          <t>8:00 A.M.  A 3:00 P.M.</t>
        </is>
      </c>
      <c r="G19" s="20" t="inlineStr">
        <is>
          <t>Calle 13 No. 15 - 97</t>
        </is>
      </c>
      <c r="H19" s="20" t="inlineStr">
        <is>
          <t>6013821400</t>
        </is>
      </c>
      <c r="I19" s="20" t="inlineStr">
        <is>
          <t>LUNES A VIERNES</t>
        </is>
      </c>
      <c r="J19" s="20" t="inlineStr">
        <is>
          <t>GESTIONATECH</t>
        </is>
      </c>
      <c r="K19" s="21" t="n">
        <v>46283</v>
      </c>
      <c r="L19" s="21" t="n">
        <v>46283</v>
      </c>
      <c r="M19" s="20" t="n">
        <v>24</v>
      </c>
    </row>
    <row r="20">
      <c r="A20" s="16" t="inlineStr">
        <is>
          <t>920</t>
        </is>
      </c>
      <c r="B20" s="17" t="inlineStr">
        <is>
          <t>CHIA</t>
        </is>
      </c>
      <c r="C20" s="17" t="inlineStr">
        <is>
          <t>Chía</t>
        </is>
      </c>
      <c r="D20" s="17" t="inlineStr">
        <is>
          <t>Cundinamarca</t>
        </is>
      </c>
      <c r="E20" s="17" t="inlineStr">
        <is>
          <t>BOGOTA</t>
        </is>
      </c>
      <c r="F20" s="17" t="inlineStr">
        <is>
          <t>8:00 A.M.  A 3:00 P.M.</t>
        </is>
      </c>
      <c r="G20" s="17" t="inlineStr">
        <is>
          <t>Carrera 10 No.8-13</t>
        </is>
      </c>
      <c r="H20" s="17" t="inlineStr">
        <is>
          <t>6013821400</t>
        </is>
      </c>
      <c r="I20" s="17" t="inlineStr">
        <is>
          <t>LUNES A VIERNES</t>
        </is>
      </c>
      <c r="J20" s="17" t="inlineStr">
        <is>
          <t>GESTIONATECH</t>
        </is>
      </c>
      <c r="K20" s="18" t="n">
        <v>46279</v>
      </c>
      <c r="L20" s="18" t="n">
        <v>46279</v>
      </c>
      <c r="M20" s="17" t="n">
        <v>21</v>
      </c>
    </row>
    <row r="21">
      <c r="A21" s="19" t="inlineStr">
        <is>
          <t>940</t>
        </is>
      </c>
      <c r="B21" s="20" t="inlineStr">
        <is>
          <t>TENJO</t>
        </is>
      </c>
      <c r="C21" s="20" t="inlineStr">
        <is>
          <t>Tenjo</t>
        </is>
      </c>
      <c r="D21" s="20" t="inlineStr">
        <is>
          <t>Cundinamarca</t>
        </is>
      </c>
      <c r="E21" s="20" t="inlineStr">
        <is>
          <t>BOGOTA</t>
        </is>
      </c>
      <c r="F21" s="20" t="inlineStr">
        <is>
          <t>8:00 A.M.  A 3:00 P.M.</t>
        </is>
      </c>
      <c r="G21" s="20" t="inlineStr">
        <is>
          <t>CARRERA 4 No. 3 – 40</t>
        </is>
      </c>
      <c r="H21" s="20" t="inlineStr">
        <is>
          <t>6013821400</t>
        </is>
      </c>
      <c r="I21" s="20" t="inlineStr">
        <is>
          <t>LUNES A VIERNES</t>
        </is>
      </c>
      <c r="J21" s="20" t="inlineStr">
        <is>
          <t>GESTIONATECH</t>
        </is>
      </c>
      <c r="K21" s="21" t="n">
        <v>46282</v>
      </c>
      <c r="L21" s="21" t="n">
        <v>46282</v>
      </c>
      <c r="M21" s="20" t="n">
        <v>15</v>
      </c>
    </row>
    <row r="22">
      <c r="A22" s="16" t="inlineStr">
        <is>
          <t>960</t>
        </is>
      </c>
      <c r="B22" s="17" t="inlineStr">
        <is>
          <t>SOPO</t>
        </is>
      </c>
      <c r="C22" s="17" t="inlineStr">
        <is>
          <t>Sopó</t>
        </is>
      </c>
      <c r="D22" s="17" t="inlineStr">
        <is>
          <t>Cundinamarca</t>
        </is>
      </c>
      <c r="E22" s="17" t="inlineStr">
        <is>
          <t>BOGOTA</t>
        </is>
      </c>
      <c r="F22" s="17" t="inlineStr">
        <is>
          <t>8:00 A.M.  A 3:00 P.M.</t>
        </is>
      </c>
      <c r="G22" s="17" t="inlineStr">
        <is>
          <t>Calle 2 No. 2-05/09 Parque Principal</t>
        </is>
      </c>
      <c r="H22" s="17" t="inlineStr">
        <is>
          <t>6013821400</t>
        </is>
      </c>
      <c r="I22" s="17" t="inlineStr">
        <is>
          <t>LUNES A VIERNES</t>
        </is>
      </c>
      <c r="J22" s="17" t="inlineStr">
        <is>
          <t>GESTIONATECH</t>
        </is>
      </c>
      <c r="K22" s="18" t="n">
        <v>46281</v>
      </c>
      <c r="L22" s="18" t="n">
        <v>46281</v>
      </c>
      <c r="M22" s="17" t="n">
        <v>14</v>
      </c>
    </row>
    <row r="23">
      <c r="A23" s="19" t="inlineStr">
        <is>
          <t>970</t>
        </is>
      </c>
      <c r="B23" s="20" t="inlineStr">
        <is>
          <t>ZIPAQUIRA</t>
        </is>
      </c>
      <c r="C23" s="20" t="inlineStr">
        <is>
          <t>Zipaquirá</t>
        </is>
      </c>
      <c r="D23" s="20" t="inlineStr">
        <is>
          <t>Cundinamarca</t>
        </is>
      </c>
      <c r="E23" s="20" t="inlineStr">
        <is>
          <t>BOGOTA</t>
        </is>
      </c>
      <c r="F23" s="20" t="inlineStr">
        <is>
          <t>8:00 A.M.  A 3:00 P.M.</t>
        </is>
      </c>
      <c r="G23" s="20" t="inlineStr">
        <is>
          <t>Carrera 8 No.6- 29/35/41/47/51 locales 4 y 5</t>
        </is>
      </c>
      <c r="H23" s="20" t="inlineStr">
        <is>
          <t>6013821400</t>
        </is>
      </c>
      <c r="I23" s="20" t="inlineStr">
        <is>
          <t>LUNES A VIERNES</t>
        </is>
      </c>
      <c r="J23" s="20" t="inlineStr">
        <is>
          <t>GESTIONATECH</t>
        </is>
      </c>
      <c r="K23" s="21" t="n">
        <v>46281</v>
      </c>
      <c r="L23" s="21" t="n">
        <v>46281</v>
      </c>
      <c r="M23" s="20" t="n">
        <v>38</v>
      </c>
    </row>
    <row r="24">
      <c r="A24" s="16" t="inlineStr">
        <is>
          <t>980</t>
        </is>
      </c>
      <c r="B24" s="17" t="inlineStr">
        <is>
          <t>SUBACHOQUE</t>
        </is>
      </c>
      <c r="C24" s="17" t="inlineStr">
        <is>
          <t>Subachoque</t>
        </is>
      </c>
      <c r="D24" s="17" t="inlineStr">
        <is>
          <t>Cundinamarca</t>
        </is>
      </c>
      <c r="E24" s="17" t="inlineStr">
        <is>
          <t>BOGOTA</t>
        </is>
      </c>
      <c r="F24" s="17" t="inlineStr">
        <is>
          <t>8:00 A.M.  A 3:00 P.M.</t>
        </is>
      </c>
      <c r="G24" s="17" t="inlineStr">
        <is>
          <t>Calle 2 No. 3-07</t>
        </is>
      </c>
      <c r="H24" s="17" t="inlineStr">
        <is>
          <t>6013821400</t>
        </is>
      </c>
      <c r="I24" s="17" t="inlineStr">
        <is>
          <t>LUNES A VIERNES</t>
        </is>
      </c>
      <c r="J24" s="17" t="inlineStr">
        <is>
          <t>GESTIONATECH</t>
        </is>
      </c>
      <c r="K24" s="18" t="n">
        <v>46295</v>
      </c>
      <c r="L24" s="18" t="n">
        <v>46295</v>
      </c>
      <c r="M24" s="17" t="n">
        <v>14</v>
      </c>
    </row>
    <row r="25">
      <c r="A25" s="19" t="inlineStr">
        <is>
          <t>1203</t>
        </is>
      </c>
      <c r="B25" s="20" t="inlineStr">
        <is>
          <t>ACHI</t>
        </is>
      </c>
      <c r="C25" s="20" t="inlineStr">
        <is>
          <t>Achí</t>
        </is>
      </c>
      <c r="D25" s="20" t="inlineStr">
        <is>
          <t>Bolívar</t>
        </is>
      </c>
      <c r="E25" s="20" t="inlineStr">
        <is>
          <t>COSTA</t>
        </is>
      </c>
      <c r="F25" s="20" t="inlineStr">
        <is>
          <t>8:00 AM - 11:30 AM Y DE 02:00 PM - 04:30 PM</t>
        </is>
      </c>
      <c r="G25" s="20" t="inlineStr">
        <is>
          <t>Carrera 7 No.11-27 Las Delicias Centro</t>
        </is>
      </c>
      <c r="H25" s="20" t="inlineStr">
        <is>
          <t>6013821400</t>
        </is>
      </c>
      <c r="I25" s="20" t="inlineStr">
        <is>
          <t>LUNES A VIERNES</t>
        </is>
      </c>
      <c r="J25" s="20" t="inlineStr">
        <is>
          <t>GESTIONATECH</t>
        </is>
      </c>
      <c r="K25" s="21" t="n">
        <v>46287</v>
      </c>
      <c r="L25" s="21" t="n">
        <v>46287</v>
      </c>
      <c r="M25" s="20" t="n">
        <v>14</v>
      </c>
    </row>
    <row r="26">
      <c r="A26" s="16" t="inlineStr">
        <is>
          <t>1204</t>
        </is>
      </c>
      <c r="B26" s="17" t="inlineStr">
        <is>
          <t>SOLEDAD</t>
        </is>
      </c>
      <c r="C26" s="17" t="inlineStr">
        <is>
          <t>Soledad</t>
        </is>
      </c>
      <c r="D26" s="17" t="inlineStr">
        <is>
          <t>Atlántico</t>
        </is>
      </c>
      <c r="E26" s="17" t="inlineStr">
        <is>
          <t>COSTA</t>
        </is>
      </c>
      <c r="F26" s="17" t="inlineStr">
        <is>
          <t>8:00 AM - 11:30 AM Y DE 02:00 PM - 04:30 PM</t>
        </is>
      </c>
      <c r="G26" s="17" t="inlineStr">
        <is>
          <t>Calle 15 N° 21-141/ Carrera 20 No. 14/50.</t>
        </is>
      </c>
      <c r="H26" s="17" t="inlineStr">
        <is>
          <t>6013821400</t>
        </is>
      </c>
      <c r="I26" s="17" t="inlineStr">
        <is>
          <t>LUNES A VIERNES</t>
        </is>
      </c>
      <c r="J26" s="17" t="inlineStr">
        <is>
          <t>GESTIONATECH</t>
        </is>
      </c>
      <c r="K26" s="18" t="n">
        <v>46304</v>
      </c>
      <c r="L26" s="18" t="n">
        <v>46304</v>
      </c>
      <c r="M26" s="17" t="n">
        <v>23</v>
      </c>
    </row>
    <row r="27">
      <c r="A27" s="19" t="inlineStr">
        <is>
          <t>1205</t>
        </is>
      </c>
      <c r="B27" s="20" t="inlineStr">
        <is>
          <t>ZONA BANANERA</t>
        </is>
      </c>
      <c r="C27" s="20" t="inlineStr">
        <is>
          <t>Zona Bananera</t>
        </is>
      </c>
      <c r="D27" s="20" t="inlineStr">
        <is>
          <t>Magdalena</t>
        </is>
      </c>
      <c r="E27" s="20" t="inlineStr">
        <is>
          <t>COSTA</t>
        </is>
      </c>
      <c r="F27" s="20" t="inlineStr">
        <is>
          <t>8:00 AM - 11:30 AM Y DE 02:00 PM - 04:30 PM</t>
        </is>
      </c>
      <c r="G27" s="20" t="inlineStr">
        <is>
          <t>CORREGIMIENTO DE PRADO SEVILLA, CASA 9 ALCALDIA MUNICIPAL ZONA BANANERA</t>
        </is>
      </c>
      <c r="H27" s="20" t="inlineStr">
        <is>
          <t>6013821400</t>
        </is>
      </c>
      <c r="I27" s="20" t="inlineStr">
        <is>
          <t>LUNES A VIERNES</t>
        </is>
      </c>
      <c r="J27" s="20" t="inlineStr">
        <is>
          <t>GESTIONATECH</t>
        </is>
      </c>
      <c r="K27" s="21" t="n">
        <v>46323</v>
      </c>
      <c r="L27" s="21" t="n">
        <v>46324</v>
      </c>
      <c r="M27" s="20" t="n">
        <v>15</v>
      </c>
    </row>
    <row r="28">
      <c r="A28" s="16" t="inlineStr">
        <is>
          <t>1207</t>
        </is>
      </c>
      <c r="B28" s="17" t="inlineStr">
        <is>
          <t>CARTAGENA</t>
        </is>
      </c>
      <c r="C28" s="17" t="inlineStr">
        <is>
          <t>Cartagena</t>
        </is>
      </c>
      <c r="D28" s="17" t="inlineStr">
        <is>
          <t>Bolívar</t>
        </is>
      </c>
      <c r="E28" s="17" t="inlineStr">
        <is>
          <t>COSTA</t>
        </is>
      </c>
      <c r="F28" s="17" t="inlineStr">
        <is>
          <t>8:00 AM - 11:30 AM Y DE 02:00 PM - 04:30 PM</t>
        </is>
      </c>
      <c r="G28" s="17" t="inlineStr">
        <is>
          <t>Calle del Arsenal - Calle 24 No. 8B-165 Barrio Getsemani - Oficina y el Centro de Pagos y la Unidad de Depósitos Judiciales en la Calle Larga, Calle 25 No. 8B-162 Barrio Getsemani.</t>
        </is>
      </c>
      <c r="H28" s="17" t="inlineStr">
        <is>
          <t>6013821400</t>
        </is>
      </c>
      <c r="I28" s="17" t="inlineStr">
        <is>
          <t>LUNES A VIERNES</t>
        </is>
      </c>
      <c r="J28" s="17" t="inlineStr">
        <is>
          <t>GESTIONATECH</t>
        </is>
      </c>
      <c r="K28" s="18" t="n">
        <v>46282</v>
      </c>
      <c r="L28" s="18" t="n">
        <v>46283</v>
      </c>
      <c r="M28" s="17" t="n">
        <v>55</v>
      </c>
    </row>
    <row r="29">
      <c r="A29" s="19" t="inlineStr">
        <is>
          <t>1215</t>
        </is>
      </c>
      <c r="B29" s="20" t="inlineStr">
        <is>
          <t>ARJONA</t>
        </is>
      </c>
      <c r="C29" s="20" t="inlineStr">
        <is>
          <t>Arjona</t>
        </is>
      </c>
      <c r="D29" s="20" t="inlineStr">
        <is>
          <t>Bolívar</t>
        </is>
      </c>
      <c r="E29" s="20" t="inlineStr">
        <is>
          <t>COSTA</t>
        </is>
      </c>
      <c r="F29" s="20" t="inlineStr">
        <is>
          <t>8:00 AM - 11:30 AM Y DE 02:00 PM - 04:30 PM</t>
        </is>
      </c>
      <c r="G29" s="20" t="inlineStr">
        <is>
          <t>Carrera 41 No. 44 -89 Calle del Coco</t>
        </is>
      </c>
      <c r="H29" s="20" t="inlineStr">
        <is>
          <t>6013821400</t>
        </is>
      </c>
      <c r="I29" s="20" t="inlineStr">
        <is>
          <t>LUNES A VIERNES</t>
        </is>
      </c>
      <c r="J29" s="20" t="inlineStr">
        <is>
          <t>GESTIONATECH</t>
        </is>
      </c>
      <c r="K29" s="21" t="n">
        <v>46302</v>
      </c>
      <c r="L29" s="21" t="n">
        <v>46302</v>
      </c>
      <c r="M29" s="20" t="n">
        <v>25</v>
      </c>
    </row>
    <row r="30">
      <c r="A30" s="16" t="inlineStr">
        <is>
          <t>1216</t>
        </is>
      </c>
      <c r="B30" s="17" t="inlineStr">
        <is>
          <t>CALAMAR</t>
        </is>
      </c>
      <c r="C30" s="17" t="inlineStr">
        <is>
          <t>Calamar</t>
        </is>
      </c>
      <c r="D30" s="17" t="inlineStr">
        <is>
          <t>Bolívar</t>
        </is>
      </c>
      <c r="E30" s="17" t="inlineStr">
        <is>
          <t>COSTA</t>
        </is>
      </c>
      <c r="F30" s="17" t="inlineStr">
        <is>
          <t>8:00 AM - 11:30 AM Y DE 02:00 PM - 04:30 PM</t>
        </is>
      </c>
      <c r="G30" s="17" t="inlineStr">
        <is>
          <t>Carrera 2 No.20-07      20-70</t>
        </is>
      </c>
      <c r="H30" s="17" t="inlineStr">
        <is>
          <t>6013821400</t>
        </is>
      </c>
      <c r="I30" s="17" t="inlineStr">
        <is>
          <t>LUNES A VIERNES</t>
        </is>
      </c>
      <c r="J30" s="17" t="inlineStr">
        <is>
          <t>GESTIONATECH</t>
        </is>
      </c>
      <c r="K30" s="18" t="n">
        <v>46315</v>
      </c>
      <c r="L30" s="18" t="n">
        <v>46315</v>
      </c>
      <c r="M30" s="17" t="n">
        <v>12</v>
      </c>
    </row>
    <row r="31">
      <c r="A31" s="19" t="inlineStr">
        <is>
          <t>1218</t>
        </is>
      </c>
      <c r="B31" s="20" t="inlineStr">
        <is>
          <t>MARIA LA BAJA</t>
        </is>
      </c>
      <c r="C31" s="20" t="inlineStr">
        <is>
          <t>María La Baja</t>
        </is>
      </c>
      <c r="D31" s="20" t="inlineStr">
        <is>
          <t>Bolívar</t>
        </is>
      </c>
      <c r="E31" s="20" t="inlineStr">
        <is>
          <t>COSTA</t>
        </is>
      </c>
      <c r="F31" s="20" t="inlineStr">
        <is>
          <t>8:00 AM - 11:30 AM Y DE 02:00 PM - 04:30 PM</t>
        </is>
      </c>
      <c r="G31" s="20" t="inlineStr">
        <is>
          <t>Calle 19 No.12-36</t>
        </is>
      </c>
      <c r="H31" s="20" t="inlineStr">
        <is>
          <t>6013821400</t>
        </is>
      </c>
      <c r="I31" s="20" t="inlineStr">
        <is>
          <t>LUNES A VIERNES</t>
        </is>
      </c>
      <c r="J31" s="20" t="inlineStr">
        <is>
          <t>GESTIONATECH</t>
        </is>
      </c>
      <c r="K31" s="21" t="n">
        <v>46300</v>
      </c>
      <c r="L31" s="21" t="n">
        <v>46300</v>
      </c>
      <c r="M31" s="20" t="n">
        <v>23</v>
      </c>
    </row>
    <row r="32">
      <c r="A32" s="16" t="inlineStr">
        <is>
          <t>1230</t>
        </is>
      </c>
      <c r="B32" s="17" t="inlineStr">
        <is>
          <t>EL CARMEN DE BOLIVAR</t>
        </is>
      </c>
      <c r="C32" s="17" t="inlineStr">
        <is>
          <t>El Carmen de Bolivar</t>
        </is>
      </c>
      <c r="D32" s="17" t="inlineStr">
        <is>
          <t>Bolívar</t>
        </is>
      </c>
      <c r="E32" s="17" t="inlineStr">
        <is>
          <t>COSTA</t>
        </is>
      </c>
      <c r="F32" s="17" t="inlineStr">
        <is>
          <t>8:00 AM - 11:30 AM Y DE 02:00 PM - 04:30 PM</t>
        </is>
      </c>
      <c r="G32" s="17" t="inlineStr">
        <is>
          <t>Calle 22 No 52-34</t>
        </is>
      </c>
      <c r="H32" s="17" t="inlineStr">
        <is>
          <t>6013821400</t>
        </is>
      </c>
      <c r="I32" s="17" t="inlineStr">
        <is>
          <t>LUNES A VIERNES</t>
        </is>
      </c>
      <c r="J32" s="17" t="inlineStr">
        <is>
          <t>GESTIONATECH</t>
        </is>
      </c>
      <c r="K32" s="18" t="n">
        <v>46279</v>
      </c>
      <c r="L32" s="18" t="n">
        <v>46279</v>
      </c>
      <c r="M32" s="17" t="n">
        <v>19</v>
      </c>
    </row>
    <row r="33">
      <c r="A33" s="19" t="inlineStr">
        <is>
          <t>1240</t>
        </is>
      </c>
      <c r="B33" s="20" t="inlineStr">
        <is>
          <t>MAGANGUE</t>
        </is>
      </c>
      <c r="C33" s="20" t="inlineStr">
        <is>
          <t>Magangué</t>
        </is>
      </c>
      <c r="D33" s="20" t="inlineStr">
        <is>
          <t>Bolívar</t>
        </is>
      </c>
      <c r="E33" s="20" t="inlineStr">
        <is>
          <t>COSTA</t>
        </is>
      </c>
      <c r="F33" s="20" t="inlineStr">
        <is>
          <t>8:00 AM - 11:30 AM Y DE 02:00 PM - 04:30 PM</t>
        </is>
      </c>
      <c r="G33" s="20" t="inlineStr">
        <is>
          <t>Transversal  3  Nº. 3A-16/24</t>
        </is>
      </c>
      <c r="H33" s="20" t="inlineStr">
        <is>
          <t>6013821400</t>
        </is>
      </c>
      <c r="I33" s="20" t="inlineStr">
        <is>
          <t>LUNES A VIERNES</t>
        </is>
      </c>
      <c r="J33" s="20" t="inlineStr">
        <is>
          <t>GESTIONATECH</t>
        </is>
      </c>
      <c r="K33" s="21" t="n">
        <v>46286</v>
      </c>
      <c r="L33" s="21" t="n">
        <v>46286</v>
      </c>
      <c r="M33" s="20" t="n">
        <v>31</v>
      </c>
    </row>
    <row r="34">
      <c r="A34" s="16" t="inlineStr">
        <is>
          <t>1243</t>
        </is>
      </c>
      <c r="B34" s="17" t="inlineStr">
        <is>
          <t>MOMPOX</t>
        </is>
      </c>
      <c r="C34" s="17" t="inlineStr">
        <is>
          <t>Mompós</t>
        </is>
      </c>
      <c r="D34" s="17" t="inlineStr">
        <is>
          <t>Bolívar</t>
        </is>
      </c>
      <c r="E34" s="17" t="inlineStr">
        <is>
          <t>COSTA</t>
        </is>
      </c>
      <c r="F34" s="17" t="inlineStr">
        <is>
          <t>8:00 AM - 11:30 AM Y DE 02:00 PM - 04:30 PM</t>
        </is>
      </c>
      <c r="G34" s="17" t="inlineStr">
        <is>
          <t>Carrera 2 No.19-01 Palacio Municipal</t>
        </is>
      </c>
      <c r="H34" s="17" t="inlineStr">
        <is>
          <t>6013821400</t>
        </is>
      </c>
      <c r="I34" s="17" t="inlineStr">
        <is>
          <t>LUNES A VIERNES</t>
        </is>
      </c>
      <c r="J34" s="17" t="inlineStr">
        <is>
          <t>GESTIONATECH</t>
        </is>
      </c>
      <c r="K34" s="18" t="n">
        <v>46282</v>
      </c>
      <c r="L34" s="18" t="n">
        <v>46282</v>
      </c>
      <c r="M34" s="17" t="n">
        <v>21</v>
      </c>
    </row>
    <row r="35">
      <c r="A35" s="19" t="inlineStr">
        <is>
          <t>1244</t>
        </is>
      </c>
      <c r="B35" s="20" t="inlineStr">
        <is>
          <t>MORALES</t>
        </is>
      </c>
      <c r="C35" s="20" t="inlineStr">
        <is>
          <t>Morales</t>
        </is>
      </c>
      <c r="D35" s="20" t="inlineStr">
        <is>
          <t>Bolívar</t>
        </is>
      </c>
      <c r="E35" s="20" t="inlineStr">
        <is>
          <t>SANTANDERES</t>
        </is>
      </c>
      <c r="F35" s="20" t="inlineStr">
        <is>
          <t>8:00 AM - 11:30 AM Y DE 02:00 PM - 04:30 PM</t>
        </is>
      </c>
      <c r="G35" s="20" t="inlineStr">
        <is>
          <t>Parque Principal - Calle Central Morales</t>
        </is>
      </c>
      <c r="H35" s="20" t="inlineStr">
        <is>
          <t>6013821400</t>
        </is>
      </c>
      <c r="I35" s="20" t="inlineStr">
        <is>
          <t>LUNES A VIERNES</t>
        </is>
      </c>
      <c r="J35" s="20" t="inlineStr">
        <is>
          <t>GESTIONATECH</t>
        </is>
      </c>
      <c r="K35" s="21" t="n">
        <v>46276</v>
      </c>
      <c r="L35" s="21" t="n">
        <v>46276</v>
      </c>
      <c r="M35" s="20" t="n">
        <v>15</v>
      </c>
    </row>
    <row r="36">
      <c r="A36" s="16" t="inlineStr">
        <is>
          <t>1246</t>
        </is>
      </c>
      <c r="B36" s="17" t="inlineStr">
        <is>
          <t>PINILLOS</t>
        </is>
      </c>
      <c r="C36" s="17" t="inlineStr">
        <is>
          <t>Pinillos</t>
        </is>
      </c>
      <c r="D36" s="17" t="inlineStr">
        <is>
          <t>Bolívar</t>
        </is>
      </c>
      <c r="E36" s="17" t="inlineStr">
        <is>
          <t>COSTA</t>
        </is>
      </c>
      <c r="F36" s="17" t="inlineStr">
        <is>
          <t>8:00 AM - 11:30 AM Y DE 02:00 PM - 04:30 PM</t>
        </is>
      </c>
      <c r="G36" s="17" t="inlineStr">
        <is>
          <t>Plaza  Principal</t>
        </is>
      </c>
      <c r="H36" s="17" t="inlineStr">
        <is>
          <t>6013821400</t>
        </is>
      </c>
      <c r="I36" s="17" t="inlineStr">
        <is>
          <t>LUNES A VIERNES</t>
        </is>
      </c>
      <c r="J36" s="17" t="inlineStr">
        <is>
          <t>GESTIONATECH</t>
        </is>
      </c>
      <c r="K36" s="18" t="n">
        <v>46293</v>
      </c>
      <c r="L36" s="18" t="n">
        <v>46293</v>
      </c>
      <c r="M36" s="17" t="n">
        <v>15</v>
      </c>
    </row>
    <row r="37">
      <c r="A37" s="19" t="inlineStr">
        <is>
          <t>1250</t>
        </is>
      </c>
      <c r="B37" s="20" t="inlineStr">
        <is>
          <t>SAN JUAN DE NEPOMUCENO</t>
        </is>
      </c>
      <c r="C37" s="20" t="inlineStr">
        <is>
          <t>San Juan Nepomuceno</t>
        </is>
      </c>
      <c r="D37" s="20" t="inlineStr">
        <is>
          <t>Bolívar</t>
        </is>
      </c>
      <c r="E37" s="20" t="inlineStr">
        <is>
          <t>COSTA</t>
        </is>
      </c>
      <c r="F37" s="20" t="inlineStr">
        <is>
          <t>8:00 AM - 11:30 AM Y DE 02:00 PM - 04:30 PM</t>
        </is>
      </c>
      <c r="G37" s="20" t="inlineStr">
        <is>
          <t>Calle 10 Nº. 9-55 /   Calle 9 No. 10-55 Barrio Centro.</t>
        </is>
      </c>
      <c r="H37" s="20" t="inlineStr">
        <is>
          <t>6013821400</t>
        </is>
      </c>
      <c r="I37" s="20" t="inlineStr">
        <is>
          <t>LUNES A VIERNES</t>
        </is>
      </c>
      <c r="J37" s="20" t="inlineStr">
        <is>
          <t>GESTIONATECH</t>
        </is>
      </c>
      <c r="K37" s="21" t="n">
        <v>46281</v>
      </c>
      <c r="L37" s="21" t="n">
        <v>46281</v>
      </c>
      <c r="M37" s="20" t="n">
        <v>23</v>
      </c>
    </row>
    <row r="38">
      <c r="A38" s="16" t="inlineStr">
        <is>
          <t>1255</t>
        </is>
      </c>
      <c r="B38" s="17" t="inlineStr">
        <is>
          <t>SAN PABLO</t>
        </is>
      </c>
      <c r="C38" s="17" t="inlineStr">
        <is>
          <t>San Pablo</t>
        </is>
      </c>
      <c r="D38" s="17" t="inlineStr">
        <is>
          <t>Bolívar</t>
        </is>
      </c>
      <c r="E38" s="17" t="inlineStr">
        <is>
          <t>SANTANDERES</t>
        </is>
      </c>
      <c r="F38" s="17" t="inlineStr">
        <is>
          <t>8:00 AM - 11:30 AM Y DE 02:00 PM - 04:30 PM</t>
        </is>
      </c>
      <c r="G38" s="17" t="inlineStr">
        <is>
          <t>Carrera 6 No. 17 - 23</t>
        </is>
      </c>
      <c r="H38" s="17" t="inlineStr">
        <is>
          <t>6013821400</t>
        </is>
      </c>
      <c r="I38" s="17" t="inlineStr">
        <is>
          <t>LUNES A VIERNES</t>
        </is>
      </c>
      <c r="J38" s="17" t="inlineStr">
        <is>
          <t>GESTIONATECH</t>
        </is>
      </c>
      <c r="K38" s="18" t="n">
        <v>46273</v>
      </c>
      <c r="L38" s="18" t="n">
        <v>46273</v>
      </c>
      <c r="M38" s="17" t="n">
        <v>23</v>
      </c>
    </row>
    <row r="39">
      <c r="A39" s="19" t="inlineStr">
        <is>
          <t>1260</t>
        </is>
      </c>
      <c r="B39" s="20" t="inlineStr">
        <is>
          <t>SAN ESTANISLAO</t>
        </is>
      </c>
      <c r="C39" s="20" t="inlineStr">
        <is>
          <t>San Estanislao</t>
        </is>
      </c>
      <c r="D39" s="20" t="inlineStr">
        <is>
          <t>Bolívar</t>
        </is>
      </c>
      <c r="E39" s="20" t="inlineStr">
        <is>
          <t>COSTA</t>
        </is>
      </c>
      <c r="F39" s="20" t="inlineStr">
        <is>
          <t>8:00 AM - 11:30 AM Y DE 02:00 PM - 04:30 PM</t>
        </is>
      </c>
      <c r="G39" s="20" t="inlineStr">
        <is>
          <t>Calle 23 Nº. 19-29</t>
        </is>
      </c>
      <c r="H39" s="20" t="inlineStr">
        <is>
          <t>6013821400</t>
        </is>
      </c>
      <c r="I39" s="20" t="inlineStr">
        <is>
          <t>LUNES A VIERNES</t>
        </is>
      </c>
      <c r="J39" s="20" t="inlineStr">
        <is>
          <t>GESTIONATECH</t>
        </is>
      </c>
      <c r="K39" s="21" t="n">
        <v>46304</v>
      </c>
      <c r="L39" s="21" t="n">
        <v>46304</v>
      </c>
      <c r="M39" s="20" t="n">
        <v>13</v>
      </c>
    </row>
    <row r="40">
      <c r="A40" s="16" t="inlineStr">
        <is>
          <t>1263</t>
        </is>
      </c>
      <c r="B40" s="17" t="inlineStr">
        <is>
          <t>SAN JACINTO</t>
        </is>
      </c>
      <c r="C40" s="17" t="inlineStr">
        <is>
          <t>San Jacinto</t>
        </is>
      </c>
      <c r="D40" s="17" t="inlineStr">
        <is>
          <t>Bolívar</t>
        </is>
      </c>
      <c r="E40" s="17" t="inlineStr">
        <is>
          <t>COSTA</t>
        </is>
      </c>
      <c r="F40" s="17" t="inlineStr">
        <is>
          <t>8:00 AM - 11:30 AM Y DE 02:00 PM - 04:30 PM</t>
        </is>
      </c>
      <c r="G40" s="17" t="inlineStr">
        <is>
          <t>Carrera 41 No. 20-35</t>
        </is>
      </c>
      <c r="H40" s="17" t="inlineStr">
        <is>
          <t>6013821400</t>
        </is>
      </c>
      <c r="I40" s="17" t="inlineStr">
        <is>
          <t>LUNES A VIERNES</t>
        </is>
      </c>
      <c r="J40" s="17" t="inlineStr">
        <is>
          <t>GESTIONATECH</t>
        </is>
      </c>
      <c r="K40" s="18" t="n">
        <v>46276</v>
      </c>
      <c r="L40" s="18" t="n">
        <v>46276</v>
      </c>
      <c r="M40" s="17" t="n">
        <v>19</v>
      </c>
    </row>
    <row r="41">
      <c r="A41" s="19" t="inlineStr">
        <is>
          <t>1265</t>
        </is>
      </c>
      <c r="B41" s="20" t="inlineStr">
        <is>
          <t>SIMITI</t>
        </is>
      </c>
      <c r="C41" s="20" t="inlineStr">
        <is>
          <t>Simití</t>
        </is>
      </c>
      <c r="D41" s="20" t="inlineStr">
        <is>
          <t>Bolívar</t>
        </is>
      </c>
      <c r="E41" s="20" t="inlineStr">
        <is>
          <t>SANTANDERES</t>
        </is>
      </c>
      <c r="F41" s="20" t="inlineStr">
        <is>
          <t>8:00 AM - 11:30 AM Y DE 02:00 PM - 04:30 PM</t>
        </is>
      </c>
      <c r="G41" s="20" t="inlineStr">
        <is>
          <t>Carrera 25 No. 28-03</t>
        </is>
      </c>
      <c r="H41" s="20" t="inlineStr">
        <is>
          <t>6013821400</t>
        </is>
      </c>
      <c r="I41" s="20" t="inlineStr">
        <is>
          <t>LUNES A VIERNES</t>
        </is>
      </c>
      <c r="J41" s="20" t="inlineStr">
        <is>
          <t>GESTIONATECH</t>
        </is>
      </c>
      <c r="K41" s="21" t="n">
        <v>46275</v>
      </c>
      <c r="L41" s="21" t="n">
        <v>46275</v>
      </c>
      <c r="M41" s="20" t="n">
        <v>16</v>
      </c>
    </row>
    <row r="42">
      <c r="A42" s="16" t="inlineStr">
        <is>
          <t>1267</t>
        </is>
      </c>
      <c r="B42" s="17" t="inlineStr">
        <is>
          <t>SANTA CATALINA</t>
        </is>
      </c>
      <c r="C42" s="17" t="inlineStr">
        <is>
          <t>Santa Catalina</t>
        </is>
      </c>
      <c r="D42" s="17" t="inlineStr">
        <is>
          <t>Bolívar</t>
        </is>
      </c>
      <c r="E42" s="17" t="inlineStr">
        <is>
          <t>COSTA</t>
        </is>
      </c>
      <c r="F42" s="17" t="inlineStr">
        <is>
          <t>8:00 AM - 11:30 AM Y DE 02:00 PM - 04:30 PM</t>
        </is>
      </c>
      <c r="G42" s="17" t="inlineStr">
        <is>
          <t>Plaza  Principal - Santa Catalina - Bolívar</t>
        </is>
      </c>
      <c r="H42" s="17" t="inlineStr">
        <is>
          <t>6013821400</t>
        </is>
      </c>
      <c r="I42" s="17" t="inlineStr">
        <is>
          <t>LUNES A VIERNES</t>
        </is>
      </c>
      <c r="J42" s="17" t="inlineStr">
        <is>
          <t>GESTIONATECH</t>
        </is>
      </c>
      <c r="K42" s="18" t="n">
        <v>46301</v>
      </c>
      <c r="L42" s="18" t="n">
        <v>46301</v>
      </c>
      <c r="M42" s="17" t="n">
        <v>12</v>
      </c>
    </row>
    <row r="43">
      <c r="A43" s="19" t="inlineStr">
        <is>
          <t>1270</t>
        </is>
      </c>
      <c r="B43" s="20" t="inlineStr">
        <is>
          <t>SANTA ROSA DEL SUR</t>
        </is>
      </c>
      <c r="C43" s="20" t="inlineStr">
        <is>
          <t>Santa Rosa Del Sur</t>
        </is>
      </c>
      <c r="D43" s="20" t="inlineStr">
        <is>
          <t>Bolívar</t>
        </is>
      </c>
      <c r="E43" s="20" t="inlineStr">
        <is>
          <t>SANTANDERES</t>
        </is>
      </c>
      <c r="F43" s="20" t="inlineStr">
        <is>
          <t>8:00 AM - 11:30 AM Y DE 02:00 PM - 04:30 PM</t>
        </is>
      </c>
      <c r="G43" s="20" t="inlineStr">
        <is>
          <t>Calle 9 No. 11 -40</t>
        </is>
      </c>
      <c r="H43" s="20" t="inlineStr">
        <is>
          <t>6013821400</t>
        </is>
      </c>
      <c r="I43" s="20" t="inlineStr">
        <is>
          <t>LUNES A VIERNES</t>
        </is>
      </c>
      <c r="J43" s="20" t="inlineStr">
        <is>
          <t>GESTIONATECH</t>
        </is>
      </c>
      <c r="K43" s="21" t="n">
        <v>46274</v>
      </c>
      <c r="L43" s="21" t="n">
        <v>46274</v>
      </c>
      <c r="M43" s="20" t="n">
        <v>32</v>
      </c>
    </row>
    <row r="44">
      <c r="A44" s="16" t="inlineStr">
        <is>
          <t>1301</t>
        </is>
      </c>
      <c r="B44" s="17" t="inlineStr">
        <is>
          <t>ANDES</t>
        </is>
      </c>
      <c r="C44" s="17" t="inlineStr">
        <is>
          <t>Andes</t>
        </is>
      </c>
      <c r="D44" s="17" t="inlineStr">
        <is>
          <t>Antioquia</t>
        </is>
      </c>
      <c r="E44" s="17" t="inlineStr">
        <is>
          <t>ANTIOQUIA</t>
        </is>
      </c>
      <c r="F44" s="17" t="inlineStr">
        <is>
          <t>Martes a Viernes  08:00 a.m. a 11:30 a.m.  y de  02:00 p.m. a 4:30 p.m . y Sábados de 8:00 a.m. a 02.00 p.m.</t>
        </is>
      </c>
      <c r="G44" s="17" t="inlineStr">
        <is>
          <t>CARRERA 51 N° 48-40</t>
        </is>
      </c>
      <c r="H44" s="17" t="inlineStr">
        <is>
          <t>6013821400</t>
        </is>
      </c>
      <c r="I44" s="17" t="inlineStr">
        <is>
          <t>MARTES A SABADO</t>
        </is>
      </c>
      <c r="J44" s="17" t="inlineStr">
        <is>
          <t>INSARED</t>
        </is>
      </c>
      <c r="K44" s="18" t="n">
        <v>46276</v>
      </c>
      <c r="L44" s="18" t="n">
        <v>46276</v>
      </c>
      <c r="M44" s="17" t="n">
        <v>22</v>
      </c>
    </row>
    <row r="45">
      <c r="A45" s="19" t="inlineStr">
        <is>
          <t>1302</t>
        </is>
      </c>
      <c r="B45" s="20" t="inlineStr">
        <is>
          <t>ABEJORRAL</t>
        </is>
      </c>
      <c r="C45" s="20" t="inlineStr">
        <is>
          <t>Abejorral</t>
        </is>
      </c>
      <c r="D45" s="20" t="inlineStr">
        <is>
          <t>Antioquia</t>
        </is>
      </c>
      <c r="E45" s="20" t="inlineStr">
        <is>
          <t>ANTIOQUIA</t>
        </is>
      </c>
      <c r="F45" s="20" t="inlineStr">
        <is>
          <t>Martes a Viernes  08:00 a.m. a 11:30 a.m.  y de  02:00 p.m. a 4:30 p.m . y Sábados de 8:00 a.m. a 02.00 p.m.</t>
        </is>
      </c>
      <c r="G45" s="20" t="inlineStr">
        <is>
          <t>Carrera 50 No.49-48/50</t>
        </is>
      </c>
      <c r="H45" s="20" t="inlineStr">
        <is>
          <t>6013821400</t>
        </is>
      </c>
      <c r="I45" s="20" t="inlineStr">
        <is>
          <t>MARTES A SABADO</t>
        </is>
      </c>
      <c r="J45" s="20" t="inlineStr">
        <is>
          <t>INSARED</t>
        </is>
      </c>
      <c r="K45" s="21" t="n">
        <v>46310</v>
      </c>
      <c r="L45" s="21" t="n">
        <v>46310</v>
      </c>
      <c r="M45" s="20" t="n">
        <v>15</v>
      </c>
    </row>
    <row r="46">
      <c r="A46" s="16" t="inlineStr">
        <is>
          <t>1303</t>
        </is>
      </c>
      <c r="B46" s="17" t="inlineStr">
        <is>
          <t>MEDELLIN MILLA DE ORO</t>
        </is>
      </c>
      <c r="C46" s="17" t="inlineStr">
        <is>
          <t>Medellín</t>
        </is>
      </c>
      <c r="D46" s="17" t="inlineStr">
        <is>
          <t>Antioquia</t>
        </is>
      </c>
      <c r="E46" s="17" t="inlineStr">
        <is>
          <t>ANTIOQUIA</t>
        </is>
      </c>
      <c r="F46" s="17" t="inlineStr">
        <is>
          <t>8:00 AM - 11:30 AM Y DE 02:00 PM - 04:30 PM</t>
        </is>
      </c>
      <c r="G46" s="17" t="inlineStr">
        <is>
          <t>Carrera 42 No.3 sur - 81 Local 0217</t>
        </is>
      </c>
      <c r="H46" s="17" t="inlineStr">
        <is>
          <t>6013821400</t>
        </is>
      </c>
      <c r="I46" s="17" t="inlineStr">
        <is>
          <t>LUNES A VIERNES</t>
        </is>
      </c>
      <c r="J46" s="17" t="inlineStr">
        <is>
          <t>INSARED</t>
        </is>
      </c>
      <c r="K46" s="18" t="n">
        <v>46287</v>
      </c>
      <c r="L46" s="18" t="n">
        <v>46289</v>
      </c>
      <c r="M46" s="17" t="n">
        <v>22</v>
      </c>
    </row>
    <row r="47">
      <c r="A47" s="19" t="inlineStr">
        <is>
          <t>1305</t>
        </is>
      </c>
      <c r="B47" s="20" t="inlineStr">
        <is>
          <t>ITAGÜI</t>
        </is>
      </c>
      <c r="C47" s="20" t="inlineStr">
        <is>
          <t>Itagüi</t>
        </is>
      </c>
      <c r="D47" s="20" t="inlineStr">
        <is>
          <t>Antioquia</t>
        </is>
      </c>
      <c r="E47" s="20" t="inlineStr">
        <is>
          <t>ANTIOQUIA</t>
        </is>
      </c>
      <c r="F47" s="20" t="inlineStr">
        <is>
          <t>8:00 AM - 11:30 AM Y DE 02:00 PM - 04:30 PM</t>
        </is>
      </c>
      <c r="G47" s="20" t="inlineStr">
        <is>
          <t>CALLE 85 N° 48-01 Bloque 31 Nivel 2</t>
        </is>
      </c>
      <c r="H47" s="20" t="inlineStr">
        <is>
          <t>6013821400</t>
        </is>
      </c>
      <c r="I47" s="20" t="inlineStr">
        <is>
          <t>LUNES A VIERNES</t>
        </is>
      </c>
      <c r="J47" s="20" t="inlineStr">
        <is>
          <t>INSARED</t>
        </is>
      </c>
      <c r="K47" s="21" t="n">
        <v>46281</v>
      </c>
      <c r="L47" s="21" t="n">
        <v>46283</v>
      </c>
      <c r="M47" s="20" t="n">
        <v>24</v>
      </c>
    </row>
    <row r="48">
      <c r="A48" s="16" t="inlineStr">
        <is>
          <t>1307</t>
        </is>
      </c>
      <c r="B48" s="17" t="inlineStr">
        <is>
          <t>MEDELLIN AMERICA</t>
        </is>
      </c>
      <c r="C48" s="17" t="inlineStr">
        <is>
          <t>Medellín</t>
        </is>
      </c>
      <c r="D48" s="17" t="inlineStr">
        <is>
          <t>Antioquia</t>
        </is>
      </c>
      <c r="E48" s="17" t="inlineStr">
        <is>
          <t>ANTIOQUIA</t>
        </is>
      </c>
      <c r="F48" s="17" t="inlineStr">
        <is>
          <t>8:00 AM - 11:30 AM Y DE 02:00 PM - 04:30 PM</t>
        </is>
      </c>
      <c r="G48" s="17" t="inlineStr">
        <is>
          <t>Calle 44 No. 84-11</t>
        </is>
      </c>
      <c r="H48" s="17" t="inlineStr">
        <is>
          <t>6013821400</t>
        </is>
      </c>
      <c r="I48" s="17" t="inlineStr">
        <is>
          <t>LUNES A VIERNES</t>
        </is>
      </c>
      <c r="J48" s="17" t="inlineStr">
        <is>
          <t>INSARED</t>
        </is>
      </c>
      <c r="K48" s="18" t="n">
        <v>46269</v>
      </c>
      <c r="L48" s="18" t="n">
        <v>46273</v>
      </c>
      <c r="M48" s="17" t="n">
        <v>22</v>
      </c>
    </row>
    <row r="49">
      <c r="A49" s="19" t="inlineStr">
        <is>
          <t>1309</t>
        </is>
      </c>
      <c r="B49" s="20" t="inlineStr">
        <is>
          <t>ANGELOPOLIS</t>
        </is>
      </c>
      <c r="C49" s="20" t="inlineStr">
        <is>
          <t>Angelópolis</t>
        </is>
      </c>
      <c r="D49" s="20" t="inlineStr">
        <is>
          <t>Antioquia</t>
        </is>
      </c>
      <c r="E49" s="20" t="inlineStr">
        <is>
          <t>ANTIOQUIA</t>
        </is>
      </c>
      <c r="F49" s="20" t="inlineStr">
        <is>
          <t>Martes a Viernes  08:00 a.m. a 11:30 a.m.  y de  02:00 p.m. a 4:30 p.m . y Sábados de 8:00 a.m. a 02.00 p.m.</t>
        </is>
      </c>
      <c r="G49" s="20" t="inlineStr">
        <is>
          <t>Calle 11 No. 11 - 43/45</t>
        </is>
      </c>
      <c r="H49" s="20" t="inlineStr">
        <is>
          <t>6013821400</t>
        </is>
      </c>
      <c r="I49" s="20" t="inlineStr">
        <is>
          <t>MARTES A SABADO</t>
        </is>
      </c>
      <c r="J49" s="20" t="inlineStr">
        <is>
          <t>INSARED</t>
        </is>
      </c>
      <c r="K49" s="21" t="n">
        <v>46317</v>
      </c>
      <c r="L49" s="21" t="n">
        <v>46317</v>
      </c>
      <c r="M49" s="20" t="n">
        <v>12</v>
      </c>
    </row>
    <row r="50">
      <c r="A50" s="16" t="inlineStr">
        <is>
          <t>1314</t>
        </is>
      </c>
      <c r="B50" s="17" t="inlineStr">
        <is>
          <t>ANGOSTURA</t>
        </is>
      </c>
      <c r="C50" s="17" t="inlineStr">
        <is>
          <t>Angostura</t>
        </is>
      </c>
      <c r="D50" s="17" t="inlineStr">
        <is>
          <t>Antioquia</t>
        </is>
      </c>
      <c r="E50" s="17" t="inlineStr">
        <is>
          <t>ANTIOQUIA</t>
        </is>
      </c>
      <c r="F50" s="17" t="inlineStr">
        <is>
          <t>8:00 A.M.  A 3:00 P.M.</t>
        </is>
      </c>
      <c r="G50" s="17" t="inlineStr">
        <is>
          <t>Calle 11 No.9-38 Palacio Municipal - Primer Piso.</t>
        </is>
      </c>
      <c r="H50" s="17" t="inlineStr">
        <is>
          <t>6013821400</t>
        </is>
      </c>
      <c r="I50" s="17" t="inlineStr">
        <is>
          <t>LUNES A VIERNES</t>
        </is>
      </c>
      <c r="J50" s="17" t="inlineStr">
        <is>
          <t>INSARED</t>
        </is>
      </c>
      <c r="K50" s="18" t="n">
        <v>46293</v>
      </c>
      <c r="L50" s="18" t="n">
        <v>46293</v>
      </c>
      <c r="M50" s="17" t="n">
        <v>15</v>
      </c>
    </row>
    <row r="51">
      <c r="A51" s="19" t="inlineStr">
        <is>
          <t>1316</t>
        </is>
      </c>
      <c r="B51" s="20" t="inlineStr">
        <is>
          <t>ANORI</t>
        </is>
      </c>
      <c r="C51" s="20" t="inlineStr">
        <is>
          <t>Anorí</t>
        </is>
      </c>
      <c r="D51" s="20" t="inlineStr">
        <is>
          <t>Antioquia</t>
        </is>
      </c>
      <c r="E51" s="20" t="inlineStr">
        <is>
          <t>ANTIOQUIA</t>
        </is>
      </c>
      <c r="F51" s="20" t="inlineStr">
        <is>
          <t>Martes a Viernes  08:00 a.m. a 11:30 a.m.  y de  02:00 p.m. a 4:30 p.m . y Sábados de 8:00 a.m. a 02.00 p.m.</t>
        </is>
      </c>
      <c r="G51" s="20" t="inlineStr">
        <is>
          <t>Calle 10 No. 8-02 Local 201</t>
        </is>
      </c>
      <c r="H51" s="20" t="inlineStr">
        <is>
          <t>6013821400</t>
        </is>
      </c>
      <c r="I51" s="20" t="inlineStr">
        <is>
          <t>MARTES A SABADO</t>
        </is>
      </c>
      <c r="J51" s="20" t="inlineStr">
        <is>
          <t>INSARED</t>
        </is>
      </c>
      <c r="K51" s="21" t="n">
        <v>46289</v>
      </c>
      <c r="L51" s="21" t="n">
        <v>46289</v>
      </c>
      <c r="M51" s="20" t="n">
        <v>13</v>
      </c>
    </row>
    <row r="52">
      <c r="A52" s="16" t="inlineStr">
        <is>
          <t>1317</t>
        </is>
      </c>
      <c r="B52" s="17" t="inlineStr">
        <is>
          <t>ANZA</t>
        </is>
      </c>
      <c r="C52" s="17" t="inlineStr">
        <is>
          <t>Anza</t>
        </is>
      </c>
      <c r="D52" s="17" t="inlineStr">
        <is>
          <t>Antioquia</t>
        </is>
      </c>
      <c r="E52" s="17" t="inlineStr">
        <is>
          <t>ANTIOQUIA</t>
        </is>
      </c>
      <c r="F52" s="17" t="inlineStr">
        <is>
          <t>Martes a Viernes  08:00 a.m. a 11:30 a.m.  y de  02:00 p.m. a 4:30 p.m . y Sábados de 8:00 a.m. a 02.00 p.m.</t>
        </is>
      </c>
      <c r="G52" s="17" t="inlineStr">
        <is>
          <t>Calle 10 No.10-24/28  Parque Principal</t>
        </is>
      </c>
      <c r="H52" s="17" t="inlineStr">
        <is>
          <t>6013821400</t>
        </is>
      </c>
      <c r="I52" s="17" t="inlineStr">
        <is>
          <t>MARTES A SABADO</t>
        </is>
      </c>
      <c r="J52" s="17" t="inlineStr">
        <is>
          <t>INSARED</t>
        </is>
      </c>
      <c r="K52" s="18" t="n">
        <v>46282</v>
      </c>
      <c r="L52" s="18" t="n">
        <v>46282</v>
      </c>
      <c r="M52" s="17" t="n">
        <v>12</v>
      </c>
    </row>
    <row r="53">
      <c r="A53" s="19" t="inlineStr">
        <is>
          <t>1318</t>
        </is>
      </c>
      <c r="B53" s="20" t="inlineStr">
        <is>
          <t>ARBOLETES</t>
        </is>
      </c>
      <c r="C53" s="20" t="inlineStr">
        <is>
          <t>Arboletes</t>
        </is>
      </c>
      <c r="D53" s="20" t="inlineStr">
        <is>
          <t>Antioquia</t>
        </is>
      </c>
      <c r="E53" s="20" t="inlineStr">
        <is>
          <t>COSTA</t>
        </is>
      </c>
      <c r="F53" s="20" t="inlineStr">
        <is>
          <t>8:00 AM - 11:30 AM Y DE 02:00 PM - 04:30 PM</t>
        </is>
      </c>
      <c r="G53" s="20" t="inlineStr">
        <is>
          <t>CaLLE 29 No. 31 - 10 - Calle 31 No. 28 -06 Centro</t>
        </is>
      </c>
      <c r="H53" s="20" t="inlineStr">
        <is>
          <t>6013821400</t>
        </is>
      </c>
      <c r="I53" s="20" t="inlineStr">
        <is>
          <t>LUNES A VIERNES</t>
        </is>
      </c>
      <c r="J53" s="20" t="inlineStr">
        <is>
          <t>INSARED</t>
        </is>
      </c>
      <c r="K53" s="21" t="n">
        <v>46308</v>
      </c>
      <c r="L53" s="21" t="n">
        <v>46309</v>
      </c>
      <c r="M53" s="20" t="n">
        <v>23</v>
      </c>
    </row>
    <row r="54">
      <c r="A54" s="16" t="inlineStr">
        <is>
          <t>1320</t>
        </is>
      </c>
      <c r="B54" s="17" t="inlineStr">
        <is>
          <t>EL BAGRE</t>
        </is>
      </c>
      <c r="C54" s="17" t="inlineStr">
        <is>
          <t>El Bagre</t>
        </is>
      </c>
      <c r="D54" s="17" t="inlineStr">
        <is>
          <t>Antioquia</t>
        </is>
      </c>
      <c r="E54" s="17" t="inlineStr">
        <is>
          <t>ANTIOQUIA</t>
        </is>
      </c>
      <c r="F54" s="17" t="inlineStr">
        <is>
          <t>8:00 AM - 11:30 AM Y DE 02:00 PM - 04:30 PM</t>
        </is>
      </c>
      <c r="G54" s="17" t="inlineStr">
        <is>
          <t>Carrera 48 No. 50-33</t>
        </is>
      </c>
      <c r="H54" s="17" t="inlineStr">
        <is>
          <t>6013821400</t>
        </is>
      </c>
      <c r="I54" s="17" t="inlineStr">
        <is>
          <t>LUNES A VIERNES</t>
        </is>
      </c>
      <c r="J54" s="17" t="inlineStr">
        <is>
          <t>INSARED</t>
        </is>
      </c>
      <c r="K54" s="18" t="n">
        <v>46272</v>
      </c>
      <c r="L54" s="18" t="n">
        <v>46272</v>
      </c>
      <c r="M54" s="17" t="n">
        <v>23</v>
      </c>
    </row>
    <row r="55">
      <c r="A55" s="19" t="inlineStr">
        <is>
          <t>1321</t>
        </is>
      </c>
      <c r="B55" s="20" t="inlineStr">
        <is>
          <t>CAUCASIA</t>
        </is>
      </c>
      <c r="C55" s="20" t="inlineStr">
        <is>
          <t>Caucasia</t>
        </is>
      </c>
      <c r="D55" s="20" t="inlineStr">
        <is>
          <t>Antioquia</t>
        </is>
      </c>
      <c r="E55" s="20" t="inlineStr">
        <is>
          <t>ANTIOQUIA</t>
        </is>
      </c>
      <c r="F55" s="20" t="inlineStr">
        <is>
          <t>8:00 AM - 11:30 AM Y DE 02:00 PM - 04:30 PM</t>
        </is>
      </c>
      <c r="G55" s="20" t="inlineStr">
        <is>
          <t>Carrera 20 No. 3 - 76 Centro Comercial Cauca Centro  - Locales 101 - 102 - 103 - 125 - 126 Barrio Nueva Estrella</t>
        </is>
      </c>
      <c r="H55" s="20" t="inlineStr">
        <is>
          <t>6013821400</t>
        </is>
      </c>
      <c r="I55" s="20" t="inlineStr">
        <is>
          <t>LUNES A VIERNES</t>
        </is>
      </c>
      <c r="J55" s="20" t="inlineStr">
        <is>
          <t>INSARED</t>
        </is>
      </c>
      <c r="K55" s="21" t="n">
        <v>46266</v>
      </c>
      <c r="L55" s="21" t="n">
        <v>46267</v>
      </c>
      <c r="M55" s="20" t="n">
        <v>34</v>
      </c>
    </row>
    <row r="56">
      <c r="A56" s="16" t="inlineStr">
        <is>
          <t>1323</t>
        </is>
      </c>
      <c r="B56" s="17" t="inlineStr">
        <is>
          <t>CENTRO DE NEGOCIOS MEDELLIN CARABOBO</t>
        </is>
      </c>
      <c r="C56" s="17" t="inlineStr">
        <is>
          <t>Medellín</t>
        </is>
      </c>
      <c r="D56" s="17" t="inlineStr">
        <is>
          <t>Antioquia</t>
        </is>
      </c>
      <c r="E56" s="17" t="inlineStr">
        <is>
          <t>ANTIOQUIA</t>
        </is>
      </c>
      <c r="F56" s="17" t="inlineStr">
        <is>
          <t>9:00 A.M. A 4:00 P.M.</t>
        </is>
      </c>
      <c r="G56" s="17" t="inlineStr">
        <is>
          <t>Cra.52 No.50-37</t>
        </is>
      </c>
      <c r="H56" s="17" t="inlineStr">
        <is>
          <t>6013821400</t>
        </is>
      </c>
      <c r="I56" s="17" t="inlineStr">
        <is>
          <t>LUNES A VIERNES</t>
        </is>
      </c>
      <c r="J56" s="17" t="inlineStr">
        <is>
          <t>INSARED</t>
        </is>
      </c>
      <c r="K56" s="18" t="n">
        <v>46297</v>
      </c>
      <c r="L56" s="18" t="n">
        <v>46304</v>
      </c>
      <c r="M56" s="17" t="n">
        <v>40</v>
      </c>
    </row>
    <row r="57">
      <c r="A57" s="19" t="inlineStr">
        <is>
          <t>1324</t>
        </is>
      </c>
      <c r="B57" s="20" t="inlineStr">
        <is>
          <t>DON MATIAS</t>
        </is>
      </c>
      <c r="C57" s="20" t="inlineStr">
        <is>
          <t>Donmatías</t>
        </is>
      </c>
      <c r="D57" s="20" t="inlineStr">
        <is>
          <t>Antioquia</t>
        </is>
      </c>
      <c r="E57" s="20" t="inlineStr">
        <is>
          <t>ANTIOQUIA</t>
        </is>
      </c>
      <c r="F57" s="20" t="inlineStr">
        <is>
          <t>8:00 AM - 11:30 AM Y DE 02:00 PM - 04:30 PM</t>
        </is>
      </c>
      <c r="G57" s="20" t="inlineStr">
        <is>
          <t>Carrera 30 No. 31 - 29</t>
        </is>
      </c>
      <c r="H57" s="20" t="inlineStr">
        <is>
          <t>6013821400</t>
        </is>
      </c>
      <c r="I57" s="20" t="inlineStr">
        <is>
          <t>LUNES A VIERNES</t>
        </is>
      </c>
      <c r="J57" s="20" t="inlineStr">
        <is>
          <t>INSARED</t>
        </is>
      </c>
      <c r="K57" s="21" t="n">
        <v>46309</v>
      </c>
      <c r="L57" s="21" t="n">
        <v>46309</v>
      </c>
      <c r="M57" s="20" t="n">
        <v>15</v>
      </c>
    </row>
    <row r="58">
      <c r="A58" s="16" t="inlineStr">
        <is>
          <t>1325</t>
        </is>
      </c>
      <c r="B58" s="17" t="inlineStr">
        <is>
          <t>CHIGORODO</t>
        </is>
      </c>
      <c r="C58" s="17" t="inlineStr">
        <is>
          <t>Chigorodó</t>
        </is>
      </c>
      <c r="D58" s="17" t="inlineStr">
        <is>
          <t>Antioquia</t>
        </is>
      </c>
      <c r="E58" s="17" t="inlineStr">
        <is>
          <t>ANTIOQUIA</t>
        </is>
      </c>
      <c r="F58" s="17" t="inlineStr">
        <is>
          <t>8:00 AM - 11:30 AM Y DE 02:00 PM - 04:30 PM</t>
        </is>
      </c>
      <c r="G58" s="17" t="inlineStr">
        <is>
          <t>CALLE 97 No. 102-30</t>
        </is>
      </c>
      <c r="H58" s="17" t="inlineStr">
        <is>
          <t>6013821400</t>
        </is>
      </c>
      <c r="I58" s="17" t="inlineStr">
        <is>
          <t>LUNES A VIERNES</t>
        </is>
      </c>
      <c r="J58" s="17" t="inlineStr">
        <is>
          <t>INSARED</t>
        </is>
      </c>
      <c r="K58" s="18" t="n">
        <v>46276</v>
      </c>
      <c r="L58" s="18" t="n">
        <v>46276</v>
      </c>
      <c r="M58" s="17" t="n">
        <v>29</v>
      </c>
    </row>
    <row r="59">
      <c r="A59" s="19" t="inlineStr">
        <is>
          <t>1326</t>
        </is>
      </c>
      <c r="B59" s="20" t="inlineStr">
        <is>
          <t>MUTATA</t>
        </is>
      </c>
      <c r="C59" s="20" t="inlineStr">
        <is>
          <t>Mutatá</t>
        </is>
      </c>
      <c r="D59" s="20" t="inlineStr">
        <is>
          <t>Antioquia</t>
        </is>
      </c>
      <c r="E59" s="20" t="inlineStr">
        <is>
          <t>ANTIOQUIA</t>
        </is>
      </c>
      <c r="F59" s="20" t="inlineStr">
        <is>
          <t>8:00 AM - 11:30 AM Y DE 02:00 PM - 04:30 PM</t>
        </is>
      </c>
      <c r="G59" s="20" t="inlineStr">
        <is>
          <t>Carrera 10 No.10-15 Alcaldía Municipal</t>
        </is>
      </c>
      <c r="H59" s="20" t="inlineStr">
        <is>
          <t>6013821400</t>
        </is>
      </c>
      <c r="I59" s="20" t="inlineStr">
        <is>
          <t>LUNES A VIERNES</t>
        </is>
      </c>
      <c r="J59" s="20" t="inlineStr">
        <is>
          <t>INSARED</t>
        </is>
      </c>
      <c r="K59" s="21" t="n">
        <v>46279</v>
      </c>
      <c r="L59" s="21" t="n">
        <v>46279</v>
      </c>
      <c r="M59" s="20" t="n">
        <v>14</v>
      </c>
    </row>
    <row r="60">
      <c r="A60" s="16" t="inlineStr">
        <is>
          <t>1330</t>
        </is>
      </c>
      <c r="B60" s="17" t="inlineStr">
        <is>
          <t>ARGELIA</t>
        </is>
      </c>
      <c r="C60" s="17" t="inlineStr">
        <is>
          <t>Argelia</t>
        </is>
      </c>
      <c r="D60" s="17" t="inlineStr">
        <is>
          <t>Antioquia</t>
        </is>
      </c>
      <c r="E60" s="17" t="inlineStr">
        <is>
          <t>ANTIOQUIA</t>
        </is>
      </c>
      <c r="F60" s="17" t="inlineStr">
        <is>
          <t>Martes a Viernes  08:00 a.m. a 11:30 a.m.  y de  02:00 p.m. a 4:30 p.m . y Sábados de 8:00 a.m. a 02.00 p.m.</t>
        </is>
      </c>
      <c r="G60" s="17" t="inlineStr">
        <is>
          <t>Calle 30 No. 30-07/09</t>
        </is>
      </c>
      <c r="H60" s="17" t="inlineStr">
        <is>
          <t>6013821400</t>
        </is>
      </c>
      <c r="I60" s="17" t="inlineStr">
        <is>
          <t>MARTES A SABADO</t>
        </is>
      </c>
      <c r="J60" s="17" t="inlineStr">
        <is>
          <t>INSARED</t>
        </is>
      </c>
      <c r="K60" s="18" t="n">
        <v>46309</v>
      </c>
      <c r="L60" s="18" t="n">
        <v>46309</v>
      </c>
      <c r="M60" s="17" t="n">
        <v>12</v>
      </c>
    </row>
    <row r="61">
      <c r="A61" s="19" t="inlineStr">
        <is>
          <t>1331</t>
        </is>
      </c>
      <c r="B61" s="20" t="inlineStr">
        <is>
          <t>MEDELLIN ALPUJARRA</t>
        </is>
      </c>
      <c r="C61" s="20" t="inlineStr">
        <is>
          <t>Medellín</t>
        </is>
      </c>
      <c r="D61" s="20" t="inlineStr">
        <is>
          <t>Antioquia</t>
        </is>
      </c>
      <c r="E61" s="20" t="inlineStr">
        <is>
          <t>ANTIOQUIA</t>
        </is>
      </c>
      <c r="F61" s="20" t="inlineStr">
        <is>
          <t>8:00 AM - 11:30 AM Y DE 02:00 PM - 04:30 PM</t>
        </is>
      </c>
      <c r="G61" s="20" t="inlineStr">
        <is>
          <t>Calle 41 No. 53-59</t>
        </is>
      </c>
      <c r="H61" s="20" t="inlineStr">
        <is>
          <t>6013821400</t>
        </is>
      </c>
      <c r="I61" s="20" t="inlineStr">
        <is>
          <t>LUNES A VIERNES</t>
        </is>
      </c>
      <c r="J61" s="20" t="inlineStr">
        <is>
          <t>INSARED</t>
        </is>
      </c>
      <c r="K61" s="21" t="n">
        <v>46294</v>
      </c>
      <c r="L61" s="21" t="n">
        <v>46296</v>
      </c>
      <c r="M61" s="20" t="n">
        <v>28</v>
      </c>
    </row>
    <row r="62">
      <c r="A62" s="16" t="inlineStr">
        <is>
          <t>1332</t>
        </is>
      </c>
      <c r="B62" s="17" t="inlineStr">
        <is>
          <t>TURBO</t>
        </is>
      </c>
      <c r="C62" s="17" t="inlineStr">
        <is>
          <t>Turbo</t>
        </is>
      </c>
      <c r="D62" s="17" t="inlineStr">
        <is>
          <t>Antioquia</t>
        </is>
      </c>
      <c r="E62" s="17" t="inlineStr">
        <is>
          <t>ANTIOQUIA</t>
        </is>
      </c>
      <c r="F62" s="17" t="inlineStr">
        <is>
          <t>8:00 AM - 11:30 AM Y DE 02:00 PM - 04:30 PM</t>
        </is>
      </c>
      <c r="G62" s="17" t="inlineStr">
        <is>
          <t>CRA. 14 N° 100 - 55/57/59/61</t>
        </is>
      </c>
      <c r="H62" s="17" t="inlineStr">
        <is>
          <t>6013821400</t>
        </is>
      </c>
      <c r="I62" s="17" t="inlineStr">
        <is>
          <t>LUNES A VIERNES</t>
        </is>
      </c>
      <c r="J62" s="17" t="inlineStr">
        <is>
          <t>INSARED</t>
        </is>
      </c>
      <c r="K62" s="18" t="n">
        <v>46286</v>
      </c>
      <c r="L62" s="18" t="n">
        <v>46286</v>
      </c>
      <c r="M62" s="17" t="n">
        <v>25</v>
      </c>
    </row>
    <row r="63">
      <c r="A63" s="19" t="inlineStr">
        <is>
          <t>1334</t>
        </is>
      </c>
      <c r="B63" s="20" t="inlineStr">
        <is>
          <t>ALTAMIRA (Corregimiento del municipio de Betulia - Antioquia)</t>
        </is>
      </c>
      <c r="C63" s="20" t="inlineStr">
        <is>
          <t>Betulia</t>
        </is>
      </c>
      <c r="D63" s="20" t="inlineStr">
        <is>
          <t>Antioquia</t>
        </is>
      </c>
      <c r="E63" s="20" t="inlineStr">
        <is>
          <t>ANTIOQUIA</t>
        </is>
      </c>
      <c r="F63" s="20" t="inlineStr">
        <is>
          <t>Martes a Viernes  08:00 a.m. a 11:30 a.m.  y de  02:00 p.m. a 4:30 p.m . y Sábados de 8:00 a.m. a 02.00 p.m.</t>
        </is>
      </c>
      <c r="G63" s="20" t="inlineStr">
        <is>
          <t>Calle 10 No. 8-02 Local 201</t>
        </is>
      </c>
      <c r="H63" s="20" t="inlineStr">
        <is>
          <t>6013821400</t>
        </is>
      </c>
      <c r="I63" s="20" t="inlineStr">
        <is>
          <t>MARTES A SABADO</t>
        </is>
      </c>
      <c r="J63" s="20" t="inlineStr">
        <is>
          <t>INSARED</t>
        </is>
      </c>
      <c r="K63" s="21" t="n">
        <v>46274</v>
      </c>
      <c r="L63" s="21" t="n">
        <v>46274</v>
      </c>
      <c r="M63" s="20" t="n">
        <v>16</v>
      </c>
    </row>
    <row r="64">
      <c r="A64" s="16" t="inlineStr">
        <is>
          <t>1336</t>
        </is>
      </c>
      <c r="B64" s="17" t="inlineStr">
        <is>
          <t>JARDIN</t>
        </is>
      </c>
      <c r="C64" s="17" t="inlineStr">
        <is>
          <t>Jardín</t>
        </is>
      </c>
      <c r="D64" s="17" t="inlineStr">
        <is>
          <t>Antioquia</t>
        </is>
      </c>
      <c r="E64" s="17" t="inlineStr">
        <is>
          <t>ANTIOQUIA</t>
        </is>
      </c>
      <c r="F64" s="17" t="inlineStr">
        <is>
          <t>Martes a Viernes  08:00 a.m. a 11:30 a.m.  y de  02:00 p.m. a 4:30 p.m . y Sábados de 8:00 a.m. a 02.00 p.m.</t>
        </is>
      </c>
      <c r="G64" s="17" t="inlineStr">
        <is>
          <t>Calle 9 con Carrera 3 esquina - Parque Principal</t>
        </is>
      </c>
      <c r="H64" s="17" t="inlineStr">
        <is>
          <t>6013821400</t>
        </is>
      </c>
      <c r="I64" s="17" t="inlineStr">
        <is>
          <t>MARTES A SABADO</t>
        </is>
      </c>
      <c r="J64" s="17" t="inlineStr">
        <is>
          <t>INSARED</t>
        </is>
      </c>
      <c r="K64" s="18" t="n">
        <v>46276</v>
      </c>
      <c r="L64" s="18" t="n">
        <v>46276</v>
      </c>
      <c r="M64" s="17" t="n">
        <v>14</v>
      </c>
    </row>
    <row r="65">
      <c r="A65" s="19" t="inlineStr">
        <is>
          <t>1340</t>
        </is>
      </c>
      <c r="B65" s="20" t="inlineStr">
        <is>
          <t>SANTA ROSA DE OSOS</t>
        </is>
      </c>
      <c r="C65" s="20" t="inlineStr">
        <is>
          <t>Santa Rosa De Osos</t>
        </is>
      </c>
      <c r="D65" s="20" t="inlineStr">
        <is>
          <t>Antioquia</t>
        </is>
      </c>
      <c r="E65" s="20" t="inlineStr">
        <is>
          <t>ANTIOQUIA</t>
        </is>
      </c>
      <c r="F65" s="20" t="inlineStr">
        <is>
          <t>8:00 AM - 11:30 AM Y DE 02:00 PM - 04:30 PM</t>
        </is>
      </c>
      <c r="G65" s="20" t="inlineStr">
        <is>
          <t>CALLE 30 B No. 29-70 LOCAL 102</t>
        </is>
      </c>
      <c r="H65" s="20" t="inlineStr">
        <is>
          <t>6013821400</t>
        </is>
      </c>
      <c r="I65" s="20" t="inlineStr">
        <is>
          <t>LUNES A VIERNES</t>
        </is>
      </c>
      <c r="J65" s="20" t="inlineStr">
        <is>
          <t>INSARED</t>
        </is>
      </c>
      <c r="K65" s="21" t="n">
        <v>46314</v>
      </c>
      <c r="L65" s="21" t="n">
        <v>46314</v>
      </c>
      <c r="M65" s="20" t="n">
        <v>27</v>
      </c>
    </row>
    <row r="66">
      <c r="A66" s="16" t="inlineStr">
        <is>
          <t>1341</t>
        </is>
      </c>
      <c r="B66" s="17" t="inlineStr">
        <is>
          <t>BETANIA</t>
        </is>
      </c>
      <c r="C66" s="17" t="inlineStr">
        <is>
          <t>Betania</t>
        </is>
      </c>
      <c r="D66" s="17" t="inlineStr">
        <is>
          <t>Antioquia</t>
        </is>
      </c>
      <c r="E66" s="17" t="inlineStr">
        <is>
          <t>ANTIOQUIA</t>
        </is>
      </c>
      <c r="F66" s="17" t="inlineStr">
        <is>
          <t>Martes a Viernes  08:00 a.m. a 11:30 a.m.  y de  02:00 p.m. a 4:30 p.m . y Sábados de 8:00 a.m. a 02.00 p.m.</t>
        </is>
      </c>
      <c r="G66" s="17" t="inlineStr">
        <is>
          <t>Cra.21 No.20-03</t>
        </is>
      </c>
      <c r="H66" s="17" t="inlineStr">
        <is>
          <t>6013821400</t>
        </is>
      </c>
      <c r="I66" s="17" t="inlineStr">
        <is>
          <t>MARTES A SABADO</t>
        </is>
      </c>
      <c r="J66" s="17" t="inlineStr">
        <is>
          <t>INSARED</t>
        </is>
      </c>
      <c r="K66" s="18" t="n">
        <v>46275</v>
      </c>
      <c r="L66" s="18" t="n">
        <v>46275</v>
      </c>
      <c r="M66" s="17" t="n">
        <v>13</v>
      </c>
    </row>
    <row r="67">
      <c r="A67" s="19" t="inlineStr">
        <is>
          <t>1342</t>
        </is>
      </c>
      <c r="B67" s="20" t="inlineStr">
        <is>
          <t>BOLIVAR</t>
        </is>
      </c>
      <c r="C67" s="20" t="inlineStr">
        <is>
          <t>Ciudad Bolívar</t>
        </is>
      </c>
      <c r="D67" s="20" t="inlineStr">
        <is>
          <t>Antioquia</t>
        </is>
      </c>
      <c r="E67" s="20" t="inlineStr">
        <is>
          <t>ANTIOQUIA</t>
        </is>
      </c>
      <c r="F67" s="20" t="inlineStr">
        <is>
          <t>Martes a Viernes  08:00 a.m. a 11:30 a.m.  y de  02:00 p.m. a 4:30 p.m . y Sábados de 8:00 a.m. a 02.00 p.m.</t>
        </is>
      </c>
      <c r="G67" s="20" t="inlineStr">
        <is>
          <t>Carrera 51 N° 48-25</t>
        </is>
      </c>
      <c r="H67" s="20" t="inlineStr">
        <is>
          <t>6013821400</t>
        </is>
      </c>
      <c r="I67" s="20" t="inlineStr">
        <is>
          <t>MARTES A SABADO</t>
        </is>
      </c>
      <c r="J67" s="20" t="inlineStr">
        <is>
          <t>INSARED</t>
        </is>
      </c>
      <c r="K67" s="21" t="n">
        <v>46275</v>
      </c>
      <c r="L67" s="21" t="n">
        <v>46275</v>
      </c>
      <c r="M67" s="20" t="n">
        <v>23</v>
      </c>
    </row>
    <row r="68">
      <c r="A68" s="16" t="inlineStr">
        <is>
          <t>1345</t>
        </is>
      </c>
      <c r="B68" s="17" t="inlineStr">
        <is>
          <t>SAN LUIS</t>
        </is>
      </c>
      <c r="C68" s="17" t="inlineStr">
        <is>
          <t>San Luis</t>
        </is>
      </c>
      <c r="D68" s="17" t="inlineStr">
        <is>
          <t>Antioquia</t>
        </is>
      </c>
      <c r="E68" s="17" t="inlineStr">
        <is>
          <t>ANTIOQUIA</t>
        </is>
      </c>
      <c r="F68" s="17" t="inlineStr">
        <is>
          <t>Martes a Viernes  08:00 a.m. a 11:30 a.m.  y de  02:00 p.m. a 4:30 p.m . y Sábados de 8:00 a.m. a 02.00 p.m.</t>
        </is>
      </c>
      <c r="G68" s="17" t="inlineStr">
        <is>
          <t>CRA. REAL NRO. 20-07</t>
        </is>
      </c>
      <c r="H68" s="17" t="inlineStr">
        <is>
          <t>6013821400</t>
        </is>
      </c>
      <c r="I68" s="17" t="inlineStr">
        <is>
          <t>MARTES A SABADO</t>
        </is>
      </c>
      <c r="J68" s="17" t="inlineStr">
        <is>
          <t>INSARED</t>
        </is>
      </c>
      <c r="K68" s="18" t="n">
        <v>46304</v>
      </c>
      <c r="L68" s="18" t="n">
        <v>46304</v>
      </c>
      <c r="M68" s="17" t="n">
        <v>12</v>
      </c>
    </row>
    <row r="69">
      <c r="A69" s="19" t="inlineStr">
        <is>
          <t>1346</t>
        </is>
      </c>
      <c r="B69" s="20" t="inlineStr">
        <is>
          <t>SONSON</t>
        </is>
      </c>
      <c r="C69" s="20" t="inlineStr">
        <is>
          <t>Sonson</t>
        </is>
      </c>
      <c r="D69" s="20" t="inlineStr">
        <is>
          <t>Antioquia</t>
        </is>
      </c>
      <c r="E69" s="20" t="inlineStr">
        <is>
          <t>ANTIOQUIA</t>
        </is>
      </c>
      <c r="F69" s="20" t="inlineStr">
        <is>
          <t>Martes a Viernes  08:00 a.m. a 11:30 a.m.  y de  02:00 p.m. a 4:30 p.m . y Sábados de 8:00 a.m. a 02.00 p.m.</t>
        </is>
      </c>
      <c r="G69" s="20" t="inlineStr">
        <is>
          <t>Cra 8A No.6-77       Calle 7 No 8-7</t>
        </is>
      </c>
      <c r="H69" s="20" t="inlineStr">
        <is>
          <t>6013821400</t>
        </is>
      </c>
      <c r="I69" s="20" t="inlineStr">
        <is>
          <t>MARTES A SABADO</t>
        </is>
      </c>
      <c r="J69" s="20" t="inlineStr">
        <is>
          <t>INSARED</t>
        </is>
      </c>
      <c r="K69" s="21" t="n">
        <v>46310</v>
      </c>
      <c r="L69" s="21" t="n">
        <v>46310</v>
      </c>
      <c r="M69" s="20" t="n">
        <v>21</v>
      </c>
    </row>
    <row r="70">
      <c r="A70" s="16" t="inlineStr">
        <is>
          <t>1348</t>
        </is>
      </c>
      <c r="B70" s="17" t="inlineStr">
        <is>
          <t>EL RETIRO</t>
        </is>
      </c>
      <c r="C70" s="17" t="inlineStr">
        <is>
          <t>Retiro</t>
        </is>
      </c>
      <c r="D70" s="17" t="inlineStr">
        <is>
          <t>Antioquia</t>
        </is>
      </c>
      <c r="E70" s="17" t="inlineStr">
        <is>
          <t>ANTIOQUIA</t>
        </is>
      </c>
      <c r="F70" s="17" t="inlineStr">
        <is>
          <t>08:00 a.m. a 11:30 a.m. y de 02:00 p.m. a 4:30 p.m.</t>
        </is>
      </c>
      <c r="G70" s="17" t="inlineStr">
        <is>
          <t>Calle 20 No. 19-13/19</t>
        </is>
      </c>
      <c r="H70" s="17" t="inlineStr">
        <is>
          <t>6013821400</t>
        </is>
      </c>
      <c r="I70" s="17" t="inlineStr">
        <is>
          <t>Lunes a Viernes</t>
        </is>
      </c>
      <c r="J70" s="17" t="inlineStr">
        <is>
          <t>INSARED</t>
        </is>
      </c>
      <c r="K70" s="18" t="n">
        <v>46283</v>
      </c>
      <c r="L70" s="18" t="n">
        <v>46283</v>
      </c>
      <c r="M70" s="17" t="n">
        <v>14</v>
      </c>
    </row>
    <row r="71">
      <c r="A71" s="19" t="inlineStr">
        <is>
          <t>1349</t>
        </is>
      </c>
      <c r="B71" s="20" t="inlineStr">
        <is>
          <t>ARMENIA</t>
        </is>
      </c>
      <c r="C71" s="20" t="inlineStr">
        <is>
          <t>Armenia</t>
        </is>
      </c>
      <c r="D71" s="20" t="inlineStr">
        <is>
          <t>Antioquia</t>
        </is>
      </c>
      <c r="E71" s="20" t="inlineStr">
        <is>
          <t>ANTIOQUIA</t>
        </is>
      </c>
      <c r="F71" s="20" t="inlineStr">
        <is>
          <t>Martes a Viernes  08:00 a.m. a 11:30 a.m.  y de  02:00 p.m. a 4:30 p.m . y Sábados de 8:00 a.m. a 02.00 p.m.</t>
        </is>
      </c>
      <c r="G71" s="20" t="inlineStr">
        <is>
          <t>Calle 10 No.8-04</t>
        </is>
      </c>
      <c r="H71" s="20" t="inlineStr">
        <is>
          <t>6013821400</t>
        </is>
      </c>
      <c r="I71" s="20" t="inlineStr">
        <is>
          <t>MARTES A SABADO</t>
        </is>
      </c>
      <c r="J71" s="20" t="inlineStr">
        <is>
          <t>INSARED</t>
        </is>
      </c>
      <c r="K71" s="21" t="n">
        <v>46318</v>
      </c>
      <c r="L71" s="21" t="n">
        <v>46318</v>
      </c>
      <c r="M71" s="20" t="n">
        <v>12</v>
      </c>
    </row>
    <row r="72">
      <c r="A72" s="16" t="inlineStr">
        <is>
          <t>1350</t>
        </is>
      </c>
      <c r="B72" s="17" t="inlineStr">
        <is>
          <t>AMAGA</t>
        </is>
      </c>
      <c r="C72" s="17" t="inlineStr">
        <is>
          <t>Amagá</t>
        </is>
      </c>
      <c r="D72" s="17" t="inlineStr">
        <is>
          <t>Antioquia</t>
        </is>
      </c>
      <c r="E72" s="17" t="inlineStr">
        <is>
          <t>ANTIOQUIA</t>
        </is>
      </c>
      <c r="F72" s="17" t="inlineStr">
        <is>
          <t>Martes a Viernes  08:00 a.m. a 11:30 a.m.  y de  02:00 p.m. a 4:30 p.m . y Sábados de 8:00 a.m. a 02.00 p.m.</t>
        </is>
      </c>
      <c r="G72" s="17" t="inlineStr">
        <is>
          <t>CALLE 50 N° 51 – 15</t>
        </is>
      </c>
      <c r="H72" s="17" t="inlineStr">
        <is>
          <t>6013821400</t>
        </is>
      </c>
      <c r="I72" s="17" t="inlineStr">
        <is>
          <t>MARTES A SABADO</t>
        </is>
      </c>
      <c r="J72" s="17" t="inlineStr">
        <is>
          <t>INSARED</t>
        </is>
      </c>
      <c r="K72" s="18" t="n">
        <v>46316</v>
      </c>
      <c r="L72" s="18" t="n">
        <v>46316</v>
      </c>
      <c r="M72" s="17" t="n">
        <v>16</v>
      </c>
    </row>
    <row r="73">
      <c r="A73" s="19" t="inlineStr">
        <is>
          <t>1351</t>
        </is>
      </c>
      <c r="B73" s="20" t="inlineStr">
        <is>
          <t>BELLO</t>
        </is>
      </c>
      <c r="C73" s="20" t="inlineStr">
        <is>
          <t>Bello</t>
        </is>
      </c>
      <c r="D73" s="20" t="inlineStr">
        <is>
          <t>Antioquia</t>
        </is>
      </c>
      <c r="E73" s="20" t="inlineStr">
        <is>
          <t>ANTIOQUIA</t>
        </is>
      </c>
      <c r="F73" s="20" t="inlineStr">
        <is>
          <t>8:00 AM - 11:30 AM Y DE 02:00 PM - 04:30 PM</t>
        </is>
      </c>
      <c r="G73" s="20" t="inlineStr">
        <is>
          <t>Carrera 51 No. 51-47</t>
        </is>
      </c>
      <c r="H73" s="20" t="inlineStr">
        <is>
          <t>6013821400</t>
        </is>
      </c>
      <c r="I73" s="20" t="inlineStr">
        <is>
          <t>LUNES A VIERNES</t>
        </is>
      </c>
      <c r="J73" s="20" t="inlineStr">
        <is>
          <t>INSARED</t>
        </is>
      </c>
      <c r="K73" s="21" t="n">
        <v>46266</v>
      </c>
      <c r="L73" s="21" t="n">
        <v>46268</v>
      </c>
      <c r="M73" s="20" t="n">
        <v>31</v>
      </c>
    </row>
    <row r="74">
      <c r="A74" s="16" t="inlineStr">
        <is>
          <t>1352</t>
        </is>
      </c>
      <c r="B74" s="17" t="inlineStr">
        <is>
          <t>APARTADO</t>
        </is>
      </c>
      <c r="C74" s="17" t="inlineStr">
        <is>
          <t>Apartadó</t>
        </is>
      </c>
      <c r="D74" s="17" t="inlineStr">
        <is>
          <t>Antioquia</t>
        </is>
      </c>
      <c r="E74" s="17" t="inlineStr">
        <is>
          <t>ANTIOQUIA</t>
        </is>
      </c>
      <c r="F74" s="17" t="inlineStr">
        <is>
          <t>8:00 AM - 11:30 AM Y DE 02:00 PM - 04:30 PM</t>
        </is>
      </c>
      <c r="G74" s="17" t="inlineStr">
        <is>
          <t>Calle 96 No. 100-69</t>
        </is>
      </c>
      <c r="H74" s="17" t="inlineStr">
        <is>
          <t>6013821400</t>
        </is>
      </c>
      <c r="I74" s="17" t="inlineStr">
        <is>
          <t>LUNES A VIERNES</t>
        </is>
      </c>
      <c r="J74" s="17" t="inlineStr">
        <is>
          <t>INSARED</t>
        </is>
      </c>
      <c r="K74" s="18" t="n">
        <v>46295</v>
      </c>
      <c r="L74" s="18" t="n">
        <v>46296</v>
      </c>
      <c r="M74" s="17" t="n">
        <v>36</v>
      </c>
    </row>
    <row r="75">
      <c r="A75" s="19" t="inlineStr">
        <is>
          <t>1353</t>
        </is>
      </c>
      <c r="B75" s="20" t="inlineStr">
        <is>
          <t>EBEJICO</t>
        </is>
      </c>
      <c r="C75" s="20" t="inlineStr">
        <is>
          <t>Ebéjico</t>
        </is>
      </c>
      <c r="D75" s="20" t="inlineStr">
        <is>
          <t>Antioquia</t>
        </is>
      </c>
      <c r="E75" s="20" t="inlineStr">
        <is>
          <t>ANTIOQUIA</t>
        </is>
      </c>
      <c r="F75" s="20" t="inlineStr">
        <is>
          <t>Martes a Viernes  08:00 a.m. a 11:30 a.m.  y de  02:00 p.m. a 4:30 p.m . y Sábados de 8:00 a.m. a 02.00 p.m.</t>
        </is>
      </c>
      <c r="G75" s="20" t="inlineStr">
        <is>
          <t>CALLE 20 No. 20-11/29/CARRERA 20 No. 20-11</t>
        </is>
      </c>
      <c r="H75" s="20" t="inlineStr">
        <is>
          <t>6013821400</t>
        </is>
      </c>
      <c r="I75" s="20" t="inlineStr">
        <is>
          <t>MARTES A SABADO</t>
        </is>
      </c>
      <c r="J75" s="20" t="inlineStr">
        <is>
          <t>INSARED</t>
        </is>
      </c>
      <c r="K75" s="21" t="n">
        <v>46266</v>
      </c>
      <c r="L75" s="21" t="n">
        <v>46266</v>
      </c>
      <c r="M75" s="20" t="n">
        <v>13</v>
      </c>
    </row>
    <row r="76">
      <c r="A76" s="16" t="inlineStr">
        <is>
          <t>1354</t>
        </is>
      </c>
      <c r="B76" s="17" t="inlineStr">
        <is>
          <t>CAICEDO</t>
        </is>
      </c>
      <c r="C76" s="17" t="inlineStr">
        <is>
          <t>Caicedo</t>
        </is>
      </c>
      <c r="D76" s="17" t="inlineStr">
        <is>
          <t>Antioquia</t>
        </is>
      </c>
      <c r="E76" s="17" t="inlineStr">
        <is>
          <t>ANTIOQUIA</t>
        </is>
      </c>
      <c r="F76" s="17" t="inlineStr">
        <is>
          <t>Martes a Viernes  08:00 a.m. a 11:30 a.m.  y de  02:00 p.m. a 4:30 p.m . y Sábados de 8:00 a.m. a 02.00 p.m.</t>
        </is>
      </c>
      <c r="G76" s="17" t="inlineStr">
        <is>
          <t>Calle 5 No.4-29 PARQUE PRINCIPAL</t>
        </is>
      </c>
      <c r="H76" s="17" t="inlineStr">
        <is>
          <t>6013821400</t>
        </is>
      </c>
      <c r="I76" s="17" t="inlineStr">
        <is>
          <t>MARTES A SABADO</t>
        </is>
      </c>
      <c r="J76" s="17" t="inlineStr">
        <is>
          <t>INSARED</t>
        </is>
      </c>
      <c r="K76" s="18" t="n">
        <v>46273</v>
      </c>
      <c r="L76" s="18" t="n">
        <v>46273</v>
      </c>
      <c r="M76" s="17" t="n">
        <v>17</v>
      </c>
    </row>
    <row r="77">
      <c r="A77" s="19" t="inlineStr">
        <is>
          <t>1355</t>
        </is>
      </c>
      <c r="B77" s="20" t="inlineStr">
        <is>
          <t>COPACABANA</t>
        </is>
      </c>
      <c r="C77" s="20" t="inlineStr">
        <is>
          <t>Copacabana</t>
        </is>
      </c>
      <c r="D77" s="20" t="inlineStr">
        <is>
          <t>Antioquia</t>
        </is>
      </c>
      <c r="E77" s="20" t="inlineStr">
        <is>
          <t>ANTIOQUIA</t>
        </is>
      </c>
      <c r="F77" s="20" t="inlineStr">
        <is>
          <t>8:00 AM - 11:30 AM Y DE 02:00 PM - 04:30 PM</t>
        </is>
      </c>
      <c r="G77" s="20" t="inlineStr">
        <is>
          <t>Carrera 51 No. 49-31</t>
        </is>
      </c>
      <c r="H77" s="20" t="inlineStr">
        <is>
          <t>6013821400</t>
        </is>
      </c>
      <c r="I77" s="20" t="inlineStr">
        <is>
          <t>LUNES A VIERNES</t>
        </is>
      </c>
      <c r="J77" s="20" t="inlineStr">
        <is>
          <t>INSARED</t>
        </is>
      </c>
      <c r="K77" s="21" t="n">
        <v>46308</v>
      </c>
      <c r="L77" s="21" t="n">
        <v>46308</v>
      </c>
      <c r="M77" s="20" t="n">
        <v>19</v>
      </c>
    </row>
    <row r="78">
      <c r="A78" s="16" t="inlineStr">
        <is>
          <t>1356</t>
        </is>
      </c>
      <c r="B78" s="17" t="inlineStr">
        <is>
          <t>SAN JUAN DE URABA</t>
        </is>
      </c>
      <c r="C78" s="17" t="inlineStr">
        <is>
          <t>San Juan De Urabá</t>
        </is>
      </c>
      <c r="D78" s="17" t="inlineStr">
        <is>
          <t>Antioquia</t>
        </is>
      </c>
      <c r="E78" s="17" t="inlineStr">
        <is>
          <t>ANTIOQUIA</t>
        </is>
      </c>
      <c r="F78" s="17" t="inlineStr">
        <is>
          <t>8:00 AM - 11:30 AM Y DE 02:00 PM - 04:30 PM</t>
        </is>
      </c>
      <c r="G78" s="17" t="inlineStr">
        <is>
          <t>Carrera 22 No.22-07</t>
        </is>
      </c>
      <c r="H78" s="17" t="inlineStr">
        <is>
          <t>6013821400</t>
        </is>
      </c>
      <c r="I78" s="17" t="inlineStr">
        <is>
          <t>LUNES A VIERNES</t>
        </is>
      </c>
      <c r="J78" s="17" t="inlineStr">
        <is>
          <t>INSARED</t>
        </is>
      </c>
      <c r="K78" s="18" t="n">
        <v>46297</v>
      </c>
      <c r="L78" s="18" t="n">
        <v>46297</v>
      </c>
      <c r="M78" s="17" t="n">
        <v>13</v>
      </c>
    </row>
    <row r="79">
      <c r="A79" s="19" t="inlineStr">
        <is>
          <t>1357</t>
        </is>
      </c>
      <c r="B79" s="20" t="inlineStr">
        <is>
          <t>TAMESIS</t>
        </is>
      </c>
      <c r="C79" s="20" t="inlineStr">
        <is>
          <t>Támesis</t>
        </is>
      </c>
      <c r="D79" s="20" t="inlineStr">
        <is>
          <t>Antioquia</t>
        </is>
      </c>
      <c r="E79" s="20" t="inlineStr">
        <is>
          <t>ANTIOQUIA</t>
        </is>
      </c>
      <c r="F79" s="20" t="inlineStr">
        <is>
          <t>Martes a Viernes  08:00 a.m. a 11:30 a.m.  y de  02:00 p.m. a 4:30 p.m . y Sábados de 8:00 a.m. a 02.00 p.m.</t>
        </is>
      </c>
      <c r="G79" s="20" t="inlineStr">
        <is>
          <t>CALLE 10 N° 9 – 51</t>
        </is>
      </c>
      <c r="H79" s="20" t="inlineStr">
        <is>
          <t>6013821400</t>
        </is>
      </c>
      <c r="I79" s="20" t="inlineStr">
        <is>
          <t>MARTES A SABADO</t>
        </is>
      </c>
      <c r="J79" s="20" t="inlineStr">
        <is>
          <t>INSARED</t>
        </is>
      </c>
      <c r="K79" s="21" t="n">
        <v>46280</v>
      </c>
      <c r="L79" s="21" t="n">
        <v>46280</v>
      </c>
      <c r="M79" s="20" t="n">
        <v>13</v>
      </c>
    </row>
    <row r="80">
      <c r="A80" s="16" t="inlineStr">
        <is>
          <t>1359</t>
        </is>
      </c>
      <c r="B80" s="17" t="inlineStr">
        <is>
          <t>ENVIGADO</t>
        </is>
      </c>
      <c r="C80" s="17" t="inlineStr">
        <is>
          <t>Envigado</t>
        </is>
      </c>
      <c r="D80" s="17" t="inlineStr">
        <is>
          <t>Antioquia</t>
        </is>
      </c>
      <c r="E80" s="17" t="inlineStr">
        <is>
          <t>ANTIOQUIA</t>
        </is>
      </c>
      <c r="F80" s="17" t="inlineStr">
        <is>
          <t>8:00 AM - 11:30 AM Y DE 02:00 PM - 04:30 PM</t>
        </is>
      </c>
      <c r="G80" s="17" t="inlineStr">
        <is>
          <t>Calle 38 Sur  No. 42-03</t>
        </is>
      </c>
      <c r="H80" s="17" t="inlineStr">
        <is>
          <t>6013821400</t>
        </is>
      </c>
      <c r="I80" s="17" t="inlineStr">
        <is>
          <t>LUNES A VIERNES</t>
        </is>
      </c>
      <c r="J80" s="17" t="inlineStr">
        <is>
          <t>INSARED</t>
        </is>
      </c>
      <c r="K80" s="18" t="n">
        <v>46274</v>
      </c>
      <c r="L80" s="18" t="n">
        <v>46276</v>
      </c>
      <c r="M80" s="17" t="n">
        <v>27</v>
      </c>
    </row>
    <row r="81">
      <c r="A81" s="19" t="inlineStr">
        <is>
          <t>1360</t>
        </is>
      </c>
      <c r="B81" s="20" t="inlineStr">
        <is>
          <t>HELICONIA</t>
        </is>
      </c>
      <c r="C81" s="20" t="inlineStr">
        <is>
          <t>Heliconia</t>
        </is>
      </c>
      <c r="D81" s="20" t="inlineStr">
        <is>
          <t>Antioquia</t>
        </is>
      </c>
      <c r="E81" s="20" t="inlineStr">
        <is>
          <t>ANTIOQUIA</t>
        </is>
      </c>
      <c r="F81" s="20" t="inlineStr">
        <is>
          <t>Martes a Viernes  08:00 a.m. a 11:30 a.m.  y de  02:00 p.m. a 4:30 p.m . y Sábados de 8:00 a.m. a 02.00 p.m.</t>
        </is>
      </c>
      <c r="G81" s="20" t="inlineStr">
        <is>
          <t>Carrera 20 No. 20-18</t>
        </is>
      </c>
      <c r="H81" s="20" t="inlineStr">
        <is>
          <t>6013821400</t>
        </is>
      </c>
      <c r="I81" s="20" t="inlineStr">
        <is>
          <t>MARTES A SABADO</t>
        </is>
      </c>
      <c r="J81" s="20" t="inlineStr">
        <is>
          <t>INSARED</t>
        </is>
      </c>
      <c r="K81" s="21" t="n">
        <v>46317</v>
      </c>
      <c r="L81" s="21" t="n">
        <v>46317</v>
      </c>
      <c r="M81" s="20" t="n">
        <v>13</v>
      </c>
    </row>
    <row r="82">
      <c r="A82" s="16" t="inlineStr">
        <is>
          <t>1361</t>
        </is>
      </c>
      <c r="B82" s="17" t="inlineStr">
        <is>
          <t>CAMPAMENTO</t>
        </is>
      </c>
      <c r="C82" s="17" t="inlineStr">
        <is>
          <t>Campamento</t>
        </is>
      </c>
      <c r="D82" s="17" t="inlineStr">
        <is>
          <t>Antioquia</t>
        </is>
      </c>
      <c r="E82" s="17" t="inlineStr">
        <is>
          <t>ANTIOQUIA</t>
        </is>
      </c>
      <c r="F82" s="17" t="inlineStr">
        <is>
          <t>8:00 AM - 11:30 AM Y DE 02:00 PM - 04:30 PM</t>
        </is>
      </c>
      <c r="G82" s="17" t="inlineStr">
        <is>
          <t>Calle 10 No. 10-06</t>
        </is>
      </c>
      <c r="H82" s="17" t="inlineStr">
        <is>
          <t>6013821400</t>
        </is>
      </c>
      <c r="I82" s="17" t="inlineStr">
        <is>
          <t>LUNES A VIERNES</t>
        </is>
      </c>
      <c r="J82" s="17" t="inlineStr">
        <is>
          <t>INSARED</t>
        </is>
      </c>
      <c r="K82" s="18" t="n">
        <v>46293</v>
      </c>
      <c r="L82" s="18" t="n">
        <v>46293</v>
      </c>
      <c r="M82" s="17" t="n">
        <v>13</v>
      </c>
    </row>
    <row r="83">
      <c r="A83" s="19" t="inlineStr">
        <is>
          <t>1362</t>
        </is>
      </c>
      <c r="B83" s="20" t="inlineStr">
        <is>
          <t>CAÑASGORDAS</t>
        </is>
      </c>
      <c r="C83" s="20" t="inlineStr">
        <is>
          <t>Cañasgordas</t>
        </is>
      </c>
      <c r="D83" s="20" t="inlineStr">
        <is>
          <t>Antioquia</t>
        </is>
      </c>
      <c r="E83" s="20" t="inlineStr">
        <is>
          <t>ANTIOQUIA</t>
        </is>
      </c>
      <c r="F83" s="20" t="inlineStr">
        <is>
          <t>Martes a Viernes  08:00 a.m. a 11:30 a.m.  y de  02:00 p.m. a 4:30 p.m . y Sábados de 8:00 a.m. a 02.00 p.m.</t>
        </is>
      </c>
      <c r="G83" s="20" t="inlineStr">
        <is>
          <t>Carrera 31 No. 30-49 primer piso - Parque Principal</t>
        </is>
      </c>
      <c r="H83" s="20" t="inlineStr">
        <is>
          <t>6013821400</t>
        </is>
      </c>
      <c r="I83" s="20" t="inlineStr">
        <is>
          <t>MARTES A SABADO</t>
        </is>
      </c>
      <c r="J83" s="20" t="inlineStr">
        <is>
          <t>INSARED</t>
        </is>
      </c>
      <c r="K83" s="21" t="n">
        <v>46283</v>
      </c>
      <c r="L83" s="21" t="n">
        <v>46283</v>
      </c>
      <c r="M83" s="20" t="n">
        <v>20</v>
      </c>
    </row>
    <row r="84">
      <c r="A84" s="16" t="inlineStr">
        <is>
          <t>1363</t>
        </is>
      </c>
      <c r="B84" s="17" t="inlineStr">
        <is>
          <t>LA PINTADA</t>
        </is>
      </c>
      <c r="C84" s="17" t="inlineStr">
        <is>
          <t>La Pintada</t>
        </is>
      </c>
      <c r="D84" s="17" t="inlineStr">
        <is>
          <t>Antioquia</t>
        </is>
      </c>
      <c r="E84" s="17" t="inlineStr">
        <is>
          <t>ANTIOQUIA</t>
        </is>
      </c>
      <c r="F84" s="17" t="inlineStr">
        <is>
          <t>Martes a Viernes  08:00 a.m. a 11:30 a.m.  y de  02:00 p.m. a 4:30 p.m . y Sábados de 8:00 a.m. a 02.00 p.m.</t>
        </is>
      </c>
      <c r="G84" s="17" t="inlineStr">
        <is>
          <t>Calle 30A No. 30 - 84 Sector el Crucero</t>
        </is>
      </c>
      <c r="H84" s="17" t="inlineStr">
        <is>
          <t>6013821400</t>
        </is>
      </c>
      <c r="I84" s="17" t="inlineStr">
        <is>
          <t>MARTES A SABADO</t>
        </is>
      </c>
      <c r="J84" s="17" t="inlineStr">
        <is>
          <t>INSARED</t>
        </is>
      </c>
      <c r="K84" s="18" t="n">
        <v>46282</v>
      </c>
      <c r="L84" s="18" t="n">
        <v>46282</v>
      </c>
      <c r="M84" s="17" t="n">
        <v>11</v>
      </c>
    </row>
    <row r="85">
      <c r="A85" s="19" t="inlineStr">
        <is>
          <t>1365</t>
        </is>
      </c>
      <c r="B85" s="20" t="inlineStr">
        <is>
          <t>PUERTO BERRIO</t>
        </is>
      </c>
      <c r="C85" s="20" t="inlineStr">
        <is>
          <t>Puerto Berrío</t>
        </is>
      </c>
      <c r="D85" s="20" t="inlineStr">
        <is>
          <t>Antioquia</t>
        </is>
      </c>
      <c r="E85" s="20" t="inlineStr">
        <is>
          <t>ANTIOQUIA</t>
        </is>
      </c>
      <c r="F85" s="20" t="inlineStr">
        <is>
          <t>8:00 AM - 11:30 AM Y DE 02:00 PM - 04:30 PM</t>
        </is>
      </c>
      <c r="G85" s="20" t="inlineStr">
        <is>
          <t>CALLE 50 N° 5-27/29/31/35</t>
        </is>
      </c>
      <c r="H85" s="20" t="inlineStr">
        <is>
          <t>6013821400</t>
        </is>
      </c>
      <c r="I85" s="20" t="inlineStr">
        <is>
          <t>LUNES A VIERNES</t>
        </is>
      </c>
      <c r="J85" s="20" t="inlineStr">
        <is>
          <t>INSARED</t>
        </is>
      </c>
      <c r="K85" s="21" t="n">
        <v>46314</v>
      </c>
      <c r="L85" s="21" t="n">
        <v>46314</v>
      </c>
      <c r="M85" s="20" t="n">
        <v>27</v>
      </c>
    </row>
    <row r="86">
      <c r="A86" s="16" t="inlineStr">
        <is>
          <t>1366</t>
        </is>
      </c>
      <c r="B86" s="17" t="inlineStr">
        <is>
          <t>PUERTO TRIUNFO</t>
        </is>
      </c>
      <c r="C86" s="17" t="inlineStr">
        <is>
          <t>Puerto Triunfo</t>
        </is>
      </c>
      <c r="D86" s="17" t="inlineStr">
        <is>
          <t>Antioquia</t>
        </is>
      </c>
      <c r="E86" s="17" t="inlineStr">
        <is>
          <t>ANTIOQUIA</t>
        </is>
      </c>
      <c r="F86" s="17" t="inlineStr">
        <is>
          <t>8:00 AM - 11:30 AM Y DE 02:00 PM - 04:30 PM</t>
        </is>
      </c>
      <c r="G86" s="17" t="inlineStr">
        <is>
          <t>Cra.11 NO.10-17</t>
        </is>
      </c>
      <c r="H86" s="17" t="inlineStr">
        <is>
          <t>6013821400</t>
        </is>
      </c>
      <c r="I86" s="17" t="inlineStr">
        <is>
          <t>LUNES A VIERNES</t>
        </is>
      </c>
      <c r="J86" s="17" t="inlineStr">
        <is>
          <t>INSARED</t>
        </is>
      </c>
      <c r="K86" s="18" t="n">
        <v>46318</v>
      </c>
      <c r="L86" s="18" t="n">
        <v>46318</v>
      </c>
      <c r="M86" s="17" t="n">
        <v>14</v>
      </c>
    </row>
    <row r="87">
      <c r="A87" s="19" t="inlineStr">
        <is>
          <t>1368</t>
        </is>
      </c>
      <c r="B87" s="20" t="inlineStr">
        <is>
          <t>CISNEROS</t>
        </is>
      </c>
      <c r="C87" s="20" t="inlineStr">
        <is>
          <t>Cisneros</t>
        </is>
      </c>
      <c r="D87" s="20" t="inlineStr">
        <is>
          <t>Antioquia</t>
        </is>
      </c>
      <c r="E87" s="20" t="inlineStr">
        <is>
          <t>ANTIOQUIA</t>
        </is>
      </c>
      <c r="F87" s="20" t="inlineStr">
        <is>
          <t>Martes a Viernes  08:00 a.m. a 11:30 a.m.  y de  02:00 p.m. a 4:30 p.m . y Sábados de 8:00 a.m. a 02.00 p.m.</t>
        </is>
      </c>
      <c r="G87" s="20" t="inlineStr">
        <is>
          <t>Calle 20 No.20-05</t>
        </is>
      </c>
      <c r="H87" s="20" t="inlineStr">
        <is>
          <t>6013821400</t>
        </is>
      </c>
      <c r="I87" s="20" t="inlineStr">
        <is>
          <t>MARTES A SABADO</t>
        </is>
      </c>
      <c r="J87" s="20" t="inlineStr">
        <is>
          <t>INSARED</t>
        </is>
      </c>
      <c r="K87" s="21" t="n">
        <v>46268</v>
      </c>
      <c r="L87" s="21" t="n">
        <v>46268</v>
      </c>
      <c r="M87" s="20" t="n">
        <v>22</v>
      </c>
    </row>
    <row r="88">
      <c r="A88" s="16" t="inlineStr">
        <is>
          <t>1370</t>
        </is>
      </c>
      <c r="B88" s="17" t="inlineStr">
        <is>
          <t>LA CEJA</t>
        </is>
      </c>
      <c r="C88" s="17" t="inlineStr">
        <is>
          <t>La Ceja</t>
        </is>
      </c>
      <c r="D88" s="17" t="inlineStr">
        <is>
          <t>Antioquia</t>
        </is>
      </c>
      <c r="E88" s="17" t="inlineStr">
        <is>
          <t>ANTIOQUIA</t>
        </is>
      </c>
      <c r="F88" s="17" t="inlineStr">
        <is>
          <t>8:00 AM - 11:30 AM Y DE 02:00 PM - 04:30 PM</t>
        </is>
      </c>
      <c r="G88" s="17" t="inlineStr">
        <is>
          <t>Calle 20 No..20-58/64</t>
        </is>
      </c>
      <c r="H88" s="17" t="inlineStr">
        <is>
          <t>6013821400</t>
        </is>
      </c>
      <c r="I88" s="17" t="inlineStr">
        <is>
          <t>LUNES A VIERNES</t>
        </is>
      </c>
      <c r="J88" s="17" t="inlineStr">
        <is>
          <t>INSARED</t>
        </is>
      </c>
      <c r="K88" s="18" t="n">
        <v>46272</v>
      </c>
      <c r="L88" s="18" t="n">
        <v>46272</v>
      </c>
      <c r="M88" s="17" t="n">
        <v>25</v>
      </c>
    </row>
    <row r="89">
      <c r="A89" s="19" t="inlineStr">
        <is>
          <t>1371</t>
        </is>
      </c>
      <c r="B89" s="20" t="inlineStr">
        <is>
          <t>LA ESTRELLA</t>
        </is>
      </c>
      <c r="C89" s="20" t="inlineStr">
        <is>
          <t>La Estrella</t>
        </is>
      </c>
      <c r="D89" s="20" t="inlineStr">
        <is>
          <t>Antioquia</t>
        </is>
      </c>
      <c r="E89" s="20" t="inlineStr">
        <is>
          <t>ANTIOQUIA</t>
        </is>
      </c>
      <c r="F89" s="20" t="inlineStr">
        <is>
          <t>8:00 AM - 11:30 AM Y DE 02:00 PM - 04:30 PM</t>
        </is>
      </c>
      <c r="G89" s="20" t="inlineStr">
        <is>
          <t>Calle 80 Sur No. 60 - 26 Parque Principal</t>
        </is>
      </c>
      <c r="H89" s="20" t="inlineStr">
        <is>
          <t>6013821400</t>
        </is>
      </c>
      <c r="I89" s="20" t="inlineStr">
        <is>
          <t>LUNES A VIERNES</t>
        </is>
      </c>
      <c r="J89" s="20" t="inlineStr">
        <is>
          <t>INSARED</t>
        </is>
      </c>
      <c r="K89" s="21" t="n">
        <v>46286</v>
      </c>
      <c r="L89" s="21" t="n">
        <v>46287</v>
      </c>
      <c r="M89" s="20" t="n">
        <v>18</v>
      </c>
    </row>
    <row r="90">
      <c r="A90" s="16" t="inlineStr">
        <is>
          <t>1372</t>
        </is>
      </c>
      <c r="B90" s="17" t="inlineStr">
        <is>
          <t>COCORNA</t>
        </is>
      </c>
      <c r="C90" s="17" t="inlineStr">
        <is>
          <t>Cocorná</t>
        </is>
      </c>
      <c r="D90" s="17" t="inlineStr">
        <is>
          <t>Antioquia</t>
        </is>
      </c>
      <c r="E90" s="17" t="inlineStr">
        <is>
          <t>ANTIOQUIA</t>
        </is>
      </c>
      <c r="F90" s="17" t="inlineStr">
        <is>
          <t>Martes a Viernes  08:00 a.m. a 11:30 a.m.  y de  02:00 p.m. a 4:30 p.m . y Sábados de 8:00 a.m. a 02.00 p.m.</t>
        </is>
      </c>
      <c r="G90" s="17" t="inlineStr">
        <is>
          <t>Carrera 21 No 21-13/17</t>
        </is>
      </c>
      <c r="H90" s="17" t="inlineStr">
        <is>
          <t>6013821400</t>
        </is>
      </c>
      <c r="I90" s="17" t="inlineStr">
        <is>
          <t>MARTES A SABADO</t>
        </is>
      </c>
      <c r="J90" s="17" t="inlineStr">
        <is>
          <t>INSARED</t>
        </is>
      </c>
      <c r="K90" s="18" t="n">
        <v>46303</v>
      </c>
      <c r="L90" s="18" t="n">
        <v>46303</v>
      </c>
      <c r="M90" s="17" t="n">
        <v>14</v>
      </c>
    </row>
    <row r="91">
      <c r="A91" s="19" t="inlineStr">
        <is>
          <t>1374</t>
        </is>
      </c>
      <c r="B91" s="20" t="inlineStr">
        <is>
          <t>CARMEN DE VIBORAL</t>
        </is>
      </c>
      <c r="C91" s="20" t="inlineStr">
        <is>
          <t>El Carmen De Viboral</t>
        </is>
      </c>
      <c r="D91" s="20" t="inlineStr">
        <is>
          <t>Antioquia</t>
        </is>
      </c>
      <c r="E91" s="20" t="inlineStr">
        <is>
          <t>ANTIOQUIA</t>
        </is>
      </c>
      <c r="F91" s="20" t="inlineStr">
        <is>
          <t>08:00 a.m. a 11:30 a.m. y de 02:00 p.m. a 4:30 p.m.</t>
        </is>
      </c>
      <c r="G91" s="20" t="inlineStr">
        <is>
          <t>Carrera 30 No.31-64</t>
        </is>
      </c>
      <c r="H91" s="20" t="inlineStr">
        <is>
          <t>6013821400</t>
        </is>
      </c>
      <c r="I91" s="20" t="inlineStr">
        <is>
          <t>Lunes a Viernes</t>
        </is>
      </c>
      <c r="J91" s="20" t="inlineStr">
        <is>
          <t>INSARED</t>
        </is>
      </c>
      <c r="K91" s="21" t="n">
        <v>46330</v>
      </c>
      <c r="L91" s="21" t="n">
        <v>46330</v>
      </c>
      <c r="M91" s="20" t="n">
        <v>22</v>
      </c>
    </row>
    <row r="92">
      <c r="A92" s="16" t="inlineStr">
        <is>
          <t>1375</t>
        </is>
      </c>
      <c r="B92" s="17" t="inlineStr">
        <is>
          <t>CALDAS</t>
        </is>
      </c>
      <c r="C92" s="17" t="inlineStr">
        <is>
          <t>Caldas</t>
        </is>
      </c>
      <c r="D92" s="17" t="inlineStr">
        <is>
          <t>Antioquia</t>
        </is>
      </c>
      <c r="E92" s="17" t="inlineStr">
        <is>
          <t>ANTIOQUIA</t>
        </is>
      </c>
      <c r="F92" s="17" t="inlineStr">
        <is>
          <t>8:00 AM - 11:30 AM Y DE 02:00 PM - 04:30 PM</t>
        </is>
      </c>
      <c r="G92" s="17" t="inlineStr">
        <is>
          <t>Calle 130 Sur No. 50-44/50</t>
        </is>
      </c>
      <c r="H92" s="17" t="inlineStr">
        <is>
          <t>6013821400</t>
        </is>
      </c>
      <c r="I92" s="17" t="inlineStr">
        <is>
          <t>LUNES A VIERNES</t>
        </is>
      </c>
      <c r="J92" s="17" t="inlineStr">
        <is>
          <t>INSARED</t>
        </is>
      </c>
      <c r="K92" s="18" t="n">
        <v>46310</v>
      </c>
      <c r="L92" s="18" t="n">
        <v>46311</v>
      </c>
      <c r="M92" s="17" t="n">
        <v>19</v>
      </c>
    </row>
    <row r="93">
      <c r="A93" s="19" t="inlineStr">
        <is>
          <t>1377</t>
        </is>
      </c>
      <c r="B93" s="20" t="inlineStr">
        <is>
          <t>GIRARDOTA</t>
        </is>
      </c>
      <c r="C93" s="20" t="inlineStr">
        <is>
          <t>Girardota</t>
        </is>
      </c>
      <c r="D93" s="20" t="inlineStr">
        <is>
          <t>Antioquia</t>
        </is>
      </c>
      <c r="E93" s="20" t="inlineStr">
        <is>
          <t>ANTIOQUIA</t>
        </is>
      </c>
      <c r="F93" s="20" t="inlineStr">
        <is>
          <t>8:00 AM - 11:30 AM Y DE 02:00 PM - 04:30 PM</t>
        </is>
      </c>
      <c r="G93" s="20" t="inlineStr">
        <is>
          <t>Calle 6 No.. 14-26</t>
        </is>
      </c>
      <c r="H93" s="20" t="inlineStr">
        <is>
          <t>6013821400</t>
        </is>
      </c>
      <c r="I93" s="20" t="inlineStr">
        <is>
          <t>LUNES A VIERNES</t>
        </is>
      </c>
      <c r="J93" s="20" t="inlineStr">
        <is>
          <t>INSARED</t>
        </is>
      </c>
      <c r="K93" s="21" t="n">
        <v>46279</v>
      </c>
      <c r="L93" s="21" t="n">
        <v>46280</v>
      </c>
      <c r="M93" s="20" t="n">
        <v>22</v>
      </c>
    </row>
    <row r="94">
      <c r="A94" s="16" t="inlineStr">
        <is>
          <t>1378</t>
        </is>
      </c>
      <c r="B94" s="17" t="inlineStr">
        <is>
          <t>GUADALUPE</t>
        </is>
      </c>
      <c r="C94" s="17" t="inlineStr">
        <is>
          <t>Guadalupe</t>
        </is>
      </c>
      <c r="D94" s="17" t="inlineStr">
        <is>
          <t>Antioquia</t>
        </is>
      </c>
      <c r="E94" s="17" t="inlineStr">
        <is>
          <t>ANTIOQUIA</t>
        </is>
      </c>
      <c r="F94" s="17" t="inlineStr">
        <is>
          <t>Martes a Viernes  08:00 a.m. a 11:30 a.m.  y de  02:00 p.m. a 4:30 p.m . y  Sábados de 8:00 a.m. a 02.00 p.m.</t>
        </is>
      </c>
      <c r="G94" s="17" t="inlineStr">
        <is>
          <t>Calle 50 No.48-67/69</t>
        </is>
      </c>
      <c r="H94" s="17" t="inlineStr">
        <is>
          <t>6013821400</t>
        </is>
      </c>
      <c r="I94" s="17" t="inlineStr">
        <is>
          <t>MARTES A SABADO</t>
        </is>
      </c>
      <c r="J94" s="17" t="inlineStr">
        <is>
          <t>INSARED</t>
        </is>
      </c>
      <c r="K94" s="18" t="n">
        <v>46297</v>
      </c>
      <c r="L94" s="18" t="n">
        <v>46297</v>
      </c>
      <c r="M94" s="17" t="n">
        <v>12</v>
      </c>
    </row>
    <row r="95">
      <c r="A95" s="19" t="inlineStr">
        <is>
          <t>1379</t>
        </is>
      </c>
      <c r="B95" s="20" t="inlineStr">
        <is>
          <t>GUARNE</t>
        </is>
      </c>
      <c r="C95" s="20" t="inlineStr">
        <is>
          <t>Guarne</t>
        </is>
      </c>
      <c r="D95" s="20" t="inlineStr">
        <is>
          <t>Antioquia</t>
        </is>
      </c>
      <c r="E95" s="20" t="inlineStr">
        <is>
          <t>ANTIOQUIA</t>
        </is>
      </c>
      <c r="F95" s="20" t="inlineStr">
        <is>
          <t>08:00 a.m. a 11:30 a.m. y de 02:00 p.m. a 4:30 p.m.</t>
        </is>
      </c>
      <c r="G95" s="20" t="inlineStr">
        <is>
          <t>Calle 50 No. 50 -13/15</t>
        </is>
      </c>
      <c r="H95" s="20" t="inlineStr">
        <is>
          <t>6013821400</t>
        </is>
      </c>
      <c r="I95" s="20" t="inlineStr">
        <is>
          <t>Lunes a Viernes</t>
        </is>
      </c>
      <c r="J95" s="20" t="inlineStr">
        <is>
          <t>INSARED</t>
        </is>
      </c>
      <c r="K95" s="21" t="n">
        <v>46283</v>
      </c>
      <c r="L95" s="21" t="n">
        <v>46283</v>
      </c>
      <c r="M95" s="20" t="n">
        <v>18</v>
      </c>
    </row>
    <row r="96">
      <c r="A96" s="16" t="inlineStr">
        <is>
          <t>1380</t>
        </is>
      </c>
      <c r="B96" s="17" t="inlineStr">
        <is>
          <t>GRANADA</t>
        </is>
      </c>
      <c r="C96" s="17" t="inlineStr">
        <is>
          <t>Granada</t>
        </is>
      </c>
      <c r="D96" s="17" t="inlineStr">
        <is>
          <t>Antioquia</t>
        </is>
      </c>
      <c r="E96" s="17" t="inlineStr">
        <is>
          <t>ANTIOQUIA</t>
        </is>
      </c>
      <c r="F96" s="17" t="inlineStr">
        <is>
          <t>Martes a Viernes  08:00 a.m. a 11:30 a.m.  y de  02:00 p.m. a 4:30 p.m . y Sábados de 8:00 a.m. a 02.00 p.m.</t>
        </is>
      </c>
      <c r="G96" s="17" t="inlineStr">
        <is>
          <t>Calle 21Bolívar No.21-04/08</t>
        </is>
      </c>
      <c r="H96" s="17" t="inlineStr">
        <is>
          <t>6013821400</t>
        </is>
      </c>
      <c r="I96" s="17" t="inlineStr">
        <is>
          <t>MARTES A SABADO</t>
        </is>
      </c>
      <c r="J96" s="17" t="inlineStr">
        <is>
          <t>INSARED</t>
        </is>
      </c>
      <c r="K96" s="18" t="n">
        <v>46324</v>
      </c>
      <c r="L96" s="18" t="n">
        <v>46324</v>
      </c>
      <c r="M96" s="17" t="n">
        <v>12</v>
      </c>
    </row>
    <row r="97">
      <c r="A97" s="19" t="inlineStr">
        <is>
          <t>1381</t>
        </is>
      </c>
      <c r="B97" s="20" t="inlineStr">
        <is>
          <t>RIONEGRO</t>
        </is>
      </c>
      <c r="C97" s="20" t="inlineStr">
        <is>
          <t>Rionegro</t>
        </is>
      </c>
      <c r="D97" s="20" t="inlineStr">
        <is>
          <t>Antioquia</t>
        </is>
      </c>
      <c r="E97" s="20" t="inlineStr">
        <is>
          <t>ANTIOQUIA</t>
        </is>
      </c>
      <c r="F97" s="20" t="inlineStr">
        <is>
          <t>8:00 AM - 11:30 AM Y DE 02:00 PM - 04:30 PM</t>
        </is>
      </c>
      <c r="G97" s="20" t="inlineStr">
        <is>
          <t>Calle 43 No. 54-139 Centro Comercial San Nicolás</t>
        </is>
      </c>
      <c r="H97" s="20" t="inlineStr">
        <is>
          <t>6013821400</t>
        </is>
      </c>
      <c r="I97" s="20" t="inlineStr">
        <is>
          <t>LUNES A VIERNES</t>
        </is>
      </c>
      <c r="J97" s="20" t="inlineStr">
        <is>
          <t>INSARED</t>
        </is>
      </c>
      <c r="K97" s="21" t="n">
        <v>46267</v>
      </c>
      <c r="L97" s="21" t="n">
        <v>46267</v>
      </c>
      <c r="M97" s="20" t="n">
        <v>31</v>
      </c>
    </row>
    <row r="98">
      <c r="A98" s="16" t="inlineStr">
        <is>
          <t>1382</t>
        </is>
      </c>
      <c r="B98" s="17" t="inlineStr">
        <is>
          <t>LA UNION</t>
        </is>
      </c>
      <c r="C98" s="17" t="inlineStr">
        <is>
          <t>La Unión</t>
        </is>
      </c>
      <c r="D98" s="17" t="inlineStr">
        <is>
          <t>Antioquia</t>
        </is>
      </c>
      <c r="E98" s="17" t="inlineStr">
        <is>
          <t>ANTIOQUIA</t>
        </is>
      </c>
      <c r="F98" s="17" t="inlineStr">
        <is>
          <t>08:00 a.m. a 11:30 a.m. y de 02:00 p.m. a 4:30 p.m.</t>
        </is>
      </c>
      <c r="G98" s="17" t="inlineStr">
        <is>
          <t>Calle 10 No.8-54</t>
        </is>
      </c>
      <c r="H98" s="17" t="inlineStr">
        <is>
          <t>6013821400</t>
        </is>
      </c>
      <c r="I98" s="17" t="inlineStr">
        <is>
          <t>Lunes a Viernes</t>
        </is>
      </c>
      <c r="J98" s="17" t="inlineStr">
        <is>
          <t>INSARED</t>
        </is>
      </c>
      <c r="K98" s="18" t="n">
        <v>46311</v>
      </c>
      <c r="L98" s="18" t="n">
        <v>46311</v>
      </c>
      <c r="M98" s="17" t="n">
        <v>16</v>
      </c>
    </row>
    <row r="99">
      <c r="A99" s="19" t="inlineStr">
        <is>
          <t>1383</t>
        </is>
      </c>
      <c r="B99" s="20" t="inlineStr">
        <is>
          <t>MARINILLA</t>
        </is>
      </c>
      <c r="C99" s="20" t="inlineStr">
        <is>
          <t>Marinilla</t>
        </is>
      </c>
      <c r="D99" s="20" t="inlineStr">
        <is>
          <t>Antioquia</t>
        </is>
      </c>
      <c r="E99" s="20" t="inlineStr">
        <is>
          <t>ANTIOQUIA</t>
        </is>
      </c>
      <c r="F99" s="20" t="inlineStr">
        <is>
          <t>8:00 A.M.  A 3:00 P.M.</t>
        </is>
      </c>
      <c r="G99" s="20" t="inlineStr">
        <is>
          <t>Cra.30 No.30-48 parque Principal</t>
        </is>
      </c>
      <c r="H99" s="20" t="inlineStr">
        <is>
          <t>6013821400</t>
        </is>
      </c>
      <c r="I99" s="20" t="inlineStr">
        <is>
          <t>LUNES A VIERNES</t>
        </is>
      </c>
      <c r="J99" s="20" t="inlineStr">
        <is>
          <t>INSARED</t>
        </is>
      </c>
      <c r="K99" s="21" t="n">
        <v>46325</v>
      </c>
      <c r="L99" s="21" t="n">
        <v>46325</v>
      </c>
      <c r="M99" s="20" t="n">
        <v>26</v>
      </c>
    </row>
    <row r="100">
      <c r="A100" s="16" t="inlineStr">
        <is>
          <t>1385</t>
        </is>
      </c>
      <c r="B100" s="17" t="inlineStr">
        <is>
          <t>SAN CRISTOBAL</t>
        </is>
      </c>
      <c r="C100" s="17" t="inlineStr">
        <is>
          <t>Medellín</t>
        </is>
      </c>
      <c r="D100" s="17" t="inlineStr">
        <is>
          <t>Antioquia</t>
        </is>
      </c>
      <c r="E100" s="17" t="inlineStr">
        <is>
          <t>ANTIOQUIA</t>
        </is>
      </c>
      <c r="F100" s="17" t="inlineStr">
        <is>
          <t>8:00 AM - 11:30 AM Y DE 02:00 PM - 04:30 PM</t>
        </is>
      </c>
      <c r="G100" s="17" t="inlineStr">
        <is>
          <t>Calle 63 No. 129 A - 80 Centro Comercial San Cristobal Plaza.</t>
        </is>
      </c>
      <c r="H100" s="17" t="inlineStr">
        <is>
          <t>6013821400</t>
        </is>
      </c>
      <c r="I100" s="17" t="inlineStr">
        <is>
          <t>LUNES A VIERNES</t>
        </is>
      </c>
      <c r="J100" s="17" t="inlineStr">
        <is>
          <t>INSARED</t>
        </is>
      </c>
      <c r="K100" s="18" t="n">
        <v>46290</v>
      </c>
      <c r="L100" s="18" t="n">
        <v>46290</v>
      </c>
      <c r="M100" s="17" t="n">
        <v>13</v>
      </c>
    </row>
    <row r="101">
      <c r="A101" s="19" t="inlineStr">
        <is>
          <t>1386</t>
        </is>
      </c>
      <c r="B101" s="20" t="inlineStr">
        <is>
          <t>SAN JERONIMO</t>
        </is>
      </c>
      <c r="C101" s="20" t="inlineStr">
        <is>
          <t>San Jerónimo</t>
        </is>
      </c>
      <c r="D101" s="20" t="inlineStr">
        <is>
          <t>Antioquia</t>
        </is>
      </c>
      <c r="E101" s="20" t="inlineStr">
        <is>
          <t>ANTIOQUIA</t>
        </is>
      </c>
      <c r="F101" s="20" t="inlineStr">
        <is>
          <t>Martes a Viernes  08:00 a.m. a 11:30 a.m.  y de  02:00 p.m. a 4:30 p.m . y Sábados de 8:00 a.m. a 02.00 p.m.</t>
        </is>
      </c>
      <c r="G101" s="20" t="inlineStr">
        <is>
          <t>Calle 24 No. 12 A 31</t>
        </is>
      </c>
      <c r="H101" s="20" t="inlineStr">
        <is>
          <t>6013821400</t>
        </is>
      </c>
      <c r="I101" s="20" t="inlineStr">
        <is>
          <t>MARTES A SABADO</t>
        </is>
      </c>
      <c r="J101" s="20" t="inlineStr">
        <is>
          <t>INSARED</t>
        </is>
      </c>
      <c r="K101" s="21" t="n">
        <v>46287</v>
      </c>
      <c r="L101" s="21" t="n">
        <v>46287</v>
      </c>
      <c r="M101" s="20" t="n">
        <v>16</v>
      </c>
    </row>
    <row r="102">
      <c r="A102" s="16" t="inlineStr">
        <is>
          <t>1387</t>
        </is>
      </c>
      <c r="B102" s="17" t="inlineStr">
        <is>
          <t>SAN PEDRO</t>
        </is>
      </c>
      <c r="C102" s="17" t="inlineStr">
        <is>
          <t>San Pedro De Los Milagros</t>
        </is>
      </c>
      <c r="D102" s="17" t="inlineStr">
        <is>
          <t>Antioquia</t>
        </is>
      </c>
      <c r="E102" s="17" t="inlineStr">
        <is>
          <t>ANTIOQUIA</t>
        </is>
      </c>
      <c r="F102" s="17" t="inlineStr">
        <is>
          <t>8:00 AM - 11:30 AM Y DE 02:00 PM - 04:30 PM</t>
        </is>
      </c>
      <c r="G102" s="17" t="inlineStr">
        <is>
          <t>Calle 50 No.50-08 piso 2 Local 201</t>
        </is>
      </c>
      <c r="H102" s="17" t="inlineStr">
        <is>
          <t>6013821400</t>
        </is>
      </c>
      <c r="I102" s="17" t="inlineStr">
        <is>
          <t>LUNES A VIERNES</t>
        </is>
      </c>
      <c r="J102" s="17" t="inlineStr">
        <is>
          <t>INSARED</t>
        </is>
      </c>
      <c r="K102" s="18" t="n">
        <v>46293</v>
      </c>
      <c r="L102" s="18" t="n">
        <v>46293</v>
      </c>
      <c r="M102" s="17" t="n">
        <v>17</v>
      </c>
    </row>
    <row r="103">
      <c r="A103" s="19" t="inlineStr">
        <is>
          <t>1388</t>
        </is>
      </c>
      <c r="B103" s="20" t="inlineStr">
        <is>
          <t>SAN VICENTE</t>
        </is>
      </c>
      <c r="C103" s="20" t="inlineStr">
        <is>
          <t>San Vicente</t>
        </is>
      </c>
      <c r="D103" s="20" t="inlineStr">
        <is>
          <t>Antioquia</t>
        </is>
      </c>
      <c r="E103" s="20" t="inlineStr">
        <is>
          <t>ANTIOQUIA</t>
        </is>
      </c>
      <c r="F103" s="20" t="inlineStr">
        <is>
          <t>Martes a Viernes  08:00 a.m. a 11:30 a.m.  y de  02:00 p.m. a 4:30 p.m . y Sábados de 8:00 a.m. a 02.00 p.m.</t>
        </is>
      </c>
      <c r="G103" s="20" t="inlineStr">
        <is>
          <t>Carrera 30 No. 26A – 40, Local 101 y Carrera 30 No. 26A – 42, Apartamento 9901</t>
        </is>
      </c>
      <c r="H103" s="20" t="inlineStr">
        <is>
          <t>6013821400</t>
        </is>
      </c>
      <c r="I103" s="20" t="inlineStr">
        <is>
          <t>MARTES A SABADO</t>
        </is>
      </c>
      <c r="J103" s="20" t="inlineStr">
        <is>
          <t>INSARED</t>
        </is>
      </c>
      <c r="K103" s="21" t="n">
        <v>46302</v>
      </c>
      <c r="L103" s="21" t="n">
        <v>46302</v>
      </c>
      <c r="M103" s="20" t="n">
        <v>19</v>
      </c>
    </row>
    <row r="104">
      <c r="A104" s="16" t="inlineStr">
        <is>
          <t>1389</t>
        </is>
      </c>
      <c r="B104" s="17" t="inlineStr">
        <is>
          <t>SANTAFE DE ANTIOQUIA</t>
        </is>
      </c>
      <c r="C104" s="17" t="inlineStr">
        <is>
          <t>Santafé De Antioquia</t>
        </is>
      </c>
      <c r="D104" s="17" t="inlineStr">
        <is>
          <t>Antioquia</t>
        </is>
      </c>
      <c r="E104" s="17" t="inlineStr">
        <is>
          <t>ANTIOQUIA</t>
        </is>
      </c>
      <c r="F104" s="17" t="inlineStr">
        <is>
          <t>Martes a Viernes  08:00 a.m. a 11:30 a.m.  y de  02:00 p.m. a 4:30 p.m . y Sábados de 8:00 a.m. a 02.00 p.m.</t>
        </is>
      </c>
      <c r="G104" s="17" t="inlineStr">
        <is>
          <t>Calle 9 No. 10 -53/57</t>
        </is>
      </c>
      <c r="H104" s="17" t="inlineStr">
        <is>
          <t>6013821400</t>
        </is>
      </c>
      <c r="I104" s="17" t="inlineStr">
        <is>
          <t>MARTES A SABADO</t>
        </is>
      </c>
      <c r="J104" s="17" t="inlineStr">
        <is>
          <t>INSARED</t>
        </is>
      </c>
      <c r="K104" s="18" t="n">
        <v>46281</v>
      </c>
      <c r="L104" s="18" t="n">
        <v>46282</v>
      </c>
      <c r="M104" s="17" t="n">
        <v>31</v>
      </c>
    </row>
    <row r="105">
      <c r="A105" s="19" t="inlineStr">
        <is>
          <t>1390</t>
        </is>
      </c>
      <c r="B105" s="20" t="inlineStr">
        <is>
          <t>SANTUARIO</t>
        </is>
      </c>
      <c r="C105" s="20" t="inlineStr">
        <is>
          <t>El Santuario</t>
        </is>
      </c>
      <c r="D105" s="20" t="inlineStr">
        <is>
          <t>Antioquia</t>
        </is>
      </c>
      <c r="E105" s="20" t="inlineStr">
        <is>
          <t>ANTIOQUIA</t>
        </is>
      </c>
      <c r="F105" s="20" t="inlineStr">
        <is>
          <t>08:00 a.m. a 11:30 a.m. y de 02:00 p.m. a 4:30 p.m.</t>
        </is>
      </c>
      <c r="G105" s="20" t="inlineStr">
        <is>
          <t>Cra.50 No.50-35/37</t>
        </is>
      </c>
      <c r="H105" s="20" t="inlineStr">
        <is>
          <t>6013821400</t>
        </is>
      </c>
      <c r="I105" s="20" t="inlineStr">
        <is>
          <t>Lunes a Viernes</t>
        </is>
      </c>
      <c r="J105" s="20" t="inlineStr">
        <is>
          <t>INSARED</t>
        </is>
      </c>
      <c r="K105" s="21" t="n">
        <v>46303</v>
      </c>
      <c r="L105" s="21" t="n">
        <v>46303</v>
      </c>
      <c r="M105" s="20" t="n">
        <v>20</v>
      </c>
    </row>
    <row r="106">
      <c r="A106" s="16" t="inlineStr">
        <is>
          <t>1391</t>
        </is>
      </c>
      <c r="B106" s="17" t="inlineStr">
        <is>
          <t>SAN PEDRO DE URABA</t>
        </is>
      </c>
      <c r="C106" s="17" t="inlineStr">
        <is>
          <t>San Pedro De Uraba</t>
        </is>
      </c>
      <c r="D106" s="17" t="inlineStr">
        <is>
          <t>Antioquia</t>
        </is>
      </c>
      <c r="E106" s="17" t="inlineStr">
        <is>
          <t>COSTA</t>
        </is>
      </c>
      <c r="F106" s="17" t="inlineStr">
        <is>
          <t>8:00 AM - 11:30 AM Y DE 02:00 PM - 04:30 PM</t>
        </is>
      </c>
      <c r="G106" s="17" t="inlineStr">
        <is>
          <t>Carrera. 50 No.50-33/35 Parque Principal</t>
        </is>
      </c>
      <c r="H106" s="17" t="inlineStr">
        <is>
          <t>6013821400</t>
        </is>
      </c>
      <c r="I106" s="17" t="inlineStr">
        <is>
          <t>LUNES A VIERNES</t>
        </is>
      </c>
      <c r="J106" s="17" t="inlineStr">
        <is>
          <t>INSARED</t>
        </is>
      </c>
      <c r="K106" s="18" t="n">
        <v>46300</v>
      </c>
      <c r="L106" s="18" t="n">
        <v>46300</v>
      </c>
      <c r="M106" s="17" t="n">
        <v>18</v>
      </c>
    </row>
    <row r="107">
      <c r="A107" s="19" t="inlineStr">
        <is>
          <t>1392</t>
        </is>
      </c>
      <c r="B107" s="20" t="inlineStr">
        <is>
          <t>TITIRIBI</t>
        </is>
      </c>
      <c r="C107" s="20" t="inlineStr">
        <is>
          <t>Titiribí</t>
        </is>
      </c>
      <c r="D107" s="20" t="inlineStr">
        <is>
          <t>Antioquia</t>
        </is>
      </c>
      <c r="E107" s="20" t="inlineStr">
        <is>
          <t>ANTIOQUIA</t>
        </is>
      </c>
      <c r="F107" s="20" t="inlineStr">
        <is>
          <t>Martes a Viernes  08:00 a.m. a 11:30 a.m.  y de  02:00 p.m. a 4:30 p.m . y Sábados de 8:00 a.m. a 02.00 p.m.</t>
        </is>
      </c>
      <c r="G107" s="20" t="inlineStr">
        <is>
          <t>Carrera. 21 No. 19-68 Carrera Santander.</t>
        </is>
      </c>
      <c r="H107" s="20" t="inlineStr">
        <is>
          <t>6013821400</t>
        </is>
      </c>
      <c r="I107" s="20" t="inlineStr">
        <is>
          <t>MARTES A SABADO</t>
        </is>
      </c>
      <c r="J107" s="20" t="inlineStr">
        <is>
          <t>INSARED</t>
        </is>
      </c>
      <c r="K107" s="21" t="n">
        <v>46316</v>
      </c>
      <c r="L107" s="21" t="n">
        <v>46316</v>
      </c>
      <c r="M107" s="20" t="n">
        <v>13</v>
      </c>
    </row>
    <row r="108">
      <c r="A108" s="16" t="inlineStr">
        <is>
          <t>1393</t>
        </is>
      </c>
      <c r="B108" s="17" t="inlineStr">
        <is>
          <t>JERICO</t>
        </is>
      </c>
      <c r="C108" s="17" t="inlineStr">
        <is>
          <t>Jericó</t>
        </is>
      </c>
      <c r="D108" s="17" t="inlineStr">
        <is>
          <t>Antioquia</t>
        </is>
      </c>
      <c r="E108" s="17" t="inlineStr">
        <is>
          <t>ANTIOQUIA</t>
        </is>
      </c>
      <c r="F108" s="17" t="inlineStr">
        <is>
          <t>Martes a Viernes  08:00 a.m. a 11:30 a.m.  y de  02:00 p.m. a 4:30 p.m . y Sábados de 8:00 a.m. a 02.00 p.m.</t>
        </is>
      </c>
      <c r="G108" s="17" t="inlineStr">
        <is>
          <t>Carrera 5 No. 7 - 41</t>
        </is>
      </c>
      <c r="H108" s="17" t="inlineStr">
        <is>
          <t>6013821400</t>
        </is>
      </c>
      <c r="I108" s="17" t="inlineStr">
        <is>
          <t>MARTES A SABADO</t>
        </is>
      </c>
      <c r="J108" s="17" t="inlineStr">
        <is>
          <t>INSARED</t>
        </is>
      </c>
      <c r="K108" s="18" t="n">
        <v>46280</v>
      </c>
      <c r="L108" s="18" t="n">
        <v>46280</v>
      </c>
      <c r="M108" s="17" t="n">
        <v>13</v>
      </c>
    </row>
    <row r="109">
      <c r="A109" s="19" t="inlineStr">
        <is>
          <t>1394</t>
        </is>
      </c>
      <c r="B109" s="20" t="inlineStr">
        <is>
          <t>YONDO</t>
        </is>
      </c>
      <c r="C109" s="20" t="inlineStr">
        <is>
          <t>Yondó</t>
        </is>
      </c>
      <c r="D109" s="20" t="inlineStr">
        <is>
          <t>Antioquia</t>
        </is>
      </c>
      <c r="E109" s="20" t="inlineStr">
        <is>
          <t>SANTANDERES</t>
        </is>
      </c>
      <c r="F109" s="20" t="inlineStr">
        <is>
          <t>8:00 AM - 11:30 AM Y DE 02:00 PM - 04:30 PM</t>
        </is>
      </c>
      <c r="G109" s="20" t="inlineStr">
        <is>
          <t>Carrera 55 No.46 B - 44 Antonio Roldan B.</t>
        </is>
      </c>
      <c r="H109" s="20" t="inlineStr">
        <is>
          <t>6013821400</t>
        </is>
      </c>
      <c r="I109" s="20" t="inlineStr">
        <is>
          <t>LUNES A VIERNES</t>
        </is>
      </c>
      <c r="J109" s="20" t="inlineStr">
        <is>
          <t>INSARED</t>
        </is>
      </c>
      <c r="K109" s="21" t="n">
        <v>46315</v>
      </c>
      <c r="L109" s="21" t="n">
        <v>46316</v>
      </c>
      <c r="M109" s="20" t="n">
        <v>14</v>
      </c>
    </row>
    <row r="110">
      <c r="A110" s="16" t="inlineStr">
        <is>
          <t>1395</t>
        </is>
      </c>
      <c r="B110" s="17" t="inlineStr">
        <is>
          <t>URRAO</t>
        </is>
      </c>
      <c r="C110" s="17" t="inlineStr">
        <is>
          <t>Urrao</t>
        </is>
      </c>
      <c r="D110" s="17" t="inlineStr">
        <is>
          <t>Antioquia</t>
        </is>
      </c>
      <c r="E110" s="17" t="inlineStr">
        <is>
          <t>ANTIOQUIA</t>
        </is>
      </c>
      <c r="F110" s="17" t="inlineStr">
        <is>
          <t>Martes a Viernes  08:00 a.m. a 11:30 a.m.  y de  02:00 p.m. a 4:30 p.m . y Sábados de 8:00 a.m. a 02.00 p.m.</t>
        </is>
      </c>
      <c r="G110" s="17" t="inlineStr">
        <is>
          <t>Carrera 30 N° 28-33</t>
        </is>
      </c>
      <c r="H110" s="17" t="inlineStr">
        <is>
          <t>6013821400</t>
        </is>
      </c>
      <c r="I110" s="17" t="inlineStr">
        <is>
          <t>MARTES A SABADO</t>
        </is>
      </c>
      <c r="J110" s="17" t="inlineStr">
        <is>
          <t>INSARED</t>
        </is>
      </c>
      <c r="K110" s="18" t="n">
        <v>46274</v>
      </c>
      <c r="L110" s="18" t="n">
        <v>46274</v>
      </c>
      <c r="M110" s="17" t="n">
        <v>17</v>
      </c>
    </row>
    <row r="111">
      <c r="A111" s="19" t="inlineStr">
        <is>
          <t>1396</t>
        </is>
      </c>
      <c r="B111" s="20" t="inlineStr">
        <is>
          <t>SAN CARLOS</t>
        </is>
      </c>
      <c r="C111" s="20" t="inlineStr">
        <is>
          <t>San Carlos</t>
        </is>
      </c>
      <c r="D111" s="20" t="inlineStr">
        <is>
          <t>Antioquia</t>
        </is>
      </c>
      <c r="E111" s="20" t="inlineStr">
        <is>
          <t>ANTIOQUIA</t>
        </is>
      </c>
      <c r="F111" s="20" t="inlineStr">
        <is>
          <t>Martes a Viernes  08:00 a.m. a 11:30 a.m.  y de  02:00 p.m. a 4:30 p.m . y Sábados de 8:00 a.m. a 02.00 p.m.</t>
        </is>
      </c>
      <c r="G111" s="20" t="inlineStr">
        <is>
          <t>Calle 21 No. 19-18/20/24</t>
        </is>
      </c>
      <c r="H111" s="20" t="inlineStr">
        <is>
          <t>6013821400</t>
        </is>
      </c>
      <c r="I111" s="20" t="inlineStr">
        <is>
          <t>MARTES A SABADO</t>
        </is>
      </c>
      <c r="J111" s="20" t="inlineStr">
        <is>
          <t>INSARED</t>
        </is>
      </c>
      <c r="K111" s="21" t="n">
        <v>46324</v>
      </c>
      <c r="L111" s="21" t="n">
        <v>46324</v>
      </c>
      <c r="M111" s="20" t="n">
        <v>16</v>
      </c>
    </row>
    <row r="112">
      <c r="A112" s="16" t="inlineStr">
        <is>
          <t>1397</t>
        </is>
      </c>
      <c r="B112" s="17" t="inlineStr">
        <is>
          <t>SOPETRAN</t>
        </is>
      </c>
      <c r="C112" s="17" t="inlineStr">
        <is>
          <t>Sopetrán</t>
        </is>
      </c>
      <c r="D112" s="17" t="inlineStr">
        <is>
          <t>Antioquia</t>
        </is>
      </c>
      <c r="E112" s="17" t="inlineStr">
        <is>
          <t>ANTIOQUIA</t>
        </is>
      </c>
      <c r="F112" s="17" t="inlineStr">
        <is>
          <t>Martes a Viernes  08:00 a.m. a 11:30 a.m.  y de  02:00 p.m. a 4:30 p.m . y Sábados de 8:00 a.m. a 02.00 p.m.</t>
        </is>
      </c>
      <c r="G112" s="17" t="inlineStr">
        <is>
          <t>Calle 10 A No. 8-04/06</t>
        </is>
      </c>
      <c r="H112" s="17" t="inlineStr">
        <is>
          <t>6013821400</t>
        </is>
      </c>
      <c r="I112" s="17" t="inlineStr">
        <is>
          <t>MARTES A SABADO</t>
        </is>
      </c>
      <c r="J112" s="17" t="inlineStr">
        <is>
          <t>INSARED</t>
        </is>
      </c>
      <c r="K112" s="18" t="n">
        <v>46288</v>
      </c>
      <c r="L112" s="18" t="n">
        <v>46288</v>
      </c>
      <c r="M112" s="17" t="n">
        <v>17</v>
      </c>
    </row>
    <row r="113">
      <c r="A113" s="19" t="inlineStr">
        <is>
          <t>1398</t>
        </is>
      </c>
      <c r="B113" s="20" t="inlineStr">
        <is>
          <t>YARUMAL</t>
        </is>
      </c>
      <c r="C113" s="20" t="inlineStr">
        <is>
          <t>Yarumal</t>
        </is>
      </c>
      <c r="D113" s="20" t="inlineStr">
        <is>
          <t>Antioquia</t>
        </is>
      </c>
      <c r="E113" s="20" t="inlineStr">
        <is>
          <t>ANTIOQUIA</t>
        </is>
      </c>
      <c r="F113" s="20" t="inlineStr">
        <is>
          <t>8:00 AM - 11:30 AM Y DE 02:00 PM - 04:30 PM</t>
        </is>
      </c>
      <c r="G113" s="20" t="inlineStr">
        <is>
          <t>Carrera.20 No.20-43</t>
        </is>
      </c>
      <c r="H113" s="20" t="inlineStr">
        <is>
          <t>6013821400</t>
        </is>
      </c>
      <c r="I113" s="20" t="inlineStr">
        <is>
          <t>LUNES A VIERNES</t>
        </is>
      </c>
      <c r="J113" s="20" t="inlineStr">
        <is>
          <t>INSARED</t>
        </is>
      </c>
      <c r="K113" s="21" t="n">
        <v>46294</v>
      </c>
      <c r="L113" s="21" t="n">
        <v>46294</v>
      </c>
      <c r="M113" s="20" t="n">
        <v>27</v>
      </c>
    </row>
    <row r="114">
      <c r="A114" s="16" t="inlineStr">
        <is>
          <t>1399</t>
        </is>
      </c>
      <c r="B114" s="17" t="inlineStr">
        <is>
          <t>ZARAGOZA</t>
        </is>
      </c>
      <c r="C114" s="17" t="inlineStr">
        <is>
          <t>Zaragoza</t>
        </is>
      </c>
      <c r="D114" s="17" t="inlineStr">
        <is>
          <t>Antioquia</t>
        </is>
      </c>
      <c r="E114" s="17" t="inlineStr">
        <is>
          <t>ANTIOQUIA</t>
        </is>
      </c>
      <c r="F114" s="17" t="inlineStr">
        <is>
          <t>8:00 AM - 11:30 AM Y DE 02:00 PM - 04:30 PM</t>
        </is>
      </c>
      <c r="G114" s="17" t="inlineStr">
        <is>
          <t>Calle 40 a N° 40 - 36 / 40</t>
        </is>
      </c>
      <c r="H114" s="17" t="inlineStr">
        <is>
          <t>6013821400</t>
        </is>
      </c>
      <c r="I114" s="17" t="inlineStr">
        <is>
          <t>LUNES A VIERNES</t>
        </is>
      </c>
      <c r="J114" s="17" t="inlineStr">
        <is>
          <t>INSARED</t>
        </is>
      </c>
      <c r="K114" s="18" t="n">
        <v>46273</v>
      </c>
      <c r="L114" s="18" t="n">
        <v>46273</v>
      </c>
      <c r="M114" s="17" t="n">
        <v>18</v>
      </c>
    </row>
    <row r="115">
      <c r="A115" s="19" t="inlineStr">
        <is>
          <t>1401</t>
        </is>
      </c>
      <c r="B115" s="20" t="inlineStr">
        <is>
          <t>CONCEPCION</t>
        </is>
      </c>
      <c r="C115" s="20" t="inlineStr">
        <is>
          <t>Concepción</t>
        </is>
      </c>
      <c r="D115" s="20" t="inlineStr">
        <is>
          <t>Antioquia</t>
        </is>
      </c>
      <c r="E115" s="20" t="inlineStr">
        <is>
          <t>ANTIOQUIA</t>
        </is>
      </c>
      <c r="F115" s="20" t="inlineStr">
        <is>
          <t>Martes a Viernes  08:00 a.m. a 11:30 a.m.  y de  02:00 p.m. a 4:30 p.m . y Sábados de 8:00 a.m. a 02.00 p.m.</t>
        </is>
      </c>
      <c r="G115" s="20" t="inlineStr">
        <is>
          <t>Calle 20 No. 21-27</t>
        </is>
      </c>
      <c r="H115" s="20" t="inlineStr">
        <is>
          <t>6013821400</t>
        </is>
      </c>
      <c r="I115" s="20" t="inlineStr">
        <is>
          <t>MARTES A SABADO</t>
        </is>
      </c>
      <c r="J115" s="20" t="inlineStr">
        <is>
          <t>INSARED</t>
        </is>
      </c>
      <c r="K115" s="21" t="n">
        <v>46302</v>
      </c>
      <c r="L115" s="21" t="n">
        <v>46302</v>
      </c>
      <c r="M115" s="20" t="n">
        <v>12</v>
      </c>
    </row>
    <row r="116">
      <c r="A116" s="16" t="inlineStr">
        <is>
          <t>1410</t>
        </is>
      </c>
      <c r="B116" s="17" t="inlineStr">
        <is>
          <t>CARACOLI</t>
        </is>
      </c>
      <c r="C116" s="17" t="inlineStr">
        <is>
          <t>Caracolí</t>
        </is>
      </c>
      <c r="D116" s="17" t="inlineStr">
        <is>
          <t>Antioquia</t>
        </is>
      </c>
      <c r="E116" s="17" t="inlineStr">
        <is>
          <t>ANTIOQUIA</t>
        </is>
      </c>
      <c r="F116" s="17" t="inlineStr">
        <is>
          <t>Martes a Viernes  08:00 a.m. a 11:30 a.m.  y de  02:00 p.m. a 4:30 p.m . y Sábados de 8:00 a.m. a 02.00 p.m.</t>
        </is>
      </c>
      <c r="G116" s="17" t="inlineStr">
        <is>
          <t>Calle 21 No.20B-23 Calle la Bácula</t>
        </is>
      </c>
      <c r="H116" s="17" t="inlineStr">
        <is>
          <t>6013821400</t>
        </is>
      </c>
      <c r="I116" s="17" t="inlineStr">
        <is>
          <t>MARTES A SABADO</t>
        </is>
      </c>
      <c r="J116" s="17" t="inlineStr">
        <is>
          <t>INSARED</t>
        </is>
      </c>
      <c r="K116" s="18" t="n">
        <v>46269</v>
      </c>
      <c r="L116" s="18" t="n">
        <v>46269</v>
      </c>
      <c r="M116" s="17" t="n">
        <v>12</v>
      </c>
    </row>
    <row r="117">
      <c r="A117" s="19" t="inlineStr">
        <is>
          <t>1412</t>
        </is>
      </c>
      <c r="B117" s="20" t="inlineStr">
        <is>
          <t>CARAMANTA</t>
        </is>
      </c>
      <c r="C117" s="20" t="inlineStr">
        <is>
          <t>Caramanta</t>
        </is>
      </c>
      <c r="D117" s="20" t="inlineStr">
        <is>
          <t>Antioquia</t>
        </is>
      </c>
      <c r="E117" s="20" t="inlineStr">
        <is>
          <t>ANTIOQUIA</t>
        </is>
      </c>
      <c r="F117" s="20" t="inlineStr">
        <is>
          <t>Martes a Viernes  08:00 a.m. a 11:30 a.m.  y de  02:00 p.m. a 4:30 p.m . y Sábados de 8:00 a.m. a 02.00 p.m.</t>
        </is>
      </c>
      <c r="G117" s="20" t="inlineStr">
        <is>
          <t>Cra. 20 No.19-02</t>
        </is>
      </c>
      <c r="H117" s="20" t="inlineStr">
        <is>
          <t>6013821400</t>
        </is>
      </c>
      <c r="I117" s="20" t="inlineStr">
        <is>
          <t>MARTES A SABADO</t>
        </is>
      </c>
      <c r="J117" s="20" t="inlineStr">
        <is>
          <t>INSARED</t>
        </is>
      </c>
      <c r="K117" s="21" t="n">
        <v>46281</v>
      </c>
      <c r="L117" s="21" t="n">
        <v>46281</v>
      </c>
      <c r="M117" s="20" t="n">
        <v>12</v>
      </c>
    </row>
    <row r="118">
      <c r="A118" s="16" t="inlineStr">
        <is>
          <t>1414</t>
        </is>
      </c>
      <c r="B118" s="17" t="inlineStr">
        <is>
          <t>CAROLINA</t>
        </is>
      </c>
      <c r="C118" s="17" t="inlineStr">
        <is>
          <t>Carolina</t>
        </is>
      </c>
      <c r="D118" s="17" t="inlineStr">
        <is>
          <t>Antioquia</t>
        </is>
      </c>
      <c r="E118" s="17" t="inlineStr">
        <is>
          <t>ANTIOQUIA</t>
        </is>
      </c>
      <c r="F118" s="17" t="inlineStr">
        <is>
          <t>Martes a Viernes  08:00 a.m. a 11:30 a.m.  y de  02:00 p.m. a 4:30 p.m . y Sábados de 8:00 a.m. a 02.00 p.m.</t>
        </is>
      </c>
      <c r="G118" s="17" t="inlineStr">
        <is>
          <t>Calle 49 No.50-20</t>
        </is>
      </c>
      <c r="H118" s="17" t="inlineStr">
        <is>
          <t>6013821400</t>
        </is>
      </c>
      <c r="I118" s="17" t="inlineStr">
        <is>
          <t>MARTES A SABADO</t>
        </is>
      </c>
      <c r="J118" s="17" t="inlineStr">
        <is>
          <t>INSARED</t>
        </is>
      </c>
      <c r="K118" s="18" t="n">
        <v>46290</v>
      </c>
      <c r="L118" s="18" t="n">
        <v>46290</v>
      </c>
      <c r="M118" s="17" t="n">
        <v>12</v>
      </c>
    </row>
    <row r="119">
      <c r="A119" s="19" t="inlineStr">
        <is>
          <t>1415</t>
        </is>
      </c>
      <c r="B119" s="20" t="inlineStr">
        <is>
          <t>AMALFI</t>
        </is>
      </c>
      <c r="C119" s="20" t="inlineStr">
        <is>
          <t>Amalfi</t>
        </is>
      </c>
      <c r="D119" s="20" t="inlineStr">
        <is>
          <t>Antioquia</t>
        </is>
      </c>
      <c r="E119" s="20" t="inlineStr">
        <is>
          <t>ANTIOQUIA</t>
        </is>
      </c>
      <c r="F119" s="20" t="inlineStr">
        <is>
          <t>Martes a Viernes  08:00 a.m. a 11:30 a.m.  y de  02:00 p.m. a 4:30 p.m . y Sábados de 8:00 a.m. a 02.00 p.m.</t>
        </is>
      </c>
      <c r="G119" s="20" t="inlineStr">
        <is>
          <t>Carrera 21 No. 19-045/049</t>
        </is>
      </c>
      <c r="H119" s="20" t="inlineStr">
        <is>
          <t>6013821400</t>
        </is>
      </c>
      <c r="I119" s="20" t="inlineStr">
        <is>
          <t>MARTES A SABADO</t>
        </is>
      </c>
      <c r="J119" s="20" t="inlineStr">
        <is>
          <t>INSARED</t>
        </is>
      </c>
      <c r="K119" s="21" t="n">
        <v>46289</v>
      </c>
      <c r="L119" s="21" t="n">
        <v>46289</v>
      </c>
      <c r="M119" s="20" t="n">
        <v>15</v>
      </c>
    </row>
    <row r="120">
      <c r="A120" s="16" t="inlineStr">
        <is>
          <t>1420</t>
        </is>
      </c>
      <c r="B120" s="17" t="inlineStr">
        <is>
          <t>FRONTINO</t>
        </is>
      </c>
      <c r="C120" s="17" t="inlineStr">
        <is>
          <t>Frontino</t>
        </is>
      </c>
      <c r="D120" s="17" t="inlineStr">
        <is>
          <t>Antioquia</t>
        </is>
      </c>
      <c r="E120" s="17" t="inlineStr">
        <is>
          <t>ANTIOQUIA</t>
        </is>
      </c>
      <c r="F120" s="17" t="inlineStr">
        <is>
          <t>Martes a Viernes  08:00 a.m. a 11:30 a.m.  y de  02:00 p.m. a 4:30 p.m . y Sábados de 8:00 a.m. a 02.00 p.m.</t>
        </is>
      </c>
      <c r="G120" s="17" t="inlineStr">
        <is>
          <t>Cra.32 No.28-61</t>
        </is>
      </c>
      <c r="H120" s="17" t="inlineStr">
        <is>
          <t>6013821400</t>
        </is>
      </c>
      <c r="I120" s="17" t="inlineStr">
        <is>
          <t>MARTES A SABADO</t>
        </is>
      </c>
      <c r="J120" s="17" t="inlineStr">
        <is>
          <t>INSARED</t>
        </is>
      </c>
      <c r="K120" s="18" t="n">
        <v>46294</v>
      </c>
      <c r="L120" s="18" t="n">
        <v>46294</v>
      </c>
      <c r="M120" s="17" t="n">
        <v>20</v>
      </c>
    </row>
    <row r="121">
      <c r="A121" s="19" t="inlineStr">
        <is>
          <t>1422</t>
        </is>
      </c>
      <c r="B121" s="20" t="inlineStr">
        <is>
          <t>GOMEZ PLATA</t>
        </is>
      </c>
      <c r="C121" s="20" t="inlineStr">
        <is>
          <t>Gómez Plata</t>
        </is>
      </c>
      <c r="D121" s="20" t="inlineStr">
        <is>
          <t>Antioquia</t>
        </is>
      </c>
      <c r="E121" s="20" t="inlineStr">
        <is>
          <t>ANTIOQUIA</t>
        </is>
      </c>
      <c r="F121" s="20" t="inlineStr">
        <is>
          <t>Martes a Viernes  08:00 a.m. a 11:30 a.m.  y de  02:00 p.m. a 4:30 p.m . y Sábados de 8:00 a.m. a 02.00 p.m.</t>
        </is>
      </c>
      <c r="G121" s="20" t="inlineStr">
        <is>
          <t>Calle 50 No.49-13</t>
        </is>
      </c>
      <c r="H121" s="20" t="inlineStr">
        <is>
          <t>6013821400</t>
        </is>
      </c>
      <c r="I121" s="20" t="inlineStr">
        <is>
          <t>MARTES A SABADO</t>
        </is>
      </c>
      <c r="J121" s="20" t="inlineStr">
        <is>
          <t>INSARED</t>
        </is>
      </c>
      <c r="K121" s="21" t="n">
        <v>46290</v>
      </c>
      <c r="L121" s="21" t="n">
        <v>46290</v>
      </c>
      <c r="M121" s="20" t="n">
        <v>12</v>
      </c>
    </row>
    <row r="122">
      <c r="A122" s="16" t="inlineStr">
        <is>
          <t>1424</t>
        </is>
      </c>
      <c r="B122" s="17" t="inlineStr">
        <is>
          <t>ITUANGO</t>
        </is>
      </c>
      <c r="C122" s="17" t="inlineStr">
        <is>
          <t>Ituango</t>
        </is>
      </c>
      <c r="D122" s="17" t="inlineStr">
        <is>
          <t>Antioquia</t>
        </is>
      </c>
      <c r="E122" s="17" t="inlineStr">
        <is>
          <t>ANTIOQUIA</t>
        </is>
      </c>
      <c r="F122" s="17" t="inlineStr">
        <is>
          <t>Martes a Viernes  08:00 a.m. a 11:30 a.m.  y de  02:00 p.m. a 4:30 p.m . y Sábados de 8:00 a.m. a 02.00 p.m.</t>
        </is>
      </c>
      <c r="G122" s="17" t="inlineStr">
        <is>
          <t>Carrera Santander con Calle Berrío Edif. del Café</t>
        </is>
      </c>
      <c r="H122" s="17" t="inlineStr">
        <is>
          <t>6013821400</t>
        </is>
      </c>
      <c r="I122" s="17" t="inlineStr">
        <is>
          <t>MARTES A SABADO</t>
        </is>
      </c>
      <c r="J122" s="17" t="inlineStr">
        <is>
          <t>INSARED</t>
        </is>
      </c>
      <c r="K122" s="18" t="n">
        <v>46295</v>
      </c>
      <c r="L122" s="18" t="n">
        <v>46295</v>
      </c>
      <c r="M122" s="17" t="n">
        <v>17</v>
      </c>
    </row>
    <row r="123">
      <c r="A123" s="19" t="inlineStr">
        <is>
          <t>1426</t>
        </is>
      </c>
      <c r="B123" s="20" t="inlineStr">
        <is>
          <t>LIBORINA</t>
        </is>
      </c>
      <c r="C123" s="20" t="inlineStr">
        <is>
          <t>Liborina</t>
        </is>
      </c>
      <c r="D123" s="20" t="inlineStr">
        <is>
          <t>Antioquia</t>
        </is>
      </c>
      <c r="E123" s="20" t="inlineStr">
        <is>
          <t>ANTIOQUIA</t>
        </is>
      </c>
      <c r="F123" s="20" t="inlineStr">
        <is>
          <t>Martes a Viernes  08:00 a.m. a 11:30 a.m.  y de  02:00 p.m. a 4:30 p.m . y Sábados de 8:00 a.m. a 02.00 p.m.</t>
        </is>
      </c>
      <c r="G123" s="20" t="inlineStr">
        <is>
          <t>Calle 8 No.10-63</t>
        </is>
      </c>
      <c r="H123" s="20" t="inlineStr">
        <is>
          <t>6013821400</t>
        </is>
      </c>
      <c r="I123" s="20" t="inlineStr">
        <is>
          <t>MARTES A SABADO</t>
        </is>
      </c>
      <c r="J123" s="20" t="inlineStr">
        <is>
          <t>INSARED</t>
        </is>
      </c>
      <c r="K123" s="21" t="n">
        <v>46288</v>
      </c>
      <c r="L123" s="21" t="n">
        <v>46289</v>
      </c>
      <c r="M123" s="20" t="n">
        <v>14</v>
      </c>
    </row>
    <row r="124">
      <c r="A124" s="16" t="inlineStr">
        <is>
          <t>1428</t>
        </is>
      </c>
      <c r="B124" s="17" t="inlineStr">
        <is>
          <t>DABEIBA</t>
        </is>
      </c>
      <c r="C124" s="17" t="inlineStr">
        <is>
          <t>Dabeiba</t>
        </is>
      </c>
      <c r="D124" s="17" t="inlineStr">
        <is>
          <t>Antioquia</t>
        </is>
      </c>
      <c r="E124" s="17" t="inlineStr">
        <is>
          <t>ANTIOQUIA</t>
        </is>
      </c>
      <c r="F124" s="17" t="inlineStr">
        <is>
          <t>Martes a Viernes  08:00 a.m. a 11:30 a.m.  y de  02:00 p.m. a 4:30 p.m . y Sábados de 8:00 a.m. a 02.00 p.m.</t>
        </is>
      </c>
      <c r="G124" s="17" t="inlineStr">
        <is>
          <t>Cra 10 Uribe Uribe Nro. 08-34 -</t>
        </is>
      </c>
      <c r="H124" s="17" t="inlineStr">
        <is>
          <t>6013821400</t>
        </is>
      </c>
      <c r="I124" s="17" t="inlineStr">
        <is>
          <t>MARTES A SABADO</t>
        </is>
      </c>
      <c r="J124" s="17" t="inlineStr">
        <is>
          <t>INSARED</t>
        </is>
      </c>
      <c r="K124" s="18" t="n">
        <v>46290</v>
      </c>
      <c r="L124" s="18" t="n">
        <v>46290</v>
      </c>
      <c r="M124" s="17" t="n">
        <v>25</v>
      </c>
    </row>
    <row r="125">
      <c r="A125" s="19" t="inlineStr">
        <is>
          <t>1430</t>
        </is>
      </c>
      <c r="B125" s="20" t="inlineStr">
        <is>
          <t>PUERTO NARE</t>
        </is>
      </c>
      <c r="C125" s="20" t="inlineStr">
        <is>
          <t>Puerto Nare</t>
        </is>
      </c>
      <c r="D125" s="20" t="inlineStr">
        <is>
          <t>Antioquia</t>
        </is>
      </c>
      <c r="E125" s="20" t="inlineStr">
        <is>
          <t>ANTIOQUIA</t>
        </is>
      </c>
      <c r="F125" s="20" t="inlineStr">
        <is>
          <t>Martes a Viernes  08:00 a.m. a 11:30 a.m.  y de  02:00 p.m. a 4:30 p.m . y Sábados de 8:00 a.m. a 02.00 p.m.</t>
        </is>
      </c>
      <c r="G125" s="20" t="inlineStr">
        <is>
          <t>Carrera 1 – Lote 1</t>
        </is>
      </c>
      <c r="H125" s="20" t="inlineStr">
        <is>
          <t>6013821400</t>
        </is>
      </c>
      <c r="I125" s="20" t="inlineStr">
        <is>
          <t>MARTES A SABADO</t>
        </is>
      </c>
      <c r="J125" s="20" t="inlineStr">
        <is>
          <t>INSARED</t>
        </is>
      </c>
      <c r="K125" s="21" t="n">
        <v>46317</v>
      </c>
      <c r="L125" s="21" t="n">
        <v>46317</v>
      </c>
      <c r="M125" s="20" t="n">
        <v>12</v>
      </c>
    </row>
    <row r="126">
      <c r="A126" s="16" t="inlineStr">
        <is>
          <t>1435</t>
        </is>
      </c>
      <c r="B126" s="17" t="inlineStr">
        <is>
          <t>MACEO</t>
        </is>
      </c>
      <c r="C126" s="17" t="inlineStr">
        <is>
          <t>Maceo</t>
        </is>
      </c>
      <c r="D126" s="17" t="inlineStr">
        <is>
          <t>Antioquia</t>
        </is>
      </c>
      <c r="E126" s="17" t="inlineStr">
        <is>
          <t>ANTIOQUIA</t>
        </is>
      </c>
      <c r="F126" s="17" t="inlineStr">
        <is>
          <t>Martes a Viernes  08:00 a.m. a 11:30 a.m.  y de  02:00 p.m. a 4:30 p.m . y Sábados de 8:00 a.m. a 02.00 p.m.</t>
        </is>
      </c>
      <c r="G126" s="17" t="inlineStr">
        <is>
          <t>Carrera 30 No. 29-63</t>
        </is>
      </c>
      <c r="H126" s="17" t="inlineStr">
        <is>
          <t>6013821400</t>
        </is>
      </c>
      <c r="I126" s="17" t="inlineStr">
        <is>
          <t>MARTES A SABADO</t>
        </is>
      </c>
      <c r="J126" s="17" t="inlineStr">
        <is>
          <t>INSARED</t>
        </is>
      </c>
      <c r="K126" s="18" t="n">
        <v>46287</v>
      </c>
      <c r="L126" s="18" t="n">
        <v>46287</v>
      </c>
      <c r="M126" s="17" t="n">
        <v>12</v>
      </c>
    </row>
    <row r="127">
      <c r="A127" s="19" t="inlineStr">
        <is>
          <t>1438</t>
        </is>
      </c>
      <c r="B127" s="20" t="inlineStr">
        <is>
          <t>MONTEBELLO</t>
        </is>
      </c>
      <c r="C127" s="20" t="inlineStr">
        <is>
          <t>Montebello</t>
        </is>
      </c>
      <c r="D127" s="20" t="inlineStr">
        <is>
          <t>Antioquia</t>
        </is>
      </c>
      <c r="E127" s="20" t="inlineStr">
        <is>
          <t>ANTIOQUIA</t>
        </is>
      </c>
      <c r="F127" s="20" t="inlineStr">
        <is>
          <t>Martes a Viernes  08:00 a.m. a 11:30 a.m.  y de  02:00 p.m. a 4:30 p.m . y Sábados de 8:00 a.m. a 02.00 p.m.</t>
        </is>
      </c>
      <c r="G127" s="20" t="inlineStr">
        <is>
          <t>Calle 19A Nº 19-03  Edificio Federación de Cafeteros</t>
        </is>
      </c>
      <c r="H127" s="20" t="inlineStr">
        <is>
          <t>6013821400</t>
        </is>
      </c>
      <c r="I127" s="20" t="inlineStr">
        <is>
          <t>MARTES A SABADO</t>
        </is>
      </c>
      <c r="J127" s="20" t="inlineStr">
        <is>
          <t>INSARED</t>
        </is>
      </c>
      <c r="K127" s="21" t="n">
        <v>46282</v>
      </c>
      <c r="L127" s="21" t="n">
        <v>46282</v>
      </c>
      <c r="M127" s="20" t="n">
        <v>13</v>
      </c>
    </row>
    <row r="128">
      <c r="A128" s="16" t="inlineStr">
        <is>
          <t>1442</t>
        </is>
      </c>
      <c r="B128" s="17" t="inlineStr">
        <is>
          <t>NARIÑO</t>
        </is>
      </c>
      <c r="C128" s="17" t="inlineStr">
        <is>
          <t>Nariño</t>
        </is>
      </c>
      <c r="D128" s="17" t="inlineStr">
        <is>
          <t>Antioquia</t>
        </is>
      </c>
      <c r="E128" s="17" t="inlineStr">
        <is>
          <t>ANTIOQUIA</t>
        </is>
      </c>
      <c r="F128" s="17" t="inlineStr">
        <is>
          <t>Martes a Viernes  08:00 a.m. a 11:30 a.m.  y de  02:00 p.m. a 4:30 p.m . y Sábados de 8:00 a.m. a 02.00 p.m.</t>
        </is>
      </c>
      <c r="G128" s="17" t="inlineStr">
        <is>
          <t>Casa de Gobierno Plaza Principal</t>
        </is>
      </c>
      <c r="H128" s="17" t="inlineStr">
        <is>
          <t>6013821400</t>
        </is>
      </c>
      <c r="I128" s="17" t="inlineStr">
        <is>
          <t>MARTES A SABADO</t>
        </is>
      </c>
      <c r="J128" s="17" t="inlineStr">
        <is>
          <t>INSARED</t>
        </is>
      </c>
      <c r="K128" s="18" t="n">
        <v>46309</v>
      </c>
      <c r="L128" s="18" t="n">
        <v>46309</v>
      </c>
      <c r="M128" s="17" t="n">
        <v>12</v>
      </c>
    </row>
    <row r="129">
      <c r="A129" s="19" t="inlineStr">
        <is>
          <t>1444</t>
        </is>
      </c>
      <c r="B129" s="20" t="inlineStr">
        <is>
          <t>NECHI</t>
        </is>
      </c>
      <c r="C129" s="20" t="inlineStr">
        <is>
          <t>Nechí</t>
        </is>
      </c>
      <c r="D129" s="20" t="inlineStr">
        <is>
          <t>Antioquia</t>
        </is>
      </c>
      <c r="E129" s="20" t="inlineStr">
        <is>
          <t>ANTIOQUIA</t>
        </is>
      </c>
      <c r="F129" s="20" t="inlineStr">
        <is>
          <t>8:00 AM - 11:30 AM Y DE 02:00 PM - 04:30 PM</t>
        </is>
      </c>
      <c r="G129" s="20" t="inlineStr">
        <is>
          <t>Calle 30 No. 30 - 40 Barrio La Misericordia</t>
        </is>
      </c>
      <c r="H129" s="20" t="inlineStr">
        <is>
          <t>6013821400</t>
        </is>
      </c>
      <c r="I129" s="20" t="inlineStr">
        <is>
          <t>LUNES A VIERNES</t>
        </is>
      </c>
      <c r="J129" s="20" t="inlineStr">
        <is>
          <t>INSARED</t>
        </is>
      </c>
      <c r="K129" s="21" t="n">
        <v>46266</v>
      </c>
      <c r="L129" s="21" t="n">
        <v>46266</v>
      </c>
      <c r="M129" s="20" t="n">
        <v>17</v>
      </c>
    </row>
    <row r="130">
      <c r="A130" s="16" t="inlineStr">
        <is>
          <t>1446</t>
        </is>
      </c>
      <c r="B130" s="17" t="inlineStr">
        <is>
          <t>NECOCLI</t>
        </is>
      </c>
      <c r="C130" s="17" t="inlineStr">
        <is>
          <t>Necoclí</t>
        </is>
      </c>
      <c r="D130" s="17" t="inlineStr">
        <is>
          <t>Antioquia</t>
        </is>
      </c>
      <c r="E130" s="17" t="inlineStr">
        <is>
          <t>ANTIOQUIA</t>
        </is>
      </c>
      <c r="F130" s="17" t="inlineStr">
        <is>
          <t>8:00 AM - 11:30 AM Y DE 02:00 PM - 04:30 PM</t>
        </is>
      </c>
      <c r="G130" s="17" t="inlineStr">
        <is>
          <t>Calle 50 No. 49/60/62/64/66/68</t>
        </is>
      </c>
      <c r="H130" s="17" t="inlineStr">
        <is>
          <t>6013821400</t>
        </is>
      </c>
      <c r="I130" s="17" t="inlineStr">
        <is>
          <t>LUNES A VIERNES</t>
        </is>
      </c>
      <c r="J130" s="17" t="inlineStr">
        <is>
          <t>INSARED</t>
        </is>
      </c>
      <c r="K130" s="18" t="n">
        <v>46275</v>
      </c>
      <c r="L130" s="18" t="n">
        <v>46275</v>
      </c>
      <c r="M130" s="17" t="n">
        <v>23</v>
      </c>
    </row>
    <row r="131">
      <c r="A131" s="19" t="inlineStr">
        <is>
          <t>1448</t>
        </is>
      </c>
      <c r="B131" s="20" t="inlineStr">
        <is>
          <t>EL PEÑOL</t>
        </is>
      </c>
      <c r="C131" s="20" t="inlineStr">
        <is>
          <t>Peñol</t>
        </is>
      </c>
      <c r="D131" s="20" t="inlineStr">
        <is>
          <t>Antioquia</t>
        </is>
      </c>
      <c r="E131" s="20" t="inlineStr">
        <is>
          <t>ANTIOQUIA</t>
        </is>
      </c>
      <c r="F131" s="20" t="inlineStr">
        <is>
          <t>Martes a Viernes  08:00 a.m. a 11:30 a.m.  y de  02:00 p.m. a 4:30 p.m . y Sábados de 8:00 a.m. a 02.00 p.m.</t>
        </is>
      </c>
      <c r="G131" s="20" t="inlineStr">
        <is>
          <t>Cra 18 No. 226 Parque Principal</t>
        </is>
      </c>
      <c r="H131" s="20" t="inlineStr">
        <is>
          <t>6013821400</t>
        </is>
      </c>
      <c r="I131" s="20" t="inlineStr">
        <is>
          <t>MARTES A SABADO</t>
        </is>
      </c>
      <c r="J131" s="20" t="inlineStr">
        <is>
          <t>INSARED</t>
        </is>
      </c>
      <c r="K131" s="21" t="n">
        <v>46322</v>
      </c>
      <c r="L131" s="21" t="n">
        <v>46322</v>
      </c>
      <c r="M131" s="20" t="n">
        <v>13</v>
      </c>
    </row>
    <row r="132">
      <c r="A132" s="16" t="inlineStr">
        <is>
          <t>1450</t>
        </is>
      </c>
      <c r="B132" s="17" t="inlineStr">
        <is>
          <t>PEQUE</t>
        </is>
      </c>
      <c r="C132" s="17" t="inlineStr">
        <is>
          <t>Peque</t>
        </is>
      </c>
      <c r="D132" s="17" t="inlineStr">
        <is>
          <t>Antioquia</t>
        </is>
      </c>
      <c r="E132" s="17" t="inlineStr">
        <is>
          <t>ANTIOQUIA</t>
        </is>
      </c>
      <c r="F132" s="17" t="inlineStr">
        <is>
          <t>Martes a Viernes  08:00 a.m. a 11:30 a.m.  y de  02:00 p.m. a 4:30 p.m . y Sábados de 8:00 a.m. a 02.00 p.m.</t>
        </is>
      </c>
      <c r="G132" s="17" t="inlineStr">
        <is>
          <t>Calle 10 Santander No. 10-36</t>
        </is>
      </c>
      <c r="H132" s="17" t="inlineStr">
        <is>
          <t>6013821400</t>
        </is>
      </c>
      <c r="I132" s="17" t="inlineStr">
        <is>
          <t>MARTES A SABADO</t>
        </is>
      </c>
      <c r="J132" s="17" t="inlineStr">
        <is>
          <t>INSARED</t>
        </is>
      </c>
      <c r="K132" s="18" t="n">
        <v>46280</v>
      </c>
      <c r="L132" s="18" t="n">
        <v>46280</v>
      </c>
      <c r="M132" s="17" t="n">
        <v>12</v>
      </c>
    </row>
    <row r="133">
      <c r="A133" s="19" t="inlineStr">
        <is>
          <t>1452</t>
        </is>
      </c>
      <c r="B133" s="20" t="inlineStr">
        <is>
          <t>PUEBLORRICO</t>
        </is>
      </c>
      <c r="C133" s="20" t="inlineStr">
        <is>
          <t>Pueblorrico</t>
        </is>
      </c>
      <c r="D133" s="20" t="inlineStr">
        <is>
          <t>Antioquia</t>
        </is>
      </c>
      <c r="E133" s="20" t="inlineStr">
        <is>
          <t>ANTIOQUIA</t>
        </is>
      </c>
      <c r="F133" s="20" t="inlineStr">
        <is>
          <t>Martes a Viernes  08:00 a.m. a 11:30 a.m.  y de  02:00 p.m. a 4:30 p.m . y Sábados de 8:00 a.m. a 02.00 p.m.</t>
        </is>
      </c>
      <c r="G133" s="20" t="inlineStr">
        <is>
          <t>Calle 30No.29-27 edificio del café</t>
        </is>
      </c>
      <c r="H133" s="20" t="inlineStr">
        <is>
          <t>6013821400</t>
        </is>
      </c>
      <c r="I133" s="20" t="inlineStr">
        <is>
          <t>MARTES A SABADO</t>
        </is>
      </c>
      <c r="J133" s="20" t="inlineStr">
        <is>
          <t>INSARED</t>
        </is>
      </c>
      <c r="K133" s="21" t="n">
        <v>46315</v>
      </c>
      <c r="L133" s="21" t="n">
        <v>46315</v>
      </c>
      <c r="M133" s="20" t="n">
        <v>12</v>
      </c>
    </row>
    <row r="134">
      <c r="A134" s="16" t="inlineStr">
        <is>
          <t>1454</t>
        </is>
      </c>
      <c r="B134" s="17" t="inlineStr">
        <is>
          <t>REMEDIOS</t>
        </is>
      </c>
      <c r="C134" s="17" t="inlineStr">
        <is>
          <t>Remedios</t>
        </is>
      </c>
      <c r="D134" s="17" t="inlineStr">
        <is>
          <t>Antioquia</t>
        </is>
      </c>
      <c r="E134" s="17" t="inlineStr">
        <is>
          <t>ANTIOQUIA</t>
        </is>
      </c>
      <c r="F134" s="17" t="inlineStr">
        <is>
          <t>Martes a Viernes  08:00 a.m. a 11:30 a.m.  y de  02:00 p.m. a 4:30 p.m . y Sábados de 8:00 a.m. a 02.00 p.m.</t>
        </is>
      </c>
      <c r="G134" s="17" t="inlineStr">
        <is>
          <t>Carrera 10 No 6 29 - Barrio centro</t>
        </is>
      </c>
      <c r="H134" s="17" t="inlineStr">
        <is>
          <t>6013821400</t>
        </is>
      </c>
      <c r="I134" s="17" t="inlineStr">
        <is>
          <t>MARTES A SABADO</t>
        </is>
      </c>
      <c r="J134" s="17" t="inlineStr">
        <is>
          <t>INSARED</t>
        </is>
      </c>
      <c r="K134" s="18" t="n">
        <v>46288</v>
      </c>
      <c r="L134" s="18" t="n">
        <v>46288</v>
      </c>
      <c r="M134" s="17" t="n">
        <v>20</v>
      </c>
    </row>
    <row r="135">
      <c r="A135" s="19" t="inlineStr">
        <is>
          <t>1456</t>
        </is>
      </c>
      <c r="B135" s="20" t="inlineStr">
        <is>
          <t>VEGACHI</t>
        </is>
      </c>
      <c r="C135" s="20" t="inlineStr">
        <is>
          <t>Vegachí</t>
        </is>
      </c>
      <c r="D135" s="20" t="inlineStr">
        <is>
          <t>Antioquia</t>
        </is>
      </c>
      <c r="E135" s="20" t="inlineStr">
        <is>
          <t>ANTIOQUIA</t>
        </is>
      </c>
      <c r="F135" s="20" t="inlineStr">
        <is>
          <t>Martes a Viernes  08:00 a.m. a 11:30 a.m.  y de  02:00 p.m. a 4:30 p.m . y Sábados de 8:00 a.m. a 02.00 p.m.</t>
        </is>
      </c>
      <c r="G135" s="20" t="inlineStr">
        <is>
          <t>Carrera 49 No.50 A - 14/34</t>
        </is>
      </c>
      <c r="H135" s="20" t="inlineStr">
        <is>
          <t>6013821400</t>
        </is>
      </c>
      <c r="I135" s="20" t="inlineStr">
        <is>
          <t>MARTES A SABADO</t>
        </is>
      </c>
      <c r="J135" s="20" t="inlineStr">
        <is>
          <t>INSARED</t>
        </is>
      </c>
      <c r="K135" s="21" t="n">
        <v>46287</v>
      </c>
      <c r="L135" s="21" t="n">
        <v>46287</v>
      </c>
      <c r="M135" s="20" t="n">
        <v>13</v>
      </c>
    </row>
    <row r="136">
      <c r="A136" s="16" t="inlineStr">
        <is>
          <t>1460</t>
        </is>
      </c>
      <c r="B136" s="17" t="inlineStr">
        <is>
          <t>SABANALARGA</t>
        </is>
      </c>
      <c r="C136" s="17" t="inlineStr">
        <is>
          <t>Sabanalarga</t>
        </is>
      </c>
      <c r="D136" s="17" t="inlineStr">
        <is>
          <t>Antioquia</t>
        </is>
      </c>
      <c r="E136" s="17" t="inlineStr">
        <is>
          <t>ANTIOQUIA</t>
        </is>
      </c>
      <c r="F136" s="17" t="inlineStr">
        <is>
          <t>Martes a Viernes  08:00 a.m. a 11:30 a.m.  y de  02:00 p.m. a 4:30 p.m . y Sábados de 8:00 a.m. a 02.00 p.m.</t>
        </is>
      </c>
      <c r="G136" s="17" t="inlineStr">
        <is>
          <t>CALLE 20 NRO. 19-26</t>
        </is>
      </c>
      <c r="H136" s="17" t="inlineStr">
        <is>
          <t>6013821400</t>
        </is>
      </c>
      <c r="I136" s="17" t="inlineStr">
        <is>
          <t>MARTES A SABADO</t>
        </is>
      </c>
      <c r="J136" s="17" t="inlineStr">
        <is>
          <t>INSARED</t>
        </is>
      </c>
      <c r="K136" s="18" t="n">
        <v>46289</v>
      </c>
      <c r="L136" s="18" t="n">
        <v>46289</v>
      </c>
      <c r="M136" s="17" t="n">
        <v>13</v>
      </c>
    </row>
    <row r="137">
      <c r="A137" s="19" t="inlineStr">
        <is>
          <t>1462</t>
        </is>
      </c>
      <c r="B137" s="20" t="inlineStr">
        <is>
          <t>SAN ANDRES DE CUERQUIA</t>
        </is>
      </c>
      <c r="C137" s="20" t="inlineStr">
        <is>
          <t>San Andrés De Cuerquía</t>
        </is>
      </c>
      <c r="D137" s="20" t="inlineStr">
        <is>
          <t>Antioquia</t>
        </is>
      </c>
      <c r="E137" s="20" t="inlineStr">
        <is>
          <t>ANTIOQUIA</t>
        </is>
      </c>
      <c r="F137" s="20" t="inlineStr">
        <is>
          <t>Martes a Viernes  08:00 a.m. a 11:30 a.m.  y de  02:00 p.m. a 4:30 p.m . y Sábados de 8:00 a.m. a 02.00 p.m.</t>
        </is>
      </c>
      <c r="G137" s="20" t="inlineStr">
        <is>
          <t>Calle 30 No. 29 – 41 Parque Principal</t>
        </is>
      </c>
      <c r="H137" s="20" t="inlineStr">
        <is>
          <t>6013821400</t>
        </is>
      </c>
      <c r="I137" s="20" t="inlineStr">
        <is>
          <t>MARTES A SABADO</t>
        </is>
      </c>
      <c r="J137" s="20" t="inlineStr">
        <is>
          <t>INSARED</t>
        </is>
      </c>
      <c r="K137" s="21" t="n">
        <v>46296</v>
      </c>
      <c r="L137" s="21" t="n">
        <v>46296</v>
      </c>
      <c r="M137" s="20" t="n">
        <v>12</v>
      </c>
    </row>
    <row r="138">
      <c r="A138" s="16" t="inlineStr">
        <is>
          <t>1466</t>
        </is>
      </c>
      <c r="B138" s="17" t="inlineStr">
        <is>
          <t>SAN JOSE DE LA MONTAÑA</t>
        </is>
      </c>
      <c r="C138" s="17" t="inlineStr">
        <is>
          <t>San José De La Montaña</t>
        </is>
      </c>
      <c r="D138" s="17" t="inlineStr">
        <is>
          <t>Antioquia</t>
        </is>
      </c>
      <c r="E138" s="17" t="inlineStr">
        <is>
          <t>ANTIOQUIA</t>
        </is>
      </c>
      <c r="F138" s="17" t="inlineStr">
        <is>
          <t>8:00 AM - 11:30 AM Y DE 02:00 PM - 04:30 PM</t>
        </is>
      </c>
      <c r="G138" s="17" t="inlineStr">
        <is>
          <t>Calle 20 No. 21-24</t>
        </is>
      </c>
      <c r="H138" s="17" t="inlineStr">
        <is>
          <t>6013821400</t>
        </is>
      </c>
      <c r="I138" s="17" t="inlineStr">
        <is>
          <t>LUNES A VIERNES</t>
        </is>
      </c>
      <c r="J138" s="17" t="inlineStr">
        <is>
          <t>INSARED</t>
        </is>
      </c>
      <c r="K138" s="18" t="n">
        <v>46294</v>
      </c>
      <c r="L138" s="18" t="n">
        <v>46294</v>
      </c>
      <c r="M138" s="17" t="n">
        <v>12</v>
      </c>
    </row>
    <row r="139">
      <c r="A139" s="19" t="inlineStr">
        <is>
          <t>1470</t>
        </is>
      </c>
      <c r="B139" s="20" t="inlineStr">
        <is>
          <t>SAN RAFAEL</t>
        </is>
      </c>
      <c r="C139" s="20" t="inlineStr">
        <is>
          <t>San Rafael</t>
        </is>
      </c>
      <c r="D139" s="20" t="inlineStr">
        <is>
          <t>Antioquia</t>
        </is>
      </c>
      <c r="E139" s="20" t="inlineStr">
        <is>
          <t>ANTIOQUIA</t>
        </is>
      </c>
      <c r="F139" s="20" t="inlineStr">
        <is>
          <t>Martes a Viernes  08:00 a.m. a 11:30 a.m.  y de  02:00 p.m. a 4:30 p.m . y Sábados de 8:00 a.m. a 02.00 p.m.</t>
        </is>
      </c>
      <c r="G139" s="20" t="inlineStr">
        <is>
          <t>Calle 31 No.29-22</t>
        </is>
      </c>
      <c r="H139" s="20" t="inlineStr">
        <is>
          <t>6013821400</t>
        </is>
      </c>
      <c r="I139" s="20" t="inlineStr">
        <is>
          <t>MARTES A SABADO</t>
        </is>
      </c>
      <c r="J139" s="20" t="inlineStr">
        <is>
          <t>INSARED</t>
        </is>
      </c>
      <c r="K139" s="21" t="n">
        <v>46323</v>
      </c>
      <c r="L139" s="21" t="n">
        <v>46323</v>
      </c>
      <c r="M139" s="20" t="n">
        <v>16</v>
      </c>
    </row>
    <row r="140">
      <c r="A140" s="16" t="inlineStr">
        <is>
          <t>1471</t>
        </is>
      </c>
      <c r="B140" s="17" t="inlineStr">
        <is>
          <t>ALEJANDRIA</t>
        </is>
      </c>
      <c r="C140" s="17" t="inlineStr">
        <is>
          <t>Alejandría</t>
        </is>
      </c>
      <c r="D140" s="17" t="inlineStr">
        <is>
          <t>Antioquia</t>
        </is>
      </c>
      <c r="E140" s="17" t="inlineStr">
        <is>
          <t>ANTIOQUIA</t>
        </is>
      </c>
      <c r="F140" s="17" t="inlineStr">
        <is>
          <t>Martes a Viernes  08:00 a.m. a 11:30 a.m.  y de  02:00 p.m. a 4:30 p.m . y Sábados de 8:00 a.m. a 02.00 p.m.</t>
        </is>
      </c>
      <c r="G140" s="17" t="inlineStr">
        <is>
          <t>Calle 20 No.19-34/36</t>
        </is>
      </c>
      <c r="H140" s="17" t="inlineStr">
        <is>
          <t>6013821400</t>
        </is>
      </c>
      <c r="I140" s="17" t="inlineStr">
        <is>
          <t>MARTES A SABADO</t>
        </is>
      </c>
      <c r="J140" s="17" t="inlineStr">
        <is>
          <t>INSARED</t>
        </is>
      </c>
      <c r="K140" s="18" t="n">
        <v>46301</v>
      </c>
      <c r="L140" s="18" t="n">
        <v>46301</v>
      </c>
      <c r="M140" s="17" t="n">
        <v>12</v>
      </c>
    </row>
    <row r="141">
      <c r="A141" s="19" t="inlineStr">
        <is>
          <t>1472</t>
        </is>
      </c>
      <c r="B141" s="20" t="inlineStr">
        <is>
          <t>SAN ROQUE</t>
        </is>
      </c>
      <c r="C141" s="20" t="inlineStr">
        <is>
          <t>San Roque</t>
        </is>
      </c>
      <c r="D141" s="20" t="inlineStr">
        <is>
          <t>Antioquia</t>
        </is>
      </c>
      <c r="E141" s="20" t="inlineStr">
        <is>
          <t>ANTIOQUIA</t>
        </is>
      </c>
      <c r="F141" s="20" t="inlineStr">
        <is>
          <t>Martes a Viernes  08:00 a.m. a 11:30 a.m.  y de  02:00 p.m. a 4:30 p.m . y Sábados de 8:00 a.m. a 02.00 p.m.</t>
        </is>
      </c>
      <c r="G141" s="20" t="inlineStr">
        <is>
          <t>Cra.20 No.20-47/51 Pal.Mpal.</t>
        </is>
      </c>
      <c r="H141" s="20" t="inlineStr">
        <is>
          <t>6013821400</t>
        </is>
      </c>
      <c r="I141" s="20" t="inlineStr">
        <is>
          <t>MARTES A SABADO</t>
        </is>
      </c>
      <c r="J141" s="20" t="inlineStr">
        <is>
          <t>INSARED</t>
        </is>
      </c>
      <c r="K141" s="21" t="n">
        <v>46268</v>
      </c>
      <c r="L141" s="21" t="n">
        <v>46268</v>
      </c>
      <c r="M141" s="20" t="n">
        <v>17</v>
      </c>
    </row>
    <row r="142">
      <c r="A142" s="16" t="inlineStr">
        <is>
          <t>1474</t>
        </is>
      </c>
      <c r="B142" s="17" t="inlineStr">
        <is>
          <t>SANTO DOMINGO</t>
        </is>
      </c>
      <c r="C142" s="17" t="inlineStr">
        <is>
          <t>Santo Domingo</t>
        </is>
      </c>
      <c r="D142" s="17" t="inlineStr">
        <is>
          <t>Antioquia</t>
        </is>
      </c>
      <c r="E142" s="17" t="inlineStr">
        <is>
          <t>ANTIOQUIA</t>
        </is>
      </c>
      <c r="F142" s="17" t="inlineStr">
        <is>
          <t>Martes a Viernes  08:00 a.m. a 11:30 a.m.  y de  02:00 p.m. a 4:30 p.m . y Sábados de 8:00 a.m. a 02.00 p.m.</t>
        </is>
      </c>
      <c r="G142" s="17" t="inlineStr">
        <is>
          <t>Cra.15 No.12-35</t>
        </is>
      </c>
      <c r="H142" s="17" t="inlineStr">
        <is>
          <t>6013821400</t>
        </is>
      </c>
      <c r="I142" s="17" t="inlineStr">
        <is>
          <t>MARTES A SABADO</t>
        </is>
      </c>
      <c r="J142" s="17" t="inlineStr">
        <is>
          <t>INSARED</t>
        </is>
      </c>
      <c r="K142" s="18" t="n">
        <v>46301</v>
      </c>
      <c r="L142" s="18" t="n">
        <v>46301</v>
      </c>
      <c r="M142" s="17" t="n">
        <v>12</v>
      </c>
    </row>
    <row r="143">
      <c r="A143" s="19" t="inlineStr">
        <is>
          <t>1476</t>
        </is>
      </c>
      <c r="B143" s="20" t="inlineStr">
        <is>
          <t>SEGOVIA</t>
        </is>
      </c>
      <c r="C143" s="20" t="inlineStr">
        <is>
          <t>Segovia</t>
        </is>
      </c>
      <c r="D143" s="20" t="inlineStr">
        <is>
          <t>Antioquia</t>
        </is>
      </c>
      <c r="E143" s="20" t="inlineStr">
        <is>
          <t>ANTIOQUIA</t>
        </is>
      </c>
      <c r="F143" s="20" t="inlineStr">
        <is>
          <t>Martes a Viernes  08:00 a.m. a 11:30 a.m.  y de  02:00 p.m. a 4:30 p.m . y Sábados de 8:00 a.m. a 02.00 p.m.</t>
        </is>
      </c>
      <c r="G143" s="20" t="inlineStr">
        <is>
          <t>Carrera 51 N° 51 - 75</t>
        </is>
      </c>
      <c r="H143" s="20" t="inlineStr">
        <is>
          <t>6013821400</t>
        </is>
      </c>
      <c r="I143" s="20" t="inlineStr">
        <is>
          <t>MARTES A SABADO</t>
        </is>
      </c>
      <c r="J143" s="20" t="inlineStr">
        <is>
          <t>INSARED</t>
        </is>
      </c>
      <c r="K143" s="21" t="n">
        <v>46288</v>
      </c>
      <c r="L143" s="21" t="n">
        <v>46288</v>
      </c>
      <c r="M143" s="20" t="n">
        <v>27</v>
      </c>
    </row>
    <row r="144">
      <c r="A144" s="16" t="inlineStr">
        <is>
          <t>1478</t>
        </is>
      </c>
      <c r="B144" s="17" t="inlineStr">
        <is>
          <t>TARAZA</t>
        </is>
      </c>
      <c r="C144" s="17" t="inlineStr">
        <is>
          <t>Tarazá</t>
        </is>
      </c>
      <c r="D144" s="17" t="inlineStr">
        <is>
          <t>Antioquia</t>
        </is>
      </c>
      <c r="E144" s="17" t="inlineStr">
        <is>
          <t>ANTIOQUIA</t>
        </is>
      </c>
      <c r="F144" s="17" t="inlineStr">
        <is>
          <t>8:00 AM - 11:30 AM Y DE 02:00 PM - 04:30 PM</t>
        </is>
      </c>
      <c r="G144" s="17" t="inlineStr">
        <is>
          <t>Carrera 30 No 29 -38</t>
        </is>
      </c>
      <c r="H144" s="17" t="inlineStr">
        <is>
          <t>6013821400</t>
        </is>
      </c>
      <c r="I144" s="17" t="inlineStr">
        <is>
          <t>LUNES A VIERNES</t>
        </is>
      </c>
      <c r="J144" s="17" t="inlineStr">
        <is>
          <t>INSARED</t>
        </is>
      </c>
      <c r="K144" s="18" t="n">
        <v>46268</v>
      </c>
      <c r="L144" s="18" t="n">
        <v>46268</v>
      </c>
      <c r="M144" s="17" t="n">
        <v>23</v>
      </c>
    </row>
    <row r="145">
      <c r="A145" s="19" t="inlineStr">
        <is>
          <t>1480</t>
        </is>
      </c>
      <c r="B145" s="20" t="inlineStr">
        <is>
          <t>TARSO</t>
        </is>
      </c>
      <c r="C145" s="20" t="inlineStr">
        <is>
          <t>Tarso</t>
        </is>
      </c>
      <c r="D145" s="20" t="inlineStr">
        <is>
          <t>Antioquia</t>
        </is>
      </c>
      <c r="E145" s="20" t="inlineStr">
        <is>
          <t>ANTIOQUIA</t>
        </is>
      </c>
      <c r="F145" s="20" t="inlineStr">
        <is>
          <t>Martes a Viernes  08:00 a.m. a 11:30 a.m.  y de  02:00 p.m. a 4:30 p.m . y Sábados de 8:00 a.m. a 02.00 p.m.</t>
        </is>
      </c>
      <c r="G145" s="20" t="inlineStr">
        <is>
          <t>Calle 20 No.19-12</t>
        </is>
      </c>
      <c r="H145" s="20" t="inlineStr">
        <is>
          <t>6013821400</t>
        </is>
      </c>
      <c r="I145" s="20" t="inlineStr">
        <is>
          <t>MARTES A SABADO</t>
        </is>
      </c>
      <c r="J145" s="20" t="inlineStr">
        <is>
          <t>INSARED</t>
        </is>
      </c>
      <c r="K145" s="21" t="n">
        <v>46315</v>
      </c>
      <c r="L145" s="21" t="n">
        <v>46315</v>
      </c>
      <c r="M145" s="20" t="n">
        <v>16</v>
      </c>
    </row>
    <row r="146">
      <c r="A146" s="16" t="inlineStr">
        <is>
          <t>1482</t>
        </is>
      </c>
      <c r="B146" s="17" t="inlineStr">
        <is>
          <t>TOLEDO</t>
        </is>
      </c>
      <c r="C146" s="17" t="inlineStr">
        <is>
          <t>Toledo</t>
        </is>
      </c>
      <c r="D146" s="17" t="inlineStr">
        <is>
          <t>Antioquia</t>
        </is>
      </c>
      <c r="E146" s="17" t="inlineStr">
        <is>
          <t>ANTIOQUIA</t>
        </is>
      </c>
      <c r="F146" s="17" t="inlineStr">
        <is>
          <t>Martes a Viernes  08:00 a.m. a 11:30 a.m.  y de  02:00 p.m. a 4:30 p.m . y Sábados de 8:00 a.m. a 02.00 p.m.</t>
        </is>
      </c>
      <c r="G146" s="17" t="inlineStr">
        <is>
          <t>Calle 11 No. 10 - 18 Parque Principal</t>
        </is>
      </c>
      <c r="H146" s="17" t="inlineStr">
        <is>
          <t>6013821400</t>
        </is>
      </c>
      <c r="I146" s="17" t="inlineStr">
        <is>
          <t>MARTES A SABADO</t>
        </is>
      </c>
      <c r="J146" s="17" t="inlineStr">
        <is>
          <t>INSARED</t>
        </is>
      </c>
      <c r="K146" s="18" t="n">
        <v>46295</v>
      </c>
      <c r="L146" s="18" t="n">
        <v>46295</v>
      </c>
      <c r="M146" s="17" t="n">
        <v>12</v>
      </c>
    </row>
    <row r="147">
      <c r="A147" s="19" t="inlineStr">
        <is>
          <t>1484</t>
        </is>
      </c>
      <c r="B147" s="20" t="inlineStr">
        <is>
          <t>VALDIVIA</t>
        </is>
      </c>
      <c r="C147" s="20" t="inlineStr">
        <is>
          <t>Valdivia</t>
        </is>
      </c>
      <c r="D147" s="20" t="inlineStr">
        <is>
          <t>Antioquia</t>
        </is>
      </c>
      <c r="E147" s="20" t="inlineStr">
        <is>
          <t>ANTIOQUIA</t>
        </is>
      </c>
      <c r="F147" s="20" t="inlineStr">
        <is>
          <t>8:00 A.M.  A 3:00 P.M.</t>
        </is>
      </c>
      <c r="G147" s="20" t="inlineStr">
        <is>
          <t>Carrera 10 No. 10 – 24/28 Local 101</t>
        </is>
      </c>
      <c r="H147" s="20" t="inlineStr">
        <is>
          <t>6013821400</t>
        </is>
      </c>
      <c r="I147" s="20" t="inlineStr">
        <is>
          <t>LUNES A VIERNES</t>
        </is>
      </c>
      <c r="J147" s="20" t="inlineStr">
        <is>
          <t>INSARED</t>
        </is>
      </c>
      <c r="K147" s="21" t="n">
        <v>46269</v>
      </c>
      <c r="L147" s="21" t="n">
        <v>46269</v>
      </c>
      <c r="M147" s="20" t="n">
        <v>13</v>
      </c>
    </row>
    <row r="148">
      <c r="A148" s="16" t="inlineStr">
        <is>
          <t>1486</t>
        </is>
      </c>
      <c r="B148" s="17" t="inlineStr">
        <is>
          <t>VALPARAISO</t>
        </is>
      </c>
      <c r="C148" s="17" t="inlineStr">
        <is>
          <t>Valparaíso</t>
        </is>
      </c>
      <c r="D148" s="17" t="inlineStr">
        <is>
          <t>Antioquia</t>
        </is>
      </c>
      <c r="E148" s="17" t="inlineStr">
        <is>
          <t>ANTIOQUIA</t>
        </is>
      </c>
      <c r="F148" s="17" t="inlineStr">
        <is>
          <t>Martes a Viernes  08:00 a.m. a 11:30 a.m.  y de  02:00 p.m. a 4:30 p.m . y Sábados de 8:00 a.m. a 02.00 p.m.</t>
        </is>
      </c>
      <c r="G148" s="17" t="inlineStr">
        <is>
          <t>Carrera 9 No. 9 -57</t>
        </is>
      </c>
      <c r="H148" s="17" t="inlineStr">
        <is>
          <t>6013821400</t>
        </is>
      </c>
      <c r="I148" s="17" t="inlineStr">
        <is>
          <t>MARTES A SABADO</t>
        </is>
      </c>
      <c r="J148" s="17" t="inlineStr">
        <is>
          <t>INSARED</t>
        </is>
      </c>
      <c r="K148" s="18" t="n">
        <v>46281</v>
      </c>
      <c r="L148" s="18" t="n">
        <v>46281</v>
      </c>
      <c r="M148" s="17" t="n">
        <v>14</v>
      </c>
    </row>
    <row r="149">
      <c r="A149" s="19" t="inlineStr">
        <is>
          <t>1487</t>
        </is>
      </c>
      <c r="B149" s="20" t="inlineStr">
        <is>
          <t>ENTRERRIOS</t>
        </is>
      </c>
      <c r="C149" s="20" t="inlineStr">
        <is>
          <t>ENTRERRIOS</t>
        </is>
      </c>
      <c r="D149" s="20" t="inlineStr">
        <is>
          <t>Antioquia</t>
        </is>
      </c>
      <c r="E149" s="20" t="inlineStr">
        <is>
          <t>ANTIOQUIA</t>
        </is>
      </c>
      <c r="F149" s="20" t="inlineStr">
        <is>
          <t>Martes a Viernes  08:00 a.m. a 11:30 a.m.  y de  02:00 p.m. a 4:30 p.m . y Sábados de 8:00 a.m. a 02.00 p.m.</t>
        </is>
      </c>
      <c r="G149" s="20" t="inlineStr">
        <is>
          <t>Carrera 11 No. 10-68</t>
        </is>
      </c>
      <c r="H149" s="20" t="inlineStr">
        <is>
          <t>6013821400</t>
        </is>
      </c>
      <c r="I149" s="20" t="inlineStr">
        <is>
          <t>MARTES A SABADO</t>
        </is>
      </c>
      <c r="J149" s="20" t="inlineStr">
        <is>
          <t>INSARED</t>
        </is>
      </c>
      <c r="K149" s="21" t="n">
        <v>46296</v>
      </c>
      <c r="L149" s="21" t="n">
        <v>46296</v>
      </c>
      <c r="M149" s="20" t="n">
        <v>16</v>
      </c>
    </row>
    <row r="150">
      <c r="A150" s="16" t="inlineStr">
        <is>
          <t>1501</t>
        </is>
      </c>
      <c r="B150" s="17" t="inlineStr">
        <is>
          <t>AQUITANIA</t>
        </is>
      </c>
      <c r="C150" s="17" t="inlineStr">
        <is>
          <t>Aquitania</t>
        </is>
      </c>
      <c r="D150" s="17" t="inlineStr">
        <is>
          <t>Boyacá</t>
        </is>
      </c>
      <c r="E150" s="17" t="inlineStr">
        <is>
          <t>ORIENTE</t>
        </is>
      </c>
      <c r="F150" s="17" t="inlineStr">
        <is>
          <t>8:00 AM - 11:30 AM Y DE 02:00 PM - 04:30 PM</t>
        </is>
      </c>
      <c r="G150" s="17" t="inlineStr">
        <is>
          <t>Calle 7 No.6-34</t>
        </is>
      </c>
      <c r="H150" s="17" t="inlineStr">
        <is>
          <t>6013821400</t>
        </is>
      </c>
      <c r="I150" s="17" t="inlineStr">
        <is>
          <t>LUNES A VIERNES</t>
        </is>
      </c>
      <c r="J150" s="17" t="inlineStr">
        <is>
          <t>GESTIONATECH</t>
        </is>
      </c>
      <c r="K150" s="18" t="n">
        <v>46286</v>
      </c>
      <c r="L150" s="18" t="n">
        <v>46287</v>
      </c>
      <c r="M150" s="17" t="n">
        <v>23</v>
      </c>
    </row>
    <row r="151">
      <c r="A151" s="19" t="inlineStr">
        <is>
          <t>1502</t>
        </is>
      </c>
      <c r="B151" s="20" t="inlineStr">
        <is>
          <t>ARCABUCO</t>
        </is>
      </c>
      <c r="C151" s="20" t="inlineStr">
        <is>
          <t>Arcabuco</t>
        </is>
      </c>
      <c r="D151" s="20" t="inlineStr">
        <is>
          <t>Boyacá</t>
        </is>
      </c>
      <c r="E151" s="20" t="inlineStr">
        <is>
          <t>ORIENTE</t>
        </is>
      </c>
      <c r="F151" s="20" t="inlineStr">
        <is>
          <t>8:00 AM - 11:30 AM Y DE 02:00 PM - 04:30 PM</t>
        </is>
      </c>
      <c r="G151" s="20" t="inlineStr">
        <is>
          <t>Cra.6 No.4-09</t>
        </is>
      </c>
      <c r="H151" s="20" t="inlineStr">
        <is>
          <t>6013821400</t>
        </is>
      </c>
      <c r="I151" s="20" t="inlineStr">
        <is>
          <t>LUNES A VIERNES</t>
        </is>
      </c>
      <c r="J151" s="20" t="inlineStr">
        <is>
          <t>GESTIONATECH</t>
        </is>
      </c>
      <c r="K151" s="21" t="n">
        <v>46286</v>
      </c>
      <c r="L151" s="21" t="n">
        <v>46287</v>
      </c>
      <c r="M151" s="20" t="n">
        <v>15</v>
      </c>
    </row>
    <row r="152">
      <c r="A152" s="16" t="inlineStr">
        <is>
          <t>1503</t>
        </is>
      </c>
      <c r="B152" s="17" t="inlineStr">
        <is>
          <t>TUNJA</t>
        </is>
      </c>
      <c r="C152" s="17" t="inlineStr">
        <is>
          <t>Tunja</t>
        </is>
      </c>
      <c r="D152" s="17" t="inlineStr">
        <is>
          <t>Boyacá</t>
        </is>
      </c>
      <c r="E152" s="17" t="inlineStr">
        <is>
          <t>ORIENTE</t>
        </is>
      </c>
      <c r="F152" s="17" t="inlineStr">
        <is>
          <t>8:00 AM A 5:00 P.M.</t>
        </is>
      </c>
      <c r="G152" s="17" t="inlineStr">
        <is>
          <t>CALLE 18 No. 11-31 Piso 3</t>
        </is>
      </c>
      <c r="H152" s="17" t="inlineStr">
        <is>
          <t>6013821400</t>
        </is>
      </c>
      <c r="I152" s="17" t="inlineStr">
        <is>
          <t>LUNES A VIERNES</t>
        </is>
      </c>
      <c r="J152" s="17" t="inlineStr">
        <is>
          <t>REGIONAL</t>
        </is>
      </c>
      <c r="K152" s="18" t="n">
        <v>46301</v>
      </c>
      <c r="L152" s="18" t="n">
        <v>46311</v>
      </c>
      <c r="M152" s="17" t="n">
        <v>73</v>
      </c>
    </row>
    <row r="153">
      <c r="A153" s="19" t="inlineStr">
        <is>
          <t>1504</t>
        </is>
      </c>
      <c r="B153" s="20" t="inlineStr">
        <is>
          <t>BELEN</t>
        </is>
      </c>
      <c r="C153" s="20" t="inlineStr">
        <is>
          <t>Belén</t>
        </is>
      </c>
      <c r="D153" s="20" t="inlineStr">
        <is>
          <t>Boyacá</t>
        </is>
      </c>
      <c r="E153" s="20" t="inlineStr">
        <is>
          <t>ORIENTE</t>
        </is>
      </c>
      <c r="F153" s="20" t="inlineStr">
        <is>
          <t>DE MARTES A VIERNES DE 8:00 AM A 11:30 AM Y DE 2:00 P.M. A 4:30 P.M.    SABADO DE 8:00 AM A 2:00 P.M.</t>
        </is>
      </c>
      <c r="G153" s="20" t="inlineStr">
        <is>
          <t>Cra.5 No.6-11</t>
        </is>
      </c>
      <c r="H153" s="20" t="inlineStr">
        <is>
          <t>6013821400</t>
        </is>
      </c>
      <c r="I153" s="20" t="inlineStr">
        <is>
          <t>MARTES A VIERNES Y      SÁBADO</t>
        </is>
      </c>
      <c r="J153" s="20" t="inlineStr">
        <is>
          <t>GESTIONATECH</t>
        </is>
      </c>
      <c r="K153" s="21" t="n">
        <v>46267</v>
      </c>
      <c r="L153" s="21" t="n">
        <v>46268</v>
      </c>
      <c r="M153" s="20" t="n">
        <v>21</v>
      </c>
    </row>
    <row r="154">
      <c r="A154" s="16" t="inlineStr">
        <is>
          <t>1505</t>
        </is>
      </c>
      <c r="B154" s="17" t="inlineStr">
        <is>
          <t>PAZ DE RIO</t>
        </is>
      </c>
      <c r="C154" s="17" t="inlineStr">
        <is>
          <t>Paz de Río</t>
        </is>
      </c>
      <c r="D154" s="17" t="inlineStr">
        <is>
          <t>Boyacá</t>
        </is>
      </c>
      <c r="E154" s="17" t="inlineStr">
        <is>
          <t>ORIENTE</t>
        </is>
      </c>
      <c r="F154" s="17" t="inlineStr">
        <is>
          <t>DE MARTES A VIERNES DE 8:00 AM A 11:30 AM Y DE 2:00 P.M. A 4:30 P.M.    SABADO DE 8:00 AM A 2:00 P.M.</t>
        </is>
      </c>
      <c r="G154" s="17" t="inlineStr">
        <is>
          <t>Carrera 3 N° 9 – 32/38 Avenida Santander</t>
        </is>
      </c>
      <c r="H154" s="17" t="inlineStr">
        <is>
          <t>6013821400</t>
        </is>
      </c>
      <c r="I154" s="17" t="inlineStr">
        <is>
          <t>MARTES A VIERNES Y      SÁBADO</t>
        </is>
      </c>
      <c r="J154" s="17" t="inlineStr">
        <is>
          <t>GESTIONATECH</t>
        </is>
      </c>
      <c r="K154" s="18" t="n">
        <v>46275</v>
      </c>
      <c r="L154" s="18" t="n">
        <v>46276</v>
      </c>
      <c r="M154" s="17" t="n">
        <v>13</v>
      </c>
    </row>
    <row r="155">
      <c r="A155" s="19" t="inlineStr">
        <is>
          <t>1506</t>
        </is>
      </c>
      <c r="B155" s="20" t="inlineStr">
        <is>
          <t>BOAVITA</t>
        </is>
      </c>
      <c r="C155" s="20" t="inlineStr">
        <is>
          <t>Boavita</t>
        </is>
      </c>
      <c r="D155" s="20" t="inlineStr">
        <is>
          <t>Boyacá</t>
        </is>
      </c>
      <c r="E155" s="20" t="inlineStr">
        <is>
          <t>ORIENTE</t>
        </is>
      </c>
      <c r="F155" s="20" t="inlineStr">
        <is>
          <t>8:00 AM - 11:30 AM Y DE 02:00 PM - 04:30 PM</t>
        </is>
      </c>
      <c r="G155" s="20" t="inlineStr">
        <is>
          <t>Cra.7 Calle 5 Local 107 Edificio del Gobierno Municipal</t>
        </is>
      </c>
      <c r="H155" s="20" t="inlineStr">
        <is>
          <t>6013821400</t>
        </is>
      </c>
      <c r="I155" s="20" t="inlineStr">
        <is>
          <t>LUNES A VIERNES</t>
        </is>
      </c>
      <c r="J155" s="20" t="inlineStr">
        <is>
          <t>GESTIONATECH</t>
        </is>
      </c>
      <c r="K155" s="21" t="n">
        <v>46266</v>
      </c>
      <c r="L155" s="21" t="n">
        <v>46267</v>
      </c>
      <c r="M155" s="20" t="n">
        <v>14</v>
      </c>
    </row>
    <row r="156">
      <c r="A156" s="16" t="inlineStr">
        <is>
          <t>1507</t>
        </is>
      </c>
      <c r="B156" s="17" t="inlineStr">
        <is>
          <t>DUITAMA</t>
        </is>
      </c>
      <c r="C156" s="17" t="inlineStr">
        <is>
          <t>Duitama</t>
        </is>
      </c>
      <c r="D156" s="17" t="inlineStr">
        <is>
          <t>Boyacá</t>
        </is>
      </c>
      <c r="E156" s="17" t="inlineStr">
        <is>
          <t>ORIENTE</t>
        </is>
      </c>
      <c r="F156" s="17" t="inlineStr">
        <is>
          <t>8:00 AM - 11:30 AM Y DE 02:00 PM - 04:30 PM</t>
        </is>
      </c>
      <c r="G156" s="17" t="inlineStr">
        <is>
          <t>Calle 14 No 15-33/37-41</t>
        </is>
      </c>
      <c r="H156" s="17" t="inlineStr">
        <is>
          <t>6013821400</t>
        </is>
      </c>
      <c r="I156" s="17" t="inlineStr">
        <is>
          <t>LUNES A VIERNES</t>
        </is>
      </c>
      <c r="J156" s="17" t="inlineStr">
        <is>
          <t>GESTIONATECH</t>
        </is>
      </c>
      <c r="K156" s="18" t="n">
        <v>46289</v>
      </c>
      <c r="L156" s="18" t="n">
        <v>46290</v>
      </c>
      <c r="M156" s="17" t="n">
        <v>49</v>
      </c>
    </row>
    <row r="157">
      <c r="A157" s="19" t="inlineStr">
        <is>
          <t>1509</t>
        </is>
      </c>
      <c r="B157" s="20" t="inlineStr">
        <is>
          <t>CAMPOHERMOSO</t>
        </is>
      </c>
      <c r="C157" s="20" t="inlineStr">
        <is>
          <t>Campohermoso</t>
        </is>
      </c>
      <c r="D157" s="20" t="inlineStr">
        <is>
          <t>Boyacá</t>
        </is>
      </c>
      <c r="E157" s="20" t="inlineStr">
        <is>
          <t>ORIENTE</t>
        </is>
      </c>
      <c r="F157" s="20" t="inlineStr">
        <is>
          <t>8:00 AM - 11:30 AM Y DE 02:00 PM - 04:30 PM</t>
        </is>
      </c>
      <c r="G157" s="20" t="inlineStr">
        <is>
          <t>Carrera 5 No. 2 – 03/07</t>
        </is>
      </c>
      <c r="H157" s="20" t="inlineStr">
        <is>
          <t>6013821400</t>
        </is>
      </c>
      <c r="I157" s="20" t="inlineStr">
        <is>
          <t>LUNES A VIERNES</t>
        </is>
      </c>
      <c r="J157" s="20" t="inlineStr">
        <is>
          <t>GESTIONATECH</t>
        </is>
      </c>
      <c r="K157" s="21" t="n">
        <v>46274</v>
      </c>
      <c r="L157" s="21" t="n">
        <v>46275</v>
      </c>
      <c r="M157" s="20" t="n">
        <v>12</v>
      </c>
    </row>
    <row r="158">
      <c r="A158" s="16" t="inlineStr">
        <is>
          <t>1510</t>
        </is>
      </c>
      <c r="B158" s="17" t="inlineStr">
        <is>
          <t>CUBARA</t>
        </is>
      </c>
      <c r="C158" s="17" t="inlineStr">
        <is>
          <t>Cubará</t>
        </is>
      </c>
      <c r="D158" s="17" t="inlineStr">
        <is>
          <t>Boyacá</t>
        </is>
      </c>
      <c r="E158" s="17" t="inlineStr">
        <is>
          <t>BOGOTA</t>
        </is>
      </c>
      <c r="F158" s="17" t="inlineStr">
        <is>
          <t>8:00 AM - 11:30 AM Y DE 02:00 PM - 04:30 PM</t>
        </is>
      </c>
      <c r="G158" s="17" t="inlineStr">
        <is>
          <t>CALLE 4 No.4-56/2-21</t>
        </is>
      </c>
      <c r="H158" s="17" t="inlineStr">
        <is>
          <t>6013821400</t>
        </is>
      </c>
      <c r="I158" s="17" t="inlineStr">
        <is>
          <t>LUNES A VIERNES</t>
        </is>
      </c>
      <c r="J158" s="17" t="inlineStr">
        <is>
          <t>GESTIONATECH</t>
        </is>
      </c>
      <c r="K158" s="18" t="n">
        <v>46293</v>
      </c>
      <c r="L158" s="18" t="n">
        <v>46294</v>
      </c>
      <c r="M158" s="17" t="n">
        <v>14</v>
      </c>
    </row>
    <row r="159">
      <c r="A159" s="19" t="inlineStr">
        <is>
          <t>1511</t>
        </is>
      </c>
      <c r="B159" s="20" t="inlineStr">
        <is>
          <t>PAIPA</t>
        </is>
      </c>
      <c r="C159" s="20" t="inlineStr">
        <is>
          <t>Paipa</t>
        </is>
      </c>
      <c r="D159" s="20" t="inlineStr">
        <is>
          <t>Boyacá</t>
        </is>
      </c>
      <c r="E159" s="20" t="inlineStr">
        <is>
          <t>ORIENTE</t>
        </is>
      </c>
      <c r="F159" s="20" t="inlineStr">
        <is>
          <t>8:00 AM - 11:30 AM Y DE 02:00 PM - 04:30 PM</t>
        </is>
      </c>
      <c r="G159" s="20" t="inlineStr">
        <is>
          <t>Calle 25 No. 19-122/128</t>
        </is>
      </c>
      <c r="H159" s="20" t="inlineStr">
        <is>
          <t>6013821400</t>
        </is>
      </c>
      <c r="I159" s="20" t="inlineStr">
        <is>
          <t>LUNES A VIERNES</t>
        </is>
      </c>
      <c r="J159" s="20" t="inlineStr">
        <is>
          <t>GESTIONATECH</t>
        </is>
      </c>
      <c r="K159" s="21" t="n">
        <v>46290</v>
      </c>
      <c r="L159" s="21" t="n">
        <v>46290</v>
      </c>
      <c r="M159" s="20" t="n">
        <v>30</v>
      </c>
    </row>
    <row r="160">
      <c r="A160" s="16" t="inlineStr">
        <is>
          <t>1512</t>
        </is>
      </c>
      <c r="B160" s="17" t="inlineStr">
        <is>
          <t>CHINAVITA</t>
        </is>
      </c>
      <c r="C160" s="17" t="inlineStr">
        <is>
          <t>Chinavita</t>
        </is>
      </c>
      <c r="D160" s="17" t="inlineStr">
        <is>
          <t>Boyacá</t>
        </is>
      </c>
      <c r="E160" s="17" t="inlineStr">
        <is>
          <t>ORIENTE</t>
        </is>
      </c>
      <c r="F160" s="17" t="inlineStr">
        <is>
          <t>DE MARTES A VIERNES DE 8:00 AM A 11:30 AM Y DE 2:00 P.M. A 4:30 P.M.    SABADO DE 8:00 AM A 2:00 P.M.</t>
        </is>
      </c>
      <c r="G160" s="17" t="inlineStr">
        <is>
          <t>Calle 4 No. 3 - 32</t>
        </is>
      </c>
      <c r="H160" s="17" t="inlineStr">
        <is>
          <t>6013821400</t>
        </is>
      </c>
      <c r="I160" s="17" t="inlineStr">
        <is>
          <t>MARTES A VIERNES Y      SÁBADO</t>
        </is>
      </c>
      <c r="J160" s="17" t="inlineStr">
        <is>
          <t>GESTIONATECH</t>
        </is>
      </c>
      <c r="K160" s="18" t="n">
        <v>46273</v>
      </c>
      <c r="L160" s="18" t="n">
        <v>46274</v>
      </c>
      <c r="M160" s="17" t="n">
        <v>12</v>
      </c>
    </row>
    <row r="161">
      <c r="A161" s="19" t="inlineStr">
        <is>
          <t>1514</t>
        </is>
      </c>
      <c r="B161" s="20" t="inlineStr">
        <is>
          <t>CHISCAS</t>
        </is>
      </c>
      <c r="C161" s="20" t="inlineStr">
        <is>
          <t>Chiscas</t>
        </is>
      </c>
      <c r="D161" s="20" t="inlineStr">
        <is>
          <t>Boyacá</t>
        </is>
      </c>
      <c r="E161" s="20" t="inlineStr">
        <is>
          <t>ORIENTE</t>
        </is>
      </c>
      <c r="F161" s="20" t="inlineStr">
        <is>
          <t>8:00 AM - 11:30 AM Y DE 02:00 PM - 04:30 PM</t>
        </is>
      </c>
      <c r="G161" s="20" t="inlineStr">
        <is>
          <t>Calle 4 No 3-64 Centro</t>
        </is>
      </c>
      <c r="H161" s="20" t="inlineStr">
        <is>
          <t>6013821400</t>
        </is>
      </c>
      <c r="I161" s="20" t="inlineStr">
        <is>
          <t>LUNES A VIERNES</t>
        </is>
      </c>
      <c r="J161" s="20" t="inlineStr">
        <is>
          <t>GESTIONATECH</t>
        </is>
      </c>
      <c r="K161" s="21" t="n">
        <v>46268</v>
      </c>
      <c r="L161" s="21" t="n">
        <v>46269</v>
      </c>
      <c r="M161" s="20" t="n">
        <v>12</v>
      </c>
    </row>
    <row r="162">
      <c r="A162" s="16" t="inlineStr">
        <is>
          <t>1515</t>
        </is>
      </c>
      <c r="B162" s="17" t="inlineStr">
        <is>
          <t>CHIVOR</t>
        </is>
      </c>
      <c r="C162" s="17" t="inlineStr">
        <is>
          <t>Chivor</t>
        </is>
      </c>
      <c r="D162" s="17" t="inlineStr">
        <is>
          <t>Boyacá</t>
        </is>
      </c>
      <c r="E162" s="17" t="inlineStr">
        <is>
          <t>ORIENTE</t>
        </is>
      </c>
      <c r="F162" s="17" t="inlineStr">
        <is>
          <t>8:00 AM - 11:30 AM Y DE 02:00 PM - 04:30 PM</t>
        </is>
      </c>
      <c r="G162" s="17" t="inlineStr">
        <is>
          <t>Carrera 4 No. 4 -02/06</t>
        </is>
      </c>
      <c r="H162" s="17" t="inlineStr">
        <is>
          <t>6013821400</t>
        </is>
      </c>
      <c r="I162" s="17" t="inlineStr">
        <is>
          <t>LUNES A VIERNES</t>
        </is>
      </c>
      <c r="J162" s="17" t="inlineStr">
        <is>
          <t>GESTIONATECH</t>
        </is>
      </c>
      <c r="K162" s="18" t="n">
        <v>46269</v>
      </c>
      <c r="L162" s="18" t="n">
        <v>46269</v>
      </c>
      <c r="M162" s="17" t="n">
        <v>12</v>
      </c>
    </row>
    <row r="163">
      <c r="A163" s="19" t="inlineStr">
        <is>
          <t>1516</t>
        </is>
      </c>
      <c r="B163" s="20" t="inlineStr">
        <is>
          <t>SOGAMOSO</t>
        </is>
      </c>
      <c r="C163" s="20" t="inlineStr">
        <is>
          <t>Sogamoso</t>
        </is>
      </c>
      <c r="D163" s="20" t="inlineStr">
        <is>
          <t>Boyacá</t>
        </is>
      </c>
      <c r="E163" s="20" t="inlineStr">
        <is>
          <t>ORIENTE</t>
        </is>
      </c>
      <c r="F163" s="20" t="inlineStr">
        <is>
          <t>8:00 AM - 11:30 AM Y DE 02:00 PM - 04:30 PM</t>
        </is>
      </c>
      <c r="G163" s="20" t="inlineStr">
        <is>
          <t>Carrera 11 No.12-99</t>
        </is>
      </c>
      <c r="H163" s="20" t="inlineStr">
        <is>
          <t>6013821400</t>
        </is>
      </c>
      <c r="I163" s="20" t="inlineStr">
        <is>
          <t>LUNES A VIERNES</t>
        </is>
      </c>
      <c r="J163" s="20" t="inlineStr">
        <is>
          <t>GESTIONATECH</t>
        </is>
      </c>
      <c r="K163" s="21" t="n">
        <v>46289</v>
      </c>
      <c r="L163" s="21" t="n">
        <v>46290</v>
      </c>
      <c r="M163" s="20" t="n">
        <v>47</v>
      </c>
    </row>
    <row r="164">
      <c r="A164" s="16" t="inlineStr">
        <is>
          <t>1518</t>
        </is>
      </c>
      <c r="B164" s="17" t="inlineStr">
        <is>
          <t>CHITA</t>
        </is>
      </c>
      <c r="C164" s="17" t="inlineStr">
        <is>
          <t>Chita</t>
        </is>
      </c>
      <c r="D164" s="17" t="inlineStr">
        <is>
          <t>Boyacá</t>
        </is>
      </c>
      <c r="E164" s="17" t="inlineStr">
        <is>
          <t>ORIENTE</t>
        </is>
      </c>
      <c r="F164" s="17" t="inlineStr">
        <is>
          <t>8:00 AM - 11:30 AM Y DE 02:00 PM - 04:30 PM</t>
        </is>
      </c>
      <c r="G164" s="17" t="inlineStr">
        <is>
          <t>Calle 4 No. 4 - 43</t>
        </is>
      </c>
      <c r="H164" s="17" t="inlineStr">
        <is>
          <t>6013821400</t>
        </is>
      </c>
      <c r="I164" s="17" t="inlineStr">
        <is>
          <t>LUNES A VIERNES</t>
        </is>
      </c>
      <c r="J164" s="17" t="inlineStr">
        <is>
          <t>GESTIONATECH</t>
        </is>
      </c>
      <c r="K164" s="18" t="n">
        <v>46275</v>
      </c>
      <c r="L164" s="18" t="n">
        <v>46276</v>
      </c>
      <c r="M164" s="17" t="n">
        <v>15</v>
      </c>
    </row>
    <row r="165">
      <c r="A165" s="19" t="inlineStr">
        <is>
          <t>1520</t>
        </is>
      </c>
      <c r="B165" s="20" t="inlineStr">
        <is>
          <t>CHITARAQUE</t>
        </is>
      </c>
      <c r="C165" s="20" t="inlineStr">
        <is>
          <t>Chitaraque</t>
        </is>
      </c>
      <c r="D165" s="20" t="inlineStr">
        <is>
          <t>Boyacá</t>
        </is>
      </c>
      <c r="E165" s="20" t="inlineStr">
        <is>
          <t>ORIENTE</t>
        </is>
      </c>
      <c r="F165" s="20" t="inlineStr">
        <is>
          <t>8:00 AM - 11:30 AM Y DE 02:00 PM - 04:30 PM</t>
        </is>
      </c>
      <c r="G165" s="20" t="inlineStr">
        <is>
          <t>Calle 2 No. 3 - 39</t>
        </is>
      </c>
      <c r="H165" s="20" t="inlineStr">
        <is>
          <t>6013821400</t>
        </is>
      </c>
      <c r="I165" s="20" t="inlineStr">
        <is>
          <t>LUNES A VIERNES</t>
        </is>
      </c>
      <c r="J165" s="20" t="inlineStr">
        <is>
          <t>GESTIONATECH</t>
        </is>
      </c>
      <c r="K165" s="21" t="n">
        <v>46282</v>
      </c>
      <c r="L165" s="21" t="n">
        <v>46283</v>
      </c>
      <c r="M165" s="20" t="n">
        <v>13</v>
      </c>
    </row>
    <row r="166">
      <c r="A166" s="16" t="inlineStr">
        <is>
          <t>1522</t>
        </is>
      </c>
      <c r="B166" s="17" t="inlineStr">
        <is>
          <t>COVARACHIA</t>
        </is>
      </c>
      <c r="C166" s="17" t="inlineStr">
        <is>
          <t>Covarachía</t>
        </is>
      </c>
      <c r="D166" s="17" t="inlineStr">
        <is>
          <t>Boyacá</t>
        </is>
      </c>
      <c r="E166" s="17" t="inlineStr">
        <is>
          <t>ORIENTE</t>
        </is>
      </c>
      <c r="F166" s="17" t="inlineStr">
        <is>
          <t>8:00 AM - 11:30 AM Y DE 02:00 PM - 04:30 PM</t>
        </is>
      </c>
      <c r="G166" s="17" t="inlineStr">
        <is>
          <t>Cra. 1 No. 3 - 20 ALCALDIA MUNICIPAL</t>
        </is>
      </c>
      <c r="H166" s="17" t="inlineStr">
        <is>
          <t>6013821400</t>
        </is>
      </c>
      <c r="I166" s="17" t="inlineStr">
        <is>
          <t>LUNES A VIERNES</t>
        </is>
      </c>
      <c r="J166" s="17" t="inlineStr">
        <is>
          <t>GESTIONATECH</t>
        </is>
      </c>
      <c r="K166" s="18" t="n">
        <v>46267</v>
      </c>
      <c r="L166" s="18" t="n">
        <v>46268</v>
      </c>
      <c r="M166" s="17" t="n">
        <v>12</v>
      </c>
    </row>
    <row r="167">
      <c r="A167" s="19" t="inlineStr">
        <is>
          <t>1524</t>
        </is>
      </c>
      <c r="B167" s="20" t="inlineStr">
        <is>
          <t>EL COCUY</t>
        </is>
      </c>
      <c r="C167" s="20" t="inlineStr">
        <is>
          <t>El Cocuy</t>
        </is>
      </c>
      <c r="D167" s="20" t="inlineStr">
        <is>
          <t>Boyacá</t>
        </is>
      </c>
      <c r="E167" s="20" t="inlineStr">
        <is>
          <t>ORIENTE</t>
        </is>
      </c>
      <c r="F167" s="20" t="inlineStr">
        <is>
          <t>8:00 AM - 11:30 AM Y DE 02:00 PM - 04:30 PM</t>
        </is>
      </c>
      <c r="G167" s="20" t="inlineStr">
        <is>
          <t>Calle 8 No. 3 - 64</t>
        </is>
      </c>
      <c r="H167" s="20" t="inlineStr">
        <is>
          <t>6013821400</t>
        </is>
      </c>
      <c r="I167" s="20" t="inlineStr">
        <is>
          <t>LUNES A VIERNES</t>
        </is>
      </c>
      <c r="J167" s="20" t="inlineStr">
        <is>
          <t>GESTIONATECH</t>
        </is>
      </c>
      <c r="K167" s="21" t="n">
        <v>46267</v>
      </c>
      <c r="L167" s="21" t="n">
        <v>46268</v>
      </c>
      <c r="M167" s="20" t="n">
        <v>16</v>
      </c>
    </row>
    <row r="168">
      <c r="A168" s="16" t="inlineStr">
        <is>
          <t>1526</t>
        </is>
      </c>
      <c r="B168" s="17" t="inlineStr">
        <is>
          <t>EL ESPINO</t>
        </is>
      </c>
      <c r="C168" s="17" t="inlineStr">
        <is>
          <t>El Espino</t>
        </is>
      </c>
      <c r="D168" s="17" t="inlineStr">
        <is>
          <t>Boyacá</t>
        </is>
      </c>
      <c r="E168" s="17" t="inlineStr">
        <is>
          <t>ORIENTE</t>
        </is>
      </c>
      <c r="F168" s="17" t="inlineStr">
        <is>
          <t>DE MARTES A VIERNES DE 8:00 AM A 11:30 AM Y DE 2:00 P.M. A 4:30 P.M.    SABADO DE 8:00 AM A 2:00 P.M.</t>
        </is>
      </c>
      <c r="G168" s="17" t="inlineStr">
        <is>
          <t>Calle 6 No. 4 -08</t>
        </is>
      </c>
      <c r="H168" s="17" t="inlineStr">
        <is>
          <t>6013821400</t>
        </is>
      </c>
      <c r="I168" s="17" t="inlineStr">
        <is>
          <t>MARTES A VIERNES Y      SÁBADO</t>
        </is>
      </c>
      <c r="J168" s="17" t="inlineStr">
        <is>
          <t>GESTIONATECH</t>
        </is>
      </c>
      <c r="K168" s="18" t="n">
        <v>46268</v>
      </c>
      <c r="L168" s="18" t="n">
        <v>46269</v>
      </c>
      <c r="M168" s="17" t="n">
        <v>12</v>
      </c>
    </row>
    <row r="169">
      <c r="A169" s="19" t="inlineStr">
        <is>
          <t>1528</t>
        </is>
      </c>
      <c r="B169" s="20" t="inlineStr">
        <is>
          <t>GACHANTIVA</t>
        </is>
      </c>
      <c r="C169" s="20" t="inlineStr">
        <is>
          <t>Gachantivá</t>
        </is>
      </c>
      <c r="D169" s="20" t="inlineStr">
        <is>
          <t>Boyacá</t>
        </is>
      </c>
      <c r="E169" s="20" t="inlineStr">
        <is>
          <t>ORIENTE</t>
        </is>
      </c>
      <c r="F169" s="20" t="inlineStr">
        <is>
          <t>8:00 AM - 11:30 AM Y DE 02:00 PM - 04:30 PM</t>
        </is>
      </c>
      <c r="G169" s="20" t="inlineStr">
        <is>
          <t>Palacio Mpal</t>
        </is>
      </c>
      <c r="H169" s="20" t="inlineStr">
        <is>
          <t>6013821400</t>
        </is>
      </c>
      <c r="I169" s="20" t="inlineStr">
        <is>
          <t>LUNES A VIERNES</t>
        </is>
      </c>
      <c r="J169" s="20" t="inlineStr">
        <is>
          <t>GESTIONATECH</t>
        </is>
      </c>
      <c r="K169" s="21" t="n">
        <v>46287</v>
      </c>
      <c r="L169" s="21" t="n">
        <v>46288</v>
      </c>
      <c r="M169" s="20" t="n">
        <v>12</v>
      </c>
    </row>
    <row r="170">
      <c r="A170" s="16" t="inlineStr">
        <is>
          <t>1530</t>
        </is>
      </c>
      <c r="B170" s="17" t="inlineStr">
        <is>
          <t>CHIQUINQUIRA</t>
        </is>
      </c>
      <c r="C170" s="17" t="inlineStr">
        <is>
          <t>Chiquinquirá</t>
        </is>
      </c>
      <c r="D170" s="17" t="inlineStr">
        <is>
          <t>Boyacá</t>
        </is>
      </c>
      <c r="E170" s="17" t="inlineStr">
        <is>
          <t>ORIENTE</t>
        </is>
      </c>
      <c r="F170" s="17" t="inlineStr">
        <is>
          <t>8:00 AM - 11:30 AM Y DE 02:00 PM - 04:30 PM</t>
        </is>
      </c>
      <c r="G170" s="17" t="inlineStr">
        <is>
          <t>Carrera 10 No 14-27</t>
        </is>
      </c>
      <c r="H170" s="17" t="inlineStr">
        <is>
          <t>6013821400</t>
        </is>
      </c>
      <c r="I170" s="17" t="inlineStr">
        <is>
          <t>LUNES A VIERNES</t>
        </is>
      </c>
      <c r="J170" s="17" t="inlineStr">
        <is>
          <t>GESTIONATECH</t>
        </is>
      </c>
      <c r="K170" s="18" t="n">
        <v>46280</v>
      </c>
      <c r="L170" s="18" t="n">
        <v>46282</v>
      </c>
      <c r="M170" s="17" t="n">
        <v>42</v>
      </c>
    </row>
    <row r="171">
      <c r="A171" s="19" t="inlineStr">
        <is>
          <t>1532</t>
        </is>
      </c>
      <c r="B171" s="20" t="inlineStr">
        <is>
          <t>GAMEZA</t>
        </is>
      </c>
      <c r="C171" s="20" t="inlineStr">
        <is>
          <t>Gameza</t>
        </is>
      </c>
      <c r="D171" s="20" t="inlineStr">
        <is>
          <t>Boyacá</t>
        </is>
      </c>
      <c r="E171" s="20" t="inlineStr">
        <is>
          <t>ORIENTE</t>
        </is>
      </c>
      <c r="F171" s="20" t="inlineStr">
        <is>
          <t>8:00 AM - 11:30 AM Y DE 02:00 PM - 04:30 PM</t>
        </is>
      </c>
      <c r="G171" s="20" t="inlineStr">
        <is>
          <t>CARRERA 4 No. 3-05</t>
        </is>
      </c>
      <c r="H171" s="20" t="inlineStr">
        <is>
          <t>6013821400</t>
        </is>
      </c>
      <c r="I171" s="20" t="inlineStr">
        <is>
          <t>LUNES A VIERNES</t>
        </is>
      </c>
      <c r="J171" s="20" t="inlineStr">
        <is>
          <t>GESTIONATECH</t>
        </is>
      </c>
      <c r="K171" s="21" t="n">
        <v>46286</v>
      </c>
      <c r="L171" s="21" t="n">
        <v>46287</v>
      </c>
      <c r="M171" s="20" t="n">
        <v>16</v>
      </c>
    </row>
    <row r="172">
      <c r="A172" s="16" t="inlineStr">
        <is>
          <t>1534</t>
        </is>
      </c>
      <c r="B172" s="17" t="inlineStr">
        <is>
          <t>GARAGOA</t>
        </is>
      </c>
      <c r="C172" s="17" t="inlineStr">
        <is>
          <t>Garagoa</t>
        </is>
      </c>
      <c r="D172" s="17" t="inlineStr">
        <is>
          <t>Boyacá</t>
        </is>
      </c>
      <c r="E172" s="17" t="inlineStr">
        <is>
          <t>ORIENTE</t>
        </is>
      </c>
      <c r="F172" s="17" t="inlineStr">
        <is>
          <t>8:00 AM - 11:30 AM Y DE 02:00 PM - 04:30 PM</t>
        </is>
      </c>
      <c r="G172" s="17" t="inlineStr">
        <is>
          <t>Cra.10 No. 9 - 66 LOCAL 101</t>
        </is>
      </c>
      <c r="H172" s="17" t="inlineStr">
        <is>
          <t>6013821400</t>
        </is>
      </c>
      <c r="I172" s="17" t="inlineStr">
        <is>
          <t>LUNES A VIERNES</t>
        </is>
      </c>
      <c r="J172" s="17" t="inlineStr">
        <is>
          <t>GESTIONATECH</t>
        </is>
      </c>
      <c r="K172" s="18" t="n">
        <v>46272</v>
      </c>
      <c r="L172" s="18" t="n">
        <v>46273</v>
      </c>
      <c r="M172" s="17" t="n">
        <v>33</v>
      </c>
    </row>
    <row r="173">
      <c r="A173" s="19" t="inlineStr">
        <is>
          <t>1535</t>
        </is>
      </c>
      <c r="B173" s="20" t="inlineStr">
        <is>
          <t>JENESANO</t>
        </is>
      </c>
      <c r="C173" s="20" t="inlineStr">
        <is>
          <t>Jenesano</t>
        </is>
      </c>
      <c r="D173" s="20" t="inlineStr">
        <is>
          <t>Boyacá</t>
        </is>
      </c>
      <c r="E173" s="20" t="inlineStr">
        <is>
          <t>ORIENTE</t>
        </is>
      </c>
      <c r="F173" s="20" t="inlineStr">
        <is>
          <t>8:00 AM - 11:30 AM Y DE 02:00 PM - 04:30 PM</t>
        </is>
      </c>
      <c r="G173" s="20" t="inlineStr">
        <is>
          <t>Calle 7 No 3-41/45</t>
        </is>
      </c>
      <c r="H173" s="20" t="inlineStr">
        <is>
          <t>6013821400</t>
        </is>
      </c>
      <c r="I173" s="20" t="inlineStr">
        <is>
          <t>LUNES A VIERNES</t>
        </is>
      </c>
      <c r="J173" s="20" t="inlineStr">
        <is>
          <t>GESTIONATECH</t>
        </is>
      </c>
      <c r="K173" s="21" t="n">
        <v>46274</v>
      </c>
      <c r="L173" s="21" t="n">
        <v>46275</v>
      </c>
      <c r="M173" s="20" t="n">
        <v>15</v>
      </c>
    </row>
    <row r="174">
      <c r="A174" s="16" t="inlineStr">
        <is>
          <t>1536</t>
        </is>
      </c>
      <c r="B174" s="17" t="inlineStr">
        <is>
          <t>GUATEQUE</t>
        </is>
      </c>
      <c r="C174" s="17" t="inlineStr">
        <is>
          <t>Guateque</t>
        </is>
      </c>
      <c r="D174" s="17" t="inlineStr">
        <is>
          <t>Boyacá</t>
        </is>
      </c>
      <c r="E174" s="17" t="inlineStr">
        <is>
          <t>ORIENTE</t>
        </is>
      </c>
      <c r="F174" s="17" t="inlineStr">
        <is>
          <t>8:00 AM - 11:30 AM Y DE 02:00 PM - 04:30 PM</t>
        </is>
      </c>
      <c r="G174" s="17" t="inlineStr">
        <is>
          <t>Cra. 7 No. 10 - 05</t>
        </is>
      </c>
      <c r="H174" s="17" t="inlineStr">
        <is>
          <t>6013821400</t>
        </is>
      </c>
      <c r="I174" s="17" t="inlineStr">
        <is>
          <t>LUNES A VIERNES</t>
        </is>
      </c>
      <c r="J174" s="17" t="inlineStr">
        <is>
          <t>GESTIONATECH</t>
        </is>
      </c>
      <c r="K174" s="18" t="n">
        <v>46272</v>
      </c>
      <c r="L174" s="18" t="n">
        <v>46273</v>
      </c>
      <c r="M174" s="17" t="n">
        <v>29</v>
      </c>
    </row>
    <row r="175">
      <c r="A175" s="19" t="inlineStr">
        <is>
          <t>1538</t>
        </is>
      </c>
      <c r="B175" s="20" t="inlineStr">
        <is>
          <t>GUAYATA</t>
        </is>
      </c>
      <c r="C175" s="20" t="inlineStr">
        <is>
          <t>Guayatá</t>
        </is>
      </c>
      <c r="D175" s="20" t="inlineStr">
        <is>
          <t>Boyacá</t>
        </is>
      </c>
      <c r="E175" s="20" t="inlineStr">
        <is>
          <t>ORIENTE</t>
        </is>
      </c>
      <c r="F175" s="20" t="inlineStr">
        <is>
          <t>8:00 AM - 11:30 AM Y DE 02:00 PM - 04:30 PM</t>
        </is>
      </c>
      <c r="G175" s="20" t="inlineStr">
        <is>
          <t>Calle 4 No. 4 - 02</t>
        </is>
      </c>
      <c r="H175" s="20" t="inlineStr">
        <is>
          <t>6013821400</t>
        </is>
      </c>
      <c r="I175" s="20" t="inlineStr">
        <is>
          <t>LUNES A VIERNES</t>
        </is>
      </c>
      <c r="J175" s="20" t="inlineStr">
        <is>
          <t>GESTIONATECH</t>
        </is>
      </c>
      <c r="K175" s="21" t="n">
        <v>46269</v>
      </c>
      <c r="L175" s="21" t="n">
        <v>46269</v>
      </c>
      <c r="M175" s="20" t="n">
        <v>12</v>
      </c>
    </row>
    <row r="176">
      <c r="A176" s="16" t="inlineStr">
        <is>
          <t>1540</t>
        </is>
      </c>
      <c r="B176" s="17" t="inlineStr">
        <is>
          <t>GUICAN</t>
        </is>
      </c>
      <c r="C176" s="17" t="inlineStr">
        <is>
          <t>Güicán</t>
        </is>
      </c>
      <c r="D176" s="17" t="inlineStr">
        <is>
          <t>Boyacá</t>
        </is>
      </c>
      <c r="E176" s="17" t="inlineStr">
        <is>
          <t>ORIENTE</t>
        </is>
      </c>
      <c r="F176" s="17" t="inlineStr">
        <is>
          <t>8:00 AM - 11:30 AM Y DE 02:00 PM - 04:30 PM</t>
        </is>
      </c>
      <c r="G176" s="17" t="inlineStr">
        <is>
          <t>Cra.3 No. 4 - 25</t>
        </is>
      </c>
      <c r="H176" s="17" t="inlineStr">
        <is>
          <t>6013821400</t>
        </is>
      </c>
      <c r="I176" s="17" t="inlineStr">
        <is>
          <t>LUNES A VIERNES</t>
        </is>
      </c>
      <c r="J176" s="17" t="inlineStr">
        <is>
          <t>GESTIONATECH</t>
        </is>
      </c>
      <c r="K176" s="18" t="n">
        <v>46268</v>
      </c>
      <c r="L176" s="18" t="n">
        <v>46269</v>
      </c>
      <c r="M176" s="17" t="n">
        <v>12</v>
      </c>
    </row>
    <row r="177">
      <c r="A177" s="19" t="inlineStr">
        <is>
          <t>1542</t>
        </is>
      </c>
      <c r="B177" s="20" t="inlineStr">
        <is>
          <t>LABRANZAGRANDE</t>
        </is>
      </c>
      <c r="C177" s="20" t="inlineStr">
        <is>
          <t>Labranzagrande</t>
        </is>
      </c>
      <c r="D177" s="20" t="inlineStr">
        <is>
          <t>Boyacá</t>
        </is>
      </c>
      <c r="E177" s="20" t="inlineStr">
        <is>
          <t>ORIENTE</t>
        </is>
      </c>
      <c r="F177" s="20" t="inlineStr">
        <is>
          <t>8:00 AM - 11:30 AM Y DE 02:00 PM - 04:30 PM</t>
        </is>
      </c>
      <c r="G177" s="20" t="inlineStr">
        <is>
          <t>Calle 8 No. 7-38-42-44-48</t>
        </is>
      </c>
      <c r="H177" s="20" t="inlineStr">
        <is>
          <t>6013821400</t>
        </is>
      </c>
      <c r="I177" s="20" t="inlineStr">
        <is>
          <t>LUNES A VIERNES</t>
        </is>
      </c>
      <c r="J177" s="20" t="inlineStr">
        <is>
          <t>GESTIONATECH</t>
        </is>
      </c>
      <c r="K177" s="21" t="n">
        <v>46287</v>
      </c>
      <c r="L177" s="21" t="n">
        <v>46288</v>
      </c>
      <c r="M177" s="20" t="n">
        <v>14</v>
      </c>
    </row>
    <row r="178">
      <c r="A178" s="16" t="inlineStr">
        <is>
          <t>1544</t>
        </is>
      </c>
      <c r="B178" s="17" t="inlineStr">
        <is>
          <t>LA UVITA</t>
        </is>
      </c>
      <c r="C178" s="17" t="inlineStr">
        <is>
          <t>La Uvita</t>
        </is>
      </c>
      <c r="D178" s="17" t="inlineStr">
        <is>
          <t>Boyacá</t>
        </is>
      </c>
      <c r="E178" s="17" t="inlineStr">
        <is>
          <t>ORIENTE</t>
        </is>
      </c>
      <c r="F178" s="17" t="inlineStr">
        <is>
          <t>8:00 AM - 11:30 AM Y DE 02:00 PM - 04:30 PM</t>
        </is>
      </c>
      <c r="G178" s="17" t="inlineStr">
        <is>
          <t>Carrera 6 No. 6 -73</t>
        </is>
      </c>
      <c r="H178" s="17" t="inlineStr">
        <is>
          <t>6013821400</t>
        </is>
      </c>
      <c r="I178" s="17" t="inlineStr">
        <is>
          <t>LUNES A VIERNES</t>
        </is>
      </c>
      <c r="J178" s="17" t="inlineStr">
        <is>
          <t>GESTIONATECH</t>
        </is>
      </c>
      <c r="K178" s="18" t="n">
        <v>46266</v>
      </c>
      <c r="L178" s="18" t="n">
        <v>46267</v>
      </c>
      <c r="M178" s="17" t="n">
        <v>12</v>
      </c>
    </row>
    <row r="179">
      <c r="A179" s="19" t="inlineStr">
        <is>
          <t>1545</t>
        </is>
      </c>
      <c r="B179" s="20" t="inlineStr">
        <is>
          <t>MUZO</t>
        </is>
      </c>
      <c r="C179" s="20" t="inlineStr">
        <is>
          <t>Muzo</t>
        </is>
      </c>
      <c r="D179" s="20" t="inlineStr">
        <is>
          <t>Boyacá</t>
        </is>
      </c>
      <c r="E179" s="20" t="inlineStr">
        <is>
          <t>ORIENTE</t>
        </is>
      </c>
      <c r="F179" s="20" t="inlineStr">
        <is>
          <t>8:00 AM - 11:30 AM Y DE 02:00 PM - 04:30 PM</t>
        </is>
      </c>
      <c r="G179" s="20" t="inlineStr">
        <is>
          <t>Calle 3 No. 6-33</t>
        </is>
      </c>
      <c r="H179" s="20" t="inlineStr">
        <is>
          <t>6013821400</t>
        </is>
      </c>
      <c r="I179" s="20" t="inlineStr">
        <is>
          <t>LUNES A VIERNES</t>
        </is>
      </c>
      <c r="J179" s="20" t="inlineStr">
        <is>
          <t>GESTIONATECH</t>
        </is>
      </c>
      <c r="K179" s="21" t="n">
        <v>46279</v>
      </c>
      <c r="L179" s="21" t="n">
        <v>46280</v>
      </c>
      <c r="M179" s="20" t="n">
        <v>16</v>
      </c>
    </row>
    <row r="180">
      <c r="A180" s="16" t="inlineStr">
        <is>
          <t>1546</t>
        </is>
      </c>
      <c r="B180" s="17" t="inlineStr">
        <is>
          <t>VILLA DE LEYVA</t>
        </is>
      </c>
      <c r="C180" s="17" t="inlineStr">
        <is>
          <t>Villa De Leyva</t>
        </is>
      </c>
      <c r="D180" s="17" t="inlineStr">
        <is>
          <t>Boyacá</t>
        </is>
      </c>
      <c r="E180" s="17" t="inlineStr">
        <is>
          <t>ORIENTE</t>
        </is>
      </c>
      <c r="F180" s="17" t="inlineStr">
        <is>
          <t>DE MARTES A VIERNES DE 8:00 AM A 11:30 AM Y DE 2:00 P.M. A 4:30 P.M.    SABADO DE 8:00 AM A 2:00 P.M.</t>
        </is>
      </c>
      <c r="G180" s="17" t="inlineStr">
        <is>
          <t>Calle 12 No. 9-45</t>
        </is>
      </c>
      <c r="H180" s="17" t="inlineStr">
        <is>
          <t>6013821400</t>
        </is>
      </c>
      <c r="I180" s="17" t="inlineStr">
        <is>
          <t>MARTES A VIERNES Y      SÁBADO</t>
        </is>
      </c>
      <c r="J180" s="17" t="inlineStr">
        <is>
          <t>GESTIONATECH</t>
        </is>
      </c>
      <c r="K180" s="18" t="n">
        <v>46280</v>
      </c>
      <c r="L180" s="18" t="n">
        <v>46281</v>
      </c>
      <c r="M180" s="17" t="n">
        <v>20</v>
      </c>
    </row>
    <row r="181">
      <c r="A181" s="19" t="inlineStr">
        <is>
          <t>1547</t>
        </is>
      </c>
      <c r="B181" s="20" t="inlineStr">
        <is>
          <t>NUEVO COLON</t>
        </is>
      </c>
      <c r="C181" s="20" t="inlineStr">
        <is>
          <t>Nuevo Colón</t>
        </is>
      </c>
      <c r="D181" s="20" t="inlineStr">
        <is>
          <t>Boyacá</t>
        </is>
      </c>
      <c r="E181" s="20" t="inlineStr">
        <is>
          <t>ORIENTE</t>
        </is>
      </c>
      <c r="F181" s="20" t="inlineStr">
        <is>
          <t>8:00 AM - 11:30 AM Y DE 02:00 PM - 04:30 PM</t>
        </is>
      </c>
      <c r="G181" s="20" t="inlineStr">
        <is>
          <t>Calle 3 N° 4-13/17</t>
        </is>
      </c>
      <c r="H181" s="20" t="inlineStr">
        <is>
          <t>6013821400</t>
        </is>
      </c>
      <c r="I181" s="20" t="inlineStr">
        <is>
          <t>LUNES A VIERNES</t>
        </is>
      </c>
      <c r="J181" s="20" t="inlineStr">
        <is>
          <t>GESTIONATECH</t>
        </is>
      </c>
      <c r="K181" s="21" t="n">
        <v>46288</v>
      </c>
      <c r="L181" s="21" t="n">
        <v>46289</v>
      </c>
      <c r="M181" s="20" t="n">
        <v>15</v>
      </c>
    </row>
    <row r="182">
      <c r="A182" s="16" t="inlineStr">
        <is>
          <t>1548</t>
        </is>
      </c>
      <c r="B182" s="17" t="inlineStr">
        <is>
          <t>MACANAL</t>
        </is>
      </c>
      <c r="C182" s="17" t="inlineStr">
        <is>
          <t>Macanal</t>
        </is>
      </c>
      <c r="D182" s="17" t="inlineStr">
        <is>
          <t>Boyacá</t>
        </is>
      </c>
      <c r="E182" s="17" t="inlineStr">
        <is>
          <t>ORIENTE</t>
        </is>
      </c>
      <c r="F182" s="17" t="inlineStr">
        <is>
          <t>8:00 AM - 11:30 AM Y DE 02:00 PM - 04:30 PM</t>
        </is>
      </c>
      <c r="G182" s="17" t="inlineStr">
        <is>
          <t>Carrera 6 No. 2 -73/75</t>
        </is>
      </c>
      <c r="H182" s="17" t="inlineStr">
        <is>
          <t>6013821400</t>
        </is>
      </c>
      <c r="I182" s="17" t="inlineStr">
        <is>
          <t>LUNES A VIERNES</t>
        </is>
      </c>
      <c r="J182" s="17" t="inlineStr">
        <is>
          <t>GESTIONATECH</t>
        </is>
      </c>
      <c r="K182" s="18" t="n">
        <v>46269</v>
      </c>
      <c r="L182" s="18" t="n">
        <v>46269</v>
      </c>
      <c r="M182" s="17" t="n">
        <v>14</v>
      </c>
    </row>
    <row r="183">
      <c r="A183" s="19" t="inlineStr">
        <is>
          <t>1550</t>
        </is>
      </c>
      <c r="B183" s="20" t="inlineStr">
        <is>
          <t>MIRAFLORES</t>
        </is>
      </c>
      <c r="C183" s="20" t="inlineStr">
        <is>
          <t>Miraflores</t>
        </is>
      </c>
      <c r="D183" s="20" t="inlineStr">
        <is>
          <t>Boyacá</t>
        </is>
      </c>
      <c r="E183" s="20" t="inlineStr">
        <is>
          <t>ORIENTE</t>
        </is>
      </c>
      <c r="F183" s="20" t="inlineStr">
        <is>
          <t>8:00 AM - 11:30 AM Y DE 02:00 PM - 04:30 PM</t>
        </is>
      </c>
      <c r="G183" s="20" t="inlineStr">
        <is>
          <t>Carrera 7 No. 3 - 40</t>
        </is>
      </c>
      <c r="H183" s="20" t="inlineStr">
        <is>
          <t>6013821400</t>
        </is>
      </c>
      <c r="I183" s="20" t="inlineStr">
        <is>
          <t>LUNES A VIERNES</t>
        </is>
      </c>
      <c r="J183" s="20" t="inlineStr">
        <is>
          <t>GESTIONATECH</t>
        </is>
      </c>
      <c r="K183" s="21" t="n">
        <v>46274</v>
      </c>
      <c r="L183" s="21" t="n">
        <v>46275</v>
      </c>
      <c r="M183" s="20" t="n">
        <v>22</v>
      </c>
    </row>
    <row r="184">
      <c r="A184" s="16" t="inlineStr">
        <is>
          <t>1551</t>
        </is>
      </c>
      <c r="B184" s="17" t="inlineStr">
        <is>
          <t>MONIQUIRA</t>
        </is>
      </c>
      <c r="C184" s="17" t="inlineStr">
        <is>
          <t>Moniquirá</t>
        </is>
      </c>
      <c r="D184" s="17" t="inlineStr">
        <is>
          <t>Boyacá</t>
        </is>
      </c>
      <c r="E184" s="17" t="inlineStr">
        <is>
          <t>ORIENTE</t>
        </is>
      </c>
      <c r="F184" s="17" t="inlineStr">
        <is>
          <t>8:00 AM - 11:30 AM Y DE 02:00 PM - 04:30 PM</t>
        </is>
      </c>
      <c r="G184" s="17" t="inlineStr">
        <is>
          <t>CARRERA 5 No.18 - 45/53</t>
        </is>
      </c>
      <c r="H184" s="17" t="inlineStr">
        <is>
          <t>6013821400</t>
        </is>
      </c>
      <c r="I184" s="17" t="inlineStr">
        <is>
          <t>LUNES A VIERNES</t>
        </is>
      </c>
      <c r="J184" s="17" t="inlineStr">
        <is>
          <t>GESTIONATECH</t>
        </is>
      </c>
      <c r="K184" s="18" t="n">
        <v>46282</v>
      </c>
      <c r="L184" s="18" t="n">
        <v>46283</v>
      </c>
      <c r="M184" s="17" t="n">
        <v>27</v>
      </c>
    </row>
    <row r="185">
      <c r="A185" s="19" t="inlineStr">
        <is>
          <t>1552</t>
        </is>
      </c>
      <c r="B185" s="20" t="inlineStr">
        <is>
          <t>OTANCHE</t>
        </is>
      </c>
      <c r="C185" s="20" t="inlineStr">
        <is>
          <t>Otanche</t>
        </is>
      </c>
      <c r="D185" s="20" t="inlineStr">
        <is>
          <t>Boyacá</t>
        </is>
      </c>
      <c r="E185" s="20" t="inlineStr">
        <is>
          <t>ORIENTE</t>
        </is>
      </c>
      <c r="F185" s="20" t="inlineStr">
        <is>
          <t>8:00 AM - 11:30 AM Y DE 02:00 PM - 04:30 PM</t>
        </is>
      </c>
      <c r="G185" s="20" t="inlineStr">
        <is>
          <t>Calle 4A N° 3-19</t>
        </is>
      </c>
      <c r="H185" s="20" t="inlineStr">
        <is>
          <t>6013821400</t>
        </is>
      </c>
      <c r="I185" s="20" t="inlineStr">
        <is>
          <t>LUNES A VIERNES</t>
        </is>
      </c>
      <c r="J185" s="20" t="inlineStr">
        <is>
          <t>GESTIONATECH</t>
        </is>
      </c>
      <c r="K185" s="21" t="n">
        <v>46279</v>
      </c>
      <c r="L185" s="21" t="n">
        <v>46280</v>
      </c>
      <c r="M185" s="20" t="n">
        <v>15</v>
      </c>
    </row>
    <row r="186">
      <c r="A186" s="16" t="inlineStr">
        <is>
          <t>1553</t>
        </is>
      </c>
      <c r="B186" s="17" t="inlineStr">
        <is>
          <t>PAEZ</t>
        </is>
      </c>
      <c r="C186" s="17" t="inlineStr">
        <is>
          <t>Páez</t>
        </is>
      </c>
      <c r="D186" s="17" t="inlineStr">
        <is>
          <t>Boyacá</t>
        </is>
      </c>
      <c r="E186" s="17" t="inlineStr">
        <is>
          <t>ORIENTE</t>
        </is>
      </c>
      <c r="F186" s="17" t="inlineStr">
        <is>
          <t>8:00 AM - 11:30 AM Y DE 02:00 PM - 04:30 PM</t>
        </is>
      </c>
      <c r="G186" s="17" t="inlineStr">
        <is>
          <t>Carrera 2 No. 5-04</t>
        </is>
      </c>
      <c r="H186" s="17" t="inlineStr">
        <is>
          <t>6013821400</t>
        </is>
      </c>
      <c r="I186" s="17" t="inlineStr">
        <is>
          <t>LUNES A VIERNES</t>
        </is>
      </c>
      <c r="J186" s="17" t="inlineStr">
        <is>
          <t>GESTIONATECH</t>
        </is>
      </c>
      <c r="K186" s="18" t="n">
        <v>46275</v>
      </c>
      <c r="L186" s="18" t="n">
        <v>46276</v>
      </c>
      <c r="M186" s="17" t="n">
        <v>12</v>
      </c>
    </row>
    <row r="187">
      <c r="A187" s="19" t="inlineStr">
        <is>
          <t>1554</t>
        </is>
      </c>
      <c r="B187" s="20" t="inlineStr">
        <is>
          <t>PAJARITO</t>
        </is>
      </c>
      <c r="C187" s="20" t="inlineStr">
        <is>
          <t>Pajarito</t>
        </is>
      </c>
      <c r="D187" s="20" t="inlineStr">
        <is>
          <t>Boyacá</t>
        </is>
      </c>
      <c r="E187" s="20" t="inlineStr">
        <is>
          <t>ORIENTE</t>
        </is>
      </c>
      <c r="F187" s="20" t="inlineStr">
        <is>
          <t>8:00 AM - 11:30 AM Y DE 02:00 PM - 04:30 PM</t>
        </is>
      </c>
      <c r="G187" s="20" t="inlineStr">
        <is>
          <t>Cra.3 No.3-00 - Carrera 2 No. 4-71</t>
        </is>
      </c>
      <c r="H187" s="20" t="inlineStr">
        <is>
          <t>6013821400</t>
        </is>
      </c>
      <c r="I187" s="20" t="inlineStr">
        <is>
          <t>LUNES A VIERNES</t>
        </is>
      </c>
      <c r="J187" s="20" t="inlineStr">
        <is>
          <t>GESTIONATECH</t>
        </is>
      </c>
      <c r="K187" s="21" t="n">
        <v>46289</v>
      </c>
      <c r="L187" s="21" t="n">
        <v>46290</v>
      </c>
      <c r="M187" s="20" t="n">
        <v>14</v>
      </c>
    </row>
    <row r="188">
      <c r="A188" s="16" t="inlineStr">
        <is>
          <t>1555</t>
        </is>
      </c>
      <c r="B188" s="17" t="inlineStr">
        <is>
          <t>PAUNA</t>
        </is>
      </c>
      <c r="C188" s="17" t="inlineStr">
        <is>
          <t>Pauna</t>
        </is>
      </c>
      <c r="D188" s="17" t="inlineStr">
        <is>
          <t>Boyacá</t>
        </is>
      </c>
      <c r="E188" s="17" t="inlineStr">
        <is>
          <t>ORIENTE</t>
        </is>
      </c>
      <c r="F188" s="17" t="inlineStr">
        <is>
          <t>8:00 AM - 11:30 AM Y DE 02:00 PM - 04:30 PM</t>
        </is>
      </c>
      <c r="G188" s="17" t="inlineStr">
        <is>
          <t>CALLE 5 No. 5 - 05/    45 Barrio Central</t>
        </is>
      </c>
      <c r="H188" s="17" t="inlineStr">
        <is>
          <t>6013821400</t>
        </is>
      </c>
      <c r="I188" s="17" t="inlineStr">
        <is>
          <t>LUNES A VIERNES</t>
        </is>
      </c>
      <c r="J188" s="17" t="inlineStr">
        <is>
          <t>GESTIONATECH</t>
        </is>
      </c>
      <c r="K188" s="18" t="n">
        <v>46279</v>
      </c>
      <c r="L188" s="18" t="n">
        <v>46280</v>
      </c>
      <c r="M188" s="17" t="n">
        <v>19</v>
      </c>
    </row>
    <row r="189">
      <c r="A189" s="19" t="inlineStr">
        <is>
          <t>1556</t>
        </is>
      </c>
      <c r="B189" s="20" t="inlineStr">
        <is>
          <t>PESCA</t>
        </is>
      </c>
      <c r="C189" s="20" t="inlineStr">
        <is>
          <t>Pesca</t>
        </is>
      </c>
      <c r="D189" s="20" t="inlineStr">
        <is>
          <t>Boyacá</t>
        </is>
      </c>
      <c r="E189" s="20" t="inlineStr">
        <is>
          <t>ORIENTE</t>
        </is>
      </c>
      <c r="F189" s="20" t="inlineStr">
        <is>
          <t>8:00 AM - 11:30 AM Y DE 02:00 PM - 04:30 PM</t>
        </is>
      </c>
      <c r="G189" s="20" t="inlineStr">
        <is>
          <t>Carrera 4 No.4-13</t>
        </is>
      </c>
      <c r="H189" s="20" t="inlineStr">
        <is>
          <t>6013821400</t>
        </is>
      </c>
      <c r="I189" s="20" t="inlineStr">
        <is>
          <t>LUNES A VIERNES</t>
        </is>
      </c>
      <c r="J189" s="20" t="inlineStr">
        <is>
          <t>GESTIONATECH</t>
        </is>
      </c>
      <c r="K189" s="21" t="n">
        <v>46286</v>
      </c>
      <c r="L189" s="21" t="n">
        <v>46287</v>
      </c>
      <c r="M189" s="20" t="n">
        <v>15</v>
      </c>
    </row>
    <row r="190">
      <c r="A190" s="16" t="inlineStr">
        <is>
          <t>1560</t>
        </is>
      </c>
      <c r="B190" s="17" t="inlineStr">
        <is>
          <t>PUERTO BOYACA</t>
        </is>
      </c>
      <c r="C190" s="17" t="inlineStr">
        <is>
          <t>Puerto Boyacá</t>
        </is>
      </c>
      <c r="D190" s="17" t="inlineStr">
        <is>
          <t>Boyacá</t>
        </is>
      </c>
      <c r="E190" s="17" t="inlineStr">
        <is>
          <t>ORIENTE</t>
        </is>
      </c>
      <c r="F190" s="17" t="inlineStr">
        <is>
          <t>8:00 AM - 11:30 AM Y DE 02:00 PM - 04:30 PM</t>
        </is>
      </c>
      <c r="G190" s="17" t="inlineStr">
        <is>
          <t>Calle 11 No. 3 A 24</t>
        </is>
      </c>
      <c r="H190" s="17" t="inlineStr">
        <is>
          <t>6013821400</t>
        </is>
      </c>
      <c r="I190" s="17" t="inlineStr">
        <is>
          <t>LUNES A VIERNES</t>
        </is>
      </c>
      <c r="J190" s="17" t="inlineStr">
        <is>
          <t>GESTIONATECH</t>
        </is>
      </c>
      <c r="K190" s="18" t="n">
        <v>46314</v>
      </c>
      <c r="L190" s="18" t="n">
        <v>46318</v>
      </c>
      <c r="M190" s="17" t="n">
        <v>27</v>
      </c>
    </row>
    <row r="191">
      <c r="A191" s="19" t="inlineStr">
        <is>
          <t>1563</t>
        </is>
      </c>
      <c r="B191" s="20" t="inlineStr">
        <is>
          <t>RAMIRIQUI</t>
        </is>
      </c>
      <c r="C191" s="20" t="inlineStr">
        <is>
          <t>Ramiriquí</t>
        </is>
      </c>
      <c r="D191" s="20" t="inlineStr">
        <is>
          <t>Boyacá</t>
        </is>
      </c>
      <c r="E191" s="20" t="inlineStr">
        <is>
          <t>ORIENTE</t>
        </is>
      </c>
      <c r="F191" s="20" t="inlineStr">
        <is>
          <t>8:00 AM - 11:30 AM Y DE 02:00 PM - 04:30 PM</t>
        </is>
      </c>
      <c r="G191" s="20" t="inlineStr">
        <is>
          <t>Calle 7 No 6-07</t>
        </is>
      </c>
      <c r="H191" s="20" t="inlineStr">
        <is>
          <t>6013821400</t>
        </is>
      </c>
      <c r="I191" s="20" t="inlineStr">
        <is>
          <t>LUNES A VIERNES</t>
        </is>
      </c>
      <c r="J191" s="20" t="inlineStr">
        <is>
          <t>GESTIONATECH</t>
        </is>
      </c>
      <c r="K191" s="21" t="n">
        <v>46274</v>
      </c>
      <c r="L191" s="21" t="n">
        <v>46275</v>
      </c>
      <c r="M191" s="20" t="n">
        <v>26</v>
      </c>
    </row>
    <row r="192">
      <c r="A192" s="16" t="inlineStr">
        <is>
          <t>1567</t>
        </is>
      </c>
      <c r="B192" s="17" t="inlineStr">
        <is>
          <t>SABOYA</t>
        </is>
      </c>
      <c r="C192" s="17" t="inlineStr">
        <is>
          <t>Saboyá</t>
        </is>
      </c>
      <c r="D192" s="17" t="inlineStr">
        <is>
          <t>Boyacá</t>
        </is>
      </c>
      <c r="E192" s="17" t="inlineStr">
        <is>
          <t>ORIENTE</t>
        </is>
      </c>
      <c r="F192" s="17" t="inlineStr">
        <is>
          <t>8:00 AM - 11:30 AM Y DE 02:00 PM - 04:30 PM</t>
        </is>
      </c>
      <c r="G192" s="17" t="inlineStr">
        <is>
          <t>CARRERA 10 No. 6 - 45</t>
        </is>
      </c>
      <c r="H192" s="17" t="inlineStr">
        <is>
          <t>6013821400</t>
        </is>
      </c>
      <c r="I192" s="17" t="inlineStr">
        <is>
          <t>LUNES A VIERNES</t>
        </is>
      </c>
      <c r="J192" s="17" t="inlineStr">
        <is>
          <t>GESTIONATECH</t>
        </is>
      </c>
      <c r="K192" s="18" t="n">
        <v>46279</v>
      </c>
      <c r="L192" s="18" t="n">
        <v>46280</v>
      </c>
      <c r="M192" s="17" t="n">
        <v>16</v>
      </c>
    </row>
    <row r="193">
      <c r="A193" s="19" t="inlineStr">
        <is>
          <t>1568</t>
        </is>
      </c>
      <c r="B193" s="20" t="inlineStr">
        <is>
          <t>SAMACA</t>
        </is>
      </c>
      <c r="C193" s="20" t="inlineStr">
        <is>
          <t>Samacá</t>
        </is>
      </c>
      <c r="D193" s="20" t="inlineStr">
        <is>
          <t>Boyacá</t>
        </is>
      </c>
      <c r="E193" s="20" t="inlineStr">
        <is>
          <t>ORIENTE</t>
        </is>
      </c>
      <c r="F193" s="20" t="inlineStr">
        <is>
          <t>8:00 AM - 11:30 AM Y DE 02:00 PM - 04:30 PM</t>
        </is>
      </c>
      <c r="G193" s="20" t="inlineStr">
        <is>
          <t>CARRERA 6 No. 4 - 65</t>
        </is>
      </c>
      <c r="H193" s="20" t="inlineStr">
        <is>
          <t>6013821400</t>
        </is>
      </c>
      <c r="I193" s="20" t="inlineStr">
        <is>
          <t>LUNES A VIERNES</t>
        </is>
      </c>
      <c r="J193" s="20" t="inlineStr">
        <is>
          <t>GESTIONATECH</t>
        </is>
      </c>
      <c r="K193" s="21" t="n">
        <v>46282</v>
      </c>
      <c r="L193" s="21" t="n">
        <v>46283</v>
      </c>
      <c r="M193" s="20" t="n">
        <v>21</v>
      </c>
    </row>
    <row r="194">
      <c r="A194" s="16" t="inlineStr">
        <is>
          <t>1569</t>
        </is>
      </c>
      <c r="B194" s="17" t="inlineStr">
        <is>
          <t>SAN JOSE DE PARE</t>
        </is>
      </c>
      <c r="C194" s="17" t="inlineStr">
        <is>
          <t>San José De Pare</t>
        </is>
      </c>
      <c r="D194" s="17" t="inlineStr">
        <is>
          <t>Boyacá</t>
        </is>
      </c>
      <c r="E194" s="17" t="inlineStr">
        <is>
          <t>ORIENTE</t>
        </is>
      </c>
      <c r="F194" s="17" t="inlineStr">
        <is>
          <t>DE MARTES A VIERNES DE 8:00 AM A 11:30 AM Y DE 2:00 P.M. A 4:30 P.M.    SABADO DE 8:00 AM A 2:00 P.M.</t>
        </is>
      </c>
      <c r="G194" s="17" t="inlineStr">
        <is>
          <t>Carrera 4 # 1-75/79-Centro</t>
        </is>
      </c>
      <c r="H194" s="17" t="inlineStr">
        <is>
          <t>6013821400</t>
        </is>
      </c>
      <c r="I194" s="17" t="inlineStr">
        <is>
          <t>MARTES A VIERNES Y      SÁBADO</t>
        </is>
      </c>
      <c r="J194" s="17" t="inlineStr">
        <is>
          <t>GESTIONATECH</t>
        </is>
      </c>
      <c r="K194" s="18" t="n">
        <v>46282</v>
      </c>
      <c r="L194" s="18" t="n">
        <v>46283</v>
      </c>
      <c r="M194" s="17" t="n">
        <v>12</v>
      </c>
    </row>
    <row r="195">
      <c r="A195" s="19" t="inlineStr">
        <is>
          <t>1570</t>
        </is>
      </c>
      <c r="B195" s="20" t="inlineStr">
        <is>
          <t>SAN LUIS DE GACENO</t>
        </is>
      </c>
      <c r="C195" s="20" t="inlineStr">
        <is>
          <t>San Luis De Gaceno</t>
        </is>
      </c>
      <c r="D195" s="20" t="inlineStr">
        <is>
          <t>Boyacá</t>
        </is>
      </c>
      <c r="E195" s="20" t="inlineStr">
        <is>
          <t>ORIENTE</t>
        </is>
      </c>
      <c r="F195" s="20" t="inlineStr">
        <is>
          <t>8:00 AM - 11:30 AM Y DE 02:00 PM - 04:30 PM</t>
        </is>
      </c>
      <c r="G195" s="20" t="inlineStr">
        <is>
          <t>CALLE 4 No. 4 - 45</t>
        </is>
      </c>
      <c r="H195" s="20" t="inlineStr">
        <is>
          <t>6013821400</t>
        </is>
      </c>
      <c r="I195" s="20" t="inlineStr">
        <is>
          <t>LUNES A VIERNES</t>
        </is>
      </c>
      <c r="J195" s="20" t="inlineStr">
        <is>
          <t>GESTIONATECH</t>
        </is>
      </c>
      <c r="K195" s="21" t="n">
        <v>46269</v>
      </c>
      <c r="L195" s="21" t="n">
        <v>46269</v>
      </c>
      <c r="M195" s="20" t="n">
        <v>18</v>
      </c>
    </row>
    <row r="196">
      <c r="A196" s="16" t="inlineStr">
        <is>
          <t>1571</t>
        </is>
      </c>
      <c r="B196" s="17" t="inlineStr">
        <is>
          <t>SAN MATEO</t>
        </is>
      </c>
      <c r="C196" s="17" t="inlineStr">
        <is>
          <t>San Mateo</t>
        </is>
      </c>
      <c r="D196" s="17" t="inlineStr">
        <is>
          <t>Boyacá</t>
        </is>
      </c>
      <c r="E196" s="17" t="inlineStr">
        <is>
          <t>ORIENTE</t>
        </is>
      </c>
      <c r="F196" s="17" t="inlineStr">
        <is>
          <t>8:00 AM - 11:30 AM Y DE 02:00 PM - 04:30 PM</t>
        </is>
      </c>
      <c r="G196" s="17" t="inlineStr">
        <is>
          <t>CARRERA 4 No. 3 - 75</t>
        </is>
      </c>
      <c r="H196" s="17" t="inlineStr">
        <is>
          <t>6013821400</t>
        </is>
      </c>
      <c r="I196" s="17" t="inlineStr">
        <is>
          <t>LUNES A VIERNES</t>
        </is>
      </c>
      <c r="J196" s="17" t="inlineStr">
        <is>
          <t>GESTIONATECH</t>
        </is>
      </c>
      <c r="K196" s="18" t="n">
        <v>46268</v>
      </c>
      <c r="L196" s="18" t="n">
        <v>46269</v>
      </c>
      <c r="M196" s="17" t="n">
        <v>12</v>
      </c>
    </row>
    <row r="197">
      <c r="A197" s="19" t="inlineStr">
        <is>
          <t>1572</t>
        </is>
      </c>
      <c r="B197" s="20" t="inlineStr">
        <is>
          <t>SANTANA</t>
        </is>
      </c>
      <c r="C197" s="20" t="inlineStr">
        <is>
          <t>Santana</t>
        </is>
      </c>
      <c r="D197" s="20" t="inlineStr">
        <is>
          <t>Boyacá</t>
        </is>
      </c>
      <c r="E197" s="20" t="inlineStr">
        <is>
          <t>ORIENTE</t>
        </is>
      </c>
      <c r="F197" s="20" t="inlineStr">
        <is>
          <t>DE MARTES A VIERNES DE 8:00 AM A 11:30 AM Y DE 2:00 P.M. A 4:30 P.M.    SABADO DE 8:00 AM A 2:00 P.M.</t>
        </is>
      </c>
      <c r="G197" s="20" t="inlineStr">
        <is>
          <t>Calle 3 No. 4-65 Parque Principal</t>
        </is>
      </c>
      <c r="H197" s="20" t="inlineStr">
        <is>
          <t>6013821400</t>
        </is>
      </c>
      <c r="I197" s="20" t="inlineStr">
        <is>
          <t>MARTES A VIERNES Y      SÁBADO</t>
        </is>
      </c>
      <c r="J197" s="20" t="inlineStr">
        <is>
          <t>GESTIONATECH</t>
        </is>
      </c>
      <c r="K197" s="21" t="n">
        <v>46283</v>
      </c>
      <c r="L197" s="21" t="n">
        <v>46283</v>
      </c>
      <c r="M197" s="20" t="n">
        <v>17</v>
      </c>
    </row>
    <row r="198">
      <c r="A198" s="16" t="inlineStr">
        <is>
          <t>1573</t>
        </is>
      </c>
      <c r="B198" s="17" t="inlineStr">
        <is>
          <t>SANTA ROSA DE VITERBO</t>
        </is>
      </c>
      <c r="C198" s="17" t="inlineStr">
        <is>
          <t>Santa Rosa De Viterbo</t>
        </is>
      </c>
      <c r="D198" s="17" t="inlineStr">
        <is>
          <t>Boyacá</t>
        </is>
      </c>
      <c r="E198" s="17" t="inlineStr">
        <is>
          <t>ORIENTE</t>
        </is>
      </c>
      <c r="F198" s="17" t="inlineStr">
        <is>
          <t>8:00 AM - 11:30 AM Y DE 02:00 PM - 04:30 PM</t>
        </is>
      </c>
      <c r="G198" s="17" t="inlineStr">
        <is>
          <t>CALLE 3 No. 4 - 22    CALLE 9 No,. 4-42 Plaza Principal</t>
        </is>
      </c>
      <c r="H198" s="17" t="inlineStr">
        <is>
          <t>6013821400</t>
        </is>
      </c>
      <c r="I198" s="17" t="inlineStr">
        <is>
          <t>LUNES A VIERNES</t>
        </is>
      </c>
      <c r="J198" s="17" t="inlineStr">
        <is>
          <t>GESTIONATECH</t>
        </is>
      </c>
      <c r="K198" s="18" t="n">
        <v>46269</v>
      </c>
      <c r="L198" s="18" t="n">
        <v>46269</v>
      </c>
      <c r="M198" s="17" t="n">
        <v>21</v>
      </c>
    </row>
    <row r="199">
      <c r="A199" s="19" t="inlineStr">
        <is>
          <t>1574</t>
        </is>
      </c>
      <c r="B199" s="20" t="inlineStr">
        <is>
          <t>SANTA SOFIA</t>
        </is>
      </c>
      <c r="C199" s="20" t="inlineStr">
        <is>
          <t>Santa Sofía</t>
        </is>
      </c>
      <c r="D199" s="20" t="inlineStr">
        <is>
          <t>Boyacá</t>
        </is>
      </c>
      <c r="E199" s="20" t="inlineStr">
        <is>
          <t>ORIENTE</t>
        </is>
      </c>
      <c r="F199" s="20" t="inlineStr">
        <is>
          <t>8:00 AM - 11:30 AM Y DE 02:00 PM - 04:30 PM</t>
        </is>
      </c>
      <c r="G199" s="20" t="inlineStr">
        <is>
          <t>Calle 4 No.3-07</t>
        </is>
      </c>
      <c r="H199" s="20" t="inlineStr">
        <is>
          <t>6013821400</t>
        </is>
      </c>
      <c r="I199" s="20" t="inlineStr">
        <is>
          <t>LUNES A VIERNES</t>
        </is>
      </c>
      <c r="J199" s="20" t="inlineStr">
        <is>
          <t>GESTIONATECH</t>
        </is>
      </c>
      <c r="K199" s="21" t="n">
        <v>46280</v>
      </c>
      <c r="L199" s="21" t="n">
        <v>46281</v>
      </c>
      <c r="M199" s="20" t="n">
        <v>12</v>
      </c>
    </row>
    <row r="200">
      <c r="A200" s="16" t="inlineStr">
        <is>
          <t>1575</t>
        </is>
      </c>
      <c r="B200" s="17" t="inlineStr">
        <is>
          <t>SATIVANORTE</t>
        </is>
      </c>
      <c r="C200" s="17" t="inlineStr">
        <is>
          <t>Sativanorte</t>
        </is>
      </c>
      <c r="D200" s="17" t="inlineStr">
        <is>
          <t>Boyacá</t>
        </is>
      </c>
      <c r="E200" s="17" t="inlineStr">
        <is>
          <t>ORIENTE</t>
        </is>
      </c>
      <c r="F200" s="17" t="inlineStr">
        <is>
          <t>8:00 AM - 11:30 AM Y DE 02:00 PM - 04:30 PM</t>
        </is>
      </c>
      <c r="G200" s="17" t="inlineStr">
        <is>
          <t>Carrera 3 No. 7 - 02 / 12</t>
        </is>
      </c>
      <c r="H200" s="17" t="inlineStr">
        <is>
          <t>6013821400</t>
        </is>
      </c>
      <c r="I200" s="17" t="inlineStr">
        <is>
          <t>LUNES A VIERNES</t>
        </is>
      </c>
      <c r="J200" s="17" t="inlineStr">
        <is>
          <t>GESTIONATECH</t>
        </is>
      </c>
      <c r="K200" s="18" t="n">
        <v>46283</v>
      </c>
      <c r="L200" s="18" t="n">
        <v>46283</v>
      </c>
      <c r="M200" s="17" t="n">
        <v>12</v>
      </c>
    </row>
    <row r="201">
      <c r="A201" s="19" t="inlineStr">
        <is>
          <t>1576</t>
        </is>
      </c>
      <c r="B201" s="20" t="inlineStr">
        <is>
          <t>SOATA</t>
        </is>
      </c>
      <c r="C201" s="20" t="inlineStr">
        <is>
          <t>Soatá</t>
        </is>
      </c>
      <c r="D201" s="20" t="inlineStr">
        <is>
          <t>Boyacá</t>
        </is>
      </c>
      <c r="E201" s="20" t="inlineStr">
        <is>
          <t>ORIENTE</t>
        </is>
      </c>
      <c r="F201" s="20" t="inlineStr">
        <is>
          <t>DE MARTES A VIERNES DE 8:00 AM A 11:30 AM Y DE 2:00 P.M. A 4:30 P.M.    SABADO DE 8:00 AM A 2:00 P.M.</t>
        </is>
      </c>
      <c r="G201" s="20" t="inlineStr">
        <is>
          <t>CARRERA 4 No. 9 - 56</t>
        </is>
      </c>
      <c r="H201" s="20" t="inlineStr">
        <is>
          <t>6013821400</t>
        </is>
      </c>
      <c r="I201" s="20" t="inlineStr">
        <is>
          <t>MARTES A VIERNES Y      SÁBADO</t>
        </is>
      </c>
      <c r="J201" s="20" t="inlineStr">
        <is>
          <t>GESTIONATECH</t>
        </is>
      </c>
      <c r="K201" s="21" t="n">
        <v>46267</v>
      </c>
      <c r="L201" s="21" t="n">
        <v>46269</v>
      </c>
      <c r="M201" s="20" t="n">
        <v>27</v>
      </c>
    </row>
    <row r="202">
      <c r="A202" s="16" t="inlineStr">
        <is>
          <t>1577</t>
        </is>
      </c>
      <c r="B202" s="17" t="inlineStr">
        <is>
          <t>SOCOTA</t>
        </is>
      </c>
      <c r="C202" s="17" t="inlineStr">
        <is>
          <t>Socotá</t>
        </is>
      </c>
      <c r="D202" s="17" t="inlineStr">
        <is>
          <t>Boyacá</t>
        </is>
      </c>
      <c r="E202" s="17" t="inlineStr">
        <is>
          <t>ORIENTE</t>
        </is>
      </c>
      <c r="F202" s="17" t="inlineStr">
        <is>
          <t>DE MARTES A VIERNES DE 8:00 AM A 11:30 AM Y DE 2:00 P.M. A 4:30 P.M.    SABADO DE 8:00 AM A 2:00 P.M.</t>
        </is>
      </c>
      <c r="G202" s="17" t="inlineStr">
        <is>
          <t>Carrera 3 No. 3 -17</t>
        </is>
      </c>
      <c r="H202" s="17" t="inlineStr">
        <is>
          <t>6013821400</t>
        </is>
      </c>
      <c r="I202" s="17" t="inlineStr">
        <is>
          <t>MARTES A VIERNES Y      SÁBADO</t>
        </is>
      </c>
      <c r="J202" s="17" t="inlineStr">
        <is>
          <t>GESTIONATECH</t>
        </is>
      </c>
      <c r="K202" s="18" t="n">
        <v>46275</v>
      </c>
      <c r="L202" s="18" t="n">
        <v>46276</v>
      </c>
      <c r="M202" s="17" t="n">
        <v>13</v>
      </c>
    </row>
    <row r="203">
      <c r="A203" s="19" t="inlineStr">
        <is>
          <t>1578</t>
        </is>
      </c>
      <c r="B203" s="20" t="inlineStr">
        <is>
          <t>SOCHA</t>
        </is>
      </c>
      <c r="C203" s="20" t="inlineStr">
        <is>
          <t>Socha</t>
        </is>
      </c>
      <c r="D203" s="20" t="inlineStr">
        <is>
          <t>Boyacá</t>
        </is>
      </c>
      <c r="E203" s="20" t="inlineStr">
        <is>
          <t>ORIENTE</t>
        </is>
      </c>
      <c r="F203" s="20" t="inlineStr">
        <is>
          <t>DE MARTES A VIERNES DE 8:00 AM A 11:30 AM Y DE 2:00 P.M. A 4:30 P.M.    SABADO DE 8:00 AM A 2:00 P.M.</t>
        </is>
      </c>
      <c r="G203" s="20" t="inlineStr">
        <is>
          <t>Carrera 10 N0. 3-57 Parque Principal</t>
        </is>
      </c>
      <c r="H203" s="20" t="inlineStr">
        <is>
          <t>6013821400</t>
        </is>
      </c>
      <c r="I203" s="20" t="inlineStr">
        <is>
          <t>MARTES A VIERNES Y      SÁBADO</t>
        </is>
      </c>
      <c r="J203" s="20" t="inlineStr">
        <is>
          <t>GESTIONATECH</t>
        </is>
      </c>
      <c r="K203" s="21" t="n">
        <v>46275</v>
      </c>
      <c r="L203" s="21" t="n">
        <v>46276</v>
      </c>
      <c r="M203" s="20" t="n">
        <v>14</v>
      </c>
    </row>
    <row r="204">
      <c r="A204" s="16" t="inlineStr">
        <is>
          <t>1579</t>
        </is>
      </c>
      <c r="B204" s="17" t="inlineStr">
        <is>
          <t>SOMONDOCO</t>
        </is>
      </c>
      <c r="C204" s="17" t="inlineStr">
        <is>
          <t>Somondoco</t>
        </is>
      </c>
      <c r="D204" s="17" t="inlineStr">
        <is>
          <t>Boyacá</t>
        </is>
      </c>
      <c r="E204" s="17" t="inlineStr">
        <is>
          <t>ORIENTE</t>
        </is>
      </c>
      <c r="F204" s="17" t="inlineStr">
        <is>
          <t>8:00 AM - 11:30 AM Y DE 02:00 PM - 04:30 PM</t>
        </is>
      </c>
      <c r="G204" s="17" t="inlineStr">
        <is>
          <t>CALLE 4 No. 3 - 15</t>
        </is>
      </c>
      <c r="H204" s="17" t="inlineStr">
        <is>
          <t>6013821400</t>
        </is>
      </c>
      <c r="I204" s="17" t="inlineStr">
        <is>
          <t>LUNES A VIERNES</t>
        </is>
      </c>
      <c r="J204" s="17" t="inlineStr">
        <is>
          <t>GESTIONATECH</t>
        </is>
      </c>
      <c r="K204" s="18" t="n">
        <v>46272</v>
      </c>
      <c r="L204" s="18" t="n">
        <v>46273</v>
      </c>
      <c r="M204" s="17" t="n">
        <v>12</v>
      </c>
    </row>
    <row r="205">
      <c r="A205" s="19" t="inlineStr">
        <is>
          <t>1580</t>
        </is>
      </c>
      <c r="B205" s="20" t="inlineStr">
        <is>
          <t>SOTAQUIRA</t>
        </is>
      </c>
      <c r="C205" s="20" t="inlineStr">
        <is>
          <t>Sotaquirá</t>
        </is>
      </c>
      <c r="D205" s="20" t="inlineStr">
        <is>
          <t>Boyacá</t>
        </is>
      </c>
      <c r="E205" s="20" t="inlineStr">
        <is>
          <t>ORIENTE</t>
        </is>
      </c>
      <c r="F205" s="20" t="inlineStr">
        <is>
          <t>DE MARTES A VIERNES DE 8:00 AM A 11:30 AM Y DE 2:00 P.M. A 4:30 P.M.    SABADO DE 8:00 AM A 2:00 P.M.</t>
        </is>
      </c>
      <c r="G205" s="20" t="inlineStr">
        <is>
          <t>CALLE 6 No. 6 - 04</t>
        </is>
      </c>
      <c r="H205" s="20" t="inlineStr">
        <is>
          <t>6013821400</t>
        </is>
      </c>
      <c r="I205" s="20" t="inlineStr">
        <is>
          <t>MARTES A VIERNES Y      SÁBADO</t>
        </is>
      </c>
      <c r="J205" s="20" t="inlineStr">
        <is>
          <t>GESTIONATECH</t>
        </is>
      </c>
      <c r="K205" s="21" t="n">
        <v>46288</v>
      </c>
      <c r="L205" s="21" t="n">
        <v>46289</v>
      </c>
      <c r="M205" s="20" t="n">
        <v>17</v>
      </c>
    </row>
    <row r="206">
      <c r="A206" s="16" t="inlineStr">
        <is>
          <t>1582</t>
        </is>
      </c>
      <c r="B206" s="17" t="inlineStr">
        <is>
          <t>SUSACON</t>
        </is>
      </c>
      <c r="C206" s="17" t="inlineStr">
        <is>
          <t>Susacón</t>
        </is>
      </c>
      <c r="D206" s="17" t="inlineStr">
        <is>
          <t>Boyacá</t>
        </is>
      </c>
      <c r="E206" s="17" t="inlineStr">
        <is>
          <t>ORIENTE</t>
        </is>
      </c>
      <c r="F206" s="17" t="inlineStr">
        <is>
          <t>8:00 AM - 11:30 AM Y DE 02:00 PM - 04:30 PM</t>
        </is>
      </c>
      <c r="G206" s="17" t="inlineStr">
        <is>
          <t>CALLE 6 No. 3 - 07</t>
        </is>
      </c>
      <c r="H206" s="17" t="inlineStr">
        <is>
          <t>6013821400</t>
        </is>
      </c>
      <c r="I206" s="17" t="inlineStr">
        <is>
          <t>LUNES A VIERNES</t>
        </is>
      </c>
      <c r="J206" s="17" t="inlineStr">
        <is>
          <t>GESTIONATECH</t>
        </is>
      </c>
      <c r="K206" s="18" t="n">
        <v>46266</v>
      </c>
      <c r="L206" s="18" t="n">
        <v>46267</v>
      </c>
      <c r="M206" s="17" t="n">
        <v>12</v>
      </c>
    </row>
    <row r="207">
      <c r="A207" s="19" t="inlineStr">
        <is>
          <t>1583</t>
        </is>
      </c>
      <c r="B207" s="20" t="inlineStr">
        <is>
          <t>SUTAMARCHAN</t>
        </is>
      </c>
      <c r="C207" s="20" t="inlineStr">
        <is>
          <t>Sutamarchán</t>
        </is>
      </c>
      <c r="D207" s="20" t="inlineStr">
        <is>
          <t>Boyacá</t>
        </is>
      </c>
      <c r="E207" s="20" t="inlineStr">
        <is>
          <t>ORIENTE</t>
        </is>
      </c>
      <c r="F207" s="20" t="inlineStr">
        <is>
          <t>8:00 AM - 11:30 AM Y DE 02:00 PM - 04:30 PM</t>
        </is>
      </c>
      <c r="G207" s="20" t="inlineStr">
        <is>
          <t>CARRERA 3 No. 4 - 34/46</t>
        </is>
      </c>
      <c r="H207" s="20" t="inlineStr">
        <is>
          <t>6013821400</t>
        </is>
      </c>
      <c r="I207" s="20" t="inlineStr">
        <is>
          <t>LUNES A VIERNES</t>
        </is>
      </c>
      <c r="J207" s="20" t="inlineStr">
        <is>
          <t>GESTIONATECH</t>
        </is>
      </c>
      <c r="K207" s="21" t="n">
        <v>46280</v>
      </c>
      <c r="L207" s="21" t="n">
        <v>46281</v>
      </c>
      <c r="M207" s="20" t="n">
        <v>22</v>
      </c>
    </row>
    <row r="208">
      <c r="A208" s="16" t="inlineStr">
        <is>
          <t>1584</t>
        </is>
      </c>
      <c r="B208" s="17" t="inlineStr">
        <is>
          <t>TENZA</t>
        </is>
      </c>
      <c r="C208" s="17" t="inlineStr">
        <is>
          <t>Tenza</t>
        </is>
      </c>
      <c r="D208" s="17" t="inlineStr">
        <is>
          <t>Boyacá</t>
        </is>
      </c>
      <c r="E208" s="17" t="inlineStr">
        <is>
          <t>ORIENTE</t>
        </is>
      </c>
      <c r="F208" s="17" t="inlineStr">
        <is>
          <t>8:00 AM - 11:30 AM Y DE 02:00 PM - 04:30 PM</t>
        </is>
      </c>
      <c r="G208" s="17" t="inlineStr">
        <is>
          <t>CALLE 5 No.  9 - 27/29</t>
        </is>
      </c>
      <c r="H208" s="17" t="inlineStr">
        <is>
          <t>6013821400</t>
        </is>
      </c>
      <c r="I208" s="17" t="inlineStr">
        <is>
          <t>LUNES A VIERNES</t>
        </is>
      </c>
      <c r="J208" s="17" t="inlineStr">
        <is>
          <t>GESTIONATECH</t>
        </is>
      </c>
      <c r="K208" s="18" t="n">
        <v>46272</v>
      </c>
      <c r="L208" s="18" t="n">
        <v>46273</v>
      </c>
      <c r="M208" s="17" t="n">
        <v>18</v>
      </c>
    </row>
    <row r="209">
      <c r="A209" s="19" t="inlineStr">
        <is>
          <t>1585</t>
        </is>
      </c>
      <c r="B209" s="20" t="inlineStr">
        <is>
          <t>TIBANA</t>
        </is>
      </c>
      <c r="C209" s="20" t="inlineStr">
        <is>
          <t>Tibaná</t>
        </is>
      </c>
      <c r="D209" s="20" t="inlineStr">
        <is>
          <t>Boyacá</t>
        </is>
      </c>
      <c r="E209" s="20" t="inlineStr">
        <is>
          <t>ORIENTE</t>
        </is>
      </c>
      <c r="F209" s="20" t="inlineStr">
        <is>
          <t>8:00 AM - 11:30 AM Y DE 02:00 PM - 04:30 PM</t>
        </is>
      </c>
      <c r="G209" s="20" t="inlineStr">
        <is>
          <t>CRA. 5 CALLE 6 -45 (ESQUINA)</t>
        </is>
      </c>
      <c r="H209" s="20" t="inlineStr">
        <is>
          <t>6013821400</t>
        </is>
      </c>
      <c r="I209" s="20" t="inlineStr">
        <is>
          <t>LUNES A VIERNES</t>
        </is>
      </c>
      <c r="J209" s="20" t="inlineStr">
        <is>
          <t>GESTIONATECH</t>
        </is>
      </c>
      <c r="K209" s="21" t="n">
        <v>46273</v>
      </c>
      <c r="L209" s="21" t="n">
        <v>46274</v>
      </c>
      <c r="M209" s="20" t="n">
        <v>17</v>
      </c>
    </row>
    <row r="210">
      <c r="A210" s="16" t="inlineStr">
        <is>
          <t>1586</t>
        </is>
      </c>
      <c r="B210" s="17" t="inlineStr">
        <is>
          <t>TIPACOQUE</t>
        </is>
      </c>
      <c r="C210" s="17" t="inlineStr">
        <is>
          <t>Tipacoque</t>
        </is>
      </c>
      <c r="D210" s="17" t="inlineStr">
        <is>
          <t>Boyacá</t>
        </is>
      </c>
      <c r="E210" s="17" t="inlineStr">
        <is>
          <t>ORIENTE</t>
        </is>
      </c>
      <c r="F210" s="17" t="inlineStr">
        <is>
          <t>8:00 AM - 11:30 AM Y DE 02:00 PM - 04:30 PM</t>
        </is>
      </c>
      <c r="G210" s="17" t="inlineStr">
        <is>
          <t>Calle 8 No.3-47</t>
        </is>
      </c>
      <c r="H210" s="17" t="inlineStr">
        <is>
          <t>6013821400</t>
        </is>
      </c>
      <c r="I210" s="17" t="inlineStr">
        <is>
          <t>LUNES A VIERNES</t>
        </is>
      </c>
      <c r="J210" s="17" t="inlineStr">
        <is>
          <t>GESTIONATECH</t>
        </is>
      </c>
      <c r="K210" s="18" t="n">
        <v>46266</v>
      </c>
      <c r="L210" s="18" t="n">
        <v>46267</v>
      </c>
      <c r="M210" s="17" t="n">
        <v>12</v>
      </c>
    </row>
    <row r="211">
      <c r="A211" s="19" t="inlineStr">
        <is>
          <t>1587</t>
        </is>
      </c>
      <c r="B211" s="20" t="inlineStr">
        <is>
          <t>TOCA</t>
        </is>
      </c>
      <c r="C211" s="20" t="inlineStr">
        <is>
          <t>Toca</t>
        </is>
      </c>
      <c r="D211" s="20" t="inlineStr">
        <is>
          <t>Boyacá</t>
        </is>
      </c>
      <c r="E211" s="20" t="inlineStr">
        <is>
          <t>ORIENTE</t>
        </is>
      </c>
      <c r="F211" s="20" t="inlineStr">
        <is>
          <t>DE MARTES A VIERNES DE 8:00 AM A 11:30 AM Y DE 2:00 P.M. A 4:30 P.M.    SABADO DE 8:00 AM A 2:00 P.M.</t>
        </is>
      </c>
      <c r="G211" s="20" t="inlineStr">
        <is>
          <t>CALLE 4 No. 7 - 39</t>
        </is>
      </c>
      <c r="H211" s="20" t="inlineStr">
        <is>
          <t>6013821400</t>
        </is>
      </c>
      <c r="I211" s="20" t="inlineStr">
        <is>
          <t>MARTES A VIERNES Y      SÁBADO</t>
        </is>
      </c>
      <c r="J211" s="20" t="inlineStr">
        <is>
          <t>GESTIONATECH</t>
        </is>
      </c>
      <c r="K211" s="21" t="n">
        <v>46288</v>
      </c>
      <c r="L211" s="21" t="n">
        <v>46289</v>
      </c>
      <c r="M211" s="20" t="n">
        <v>19</v>
      </c>
    </row>
    <row r="212">
      <c r="A212" s="16" t="inlineStr">
        <is>
          <t>1588</t>
        </is>
      </c>
      <c r="B212" s="17" t="inlineStr">
        <is>
          <t>TOGUI</t>
        </is>
      </c>
      <c r="C212" s="17" t="inlineStr">
        <is>
          <t>Togüí</t>
        </is>
      </c>
      <c r="D212" s="17" t="inlineStr">
        <is>
          <t>Boyacá</t>
        </is>
      </c>
      <c r="E212" s="17" t="inlineStr">
        <is>
          <t>ORIENTE</t>
        </is>
      </c>
      <c r="F212" s="17" t="inlineStr">
        <is>
          <t>8:00 AM - 11:30 AM Y DE 02:00 PM - 04:30 PM</t>
        </is>
      </c>
      <c r="G212" s="17" t="inlineStr">
        <is>
          <t>CALLE 3 No. 3 - 19</t>
        </is>
      </c>
      <c r="H212" s="17" t="inlineStr">
        <is>
          <t>6013821400</t>
        </is>
      </c>
      <c r="I212" s="17" t="inlineStr">
        <is>
          <t>LUNES A VIERNES</t>
        </is>
      </c>
      <c r="J212" s="17" t="inlineStr">
        <is>
          <t>GESTIONATECH</t>
        </is>
      </c>
      <c r="K212" s="18" t="n">
        <v>46283</v>
      </c>
      <c r="L212" s="18" t="n">
        <v>46283</v>
      </c>
      <c r="M212" s="17" t="n">
        <v>12</v>
      </c>
    </row>
    <row r="213">
      <c r="A213" s="19" t="inlineStr">
        <is>
          <t>1589</t>
        </is>
      </c>
      <c r="B213" s="20" t="inlineStr">
        <is>
          <t>TURMEQUE</t>
        </is>
      </c>
      <c r="C213" s="20" t="inlineStr">
        <is>
          <t>Turmequé</t>
        </is>
      </c>
      <c r="D213" s="20" t="inlineStr">
        <is>
          <t>Boyacá</t>
        </is>
      </c>
      <c r="E213" s="20" t="inlineStr">
        <is>
          <t>ORIENTE</t>
        </is>
      </c>
      <c r="F213" s="20" t="inlineStr">
        <is>
          <t>8:00 AM - 11:30 AM Y DE 02:00 PM - 04:30 PM</t>
        </is>
      </c>
      <c r="G213" s="20" t="inlineStr">
        <is>
          <t>CARRERA 4 No 1A-36</t>
        </is>
      </c>
      <c r="H213" s="20" t="inlineStr">
        <is>
          <t>6013821400</t>
        </is>
      </c>
      <c r="I213" s="20" t="inlineStr">
        <is>
          <t>LUNES A VIERNES</t>
        </is>
      </c>
      <c r="J213" s="20" t="inlineStr">
        <is>
          <t>GESTIONATECH</t>
        </is>
      </c>
      <c r="K213" s="21" t="n">
        <v>46287</v>
      </c>
      <c r="L213" s="21" t="n">
        <v>46288</v>
      </c>
      <c r="M213" s="20" t="n">
        <v>14</v>
      </c>
    </row>
    <row r="214">
      <c r="A214" s="16" t="inlineStr">
        <is>
          <t>1590</t>
        </is>
      </c>
      <c r="B214" s="17" t="inlineStr">
        <is>
          <t>TUTA</t>
        </is>
      </c>
      <c r="C214" s="17" t="inlineStr">
        <is>
          <t>Tuta</t>
        </is>
      </c>
      <c r="D214" s="17" t="inlineStr">
        <is>
          <t>Boyacá</t>
        </is>
      </c>
      <c r="E214" s="17" t="inlineStr">
        <is>
          <t>ORIENTE</t>
        </is>
      </c>
      <c r="F214" s="17" t="inlineStr">
        <is>
          <t>8:00 AM - 11:30 AM Y DE 02:00 PM - 04:30 PM</t>
        </is>
      </c>
      <c r="G214" s="17" t="inlineStr">
        <is>
          <t>Calle 4 No 6 – 21</t>
        </is>
      </c>
      <c r="H214" s="17" t="inlineStr">
        <is>
          <t>6013821400</t>
        </is>
      </c>
      <c r="I214" s="17" t="inlineStr">
        <is>
          <t>LUNES A VIERNES</t>
        </is>
      </c>
      <c r="J214" s="17" t="inlineStr">
        <is>
          <t>GESTIONATECH</t>
        </is>
      </c>
      <c r="K214" s="18" t="n">
        <v>46288</v>
      </c>
      <c r="L214" s="18" t="n">
        <v>46289</v>
      </c>
      <c r="M214" s="17" t="n">
        <v>17</v>
      </c>
    </row>
    <row r="215">
      <c r="A215" s="19" t="inlineStr">
        <is>
          <t>1592</t>
        </is>
      </c>
      <c r="B215" s="20" t="inlineStr">
        <is>
          <t>UMBITA</t>
        </is>
      </c>
      <c r="C215" s="20" t="inlineStr">
        <is>
          <t>Umbita</t>
        </is>
      </c>
      <c r="D215" s="20" t="inlineStr">
        <is>
          <t>Boyacá</t>
        </is>
      </c>
      <c r="E215" s="20" t="inlineStr">
        <is>
          <t>ORIENTE</t>
        </is>
      </c>
      <c r="F215" s="20" t="inlineStr">
        <is>
          <t>8:00 AM - 11:30 AM Y DE 02:00 PM - 04:30 PM</t>
        </is>
      </c>
      <c r="G215" s="20" t="inlineStr">
        <is>
          <t>Carrera 6 # 4-04/10 Centro</t>
        </is>
      </c>
      <c r="H215" s="20" t="inlineStr">
        <is>
          <t>6013821400</t>
        </is>
      </c>
      <c r="I215" s="20" t="inlineStr">
        <is>
          <t>LUNES A VIERNES</t>
        </is>
      </c>
      <c r="J215" s="20" t="inlineStr">
        <is>
          <t>GESTIONATECH</t>
        </is>
      </c>
      <c r="K215" s="21" t="n">
        <v>46287</v>
      </c>
      <c r="L215" s="21" t="n">
        <v>46288</v>
      </c>
      <c r="M215" s="20" t="n">
        <v>19</v>
      </c>
    </row>
    <row r="216">
      <c r="A216" s="16" t="inlineStr">
        <is>
          <t>1593</t>
        </is>
      </c>
      <c r="B216" s="17" t="inlineStr">
        <is>
          <t>VENTAQUEMADA</t>
        </is>
      </c>
      <c r="C216" s="17" t="inlineStr">
        <is>
          <t>Ventaquemada</t>
        </is>
      </c>
      <c r="D216" s="17" t="inlineStr">
        <is>
          <t>Boyacá</t>
        </is>
      </c>
      <c r="E216" s="17" t="inlineStr">
        <is>
          <t>ORIENTE</t>
        </is>
      </c>
      <c r="F216" s="17" t="inlineStr">
        <is>
          <t>8:00 AM - 11:30 AM Y DE 02:00 PM - 04:30 PM</t>
        </is>
      </c>
      <c r="G216" s="17" t="inlineStr">
        <is>
          <t>CALLE 5 No. 8 - 79</t>
        </is>
      </c>
      <c r="H216" s="17" t="inlineStr">
        <is>
          <t>6013821400</t>
        </is>
      </c>
      <c r="I216" s="17" t="inlineStr">
        <is>
          <t>LUNES A VIERNES</t>
        </is>
      </c>
      <c r="J216" s="17" t="inlineStr">
        <is>
          <t>GESTIONATECH</t>
        </is>
      </c>
      <c r="K216" s="18" t="n">
        <v>46289</v>
      </c>
      <c r="L216" s="18" t="n">
        <v>46290</v>
      </c>
      <c r="M216" s="17" t="n">
        <v>19</v>
      </c>
    </row>
    <row r="217">
      <c r="A217" s="19" t="inlineStr">
        <is>
          <t>1595</t>
        </is>
      </c>
      <c r="B217" s="20" t="inlineStr">
        <is>
          <t>ZETAQUIRA</t>
        </is>
      </c>
      <c r="C217" s="20" t="inlineStr">
        <is>
          <t>Zetaquira</t>
        </is>
      </c>
      <c r="D217" s="20" t="inlineStr">
        <is>
          <t>Boyacá</t>
        </is>
      </c>
      <c r="E217" s="20" t="inlineStr">
        <is>
          <t>ORIENTE</t>
        </is>
      </c>
      <c r="F217" s="20" t="inlineStr">
        <is>
          <t>DE MARTES A VIERNES DE 8:00 AM A 11:30 AM Y DE 2:00 P.M. A 4:30 P.M.    SABADO DE 8:00 AM A 2:00 P.M.</t>
        </is>
      </c>
      <c r="G217" s="20" t="inlineStr">
        <is>
          <t>CALLE 12 No. 9 - 65   Carrera 3 No.2-06 Parque Principal</t>
        </is>
      </c>
      <c r="H217" s="20" t="inlineStr">
        <is>
          <t>6013821400</t>
        </is>
      </c>
      <c r="I217" s="20" t="inlineStr">
        <is>
          <t>MARTES A VIERNES Y      SÁBADO</t>
        </is>
      </c>
      <c r="J217" s="20" t="inlineStr">
        <is>
          <t>GESTIONATECH</t>
        </is>
      </c>
      <c r="K217" s="21" t="n">
        <v>46276</v>
      </c>
      <c r="L217" s="21" t="n">
        <v>46276</v>
      </c>
      <c r="M217" s="20" t="n">
        <v>13</v>
      </c>
    </row>
    <row r="218">
      <c r="A218" s="16" t="inlineStr">
        <is>
          <t>1601</t>
        </is>
      </c>
      <c r="B218" s="17" t="inlineStr">
        <is>
          <t>BARRANQUILLA ( PRINCIPAL )</t>
        </is>
      </c>
      <c r="C218" s="17" t="inlineStr">
        <is>
          <t>Barranquilla</t>
        </is>
      </c>
      <c r="D218" s="17" t="inlineStr">
        <is>
          <t>Atlántico</t>
        </is>
      </c>
      <c r="E218" s="17" t="inlineStr">
        <is>
          <t>COSTA</t>
        </is>
      </c>
      <c r="F218" s="17" t="inlineStr">
        <is>
          <t>8:00 AM - 11:30 AM Y DE 02:00 PM - 04:30 PM</t>
        </is>
      </c>
      <c r="G218" s="17" t="inlineStr">
        <is>
          <t>Carrera 46 No.45-50</t>
        </is>
      </c>
      <c r="H218" s="17" t="inlineStr">
        <is>
          <t>6013821400</t>
        </is>
      </c>
      <c r="I218" s="17" t="inlineStr">
        <is>
          <t>LUNES A VIERNES</t>
        </is>
      </c>
      <c r="J218" s="17" t="inlineStr">
        <is>
          <t>REGIONAL</t>
        </is>
      </c>
      <c r="K218" s="18" t="n">
        <v>46301</v>
      </c>
      <c r="L218" s="18" t="n">
        <v>46311</v>
      </c>
      <c r="M218" s="17" t="n">
        <v>69</v>
      </c>
    </row>
    <row r="219">
      <c r="A219" s="19" t="inlineStr">
        <is>
          <t>1610</t>
        </is>
      </c>
      <c r="B219" s="20" t="inlineStr">
        <is>
          <t>BARRANQUILLA PRADO</t>
        </is>
      </c>
      <c r="C219" s="20" t="inlineStr">
        <is>
          <t>Barranquilla</t>
        </is>
      </c>
      <c r="D219" s="20" t="inlineStr">
        <is>
          <t>Atlántico</t>
        </is>
      </c>
      <c r="E219" s="20" t="inlineStr">
        <is>
          <t>COSTA</t>
        </is>
      </c>
      <c r="F219" s="20" t="inlineStr">
        <is>
          <t>8:00 AM - 11:30 AM Y DE 02:00 PM - 04:30 PM</t>
        </is>
      </c>
      <c r="G219" s="20" t="inlineStr">
        <is>
          <t>calle 77B No 59-61 Edificio Torre 2 Centro empresarial las américas, Local comercial 104</t>
        </is>
      </c>
      <c r="H219" s="20" t="inlineStr">
        <is>
          <t>6013821400</t>
        </is>
      </c>
      <c r="I219" s="20" t="inlineStr">
        <is>
          <t>LUNES A VIERNES</t>
        </is>
      </c>
      <c r="J219" s="20" t="inlineStr">
        <is>
          <t>GESTIONATECH</t>
        </is>
      </c>
      <c r="K219" s="21" t="n">
        <v>46296</v>
      </c>
      <c r="L219" s="21" t="n">
        <v>46297</v>
      </c>
      <c r="M219" s="20" t="n">
        <v>31</v>
      </c>
    </row>
    <row r="220">
      <c r="A220" s="16" t="inlineStr">
        <is>
          <t>1620</t>
        </is>
      </c>
      <c r="B220" s="17" t="inlineStr">
        <is>
          <t>SABANALARGA</t>
        </is>
      </c>
      <c r="C220" s="17" t="inlineStr">
        <is>
          <t>Sabanalarga</t>
        </is>
      </c>
      <c r="D220" s="17" t="inlineStr">
        <is>
          <t>Atlántico</t>
        </is>
      </c>
      <c r="E220" s="17" t="inlineStr">
        <is>
          <t>COSTA</t>
        </is>
      </c>
      <c r="F220" s="17" t="inlineStr">
        <is>
          <t>8:00 AM - 11:30 AM Y DE 02:00 PM - 04:30 PM</t>
        </is>
      </c>
      <c r="G220" s="17" t="inlineStr">
        <is>
          <t>Carrera 21 N° 22-09</t>
        </is>
      </c>
      <c r="H220" s="17" t="inlineStr">
        <is>
          <t>6013821400</t>
        </is>
      </c>
      <c r="I220" s="17" t="inlineStr">
        <is>
          <t>LUNES A VIERNES</t>
        </is>
      </c>
      <c r="J220" s="17" t="inlineStr">
        <is>
          <t>GESTIONATECH</t>
        </is>
      </c>
      <c r="K220" s="18" t="n">
        <v>46300</v>
      </c>
      <c r="L220" s="18" t="n">
        <v>46300</v>
      </c>
      <c r="M220" s="17" t="n">
        <v>20</v>
      </c>
    </row>
    <row r="221">
      <c r="A221" s="19" t="inlineStr">
        <is>
          <t>1622</t>
        </is>
      </c>
      <c r="B221" s="20" t="inlineStr">
        <is>
          <t>BARANOA</t>
        </is>
      </c>
      <c r="C221" s="20" t="inlineStr">
        <is>
          <t>Baranoa</t>
        </is>
      </c>
      <c r="D221" s="20" t="inlineStr">
        <is>
          <t>Atlántico</t>
        </is>
      </c>
      <c r="E221" s="20" t="inlineStr">
        <is>
          <t>COSTA</t>
        </is>
      </c>
      <c r="F221" s="20" t="inlineStr">
        <is>
          <t>8:00 AM - 11:30 AM Y DE 02:00 PM - 04:30 PM</t>
        </is>
      </c>
      <c r="G221" s="20" t="inlineStr">
        <is>
          <t>Carrera 19  Nº.  16-52   Plaza de Baranoa</t>
        </is>
      </c>
      <c r="H221" s="20" t="inlineStr">
        <is>
          <t>6013821400</t>
        </is>
      </c>
      <c r="I221" s="20" t="inlineStr">
        <is>
          <t>LUNES A VIERNES</t>
        </is>
      </c>
      <c r="J221" s="20" t="inlineStr">
        <is>
          <t>GESTIONATECH</t>
        </is>
      </c>
      <c r="K221" s="21" t="n">
        <v>46276</v>
      </c>
      <c r="L221" s="21" t="n">
        <v>46276</v>
      </c>
      <c r="M221" s="20" t="n">
        <v>22</v>
      </c>
    </row>
    <row r="222">
      <c r="A222" s="16" t="inlineStr">
        <is>
          <t>1626</t>
        </is>
      </c>
      <c r="B222" s="17" t="inlineStr">
        <is>
          <t>CAMPO DE LA CRUZ</t>
        </is>
      </c>
      <c r="C222" s="17" t="inlineStr">
        <is>
          <t>Campo De La Cruz</t>
        </is>
      </c>
      <c r="D222" s="17" t="inlineStr">
        <is>
          <t>Atlántico</t>
        </is>
      </c>
      <c r="E222" s="17" t="inlineStr">
        <is>
          <t>COSTA</t>
        </is>
      </c>
      <c r="F222" s="17" t="inlineStr">
        <is>
          <t>8:00 AM - 11:30 AM Y DE 02:00 PM - 04:30 PM</t>
        </is>
      </c>
      <c r="G222" s="17" t="inlineStr">
        <is>
          <t>Calle  9  Cra. 11-04</t>
        </is>
      </c>
      <c r="H222" s="17" t="inlineStr">
        <is>
          <t>6013821400</t>
        </is>
      </c>
      <c r="I222" s="17" t="inlineStr">
        <is>
          <t>LUNES A VIERNES</t>
        </is>
      </c>
      <c r="J222" s="17" t="inlineStr">
        <is>
          <t>GESTIONATECH</t>
        </is>
      </c>
      <c r="K222" s="18" t="n">
        <v>46287</v>
      </c>
      <c r="L222" s="18" t="n">
        <v>46287</v>
      </c>
      <c r="M222" s="17" t="n">
        <v>13</v>
      </c>
    </row>
    <row r="223">
      <c r="A223" s="19" t="inlineStr">
        <is>
          <t>1630</t>
        </is>
      </c>
      <c r="B223" s="20" t="inlineStr">
        <is>
          <t>LURUACO</t>
        </is>
      </c>
      <c r="C223" s="20" t="inlineStr">
        <is>
          <t>Luruaco</t>
        </is>
      </c>
      <c r="D223" s="20" t="inlineStr">
        <is>
          <t>Atlántico</t>
        </is>
      </c>
      <c r="E223" s="20" t="inlineStr">
        <is>
          <t>COSTA</t>
        </is>
      </c>
      <c r="F223" s="20" t="inlineStr">
        <is>
          <t>8:00 AM - 11:30 AM Y DE 02:00 PM - 04:30 PM</t>
        </is>
      </c>
      <c r="G223" s="20" t="inlineStr">
        <is>
          <t>Carrera 20 Nº. 18-38/50</t>
        </is>
      </c>
      <c r="H223" s="20" t="inlineStr">
        <is>
          <t>6013821400</t>
        </is>
      </c>
      <c r="I223" s="20" t="inlineStr">
        <is>
          <t>LUNES A VIERNES</t>
        </is>
      </c>
      <c r="J223" s="20" t="inlineStr">
        <is>
          <t>GESTIONATECH</t>
        </is>
      </c>
      <c r="K223" s="21" t="n">
        <v>46303</v>
      </c>
      <c r="L223" s="21" t="n">
        <v>46303</v>
      </c>
      <c r="M223" s="20" t="n">
        <v>12</v>
      </c>
    </row>
    <row r="224">
      <c r="A224" s="16" t="inlineStr">
        <is>
          <t>1634</t>
        </is>
      </c>
      <c r="B224" s="17" t="inlineStr">
        <is>
          <t>MANATI</t>
        </is>
      </c>
      <c r="C224" s="17" t="inlineStr">
        <is>
          <t>Manatí</t>
        </is>
      </c>
      <c r="D224" s="17" t="inlineStr">
        <is>
          <t>Atlántico</t>
        </is>
      </c>
      <c r="E224" s="17" t="inlineStr">
        <is>
          <t>COSTA</t>
        </is>
      </c>
      <c r="F224" s="17" t="inlineStr">
        <is>
          <t>8:00 AM - 11:30 AM Y DE 02:00 PM - 04:30 PM</t>
        </is>
      </c>
      <c r="G224" s="17" t="inlineStr">
        <is>
          <t>Calle 4 No 10 - 94</t>
        </is>
      </c>
      <c r="H224" s="17" t="inlineStr">
        <is>
          <t>6013821400</t>
        </is>
      </c>
      <c r="I224" s="17" t="inlineStr">
        <is>
          <t>LUNES A VIERNES</t>
        </is>
      </c>
      <c r="J224" s="17" t="inlineStr">
        <is>
          <t>GESTIONATECH</t>
        </is>
      </c>
      <c r="K224" s="18" t="n">
        <v>46269</v>
      </c>
      <c r="L224" s="18" t="n">
        <v>46269</v>
      </c>
      <c r="M224" s="17" t="n">
        <v>12</v>
      </c>
    </row>
    <row r="225">
      <c r="A225" s="19" t="inlineStr">
        <is>
          <t>1636</t>
        </is>
      </c>
      <c r="B225" s="20" t="inlineStr">
        <is>
          <t>REPELON</t>
        </is>
      </c>
      <c r="C225" s="20" t="inlineStr">
        <is>
          <t>Repelón</t>
        </is>
      </c>
      <c r="D225" s="20" t="inlineStr">
        <is>
          <t>Atlántico</t>
        </is>
      </c>
      <c r="E225" s="20" t="inlineStr">
        <is>
          <t>COSTA</t>
        </is>
      </c>
      <c r="F225" s="20" t="inlineStr">
        <is>
          <t>8:00 AM - 11:30 AM Y DE 02:00 PM - 04:30 PM</t>
        </is>
      </c>
      <c r="G225" s="20" t="inlineStr">
        <is>
          <t>Calle 8 No. 8 - 04</t>
        </is>
      </c>
      <c r="H225" s="20" t="inlineStr">
        <is>
          <t>6013821400</t>
        </is>
      </c>
      <c r="I225" s="20" t="inlineStr">
        <is>
          <t>LUNES A VIERNES</t>
        </is>
      </c>
      <c r="J225" s="20" t="inlineStr">
        <is>
          <t>GESTIONATECH</t>
        </is>
      </c>
      <c r="K225" s="21" t="n">
        <v>46288</v>
      </c>
      <c r="L225" s="21" t="n">
        <v>46288</v>
      </c>
      <c r="M225" s="20" t="n">
        <v>14</v>
      </c>
    </row>
    <row r="226">
      <c r="A226" s="16" t="inlineStr">
        <is>
          <t>1648</t>
        </is>
      </c>
      <c r="B226" s="17" t="inlineStr">
        <is>
          <t>JUAN DE ACOSTA</t>
        </is>
      </c>
      <c r="C226" s="17" t="inlineStr">
        <is>
          <t>Juan De Acosta</t>
        </is>
      </c>
      <c r="D226" s="17" t="inlineStr">
        <is>
          <t>Atlántico</t>
        </is>
      </c>
      <c r="E226" s="17" t="inlineStr">
        <is>
          <t>COSTA</t>
        </is>
      </c>
      <c r="F226" s="17" t="inlineStr">
        <is>
          <t>8:00 AM - 11:30 AM Y DE 02:00 PM - 04:30 PM</t>
        </is>
      </c>
      <c r="G226" s="17" t="inlineStr">
        <is>
          <t>Calle 7  Nº. 4-106</t>
        </is>
      </c>
      <c r="H226" s="17" t="inlineStr">
        <is>
          <t>6013821400</t>
        </is>
      </c>
      <c r="I226" s="17" t="inlineStr">
        <is>
          <t>LUNES A VIERNES</t>
        </is>
      </c>
      <c r="J226" s="17" t="inlineStr">
        <is>
          <t>GESTIONATECH</t>
        </is>
      </c>
      <c r="K226" s="18" t="n">
        <v>46275</v>
      </c>
      <c r="L226" s="18" t="n">
        <v>46275</v>
      </c>
      <c r="M226" s="17" t="n">
        <v>13</v>
      </c>
    </row>
    <row r="227">
      <c r="A227" s="19" t="inlineStr">
        <is>
          <t>1652</t>
        </is>
      </c>
      <c r="B227" s="20" t="inlineStr">
        <is>
          <t>PUERTO COLOMBIA</t>
        </is>
      </c>
      <c r="C227" s="20" t="inlineStr">
        <is>
          <t>Puerto Colombia</t>
        </is>
      </c>
      <c r="D227" s="20" t="inlineStr">
        <is>
          <t>Atlántico</t>
        </is>
      </c>
      <c r="E227" s="20" t="inlineStr">
        <is>
          <t>COSTA</t>
        </is>
      </c>
      <c r="F227" s="20" t="inlineStr">
        <is>
          <t>8:00 AM - 11:30 AM Y DE 02:00 PM - 04:30 PM</t>
        </is>
      </c>
      <c r="G227" s="20" t="inlineStr">
        <is>
          <t>Carrera 5 No. 2 - 03</t>
        </is>
      </c>
      <c r="H227" s="20" t="inlineStr">
        <is>
          <t>6013821400</t>
        </is>
      </c>
      <c r="I227" s="20" t="inlineStr">
        <is>
          <t>LUNES A VIERNES</t>
        </is>
      </c>
      <c r="J227" s="20" t="inlineStr">
        <is>
          <t>GESTIONATECH</t>
        </is>
      </c>
      <c r="K227" s="21" t="n">
        <v>46302</v>
      </c>
      <c r="L227" s="21" t="n">
        <v>46302</v>
      </c>
      <c r="M227" s="20" t="n">
        <v>13</v>
      </c>
    </row>
    <row r="228">
      <c r="A228" s="16" t="inlineStr">
        <is>
          <t>1654</t>
        </is>
      </c>
      <c r="B228" s="17" t="inlineStr">
        <is>
          <t>CANDELARIA</t>
        </is>
      </c>
      <c r="C228" s="17" t="inlineStr">
        <is>
          <t>Candelaria</t>
        </is>
      </c>
      <c r="D228" s="17" t="inlineStr">
        <is>
          <t>Atlántico</t>
        </is>
      </c>
      <c r="E228" s="17" t="inlineStr">
        <is>
          <t>COSTA</t>
        </is>
      </c>
      <c r="F228" s="17" t="inlineStr">
        <is>
          <t>8:00 AM - 11:30 AM Y DE 02:00 PM - 04:30 PM</t>
        </is>
      </c>
      <c r="G228" s="17" t="inlineStr">
        <is>
          <t>Calle  12 N°11-31</t>
        </is>
      </c>
      <c r="H228" s="17" t="inlineStr">
        <is>
          <t>6013821400</t>
        </is>
      </c>
      <c r="I228" s="17" t="inlineStr">
        <is>
          <t>LUNES A VIERNES</t>
        </is>
      </c>
      <c r="J228" s="17" t="inlineStr">
        <is>
          <t>GESTIONATECH</t>
        </is>
      </c>
      <c r="K228" s="18" t="n">
        <v>46286</v>
      </c>
      <c r="L228" s="18" t="n">
        <v>46286</v>
      </c>
      <c r="M228" s="17" t="n">
        <v>12</v>
      </c>
    </row>
    <row r="229">
      <c r="A229" s="19" t="inlineStr">
        <is>
          <t>1660</t>
        </is>
      </c>
      <c r="B229" s="20" t="inlineStr">
        <is>
          <t>SANTO TOMAS</t>
        </is>
      </c>
      <c r="C229" s="20" t="inlineStr">
        <is>
          <t>Santo Tomás</t>
        </is>
      </c>
      <c r="D229" s="20" t="inlineStr">
        <is>
          <t>Atlántico</t>
        </is>
      </c>
      <c r="E229" s="20" t="inlineStr">
        <is>
          <t>COSTA</t>
        </is>
      </c>
      <c r="F229" s="20" t="inlineStr">
        <is>
          <t>8:00 AM - 11:30 AM Y DE 02:00 PM - 04:30 PM</t>
        </is>
      </c>
      <c r="G229" s="20" t="inlineStr">
        <is>
          <t>Carrera  11  Nº. 3-34</t>
        </is>
      </c>
      <c r="H229" s="20" t="inlineStr">
        <is>
          <t>6013821400</t>
        </is>
      </c>
      <c r="I229" s="20" t="inlineStr">
        <is>
          <t>LUNES A VIERNES</t>
        </is>
      </c>
      <c r="J229" s="20" t="inlineStr">
        <is>
          <t>GESTIONATECH</t>
        </is>
      </c>
      <c r="K229" s="21" t="n">
        <v>46301</v>
      </c>
      <c r="L229" s="21" t="n">
        <v>46301</v>
      </c>
      <c r="M229" s="20" t="n">
        <v>24</v>
      </c>
    </row>
    <row r="230">
      <c r="A230" s="16" t="inlineStr">
        <is>
          <t>1801</t>
        </is>
      </c>
      <c r="B230" s="17" t="inlineStr">
        <is>
          <t>AGUADAS</t>
        </is>
      </c>
      <c r="C230" s="17" t="inlineStr">
        <is>
          <t>Aguadas</t>
        </is>
      </c>
      <c r="D230" s="17" t="inlineStr">
        <is>
          <t>Caldas</t>
        </is>
      </c>
      <c r="E230" s="17" t="inlineStr">
        <is>
          <t>CAFETERA</t>
        </is>
      </c>
      <c r="F230" s="17" t="inlineStr">
        <is>
          <t>8:00 AM A 2:00 P.M.</t>
        </is>
      </c>
      <c r="G230" s="17" t="inlineStr">
        <is>
          <t>Calle 7 No. 5-20</t>
        </is>
      </c>
      <c r="H230" s="17" t="inlineStr">
        <is>
          <t>6013821400</t>
        </is>
      </c>
      <c r="I230" s="17" t="inlineStr">
        <is>
          <t>MARTES A SABADO</t>
        </is>
      </c>
      <c r="J230" s="17" t="inlineStr">
        <is>
          <t>GESTIONATECH</t>
        </is>
      </c>
      <c r="K230" s="18" t="n">
        <v>46280</v>
      </c>
      <c r="L230" s="18" t="n">
        <v>46281</v>
      </c>
      <c r="M230" s="17" t="n">
        <v>19</v>
      </c>
    </row>
    <row r="231">
      <c r="A231" s="19" t="inlineStr">
        <is>
          <t>1803</t>
        </is>
      </c>
      <c r="B231" s="20" t="inlineStr">
        <is>
          <t>MANIZALES</t>
        </is>
      </c>
      <c r="C231" s="20" t="inlineStr">
        <is>
          <t>Manizales</t>
        </is>
      </c>
      <c r="D231" s="20" t="inlineStr">
        <is>
          <t>Caldas</t>
        </is>
      </c>
      <c r="E231" s="20" t="inlineStr">
        <is>
          <t>CAFETERA</t>
        </is>
      </c>
      <c r="F231" s="20" t="inlineStr">
        <is>
          <t>8:00 AM - 11:30 AM Y DE 02:00 PM - 04:30 PM</t>
        </is>
      </c>
      <c r="G231" s="20" t="inlineStr">
        <is>
          <t>Calle 23 No.21-45 Edificio BCH.</t>
        </is>
      </c>
      <c r="H231" s="20" t="inlineStr">
        <is>
          <t>6013821400</t>
        </is>
      </c>
      <c r="I231" s="20" t="inlineStr">
        <is>
          <t>LUNES A VIERNES</t>
        </is>
      </c>
      <c r="J231" s="20" t="inlineStr">
        <is>
          <t>REGIONAL</t>
        </is>
      </c>
      <c r="K231" s="21" t="n">
        <v>46301</v>
      </c>
      <c r="L231" s="21" t="n">
        <v>46311</v>
      </c>
      <c r="M231" s="20" t="n">
        <v>61</v>
      </c>
    </row>
    <row r="232">
      <c r="A232" s="16" t="inlineStr">
        <is>
          <t>1812</t>
        </is>
      </c>
      <c r="B232" s="17" t="inlineStr">
        <is>
          <t>NEIRA</t>
        </is>
      </c>
      <c r="C232" s="17" t="inlineStr">
        <is>
          <t>Neira</t>
        </is>
      </c>
      <c r="D232" s="17" t="inlineStr">
        <is>
          <t>Caldas</t>
        </is>
      </c>
      <c r="E232" s="17" t="inlineStr">
        <is>
          <t>CAFETERA</t>
        </is>
      </c>
      <c r="F232" s="17" t="inlineStr">
        <is>
          <t>8:00 AM A 2:00 P.M.</t>
        </is>
      </c>
      <c r="G232" s="17" t="inlineStr">
        <is>
          <t>Carrera 10 No. 9-42 Palacio Municipal - primer piso</t>
        </is>
      </c>
      <c r="H232" s="17" t="inlineStr">
        <is>
          <t>6013821400</t>
        </is>
      </c>
      <c r="I232" s="17" t="inlineStr">
        <is>
          <t>MARTES A SABADO</t>
        </is>
      </c>
      <c r="J232" s="17" t="inlineStr">
        <is>
          <t>GESTIONATECH</t>
        </is>
      </c>
      <c r="K232" s="18" t="n">
        <v>46287</v>
      </c>
      <c r="L232" s="18" t="n">
        <v>46288</v>
      </c>
      <c r="M232" s="17" t="n">
        <v>16</v>
      </c>
    </row>
    <row r="233">
      <c r="A233" s="19" t="inlineStr">
        <is>
          <t>1820</t>
        </is>
      </c>
      <c r="B233" s="20" t="inlineStr">
        <is>
          <t>BELALCAZAR</t>
        </is>
      </c>
      <c r="C233" s="20" t="inlineStr">
        <is>
          <t>Belalcázar</t>
        </is>
      </c>
      <c r="D233" s="20" t="inlineStr">
        <is>
          <t>Caldas</t>
        </is>
      </c>
      <c r="E233" s="20" t="inlineStr">
        <is>
          <t>CAFETERA</t>
        </is>
      </c>
      <c r="F233" s="20" t="inlineStr">
        <is>
          <t>8:00 AM A 2:00 P.M.</t>
        </is>
      </c>
      <c r="G233" s="20" t="inlineStr">
        <is>
          <t>Carrera 5 No. 14 - 24</t>
        </is>
      </c>
      <c r="H233" s="20" t="inlineStr">
        <is>
          <t>6013821400</t>
        </is>
      </c>
      <c r="I233" s="20" t="inlineStr">
        <is>
          <t>MARTES A SABADO</t>
        </is>
      </c>
      <c r="J233" s="20" t="inlineStr">
        <is>
          <t>GESTIONATECH</t>
        </is>
      </c>
      <c r="K233" s="21" t="n">
        <v>46336</v>
      </c>
      <c r="L233" s="21" t="n">
        <v>46337</v>
      </c>
      <c r="M233" s="20" t="n">
        <v>13</v>
      </c>
    </row>
    <row r="234">
      <c r="A234" s="16" t="inlineStr">
        <is>
          <t>1822</t>
        </is>
      </c>
      <c r="B234" s="17" t="inlineStr">
        <is>
          <t>BOLIVIA (Corregimiento de l municipio de Pensilvania - Caldas)</t>
        </is>
      </c>
      <c r="C234" s="17" t="inlineStr">
        <is>
          <t>Pensilvania</t>
        </is>
      </c>
      <c r="D234" s="17" t="inlineStr">
        <is>
          <t>Caldas</t>
        </is>
      </c>
      <c r="E234" s="17" t="inlineStr">
        <is>
          <t>CAFETERA</t>
        </is>
      </c>
      <c r="F234" s="17" t="inlineStr">
        <is>
          <t>8:00 AM A 2:00 P.M.</t>
        </is>
      </c>
      <c r="G234" s="17" t="inlineStr">
        <is>
          <t>PLAZA PRINCIPAL - ESQUINA</t>
        </is>
      </c>
      <c r="H234" s="17" t="inlineStr">
        <is>
          <t>6013821400</t>
        </is>
      </c>
      <c r="I234" s="17" t="inlineStr">
        <is>
          <t>MARTES A SABADO</t>
        </is>
      </c>
      <c r="J234" s="17" t="inlineStr">
        <is>
          <t>GESTIONATECH</t>
        </is>
      </c>
      <c r="K234" s="18" t="n">
        <v>46324</v>
      </c>
      <c r="L234" s="18" t="n">
        <v>46325</v>
      </c>
      <c r="M234" s="17" t="n">
        <v>20</v>
      </c>
    </row>
    <row r="235">
      <c r="A235" s="19" t="inlineStr">
        <is>
          <t>1825</t>
        </is>
      </c>
      <c r="B235" s="20" t="inlineStr">
        <is>
          <t>ANSERMA</t>
        </is>
      </c>
      <c r="C235" s="20" t="inlineStr">
        <is>
          <t>Anserma</t>
        </is>
      </c>
      <c r="D235" s="20" t="inlineStr">
        <is>
          <t>Caldas</t>
        </is>
      </c>
      <c r="E235" s="20" t="inlineStr">
        <is>
          <t>CAFETERA</t>
        </is>
      </c>
      <c r="F235" s="20" t="inlineStr">
        <is>
          <t>DE MARTES A VIERNES DE 8:00 AM A 11:30 AM Y DE 2:00 P.M. A 4:30 P.M.    SABADO DE 8:00 AM A 2:00 P.M.</t>
        </is>
      </c>
      <c r="G235" s="20" t="inlineStr">
        <is>
          <t>CALLE 7 No. 4-01</t>
        </is>
      </c>
      <c r="H235" s="20" t="inlineStr">
        <is>
          <t>6013821400</t>
        </is>
      </c>
      <c r="I235" s="20" t="inlineStr">
        <is>
          <t>MARTES A VIERNES Y      SÁBADO</t>
        </is>
      </c>
      <c r="J235" s="20" t="inlineStr">
        <is>
          <t>GESTIONATECH</t>
        </is>
      </c>
      <c r="K235" s="21" t="n">
        <v>46294</v>
      </c>
      <c r="L235" s="21" t="n">
        <v>46295</v>
      </c>
      <c r="M235" s="20" t="n">
        <v>18</v>
      </c>
    </row>
    <row r="236">
      <c r="A236" s="16" t="inlineStr">
        <is>
          <t>1830</t>
        </is>
      </c>
      <c r="B236" s="17" t="inlineStr">
        <is>
          <t>SALAMINA</t>
        </is>
      </c>
      <c r="C236" s="17" t="inlineStr">
        <is>
          <t>Salamina</t>
        </is>
      </c>
      <c r="D236" s="17" t="inlineStr">
        <is>
          <t>Caldas</t>
        </is>
      </c>
      <c r="E236" s="17" t="inlineStr">
        <is>
          <t>CAFETERA</t>
        </is>
      </c>
      <c r="F236" s="17" t="inlineStr">
        <is>
          <t>8:00 AM A 2:00 P.M.</t>
        </is>
      </c>
      <c r="G236" s="17" t="inlineStr">
        <is>
          <t>CRA 7 No 4 - 73</t>
        </is>
      </c>
      <c r="H236" s="17" t="inlineStr">
        <is>
          <t>6013821400</t>
        </is>
      </c>
      <c r="I236" s="17" t="inlineStr">
        <is>
          <t>MARTES A SABADO</t>
        </is>
      </c>
      <c r="J236" s="17" t="inlineStr">
        <is>
          <t>GESTIONATECH</t>
        </is>
      </c>
      <c r="K236" s="18" t="n">
        <v>46282</v>
      </c>
      <c r="L236" s="18" t="n">
        <v>46283</v>
      </c>
      <c r="M236" s="17" t="n">
        <v>16</v>
      </c>
    </row>
    <row r="237">
      <c r="A237" s="19" t="inlineStr">
        <is>
          <t>1832</t>
        </is>
      </c>
      <c r="B237" s="20" t="inlineStr">
        <is>
          <t>MARMATO</t>
        </is>
      </c>
      <c r="C237" s="20" t="inlineStr">
        <is>
          <t>Marmato</t>
        </is>
      </c>
      <c r="D237" s="20" t="inlineStr">
        <is>
          <t>Caldas</t>
        </is>
      </c>
      <c r="E237" s="20" t="inlineStr">
        <is>
          <t>CAFETERA</t>
        </is>
      </c>
      <c r="F237" s="20" t="inlineStr">
        <is>
          <t>8:00 AM A 2:00 P.M.</t>
        </is>
      </c>
      <c r="G237" s="20" t="inlineStr">
        <is>
          <t>Vereda El Llano  - Vía Principal (Nuevo Marmato)</t>
        </is>
      </c>
      <c r="H237" s="20" t="inlineStr">
        <is>
          <t>6013821400</t>
        </is>
      </c>
      <c r="I237" s="20" t="inlineStr">
        <is>
          <t>MARTES A SABADO</t>
        </is>
      </c>
      <c r="J237" s="20" t="inlineStr">
        <is>
          <t>GESTIONATECH</t>
        </is>
      </c>
      <c r="K237" s="21" t="n">
        <v>46289</v>
      </c>
      <c r="L237" s="21" t="n">
        <v>46290</v>
      </c>
      <c r="M237" s="20" t="n">
        <v>14</v>
      </c>
    </row>
    <row r="238">
      <c r="A238" s="16" t="inlineStr">
        <is>
          <t>1833</t>
        </is>
      </c>
      <c r="B238" s="17" t="inlineStr">
        <is>
          <t>MARQUETALIA</t>
        </is>
      </c>
      <c r="C238" s="17" t="inlineStr">
        <is>
          <t>Marquetalia</t>
        </is>
      </c>
      <c r="D238" s="17" t="inlineStr">
        <is>
          <t>Caldas</t>
        </is>
      </c>
      <c r="E238" s="17" t="inlineStr">
        <is>
          <t>CAFETERA</t>
        </is>
      </c>
      <c r="F238" s="17" t="inlineStr">
        <is>
          <t>8:00 AM A 2:00 P.M.</t>
        </is>
      </c>
      <c r="G238" s="17" t="inlineStr">
        <is>
          <t>CALLE 3 No. 1A - 53</t>
        </is>
      </c>
      <c r="H238" s="17" t="inlineStr">
        <is>
          <t>6013821400</t>
        </is>
      </c>
      <c r="I238" s="17" t="inlineStr">
        <is>
          <t>MARTES A SABADO</t>
        </is>
      </c>
      <c r="J238" s="17" t="inlineStr">
        <is>
          <t>GESTIONATECH</t>
        </is>
      </c>
      <c r="K238" s="18" t="n">
        <v>46322</v>
      </c>
      <c r="L238" s="18" t="n">
        <v>46323</v>
      </c>
      <c r="M238" s="17" t="n">
        <v>15</v>
      </c>
    </row>
    <row r="239">
      <c r="A239" s="19" t="inlineStr">
        <is>
          <t>1834</t>
        </is>
      </c>
      <c r="B239" s="20" t="inlineStr">
        <is>
          <t>MARULANDA</t>
        </is>
      </c>
      <c r="C239" s="20" t="inlineStr">
        <is>
          <t>Marulanda</t>
        </is>
      </c>
      <c r="D239" s="20" t="inlineStr">
        <is>
          <t>Caldas</t>
        </is>
      </c>
      <c r="E239" s="20" t="inlineStr">
        <is>
          <t>CAFETERA</t>
        </is>
      </c>
      <c r="F239" s="20" t="inlineStr">
        <is>
          <t>8:00 AM A 2:00 P.M.</t>
        </is>
      </c>
      <c r="G239" s="20" t="inlineStr">
        <is>
          <t>CALLE 6 No 5 - 23</t>
        </is>
      </c>
      <c r="H239" s="20" t="inlineStr">
        <is>
          <t>6013821400</t>
        </is>
      </c>
      <c r="I239" s="20" t="inlineStr">
        <is>
          <t>MARTES A SABADO</t>
        </is>
      </c>
      <c r="J239" s="20" t="inlineStr">
        <is>
          <t>GESTIONATECH</t>
        </is>
      </c>
      <c r="K239" s="21" t="n">
        <v>46282</v>
      </c>
      <c r="L239" s="21" t="n">
        <v>46283</v>
      </c>
      <c r="M239" s="20" t="n">
        <v>12</v>
      </c>
    </row>
    <row r="240">
      <c r="A240" s="16" t="inlineStr">
        <is>
          <t>1835</t>
        </is>
      </c>
      <c r="B240" s="17" t="inlineStr">
        <is>
          <t>RIOSUCIO</t>
        </is>
      </c>
      <c r="C240" s="17" t="inlineStr">
        <is>
          <t>Riosucio</t>
        </is>
      </c>
      <c r="D240" s="17" t="inlineStr">
        <is>
          <t>Caldas</t>
        </is>
      </c>
      <c r="E240" s="17" t="inlineStr">
        <is>
          <t>CAFETERA</t>
        </is>
      </c>
      <c r="F240" s="17" t="inlineStr">
        <is>
          <t>8:00 AM A 2:00 P.M.</t>
        </is>
      </c>
      <c r="G240" s="17" t="inlineStr">
        <is>
          <t>Calle 8 No.7-60 Esquina Plaza la Candelaria</t>
        </is>
      </c>
      <c r="H240" s="17" t="inlineStr">
        <is>
          <t>6013821400</t>
        </is>
      </c>
      <c r="I240" s="17" t="inlineStr">
        <is>
          <t>MARTES A SABADO</t>
        </is>
      </c>
      <c r="J240" s="17" t="inlineStr">
        <is>
          <t>GESTIONATECH</t>
        </is>
      </c>
      <c r="K240" s="18" t="n">
        <v>46294</v>
      </c>
      <c r="L240" s="18" t="n">
        <v>46295</v>
      </c>
      <c r="M240" s="17" t="n">
        <v>26</v>
      </c>
    </row>
    <row r="241">
      <c r="A241" s="19" t="inlineStr">
        <is>
          <t>1840</t>
        </is>
      </c>
      <c r="B241" s="20" t="inlineStr">
        <is>
          <t>PALESTINA-CALDAS</t>
        </is>
      </c>
      <c r="C241" s="20" t="inlineStr">
        <is>
          <t>Palestina</t>
        </is>
      </c>
      <c r="D241" s="20" t="inlineStr">
        <is>
          <t>Caldas</t>
        </is>
      </c>
      <c r="E241" s="20" t="inlineStr">
        <is>
          <t>CAFETERA</t>
        </is>
      </c>
      <c r="F241" s="20" t="inlineStr">
        <is>
          <t>8:00 AM A 2:00 P.M.</t>
        </is>
      </c>
      <c r="G241" s="20" t="inlineStr">
        <is>
          <t>Calle 8 12 10 /20</t>
        </is>
      </c>
      <c r="H241" s="20" t="inlineStr">
        <is>
          <t>6013821400</t>
        </is>
      </c>
      <c r="I241" s="20" t="inlineStr">
        <is>
          <t>MARTES A SABADO</t>
        </is>
      </c>
      <c r="J241" s="20" t="inlineStr">
        <is>
          <t>GESTIONATECH</t>
        </is>
      </c>
      <c r="K241" s="21" t="n">
        <v>46303</v>
      </c>
      <c r="L241" s="21" t="n">
        <v>46304</v>
      </c>
      <c r="M241" s="20" t="n">
        <v>14</v>
      </c>
    </row>
    <row r="242">
      <c r="A242" s="16" t="inlineStr">
        <is>
          <t>1846</t>
        </is>
      </c>
      <c r="B242" s="17" t="inlineStr">
        <is>
          <t>LA MERCED</t>
        </is>
      </c>
      <c r="C242" s="17" t="inlineStr">
        <is>
          <t>La Merced</t>
        </is>
      </c>
      <c r="D242" s="17" t="inlineStr">
        <is>
          <t>Caldas</t>
        </is>
      </c>
      <c r="E242" s="17" t="inlineStr">
        <is>
          <t>CAFETERA</t>
        </is>
      </c>
      <c r="F242" s="17" t="inlineStr">
        <is>
          <t>8:00 AM A 2:00 P.M.</t>
        </is>
      </c>
      <c r="G242" s="17" t="inlineStr">
        <is>
          <t>Calle 15 No. 6-20/22/26/28 Predio 4 Parque Principal</t>
        </is>
      </c>
      <c r="H242" s="17" t="inlineStr">
        <is>
          <t>6013821400</t>
        </is>
      </c>
      <c r="I242" s="17" t="inlineStr">
        <is>
          <t>MARTES A SABADO</t>
        </is>
      </c>
      <c r="J242" s="17" t="inlineStr">
        <is>
          <t>GESTIONATECH</t>
        </is>
      </c>
      <c r="K242" s="18" t="n">
        <v>46289</v>
      </c>
      <c r="L242" s="18" t="n">
        <v>46290</v>
      </c>
      <c r="M242" s="17" t="n">
        <v>14</v>
      </c>
    </row>
    <row r="243">
      <c r="A243" s="19" t="inlineStr">
        <is>
          <t>1850</t>
        </is>
      </c>
      <c r="B243" s="20" t="inlineStr">
        <is>
          <t>ARANZAZU</t>
        </is>
      </c>
      <c r="C243" s="20" t="inlineStr">
        <is>
          <t>Aranzazu</t>
        </is>
      </c>
      <c r="D243" s="20" t="inlineStr">
        <is>
          <t>Caldas</t>
        </is>
      </c>
      <c r="E243" s="20" t="inlineStr">
        <is>
          <t>CAFETERA</t>
        </is>
      </c>
      <c r="F243" s="20" t="inlineStr">
        <is>
          <t>8:00 AM A 2:00 P.M.</t>
        </is>
      </c>
      <c r="G243" s="20" t="inlineStr">
        <is>
          <t>CRA 5 No 6 - 24 Plaza Principal</t>
        </is>
      </c>
      <c r="H243" s="20" t="inlineStr">
        <is>
          <t>6013821400</t>
        </is>
      </c>
      <c r="I243" s="20" t="inlineStr">
        <is>
          <t>MARTES A SABADO</t>
        </is>
      </c>
      <c r="J243" s="20" t="inlineStr">
        <is>
          <t>GESTIONATECH</t>
        </is>
      </c>
      <c r="K243" s="21" t="n">
        <v>46332</v>
      </c>
      <c r="L243" s="21" t="n">
        <v>46332</v>
      </c>
      <c r="M243" s="20" t="n">
        <v>14</v>
      </c>
    </row>
    <row r="244">
      <c r="A244" s="16" t="inlineStr">
        <is>
          <t>1853</t>
        </is>
      </c>
      <c r="B244" s="17" t="inlineStr">
        <is>
          <t>SAMANA</t>
        </is>
      </c>
      <c r="C244" s="17" t="inlineStr">
        <is>
          <t>Samaná</t>
        </is>
      </c>
      <c r="D244" s="17" t="inlineStr">
        <is>
          <t>Caldas</t>
        </is>
      </c>
      <c r="E244" s="17" t="inlineStr">
        <is>
          <t>CAFETERA</t>
        </is>
      </c>
      <c r="F244" s="17" t="inlineStr">
        <is>
          <t>8:00 AM A 2:00 P.M.</t>
        </is>
      </c>
      <c r="G244" s="17" t="inlineStr">
        <is>
          <t>CARRERA 6 No. 8 - 35</t>
        </is>
      </c>
      <c r="H244" s="17" t="inlineStr">
        <is>
          <t>6013821400</t>
        </is>
      </c>
      <c r="I244" s="17" t="inlineStr">
        <is>
          <t>MARTES A SABADO</t>
        </is>
      </c>
      <c r="J244" s="17" t="inlineStr">
        <is>
          <t>GESTIONATECH</t>
        </is>
      </c>
      <c r="K244" s="18" t="n">
        <v>46317</v>
      </c>
      <c r="L244" s="18" t="n">
        <v>46318</v>
      </c>
      <c r="M244" s="17" t="n">
        <v>23</v>
      </c>
    </row>
    <row r="245">
      <c r="A245" s="19" t="inlineStr">
        <is>
          <t>1855</t>
        </is>
      </c>
      <c r="B245" s="20" t="inlineStr">
        <is>
          <t>VITERBO</t>
        </is>
      </c>
      <c r="C245" s="20" t="inlineStr">
        <is>
          <t>Viterbo</t>
        </is>
      </c>
      <c r="D245" s="20" t="inlineStr">
        <is>
          <t>Caldas</t>
        </is>
      </c>
      <c r="E245" s="20" t="inlineStr">
        <is>
          <t>CAFETERA</t>
        </is>
      </c>
      <c r="F245" s="20" t="inlineStr">
        <is>
          <t>8:00 AM A 2:00 P.M.</t>
        </is>
      </c>
      <c r="G245" s="20" t="inlineStr">
        <is>
          <t>Calle 9 No 7-34   Calle 8 No. 6-46</t>
        </is>
      </c>
      <c r="H245" s="20" t="inlineStr">
        <is>
          <t>6013821400</t>
        </is>
      </c>
      <c r="I245" s="20" t="inlineStr">
        <is>
          <t>MARTES A SABADO</t>
        </is>
      </c>
      <c r="J245" s="20" t="inlineStr">
        <is>
          <t>GESTIONATECH</t>
        </is>
      </c>
      <c r="K245" s="21" t="n">
        <v>46301</v>
      </c>
      <c r="L245" s="21" t="n">
        <v>46302</v>
      </c>
      <c r="M245" s="20" t="n">
        <v>17</v>
      </c>
    </row>
    <row r="246">
      <c r="A246" s="16" t="inlineStr">
        <is>
          <t>1860</t>
        </is>
      </c>
      <c r="B246" s="17" t="inlineStr">
        <is>
          <t>PACORA</t>
        </is>
      </c>
      <c r="C246" s="17" t="inlineStr">
        <is>
          <t>Pácora</t>
        </is>
      </c>
      <c r="D246" s="17" t="inlineStr">
        <is>
          <t>Caldas</t>
        </is>
      </c>
      <c r="E246" s="17" t="inlineStr">
        <is>
          <t>CAFETERA</t>
        </is>
      </c>
      <c r="F246" s="17" t="inlineStr">
        <is>
          <t>8:00 AM A 2:00 P.M.</t>
        </is>
      </c>
      <c r="G246" s="17" t="inlineStr">
        <is>
          <t>CALLE 5 No 3 - 28</t>
        </is>
      </c>
      <c r="H246" s="17" t="inlineStr">
        <is>
          <t>6013821400</t>
        </is>
      </c>
      <c r="I246" s="17" t="inlineStr">
        <is>
          <t>MARTES A SABADO</t>
        </is>
      </c>
      <c r="J246" s="17" t="inlineStr">
        <is>
          <t>GESTIONATECH</t>
        </is>
      </c>
      <c r="K246" s="18" t="n">
        <v>46280</v>
      </c>
      <c r="L246" s="18" t="n">
        <v>46281</v>
      </c>
      <c r="M246" s="17" t="n">
        <v>16</v>
      </c>
    </row>
    <row r="247">
      <c r="A247" s="19" t="inlineStr">
        <is>
          <t>1861</t>
        </is>
      </c>
      <c r="B247" s="20" t="inlineStr">
        <is>
          <t>NORCASIA</t>
        </is>
      </c>
      <c r="C247" s="20" t="inlineStr">
        <is>
          <t>Norcasia</t>
        </is>
      </c>
      <c r="D247" s="20" t="inlineStr">
        <is>
          <t>Caldas</t>
        </is>
      </c>
      <c r="E247" s="20" t="inlineStr">
        <is>
          <t>CAFETERA</t>
        </is>
      </c>
      <c r="F247" s="20" t="inlineStr">
        <is>
          <t>8:00 AM A 2:00 P.M.</t>
        </is>
      </c>
      <c r="G247" s="20" t="inlineStr">
        <is>
          <t>Cra. 6a No. 10-44</t>
        </is>
      </c>
      <c r="H247" s="20" t="inlineStr">
        <is>
          <t>6013821400</t>
        </is>
      </c>
      <c r="I247" s="20" t="inlineStr">
        <is>
          <t>MARTES A SABADO</t>
        </is>
      </c>
      <c r="J247" s="20" t="inlineStr">
        <is>
          <t>GESTIONATECH</t>
        </is>
      </c>
      <c r="K247" s="21" t="n">
        <v>46309</v>
      </c>
      <c r="L247" s="21" t="n">
        <v>46309</v>
      </c>
      <c r="M247" s="20" t="n">
        <v>13</v>
      </c>
    </row>
    <row r="248">
      <c r="A248" s="16" t="inlineStr">
        <is>
          <t>1862</t>
        </is>
      </c>
      <c r="B248" s="17" t="inlineStr">
        <is>
          <t>RISARALDA</t>
        </is>
      </c>
      <c r="C248" s="17" t="inlineStr">
        <is>
          <t>Risaralda</t>
        </is>
      </c>
      <c r="D248" s="17" t="inlineStr">
        <is>
          <t>Caldas</t>
        </is>
      </c>
      <c r="E248" s="17" t="inlineStr">
        <is>
          <t>CAFETERA</t>
        </is>
      </c>
      <c r="F248" s="17" t="inlineStr">
        <is>
          <t>8:00 AM A 2:00 P.M.</t>
        </is>
      </c>
      <c r="G248" s="17" t="inlineStr">
        <is>
          <t>CRA. 2 # 8-15</t>
        </is>
      </c>
      <c r="H248" s="17" t="inlineStr">
        <is>
          <t>6013821400</t>
        </is>
      </c>
      <c r="I248" s="17" t="inlineStr">
        <is>
          <t>MARTES A SABADO</t>
        </is>
      </c>
      <c r="J248" s="17" t="inlineStr">
        <is>
          <t>GESTIONATECH</t>
        </is>
      </c>
      <c r="K248" s="18" t="n">
        <v>46296</v>
      </c>
      <c r="L248" s="18" t="n">
        <v>46297</v>
      </c>
      <c r="M248" s="17" t="n">
        <v>13</v>
      </c>
    </row>
    <row r="249">
      <c r="A249" s="19" t="inlineStr">
        <is>
          <t>1865</t>
        </is>
      </c>
      <c r="B249" s="20" t="inlineStr">
        <is>
          <t>VICTORIA</t>
        </is>
      </c>
      <c r="C249" s="20" t="inlineStr">
        <is>
          <t>Victoria</t>
        </is>
      </c>
      <c r="D249" s="20" t="inlineStr">
        <is>
          <t>Caldas</t>
        </is>
      </c>
      <c r="E249" s="20" t="inlineStr">
        <is>
          <t>CAFETERA</t>
        </is>
      </c>
      <c r="F249" s="20" t="inlineStr">
        <is>
          <t>8:00 AM A 2:00 P.M.</t>
        </is>
      </c>
      <c r="G249" s="20" t="inlineStr">
        <is>
          <t>CRA 6 No 9 - 28    9-29</t>
        </is>
      </c>
      <c r="H249" s="20" t="inlineStr">
        <is>
          <t>6013821400</t>
        </is>
      </c>
      <c r="I249" s="20" t="inlineStr">
        <is>
          <t>MARTES A SABADO</t>
        </is>
      </c>
      <c r="J249" s="20" t="inlineStr">
        <is>
          <t>GESTIONATECH</t>
        </is>
      </c>
      <c r="K249" s="21" t="n">
        <v>46315</v>
      </c>
      <c r="L249" s="21" t="n">
        <v>46316</v>
      </c>
      <c r="M249" s="20" t="n">
        <v>12</v>
      </c>
    </row>
    <row r="250">
      <c r="A250" s="16" t="inlineStr">
        <is>
          <t>1870</t>
        </is>
      </c>
      <c r="B250" s="17" t="inlineStr">
        <is>
          <t>SAN JOSÉ</t>
        </is>
      </c>
      <c r="C250" s="17" t="inlineStr">
        <is>
          <t>San José</t>
        </is>
      </c>
      <c r="D250" s="17" t="inlineStr">
        <is>
          <t>Caldas</t>
        </is>
      </c>
      <c r="E250" s="17" t="inlineStr">
        <is>
          <t>CAFETERA</t>
        </is>
      </c>
      <c r="F250" s="17" t="inlineStr">
        <is>
          <t>8:00 AM A 2:00 P.M.</t>
        </is>
      </c>
      <c r="G250" s="17" t="inlineStr">
        <is>
          <t>Carrera 2 No 1A-44</t>
        </is>
      </c>
      <c r="H250" s="17" t="inlineStr">
        <is>
          <t>6013821400</t>
        </is>
      </c>
      <c r="I250" s="17" t="inlineStr">
        <is>
          <t>MARTES A SABADO</t>
        </is>
      </c>
      <c r="J250" s="17" t="inlineStr">
        <is>
          <t>GESTIONATECH</t>
        </is>
      </c>
      <c r="K250" s="18" t="n">
        <v>46296</v>
      </c>
      <c r="L250" s="18" t="n">
        <v>46297</v>
      </c>
      <c r="M250" s="17" t="n">
        <v>12</v>
      </c>
    </row>
    <row r="251">
      <c r="A251" s="19" t="inlineStr">
        <is>
          <t>2101</t>
        </is>
      </c>
      <c r="B251" s="20" t="inlineStr">
        <is>
          <t>EL TAMBO</t>
        </is>
      </c>
      <c r="C251" s="20" t="inlineStr">
        <is>
          <t>El Tambo</t>
        </is>
      </c>
      <c r="D251" s="20" t="inlineStr">
        <is>
          <t>Cauca</t>
        </is>
      </c>
      <c r="E251" s="20" t="inlineStr">
        <is>
          <t>OCCIDENTE</t>
        </is>
      </c>
      <c r="F251" s="20" t="inlineStr">
        <is>
          <t>8:00 AM A 2:00 P.M.</t>
        </is>
      </c>
      <c r="G251" s="20" t="inlineStr">
        <is>
          <t>Calle 3 No. 3 -37</t>
        </is>
      </c>
      <c r="H251" s="20" t="inlineStr">
        <is>
          <t>6013821400</t>
        </is>
      </c>
      <c r="I251" s="20" t="inlineStr">
        <is>
          <t>MARTES A SABADO</t>
        </is>
      </c>
      <c r="J251" s="20" t="inlineStr">
        <is>
          <t>INSARED</t>
        </is>
      </c>
      <c r="K251" s="21" t="n">
        <v>46288</v>
      </c>
      <c r="L251" s="21" t="n">
        <v>46288</v>
      </c>
      <c r="M251" s="20" t="n">
        <v>23</v>
      </c>
    </row>
    <row r="252">
      <c r="A252" s="16" t="inlineStr">
        <is>
          <t>2102</t>
        </is>
      </c>
      <c r="B252" s="17" t="inlineStr">
        <is>
          <t>EL BORDO</t>
        </is>
      </c>
      <c r="C252" s="17" t="inlineStr">
        <is>
          <t>Patía</t>
        </is>
      </c>
      <c r="D252" s="17" t="inlineStr">
        <is>
          <t>Cauca</t>
        </is>
      </c>
      <c r="E252" s="17" t="inlineStr">
        <is>
          <t>OCCIDENTE</t>
        </is>
      </c>
      <c r="F252" s="17" t="inlineStr">
        <is>
          <t>DE MARTES A VIERNES DE 8:00 AM A 11:30 AM Y DE 2:00 P.M. A 4:30 P.M.    SABADO DE 8:00 AM A 2:00 P.M.</t>
        </is>
      </c>
      <c r="G252" s="17" t="inlineStr">
        <is>
          <t>Carrera 5 frente a Palacio de Justicia</t>
        </is>
      </c>
      <c r="H252" s="17" t="inlineStr">
        <is>
          <t>6013821400</t>
        </is>
      </c>
      <c r="I252" s="17" t="inlineStr">
        <is>
          <t>MARTES A VIERNES Y      SÁBADO</t>
        </is>
      </c>
      <c r="J252" s="17" t="inlineStr">
        <is>
          <t>INSARED</t>
        </is>
      </c>
      <c r="K252" s="18" t="n">
        <v>46302</v>
      </c>
      <c r="L252" s="18" t="n">
        <v>46302</v>
      </c>
      <c r="M252" s="17" t="n">
        <v>28</v>
      </c>
    </row>
    <row r="253">
      <c r="A253" s="19" t="inlineStr">
        <is>
          <t>2103</t>
        </is>
      </c>
      <c r="B253" s="20" t="inlineStr">
        <is>
          <t>BALBOA</t>
        </is>
      </c>
      <c r="C253" s="20" t="inlineStr">
        <is>
          <t>Balboa</t>
        </is>
      </c>
      <c r="D253" s="20" t="inlineStr">
        <is>
          <t>Cauca</t>
        </is>
      </c>
      <c r="E253" s="20" t="inlineStr">
        <is>
          <t>OCCIDENTE</t>
        </is>
      </c>
      <c r="F253" s="20" t="inlineStr">
        <is>
          <t>DE MARTES A VIERNES DE 8:00 AM A 11:30 AM Y DE 2:00 P.M. A 4:30 P.M.    SABADO DE 8:00 AM A 2:00 P.M.</t>
        </is>
      </c>
      <c r="G253" s="20" t="inlineStr">
        <is>
          <t>Calle 5 No. 2-32</t>
        </is>
      </c>
      <c r="H253" s="20" t="inlineStr">
        <is>
          <t>6013821400</t>
        </is>
      </c>
      <c r="I253" s="20" t="inlineStr">
        <is>
          <t>MARTES A VIERNES Y      SÁBADO</t>
        </is>
      </c>
      <c r="J253" s="20" t="inlineStr">
        <is>
          <t>INSARED</t>
        </is>
      </c>
      <c r="K253" s="21" t="n">
        <v>46290</v>
      </c>
      <c r="L253" s="21" t="n">
        <v>46290</v>
      </c>
      <c r="M253" s="20" t="n">
        <v>14</v>
      </c>
    </row>
    <row r="254">
      <c r="A254" s="16" t="inlineStr">
        <is>
          <t>2104</t>
        </is>
      </c>
      <c r="B254" s="17" t="inlineStr">
        <is>
          <t>BOLIVAR</t>
        </is>
      </c>
      <c r="C254" s="17" t="inlineStr">
        <is>
          <t>Bolívar</t>
        </is>
      </c>
      <c r="D254" s="17" t="inlineStr">
        <is>
          <t>Cauca</t>
        </is>
      </c>
      <c r="E254" s="17" t="inlineStr">
        <is>
          <t>OCCIDENTE</t>
        </is>
      </c>
      <c r="F254" s="17" t="inlineStr">
        <is>
          <t>DE MARTES A VIERNES DE 8:00 AM A 11:30 AM Y DE 2:00 P.M. A 4:30 P.M.    SABADO DE 8:00 AM A 2:00 P.M.</t>
        </is>
      </c>
      <c r="G254" s="17" t="inlineStr">
        <is>
          <t>Crrera 5 No.5-21</t>
        </is>
      </c>
      <c r="H254" s="17" t="inlineStr">
        <is>
          <t>6013821400</t>
        </is>
      </c>
      <c r="I254" s="17" t="inlineStr">
        <is>
          <t>MARTES A VIERNES Y      SÁBADO</t>
        </is>
      </c>
      <c r="J254" s="17" t="inlineStr">
        <is>
          <t>INSARED</t>
        </is>
      </c>
      <c r="K254" s="18" t="n">
        <v>46304</v>
      </c>
      <c r="L254" s="18" t="n">
        <v>46304</v>
      </c>
      <c r="M254" s="17" t="n">
        <v>23</v>
      </c>
    </row>
    <row r="255">
      <c r="A255" s="19" t="inlineStr">
        <is>
          <t>2105</t>
        </is>
      </c>
      <c r="B255" s="20" t="inlineStr">
        <is>
          <t>CAJIBIO</t>
        </is>
      </c>
      <c r="C255" s="20" t="inlineStr">
        <is>
          <t>Cajibío</t>
        </is>
      </c>
      <c r="D255" s="20" t="inlineStr">
        <is>
          <t>Cauca</t>
        </is>
      </c>
      <c r="E255" s="20" t="inlineStr">
        <is>
          <t>OCCIDENTE</t>
        </is>
      </c>
      <c r="F255" s="20" t="inlineStr">
        <is>
          <t>DE MARTES A VIERNES DE 8:00 AM A 11:30 AM Y DE 2:00 P.M. A 4:30 P.M.    SABADO DE 8:00 AM A 2:00 P.M.</t>
        </is>
      </c>
      <c r="G255" s="20" t="inlineStr">
        <is>
          <t>Parque Principal</t>
        </is>
      </c>
      <c r="H255" s="20" t="inlineStr">
        <is>
          <t>6013821400</t>
        </is>
      </c>
      <c r="I255" s="20" t="inlineStr">
        <is>
          <t>MARTES A VIERNES Y      SÁBADO</t>
        </is>
      </c>
      <c r="J255" s="20" t="inlineStr">
        <is>
          <t>INSARED</t>
        </is>
      </c>
      <c r="K255" s="21" t="n">
        <v>46310</v>
      </c>
      <c r="L255" s="21" t="n">
        <v>46310</v>
      </c>
      <c r="M255" s="20" t="n">
        <v>17</v>
      </c>
    </row>
    <row r="256">
      <c r="A256" s="16" t="inlineStr">
        <is>
          <t>2106</t>
        </is>
      </c>
      <c r="B256" s="17" t="inlineStr">
        <is>
          <t>MORALES</t>
        </is>
      </c>
      <c r="C256" s="17" t="inlineStr">
        <is>
          <t>Morales</t>
        </is>
      </c>
      <c r="D256" s="17" t="inlineStr">
        <is>
          <t>Cauca</t>
        </is>
      </c>
      <c r="E256" s="17" t="inlineStr">
        <is>
          <t>OCCIDENTE</t>
        </is>
      </c>
      <c r="F256" s="17" t="inlineStr">
        <is>
          <t>DE MARTES A VIERNES DE 8:00 AM A 11:30 AM Y DE 2:00 P.M. A 4:30 P.M.    SABADO DE 8:00 AM A 2:00 P.M.</t>
        </is>
      </c>
      <c r="G256" s="17" t="inlineStr">
        <is>
          <t>Calle 4 No.4-30 Calle Principal Morales.</t>
        </is>
      </c>
      <c r="H256" s="17" t="inlineStr">
        <is>
          <t>6013821400</t>
        </is>
      </c>
      <c r="I256" s="17" t="inlineStr">
        <is>
          <t>MARTES A VIERNES Y      SÁBADO</t>
        </is>
      </c>
      <c r="J256" s="17" t="inlineStr">
        <is>
          <t>INSARED</t>
        </is>
      </c>
      <c r="K256" s="18" t="n">
        <v>46311</v>
      </c>
      <c r="L256" s="18" t="n">
        <v>46311</v>
      </c>
      <c r="M256" s="17" t="n">
        <v>21</v>
      </c>
    </row>
    <row r="257">
      <c r="A257" s="19" t="inlineStr">
        <is>
          <t>2107</t>
        </is>
      </c>
      <c r="B257" s="20" t="inlineStr">
        <is>
          <t>TOTORO</t>
        </is>
      </c>
      <c r="C257" s="20" t="inlineStr">
        <is>
          <t>Totoró</t>
        </is>
      </c>
      <c r="D257" s="20" t="inlineStr">
        <is>
          <t>Cauca</t>
        </is>
      </c>
      <c r="E257" s="20" t="inlineStr">
        <is>
          <t>OCCIDENTE</t>
        </is>
      </c>
      <c r="F257" s="20" t="inlineStr">
        <is>
          <t>DE MARTES A VIERNES DE 8:00 AM A 11:30 AM Y DE 2:00 P.M. A 4:30 P.M.    SABADO DE 8:00 AM A 2:00 P.M.</t>
        </is>
      </c>
      <c r="G257" s="20" t="inlineStr">
        <is>
          <t>Calle 3 N° 4 - 86</t>
        </is>
      </c>
      <c r="H257" s="20" t="inlineStr">
        <is>
          <t>6013821400</t>
        </is>
      </c>
      <c r="I257" s="20" t="inlineStr">
        <is>
          <t>MARTES A VIERNES Y      SÁBADO</t>
        </is>
      </c>
      <c r="J257" s="20" t="inlineStr">
        <is>
          <t>INSARED</t>
        </is>
      </c>
      <c r="K257" s="21" t="n">
        <v>46296</v>
      </c>
      <c r="L257" s="21" t="n">
        <v>46296</v>
      </c>
      <c r="M257" s="20" t="n">
        <v>12</v>
      </c>
    </row>
    <row r="258">
      <c r="A258" s="16" t="inlineStr">
        <is>
          <t>2108</t>
        </is>
      </c>
      <c r="B258" s="17" t="inlineStr">
        <is>
          <t>ROSAS</t>
        </is>
      </c>
      <c r="C258" s="17" t="inlineStr">
        <is>
          <t>Rosas</t>
        </is>
      </c>
      <c r="D258" s="17" t="inlineStr">
        <is>
          <t>Cauca</t>
        </is>
      </c>
      <c r="E258" s="17" t="inlineStr">
        <is>
          <t>OCCIDENTE</t>
        </is>
      </c>
      <c r="F258" s="17" t="inlineStr">
        <is>
          <t>8:00 AM A 2:00 P.M.</t>
        </is>
      </c>
      <c r="G258" s="17" t="inlineStr">
        <is>
          <t>: Calle 7 # 4 – 01 Centro Administrativo Municipal</t>
        </is>
      </c>
      <c r="H258" s="17" t="inlineStr">
        <is>
          <t>6013821400</t>
        </is>
      </c>
      <c r="I258" s="17" t="inlineStr">
        <is>
          <t>MARTES A SABADO</t>
        </is>
      </c>
      <c r="J258" s="17" t="inlineStr">
        <is>
          <t>INSARED</t>
        </is>
      </c>
      <c r="K258" s="18" t="n">
        <v>46301</v>
      </c>
      <c r="L258" s="18" t="n">
        <v>46301</v>
      </c>
      <c r="M258" s="17" t="n">
        <v>13</v>
      </c>
    </row>
    <row r="259">
      <c r="A259" s="19" t="inlineStr">
        <is>
          <t>2109</t>
        </is>
      </c>
      <c r="B259" s="20" t="inlineStr">
        <is>
          <t>LA SIERRA</t>
        </is>
      </c>
      <c r="C259" s="20" t="inlineStr">
        <is>
          <t>La Sierra</t>
        </is>
      </c>
      <c r="D259" s="20" t="inlineStr">
        <is>
          <t>Cauca</t>
        </is>
      </c>
      <c r="E259" s="20" t="inlineStr">
        <is>
          <t>OCCIDENTE</t>
        </is>
      </c>
      <c r="F259" s="20" t="inlineStr">
        <is>
          <t>8:00 AM A 2:00 P.M.</t>
        </is>
      </c>
      <c r="G259" s="20" t="inlineStr">
        <is>
          <t>Calle Principal Edificio Alcaldía Municipal primer piso- Barrio Centro</t>
        </is>
      </c>
      <c r="H259" s="20" t="inlineStr">
        <is>
          <t>6013821400</t>
        </is>
      </c>
      <c r="I259" s="20" t="inlineStr">
        <is>
          <t>MARTES A SABADO</t>
        </is>
      </c>
      <c r="J259" s="20" t="inlineStr">
        <is>
          <t>INSARED</t>
        </is>
      </c>
      <c r="K259" s="21" t="n">
        <v>46301</v>
      </c>
      <c r="L259" s="21" t="n">
        <v>46301</v>
      </c>
      <c r="M259" s="20" t="n">
        <v>12</v>
      </c>
    </row>
    <row r="260">
      <c r="A260" s="16" t="inlineStr">
        <is>
          <t>2110</t>
        </is>
      </c>
      <c r="B260" s="17" t="inlineStr">
        <is>
          <t>CALDONO</t>
        </is>
      </c>
      <c r="C260" s="17" t="inlineStr">
        <is>
          <t>Caldono</t>
        </is>
      </c>
      <c r="D260" s="17" t="inlineStr">
        <is>
          <t>Cauca</t>
        </is>
      </c>
      <c r="E260" s="17" t="inlineStr">
        <is>
          <t>OCCIDENTE</t>
        </is>
      </c>
      <c r="F260" s="17" t="inlineStr">
        <is>
          <t>DE MARTES A VIERNES DE 8:00 AM A 11:30 AM Y DE 2:00 P.M. A 4:30 P.M.    SABADO DE 8:00 AM A 2:00 P.M.</t>
        </is>
      </c>
      <c r="G260" s="17" t="inlineStr">
        <is>
          <t>Calle Principal - Barrio Bolivar</t>
        </is>
      </c>
      <c r="H260" s="17" t="inlineStr">
        <is>
          <t>6013821400</t>
        </is>
      </c>
      <c r="I260" s="17" t="inlineStr">
        <is>
          <t>MARTES A VIERNES Y      SÁBADO</t>
        </is>
      </c>
      <c r="J260" s="17" t="inlineStr">
        <is>
          <t>INSARED</t>
        </is>
      </c>
      <c r="K260" s="18" t="n">
        <v>46309</v>
      </c>
      <c r="L260" s="18" t="n">
        <v>46309</v>
      </c>
      <c r="M260" s="17" t="n">
        <v>16</v>
      </c>
    </row>
    <row r="261">
      <c r="A261" s="19" t="inlineStr">
        <is>
          <t>2111</t>
        </is>
      </c>
      <c r="B261" s="20" t="inlineStr">
        <is>
          <t>SUAREZ</t>
        </is>
      </c>
      <c r="C261" s="20" t="inlineStr">
        <is>
          <t>Suárez</t>
        </is>
      </c>
      <c r="D261" s="20" t="inlineStr">
        <is>
          <t>Cauca</t>
        </is>
      </c>
      <c r="E261" s="20" t="inlineStr">
        <is>
          <t>OCCIDENTE</t>
        </is>
      </c>
      <c r="F261" s="20" t="inlineStr">
        <is>
          <t>DE MARTES A VIERNES DE 8:00 AM A 11:30 AM Y DE 2:00 P.M. A 4:30 P.M.    SABADO DE 8:00 AM A 2:00 P.M.</t>
        </is>
      </c>
      <c r="G261" s="20" t="inlineStr">
        <is>
          <t>Carrera 5 No. 6-25</t>
        </is>
      </c>
      <c r="H261" s="20" t="inlineStr">
        <is>
          <t>6013821400</t>
        </is>
      </c>
      <c r="I261" s="20" t="inlineStr">
        <is>
          <t>MARTES A VIERNES Y      SÁBADO</t>
        </is>
      </c>
      <c r="J261" s="20" t="inlineStr">
        <is>
          <t>INSARED</t>
        </is>
      </c>
      <c r="K261" s="21" t="n">
        <v>46282</v>
      </c>
      <c r="L261" s="21" t="n">
        <v>46282</v>
      </c>
      <c r="M261" s="20" t="n">
        <v>12</v>
      </c>
    </row>
    <row r="262">
      <c r="A262" s="16" t="inlineStr">
        <is>
          <t>2112</t>
        </is>
      </c>
      <c r="B262" s="17" t="inlineStr">
        <is>
          <t>MIRANDA</t>
        </is>
      </c>
      <c r="C262" s="17" t="inlineStr">
        <is>
          <t>Miranda</t>
        </is>
      </c>
      <c r="D262" s="17" t="inlineStr">
        <is>
          <t>Cauca</t>
        </is>
      </c>
      <c r="E262" s="17" t="inlineStr">
        <is>
          <t>OCCIDENTE</t>
        </is>
      </c>
      <c r="F262" s="17" t="inlineStr">
        <is>
          <t>8:00 AM - 11:30 AM Y DE 02:00 PM - 04:30 PM</t>
        </is>
      </c>
      <c r="G262" s="17" t="inlineStr">
        <is>
          <t>Cra. 6 No. 7 - 22</t>
        </is>
      </c>
      <c r="H262" s="17" t="inlineStr">
        <is>
          <t>6013821400</t>
        </is>
      </c>
      <c r="I262" s="17" t="inlineStr">
        <is>
          <t>LUNES A VIERNES</t>
        </is>
      </c>
      <c r="J262" s="17" t="inlineStr">
        <is>
          <t>INSARED</t>
        </is>
      </c>
      <c r="K262" s="18" t="n">
        <v>46279</v>
      </c>
      <c r="L262" s="18" t="n">
        <v>46279</v>
      </c>
      <c r="M262" s="17" t="n">
        <v>16</v>
      </c>
    </row>
    <row r="263">
      <c r="A263" s="19" t="inlineStr">
        <is>
          <t>2114</t>
        </is>
      </c>
      <c r="B263" s="20" t="inlineStr">
        <is>
          <t>CORINTO</t>
        </is>
      </c>
      <c r="C263" s="20" t="inlineStr">
        <is>
          <t>Corinto</t>
        </is>
      </c>
      <c r="D263" s="20" t="inlineStr">
        <is>
          <t>Cauca</t>
        </is>
      </c>
      <c r="E263" s="20" t="inlineStr">
        <is>
          <t>OCCIDENTE</t>
        </is>
      </c>
      <c r="F263" s="20" t="inlineStr">
        <is>
          <t>8:00 AM - 11:30 AM Y DE 02:00 PM - 04:30 PM</t>
        </is>
      </c>
      <c r="G263" s="20" t="inlineStr">
        <is>
          <t>Calle 7 No. 9-41</t>
        </is>
      </c>
      <c r="H263" s="20" t="inlineStr">
        <is>
          <t>6013821400</t>
        </is>
      </c>
      <c r="I263" s="20" t="inlineStr">
        <is>
          <t>LUNES A VIERNES</t>
        </is>
      </c>
      <c r="J263" s="20" t="inlineStr">
        <is>
          <t>INSARED</t>
        </is>
      </c>
      <c r="K263" s="21" t="n">
        <v>46308</v>
      </c>
      <c r="L263" s="21" t="n">
        <v>46308</v>
      </c>
      <c r="M263" s="20" t="n">
        <v>21</v>
      </c>
    </row>
    <row r="264">
      <c r="A264" s="16" t="inlineStr">
        <is>
          <t>2115</t>
        </is>
      </c>
      <c r="B264" s="17" t="inlineStr">
        <is>
          <t>ARGELIA</t>
        </is>
      </c>
      <c r="C264" s="17" t="inlineStr">
        <is>
          <t>Argelia</t>
        </is>
      </c>
      <c r="D264" s="17" t="inlineStr">
        <is>
          <t>Cauca</t>
        </is>
      </c>
      <c r="E264" s="17" t="inlineStr">
        <is>
          <t>OCCIDENTE</t>
        </is>
      </c>
      <c r="F264" s="17" t="inlineStr">
        <is>
          <t>8:00 AM A 2:00 P.M.</t>
        </is>
      </c>
      <c r="G264" s="17" t="inlineStr">
        <is>
          <t>Calle 3 No. 3-13/19/25 Frente al Parque Principal</t>
        </is>
      </c>
      <c r="H264" s="17" t="inlineStr">
        <is>
          <t>6013821400</t>
        </is>
      </c>
      <c r="I264" s="17" t="inlineStr">
        <is>
          <t>MARTES A SABADO</t>
        </is>
      </c>
      <c r="J264" s="17" t="inlineStr">
        <is>
          <t>INSARED</t>
        </is>
      </c>
      <c r="K264" s="18" t="n">
        <v>46290</v>
      </c>
      <c r="L264" s="18" t="n">
        <v>46290</v>
      </c>
      <c r="M264" s="17" t="n">
        <v>14</v>
      </c>
    </row>
    <row r="265">
      <c r="A265" s="19" t="inlineStr">
        <is>
          <t>2116</t>
        </is>
      </c>
      <c r="B265" s="20" t="inlineStr">
        <is>
          <t>MERCADERES</t>
        </is>
      </c>
      <c r="C265" s="20" t="inlineStr">
        <is>
          <t>Mercaderes</t>
        </is>
      </c>
      <c r="D265" s="20" t="inlineStr">
        <is>
          <t>Cauca</t>
        </is>
      </c>
      <c r="E265" s="20" t="inlineStr">
        <is>
          <t>OCCIDENTE</t>
        </is>
      </c>
      <c r="F265" s="20" t="inlineStr">
        <is>
          <t>DE MARTES A VIERNES DE 8:00 AM A 11:30 AM Y DE 2:00 P.M. A 4:30 P.M.    SABADO DE 8:00 AM A 2:00 P.M.</t>
        </is>
      </c>
      <c r="G265" s="20" t="inlineStr">
        <is>
          <t>Calle 4 No. 3-47</t>
        </is>
      </c>
      <c r="H265" s="20" t="inlineStr">
        <is>
          <t>6013821400</t>
        </is>
      </c>
      <c r="I265" s="20" t="inlineStr">
        <is>
          <t>MARTES A VIERNES Y      SÁBADO</t>
        </is>
      </c>
      <c r="J265" s="20" t="inlineStr">
        <is>
          <t>INSARED</t>
        </is>
      </c>
      <c r="K265" s="21" t="n">
        <v>46303</v>
      </c>
      <c r="L265" s="21" t="n">
        <v>46303</v>
      </c>
      <c r="M265" s="20" t="n">
        <v>15</v>
      </c>
    </row>
    <row r="266">
      <c r="A266" s="16" t="inlineStr">
        <is>
          <t>2118</t>
        </is>
      </c>
      <c r="B266" s="17" t="inlineStr">
        <is>
          <t>CALOTO</t>
        </is>
      </c>
      <c r="C266" s="17" t="inlineStr">
        <is>
          <t>Caloto</t>
        </is>
      </c>
      <c r="D266" s="17" t="inlineStr">
        <is>
          <t>Cauca</t>
        </is>
      </c>
      <c r="E266" s="17" t="inlineStr">
        <is>
          <t>OCCIDENTE</t>
        </is>
      </c>
      <c r="F266" s="17" t="inlineStr">
        <is>
          <t>DE MARTES A VIERNES DE 8:00 AM A 11:30 AM Y DE 2:00 P.M. A 4:30 P.M.    SABADO DE 8:00 AM A 2:00 P.M.</t>
        </is>
      </c>
      <c r="G266" s="17" t="inlineStr">
        <is>
          <t>Calle 12 No.3-62</t>
        </is>
      </c>
      <c r="H266" s="17" t="inlineStr">
        <is>
          <t>6013821400</t>
        </is>
      </c>
      <c r="I266" s="17" t="inlineStr">
        <is>
          <t>MARTES A VIERNES Y      SÁBADO</t>
        </is>
      </c>
      <c r="J266" s="17" t="inlineStr">
        <is>
          <t>INSARED</t>
        </is>
      </c>
      <c r="K266" s="18" t="n">
        <v>46280</v>
      </c>
      <c r="L266" s="18" t="n">
        <v>46280</v>
      </c>
      <c r="M266" s="17" t="n">
        <v>19</v>
      </c>
    </row>
    <row r="267">
      <c r="A267" s="19" t="inlineStr">
        <is>
          <t>2120</t>
        </is>
      </c>
      <c r="B267" s="20" t="inlineStr">
        <is>
          <t>INZA</t>
        </is>
      </c>
      <c r="C267" s="20" t="inlineStr">
        <is>
          <t>Inzá</t>
        </is>
      </c>
      <c r="D267" s="20" t="inlineStr">
        <is>
          <t>Cauca</t>
        </is>
      </c>
      <c r="E267" s="20" t="inlineStr">
        <is>
          <t>SUR</t>
        </is>
      </c>
      <c r="F267" s="20" t="inlineStr">
        <is>
          <t>DE MARTES A VIERNES DE 8:00 AM A 11:30 AM Y DE 2:00 P.M. A 4:30 P.M.    SABADO DE 8:00 AM A 2:00 P.M.</t>
        </is>
      </c>
      <c r="G267" s="20" t="inlineStr">
        <is>
          <t>CARRERA 5 N° 5A - 22</t>
        </is>
      </c>
      <c r="H267" s="20" t="inlineStr">
        <is>
          <t>6013821400</t>
        </is>
      </c>
      <c r="I267" s="20" t="inlineStr">
        <is>
          <t>MARTES A VIERNES Y      SÁBADO</t>
        </is>
      </c>
      <c r="J267" s="20" t="inlineStr">
        <is>
          <t>INSARED</t>
        </is>
      </c>
      <c r="K267" s="21" t="n">
        <v>46295</v>
      </c>
      <c r="L267" s="21" t="n">
        <v>46295</v>
      </c>
      <c r="M267" s="20" t="n">
        <v>12</v>
      </c>
    </row>
    <row r="268">
      <c r="A268" s="16" t="inlineStr">
        <is>
          <t>2125</t>
        </is>
      </c>
      <c r="B268" s="17" t="inlineStr">
        <is>
          <t>GUAPI</t>
        </is>
      </c>
      <c r="C268" s="17" t="inlineStr">
        <is>
          <t>Guapi</t>
        </is>
      </c>
      <c r="D268" s="17" t="inlineStr">
        <is>
          <t>Cauca</t>
        </is>
      </c>
      <c r="E268" s="17" t="inlineStr">
        <is>
          <t>OCCIDENTE</t>
        </is>
      </c>
      <c r="F268" s="17" t="inlineStr">
        <is>
          <t>8:00 AM - 11:30 AM Y DE 02:00 PM - 04:30 PM</t>
        </is>
      </c>
      <c r="G268" s="17" t="inlineStr">
        <is>
          <t>Carrera 6 No. 2-31</t>
        </is>
      </c>
      <c r="H268" s="17" t="inlineStr">
        <is>
          <t>6013821400</t>
        </is>
      </c>
      <c r="I268" s="17" t="inlineStr">
        <is>
          <t>LUNES A VIERNES</t>
        </is>
      </c>
      <c r="J268" s="17" t="inlineStr">
        <is>
          <t>INSARED</t>
        </is>
      </c>
      <c r="K268" s="18" t="n">
        <v>46315</v>
      </c>
      <c r="L268" s="18" t="n">
        <v>46315</v>
      </c>
      <c r="M268" s="17" t="n">
        <v>23</v>
      </c>
    </row>
    <row r="269">
      <c r="A269" s="19" t="inlineStr">
        <is>
          <t>2126</t>
        </is>
      </c>
      <c r="B269" s="20" t="inlineStr">
        <is>
          <t>PADILLA</t>
        </is>
      </c>
      <c r="C269" s="20" t="inlineStr">
        <is>
          <t>Padilla</t>
        </is>
      </c>
      <c r="D269" s="20" t="inlineStr">
        <is>
          <t>Cauca</t>
        </is>
      </c>
      <c r="E269" s="20" t="inlineStr">
        <is>
          <t>OCCIDENTE</t>
        </is>
      </c>
      <c r="F269" s="20" t="inlineStr">
        <is>
          <t>8:00 AM - 11:30 AM Y DE 02:00 PM - 04:30 PM</t>
        </is>
      </c>
      <c r="G269" s="20" t="inlineStr">
        <is>
          <t>Carrera 5 Calle 3 y 4 - Calle 10 No. -16</t>
        </is>
      </c>
      <c r="H269" s="20" t="inlineStr">
        <is>
          <t>6013821400</t>
        </is>
      </c>
      <c r="I269" s="20" t="inlineStr">
        <is>
          <t>LUNES A VIERNES</t>
        </is>
      </c>
      <c r="J269" s="20" t="inlineStr">
        <is>
          <t>INSARED</t>
        </is>
      </c>
      <c r="K269" s="21" t="n">
        <v>46279</v>
      </c>
      <c r="L269" s="21" t="n">
        <v>46279</v>
      </c>
      <c r="M269" s="20" t="n">
        <v>12</v>
      </c>
    </row>
    <row r="270">
      <c r="A270" s="16" t="inlineStr">
        <is>
          <t>2128</t>
        </is>
      </c>
      <c r="B270" s="17" t="inlineStr">
        <is>
          <t>BUENOS AIRES</t>
        </is>
      </c>
      <c r="C270" s="17" t="inlineStr">
        <is>
          <t>Buenos Aires</t>
        </is>
      </c>
      <c r="D270" s="17" t="inlineStr">
        <is>
          <t>Cauca</t>
        </is>
      </c>
      <c r="E270" s="17" t="inlineStr">
        <is>
          <t>OCCIDENTE</t>
        </is>
      </c>
      <c r="F270" s="17" t="inlineStr">
        <is>
          <t>DE MARTES A VIERNES DE 8:00 AM A 11:30 AM Y DE 2:00 P.M. A 4:30 P.M.    SABADO DE 8:00 AM A 2:00 P.M.</t>
        </is>
      </c>
      <c r="G270" s="17" t="inlineStr">
        <is>
          <t>Calle 6  # 2-11</t>
        </is>
      </c>
      <c r="H270" s="17" t="inlineStr">
        <is>
          <t>6013821400</t>
        </is>
      </c>
      <c r="I270" s="17" t="inlineStr">
        <is>
          <t>MARTES A VIERNES Y      SÁBADO</t>
        </is>
      </c>
      <c r="J270" s="17" t="inlineStr">
        <is>
          <t>INSARED</t>
        </is>
      </c>
      <c r="K270" s="18" t="n">
        <v>46294</v>
      </c>
      <c r="L270" s="18" t="n">
        <v>46294</v>
      </c>
      <c r="M270" s="17" t="n">
        <v>15</v>
      </c>
    </row>
    <row r="271">
      <c r="A271" s="19" t="inlineStr">
        <is>
          <t>2132</t>
        </is>
      </c>
      <c r="B271" s="20" t="inlineStr">
        <is>
          <t>JAMBALO</t>
        </is>
      </c>
      <c r="C271" s="20" t="inlineStr">
        <is>
          <t>Jambaló</t>
        </is>
      </c>
      <c r="D271" s="20" t="inlineStr">
        <is>
          <t>Cauca</t>
        </is>
      </c>
      <c r="E271" s="20" t="inlineStr">
        <is>
          <t>OCCIDENTE</t>
        </is>
      </c>
      <c r="F271" s="20" t="inlineStr">
        <is>
          <t>8:00 AM - 11:30 AM Y DE 02:00 PM - 04:30 PM</t>
        </is>
      </c>
      <c r="G271" s="20" t="inlineStr">
        <is>
          <t>Carrera 3a # 5-11</t>
        </is>
      </c>
      <c r="H271" s="20" t="inlineStr">
        <is>
          <t>6013821400</t>
        </is>
      </c>
      <c r="I271" s="20" t="inlineStr">
        <is>
          <t>LUNES A VIERNES</t>
        </is>
      </c>
      <c r="J271" s="20" t="inlineStr">
        <is>
          <t>INSARED</t>
        </is>
      </c>
      <c r="K271" s="21" t="n">
        <v>46286</v>
      </c>
      <c r="L271" s="21" t="n">
        <v>46286</v>
      </c>
      <c r="M271" s="20" t="n">
        <v>12</v>
      </c>
    </row>
    <row r="272">
      <c r="A272" s="16" t="inlineStr">
        <is>
          <t>2134</t>
        </is>
      </c>
      <c r="B272" s="17" t="inlineStr">
        <is>
          <t>PAISPAMBA SOTARA</t>
        </is>
      </c>
      <c r="C272" s="17" t="inlineStr">
        <is>
          <t>Sotara</t>
        </is>
      </c>
      <c r="D272" s="17" t="inlineStr">
        <is>
          <t>Cauca</t>
        </is>
      </c>
      <c r="E272" s="17" t="inlineStr">
        <is>
          <t>OCCIDENTE</t>
        </is>
      </c>
      <c r="F272" s="17" t="inlineStr">
        <is>
          <t>8:00 AM A 2:00 P.M.</t>
        </is>
      </c>
      <c r="G272" s="17" t="inlineStr">
        <is>
          <t>Calle Principal - frente al parque</t>
        </is>
      </c>
      <c r="H272" s="17" t="inlineStr">
        <is>
          <t>6013821400</t>
        </is>
      </c>
      <c r="I272" s="17" t="inlineStr">
        <is>
          <t>MARTES A SABADO</t>
        </is>
      </c>
      <c r="J272" s="17" t="inlineStr">
        <is>
          <t>INSARED</t>
        </is>
      </c>
      <c r="K272" s="18" t="n">
        <v>46273</v>
      </c>
      <c r="L272" s="18" t="n">
        <v>46273</v>
      </c>
      <c r="M272" s="17" t="n">
        <v>12</v>
      </c>
    </row>
    <row r="273">
      <c r="A273" s="19" t="inlineStr">
        <is>
          <t>2139</t>
        </is>
      </c>
      <c r="B273" s="20" t="inlineStr">
        <is>
          <t>LOPEZ DE MICAY</t>
        </is>
      </c>
      <c r="C273" s="20" t="inlineStr">
        <is>
          <t>López</t>
        </is>
      </c>
      <c r="D273" s="20" t="inlineStr">
        <is>
          <t>Cauca</t>
        </is>
      </c>
      <c r="E273" s="20" t="inlineStr">
        <is>
          <t>OCCIDENTE</t>
        </is>
      </c>
      <c r="F273" s="20" t="inlineStr">
        <is>
          <t>8:00 AM - 11:30 AM Y DE 02:00 PM - 04:30 PM</t>
        </is>
      </c>
      <c r="G273" s="20" t="inlineStr">
        <is>
          <t>Cra.2 No.2-56 Calle las Flores</t>
        </is>
      </c>
      <c r="H273" s="20" t="inlineStr">
        <is>
          <t>6013821400</t>
        </is>
      </c>
      <c r="I273" s="20" t="inlineStr">
        <is>
          <t>LUNES A VIERNES</t>
        </is>
      </c>
      <c r="J273" s="20" t="inlineStr">
        <is>
          <t>INSARED</t>
        </is>
      </c>
      <c r="K273" s="21" t="n">
        <v>46310</v>
      </c>
      <c r="L273" s="21" t="n">
        <v>46310</v>
      </c>
      <c r="M273" s="20" t="n">
        <v>12</v>
      </c>
    </row>
    <row r="274">
      <c r="A274" s="16" t="inlineStr">
        <is>
          <t>2140</t>
        </is>
      </c>
      <c r="B274" s="17" t="inlineStr">
        <is>
          <t>PAEZ BELALCAZAR</t>
        </is>
      </c>
      <c r="C274" s="17" t="inlineStr">
        <is>
          <t>Paez</t>
        </is>
      </c>
      <c r="D274" s="17" t="inlineStr">
        <is>
          <t>Cauca</t>
        </is>
      </c>
      <c r="E274" s="17" t="inlineStr">
        <is>
          <t>SUR</t>
        </is>
      </c>
      <c r="F274" s="17" t="inlineStr">
        <is>
          <t>DE MARTES A VIERNES DE 8:00 AM A 11:30 AM Y DE 2:00 P.M. A 4:30 P.M.    SABADO DE 8:00 AM A 2:00 P.M.</t>
        </is>
      </c>
      <c r="G274" s="17" t="inlineStr">
        <is>
          <t>Cra. 2 No. 1-11</t>
        </is>
      </c>
      <c r="H274" s="17" t="inlineStr">
        <is>
          <t>6013821400</t>
        </is>
      </c>
      <c r="I274" s="17" t="inlineStr">
        <is>
          <t>MARTES A VIERNES Y      SÁBADO</t>
        </is>
      </c>
      <c r="J274" s="17" t="inlineStr">
        <is>
          <t>INSARED</t>
        </is>
      </c>
      <c r="K274" s="18" t="n">
        <v>46295</v>
      </c>
      <c r="L274" s="18" t="n">
        <v>46295</v>
      </c>
      <c r="M274" s="17" t="n">
        <v>13</v>
      </c>
    </row>
    <row r="275">
      <c r="A275" s="19" t="inlineStr">
        <is>
          <t>2165</t>
        </is>
      </c>
      <c r="B275" s="20" t="inlineStr">
        <is>
          <t>SAN SEBASTIAN</t>
        </is>
      </c>
      <c r="C275" s="20" t="inlineStr">
        <is>
          <t>San Sebastián</t>
        </is>
      </c>
      <c r="D275" s="20" t="inlineStr">
        <is>
          <t>Cauca</t>
        </is>
      </c>
      <c r="E275" s="20" t="inlineStr">
        <is>
          <t>OCCIDENTE</t>
        </is>
      </c>
      <c r="F275" s="20" t="inlineStr">
        <is>
          <t>8:00 AM A 2:00 P.M.</t>
        </is>
      </c>
      <c r="G275" s="20" t="inlineStr">
        <is>
          <t>Calle 3 No. 6-74</t>
        </is>
      </c>
      <c r="H275" s="20" t="inlineStr">
        <is>
          <t>6013821400</t>
        </is>
      </c>
      <c r="I275" s="20" t="inlineStr">
        <is>
          <t>MARTES A SABADO</t>
        </is>
      </c>
      <c r="J275" s="20" t="inlineStr">
        <is>
          <t>INSARED</t>
        </is>
      </c>
      <c r="K275" s="21" t="n">
        <v>46276</v>
      </c>
      <c r="L275" s="21" t="n">
        <v>46276</v>
      </c>
      <c r="M275" s="20" t="n">
        <v>13</v>
      </c>
    </row>
    <row r="276">
      <c r="A276" s="16" t="inlineStr">
        <is>
          <t>2171</t>
        </is>
      </c>
      <c r="B276" s="17" t="inlineStr">
        <is>
          <t>ALMAGUER</t>
        </is>
      </c>
      <c r="C276" s="17" t="inlineStr">
        <is>
          <t>Almaguer</t>
        </is>
      </c>
      <c r="D276" s="17" t="inlineStr">
        <is>
          <t>Cauca</t>
        </is>
      </c>
      <c r="E276" s="17" t="inlineStr">
        <is>
          <t>OCCIDENTE</t>
        </is>
      </c>
      <c r="F276" s="17" t="inlineStr">
        <is>
          <t>8:00 AM A 2:00 P.M.</t>
        </is>
      </c>
      <c r="G276" s="17" t="inlineStr">
        <is>
          <t>Calle 4 No.4-56</t>
        </is>
      </c>
      <c r="H276" s="17" t="inlineStr">
        <is>
          <t>6013821400</t>
        </is>
      </c>
      <c r="I276" s="17" t="inlineStr">
        <is>
          <t>MARTES A SABADO</t>
        </is>
      </c>
      <c r="J276" s="17" t="inlineStr">
        <is>
          <t>INSARED</t>
        </is>
      </c>
      <c r="K276" s="18" t="n">
        <v>46275</v>
      </c>
      <c r="L276" s="18" t="n">
        <v>46275</v>
      </c>
      <c r="M276" s="17" t="n">
        <v>12</v>
      </c>
    </row>
    <row r="277">
      <c r="A277" s="19" t="inlineStr">
        <is>
          <t>2172</t>
        </is>
      </c>
      <c r="B277" s="20" t="inlineStr">
        <is>
          <t>LA VEGA</t>
        </is>
      </c>
      <c r="C277" s="20" t="inlineStr">
        <is>
          <t>La Vega</t>
        </is>
      </c>
      <c r="D277" s="20" t="inlineStr">
        <is>
          <t>Cauca</t>
        </is>
      </c>
      <c r="E277" s="20" t="inlineStr">
        <is>
          <t>OCCIDENTE</t>
        </is>
      </c>
      <c r="F277" s="20" t="inlineStr">
        <is>
          <t>DE MARTES A VIERNES DE 8:00 AM A 11:30 AM Y DE 2:00 P.M. A 4:30 P.M.    SABADO DE 8:00 AM A 2:00 P.M.</t>
        </is>
      </c>
      <c r="G277" s="20" t="inlineStr">
        <is>
          <t>Calle 2 No.8-05</t>
        </is>
      </c>
      <c r="H277" s="20" t="inlineStr">
        <is>
          <t>6013821400</t>
        </is>
      </c>
      <c r="I277" s="20" t="inlineStr">
        <is>
          <t>MARTES A VIERNES Y      SÁBADO</t>
        </is>
      </c>
      <c r="J277" s="20" t="inlineStr">
        <is>
          <t>INSARED</t>
        </is>
      </c>
      <c r="K277" s="21" t="n">
        <v>46275</v>
      </c>
      <c r="L277" s="21" t="n">
        <v>46275</v>
      </c>
      <c r="M277" s="20" t="n">
        <v>13</v>
      </c>
    </row>
    <row r="278">
      <c r="A278" s="16" t="inlineStr">
        <is>
          <t>2174</t>
        </is>
      </c>
      <c r="B278" s="17" t="inlineStr">
        <is>
          <t>PURACE</t>
        </is>
      </c>
      <c r="C278" s="17" t="inlineStr">
        <is>
          <t>Puracé</t>
        </is>
      </c>
      <c r="D278" s="17" t="inlineStr">
        <is>
          <t>Cauca</t>
        </is>
      </c>
      <c r="E278" s="17" t="inlineStr">
        <is>
          <t>OCCIDENTE</t>
        </is>
      </c>
      <c r="F278" s="17" t="inlineStr">
        <is>
          <t>8:00 AM - 11:30 AM Y DE 02:00 PM - 04:30 PM</t>
        </is>
      </c>
      <c r="G278" s="17" t="inlineStr">
        <is>
          <t>Carrera 3 No. 5 - 49 Calle Principal - Coconuco - Puracé</t>
        </is>
      </c>
      <c r="H278" s="17" t="inlineStr">
        <is>
          <t>6013821400</t>
        </is>
      </c>
      <c r="I278" s="17" t="inlineStr">
        <is>
          <t>LUNES A VIERNES</t>
        </is>
      </c>
      <c r="J278" s="17" t="inlineStr">
        <is>
          <t>INSARED</t>
        </is>
      </c>
      <c r="K278" s="18" t="n">
        <v>46300</v>
      </c>
      <c r="L278" s="18" t="n">
        <v>46300</v>
      </c>
      <c r="M278" s="17" t="n">
        <v>13</v>
      </c>
    </row>
    <row r="279">
      <c r="A279" s="19" t="inlineStr">
        <is>
          <t>2175</t>
        </is>
      </c>
      <c r="B279" s="20" t="inlineStr">
        <is>
          <t>TORIBIO</t>
        </is>
      </c>
      <c r="C279" s="20" t="inlineStr">
        <is>
          <t>Toribio</t>
        </is>
      </c>
      <c r="D279" s="20" t="inlineStr">
        <is>
          <t>CAUCA</t>
        </is>
      </c>
      <c r="E279" s="20" t="inlineStr">
        <is>
          <t>OCCIDENTE</t>
        </is>
      </c>
      <c r="F279" s="20" t="inlineStr">
        <is>
          <t>DE MARTES A VIERNES DE 8:00 AM A 11:30 AM Y DE 2:00 P.M. A 4:30 P.M.    SABADO DE 8:00 AM A 2:00 P.M.</t>
        </is>
      </c>
      <c r="G279" s="20" t="inlineStr">
        <is>
          <t>Carrera 3  No. 4 - 09 Esquina del Parque Principal - Barrio la Unión</t>
        </is>
      </c>
      <c r="H279" s="20" t="inlineStr">
        <is>
          <t>6013821400</t>
        </is>
      </c>
      <c r="I279" s="20" t="inlineStr">
        <is>
          <t>MARTES A VIERNES Y      SÁBADO</t>
        </is>
      </c>
      <c r="J279" s="20" t="inlineStr">
        <is>
          <t>INSARED</t>
        </is>
      </c>
      <c r="K279" s="21" t="n">
        <v>46281</v>
      </c>
      <c r="L279" s="21" t="n">
        <v>46281</v>
      </c>
      <c r="M279" s="20" t="n">
        <v>14</v>
      </c>
    </row>
    <row r="280">
      <c r="A280" s="16" t="inlineStr">
        <is>
          <t>2180</t>
        </is>
      </c>
      <c r="B280" s="17" t="inlineStr">
        <is>
          <t>TIMBIQUI</t>
        </is>
      </c>
      <c r="C280" s="17" t="inlineStr">
        <is>
          <t>Timbiquí</t>
        </is>
      </c>
      <c r="D280" s="17" t="inlineStr">
        <is>
          <t>Cauca</t>
        </is>
      </c>
      <c r="E280" s="17" t="inlineStr">
        <is>
          <t>OCCIDENTE</t>
        </is>
      </c>
      <c r="F280" s="17" t="inlineStr">
        <is>
          <t>8:00 AM - 11:30 AM Y DE 02:00 PM - 04:30 PM</t>
        </is>
      </c>
      <c r="G280" s="17" t="inlineStr">
        <is>
          <t>Calle Principal</t>
        </is>
      </c>
      <c r="H280" s="17" t="inlineStr">
        <is>
          <t>6013821400</t>
        </is>
      </c>
      <c r="I280" s="17" t="inlineStr">
        <is>
          <t>LUNES A VIERNES</t>
        </is>
      </c>
      <c r="J280" s="17" t="inlineStr">
        <is>
          <t>INSARED</t>
        </is>
      </c>
      <c r="K280" s="18" t="n">
        <v>46322</v>
      </c>
      <c r="L280" s="18" t="n">
        <v>46322</v>
      </c>
      <c r="M280" s="17" t="n">
        <v>12</v>
      </c>
    </row>
    <row r="281">
      <c r="A281" s="19" t="inlineStr">
        <is>
          <t>2401</t>
        </is>
      </c>
      <c r="B281" s="20" t="inlineStr">
        <is>
          <t>AGUACHICA</t>
        </is>
      </c>
      <c r="C281" s="20" t="inlineStr">
        <is>
          <t>Aguachica</t>
        </is>
      </c>
      <c r="D281" s="20" t="inlineStr">
        <is>
          <t>Cesar</t>
        </is>
      </c>
      <c r="E281" s="20" t="inlineStr">
        <is>
          <t>SANTANDERES</t>
        </is>
      </c>
      <c r="F281" s="20" t="inlineStr">
        <is>
          <t>8:00 AM - 11:30 AM Y DE 02:00 PM - 04:30 PM</t>
        </is>
      </c>
      <c r="G281" s="20" t="inlineStr">
        <is>
          <t>Calle 5 No. 22-33</t>
        </is>
      </c>
      <c r="H281" s="20" t="inlineStr">
        <is>
          <t>6013821400</t>
        </is>
      </c>
      <c r="I281" s="20" t="inlineStr">
        <is>
          <t>LUNES A VIERNES</t>
        </is>
      </c>
      <c r="J281" s="20" t="inlineStr">
        <is>
          <t>GESTIONATECH</t>
        </is>
      </c>
      <c r="K281" s="21" t="n">
        <v>46268</v>
      </c>
      <c r="L281" s="21" t="n">
        <v>46268</v>
      </c>
      <c r="M281" s="20" t="n">
        <v>37</v>
      </c>
    </row>
    <row r="282">
      <c r="A282" s="16" t="inlineStr">
        <is>
          <t>2402</t>
        </is>
      </c>
      <c r="B282" s="17" t="inlineStr">
        <is>
          <t>ASTREA</t>
        </is>
      </c>
      <c r="C282" s="17" t="inlineStr">
        <is>
          <t>Astrea</t>
        </is>
      </c>
      <c r="D282" s="17" t="inlineStr">
        <is>
          <t>Cesar</t>
        </is>
      </c>
      <c r="E282" s="17" t="inlineStr">
        <is>
          <t>COSTA</t>
        </is>
      </c>
      <c r="F282" s="17" t="inlineStr">
        <is>
          <t>8:00 AM - 11:30 AM Y DE 02:00 PM - 04:30 PM</t>
        </is>
      </c>
      <c r="G282" s="17" t="inlineStr">
        <is>
          <t>CALLE   7   Nº.  3-03</t>
        </is>
      </c>
      <c r="H282" s="17" t="inlineStr">
        <is>
          <t>6013821400</t>
        </is>
      </c>
      <c r="I282" s="17" t="inlineStr">
        <is>
          <t>LUNES A VIERNES</t>
        </is>
      </c>
      <c r="J282" s="17" t="inlineStr">
        <is>
          <t>GESTIONATECH</t>
        </is>
      </c>
      <c r="K282" s="18" t="n">
        <v>46296</v>
      </c>
      <c r="L282" s="18" t="n">
        <v>46296</v>
      </c>
      <c r="M282" s="17" t="n">
        <v>15</v>
      </c>
    </row>
    <row r="283">
      <c r="A283" s="19" t="inlineStr">
        <is>
          <t>2403</t>
        </is>
      </c>
      <c r="B283" s="20" t="inlineStr">
        <is>
          <t>VALLEDUPAR</t>
        </is>
      </c>
      <c r="C283" s="20" t="inlineStr">
        <is>
          <t>Valledupar</t>
        </is>
      </c>
      <c r="D283" s="20" t="inlineStr">
        <is>
          <t>Cesar</t>
        </is>
      </c>
      <c r="E283" s="20" t="inlineStr">
        <is>
          <t>COSTA</t>
        </is>
      </c>
      <c r="F283" s="20" t="inlineStr">
        <is>
          <t>8:00 AM - 11:30 AM Y DE 02:00 PM - 04:30 PM</t>
        </is>
      </c>
      <c r="G283" s="20" t="inlineStr">
        <is>
          <t>CALLE  16  Nº.    7-74/80</t>
        </is>
      </c>
      <c r="H283" s="20" t="inlineStr">
        <is>
          <t>6013821400</t>
        </is>
      </c>
      <c r="I283" s="20" t="inlineStr">
        <is>
          <t>LUNES A VIERNES</t>
        </is>
      </c>
      <c r="J283" s="20" t="inlineStr">
        <is>
          <t>REGIONAL</t>
        </is>
      </c>
      <c r="K283" s="21" t="n">
        <v>46301</v>
      </c>
      <c r="L283" s="21" t="n">
        <v>46311</v>
      </c>
      <c r="M283" s="20" t="n">
        <v>45</v>
      </c>
    </row>
    <row r="284">
      <c r="A284" s="16" t="inlineStr">
        <is>
          <t>2405</t>
        </is>
      </c>
      <c r="B284" s="17" t="inlineStr">
        <is>
          <t>BECERRIL</t>
        </is>
      </c>
      <c r="C284" s="17" t="inlineStr">
        <is>
          <t>Becerril</t>
        </is>
      </c>
      <c r="D284" s="17" t="inlineStr">
        <is>
          <t>Cesar</t>
        </is>
      </c>
      <c r="E284" s="17" t="inlineStr">
        <is>
          <t>COSTA</t>
        </is>
      </c>
      <c r="F284" s="17" t="inlineStr">
        <is>
          <t>8:00 AM - 11:30 AM Y DE 02:00 PM - 04:30 PM</t>
        </is>
      </c>
      <c r="G284" s="17" t="inlineStr">
        <is>
          <t>Carrera 7 Calle 10 esquina. Barrio Palmaritos Nuevo Palacio Municipal</t>
        </is>
      </c>
      <c r="H284" s="17" t="inlineStr">
        <is>
          <t>6013821400</t>
        </is>
      </c>
      <c r="I284" s="17" t="inlineStr">
        <is>
          <t>LUNES A VIERNES</t>
        </is>
      </c>
      <c r="J284" s="17" t="inlineStr">
        <is>
          <t>GESTIONATECH</t>
        </is>
      </c>
      <c r="K284" s="18" t="n">
        <v>46276</v>
      </c>
      <c r="L284" s="18" t="n">
        <v>46276</v>
      </c>
      <c r="M284" s="17" t="n">
        <v>12</v>
      </c>
    </row>
    <row r="285">
      <c r="A285" s="19" t="inlineStr">
        <is>
          <t>2408</t>
        </is>
      </c>
      <c r="B285" s="20" t="inlineStr">
        <is>
          <t>CODAZZI</t>
        </is>
      </c>
      <c r="C285" s="20" t="inlineStr">
        <is>
          <t>Agustín Codazzi</t>
        </is>
      </c>
      <c r="D285" s="20" t="inlineStr">
        <is>
          <t>Cesar</t>
        </is>
      </c>
      <c r="E285" s="20" t="inlineStr">
        <is>
          <t>COSTA</t>
        </is>
      </c>
      <c r="F285" s="20" t="inlineStr">
        <is>
          <t>8:00 AM - 11:30 AM Y DE 02:00 PM - 04:30 PM</t>
        </is>
      </c>
      <c r="G285" s="20" t="inlineStr">
        <is>
          <t>Carrera 16 No. 11-05</t>
        </is>
      </c>
      <c r="H285" s="20" t="inlineStr">
        <is>
          <t>6013821400</t>
        </is>
      </c>
      <c r="I285" s="20" t="inlineStr">
        <is>
          <t>LUNES A VIERNES</t>
        </is>
      </c>
      <c r="J285" s="20" t="inlineStr">
        <is>
          <t>GESTIONATECH</t>
        </is>
      </c>
      <c r="K285" s="21" t="n">
        <v>46275</v>
      </c>
      <c r="L285" s="21" t="n">
        <v>46275</v>
      </c>
      <c r="M285" s="20" t="n">
        <v>25</v>
      </c>
    </row>
    <row r="286">
      <c r="A286" s="16" t="inlineStr">
        <is>
          <t>2410</t>
        </is>
      </c>
      <c r="B286" s="17" t="inlineStr">
        <is>
          <t>VALLEDUPAR - CDV</t>
        </is>
      </c>
      <c r="C286" s="17" t="inlineStr">
        <is>
          <t>Valledupar</t>
        </is>
      </c>
      <c r="D286" s="17" t="inlineStr">
        <is>
          <t>Cesar</t>
        </is>
      </c>
      <c r="E286" s="17" t="inlineStr">
        <is>
          <t>COSTA</t>
        </is>
      </c>
      <c r="F286" s="17" t="inlineStr">
        <is>
          <t>8:00 AM - 11:30 AM Y DE 02:00 PM - 04:30 PM</t>
        </is>
      </c>
      <c r="G286" s="17" t="inlineStr">
        <is>
          <t>Diagonal 18 N° 29 - 63</t>
        </is>
      </c>
      <c r="H286" s="17" t="inlineStr">
        <is>
          <t>6013821400</t>
        </is>
      </c>
      <c r="I286" s="17" t="inlineStr">
        <is>
          <t>LUNES A VIERNES</t>
        </is>
      </c>
      <c r="J286" s="17" t="inlineStr">
        <is>
          <t>GESTIONATECH</t>
        </is>
      </c>
      <c r="K286" s="18" t="n">
        <v>46279</v>
      </c>
      <c r="L286" s="18" t="n">
        <v>46279</v>
      </c>
      <c r="M286" s="17" t="n">
        <v>14</v>
      </c>
    </row>
    <row r="287">
      <c r="A287" s="19" t="inlineStr">
        <is>
          <t>2412</t>
        </is>
      </c>
      <c r="B287" s="20" t="inlineStr">
        <is>
          <t>LA PAZ ROBLES</t>
        </is>
      </c>
      <c r="C287" s="20" t="inlineStr">
        <is>
          <t>La Paz</t>
        </is>
      </c>
      <c r="D287" s="20" t="inlineStr">
        <is>
          <t>Cesar</t>
        </is>
      </c>
      <c r="E287" s="20" t="inlineStr">
        <is>
          <t>COSTA</t>
        </is>
      </c>
      <c r="F287" s="20" t="inlineStr">
        <is>
          <t>8:00 AM - 11:30 AM Y DE 02:00 PM - 04:30 PM</t>
        </is>
      </c>
      <c r="G287" s="20" t="inlineStr">
        <is>
          <t>Trasnsversal 5 No. 5-11</t>
        </is>
      </c>
      <c r="H287" s="20" t="inlineStr">
        <is>
          <t>6013821400</t>
        </is>
      </c>
      <c r="I287" s="20" t="inlineStr">
        <is>
          <t>LUNES A VIERNES</t>
        </is>
      </c>
      <c r="J287" s="20" t="inlineStr">
        <is>
          <t>GESTIONATECH</t>
        </is>
      </c>
      <c r="K287" s="21" t="n">
        <v>46273</v>
      </c>
      <c r="L287" s="21" t="n">
        <v>46273</v>
      </c>
      <c r="M287" s="20" t="n">
        <v>14</v>
      </c>
    </row>
    <row r="288">
      <c r="A288" s="16" t="inlineStr">
        <is>
          <t>2413</t>
        </is>
      </c>
      <c r="B288" s="17" t="inlineStr">
        <is>
          <t>FONSECA</t>
        </is>
      </c>
      <c r="C288" s="17" t="inlineStr">
        <is>
          <t>Fonseca</t>
        </is>
      </c>
      <c r="D288" s="17" t="inlineStr">
        <is>
          <t>La Guajira</t>
        </is>
      </c>
      <c r="E288" s="17" t="inlineStr">
        <is>
          <t>COSTA</t>
        </is>
      </c>
      <c r="F288" s="17" t="inlineStr">
        <is>
          <t>8:00 AM - 11:30 AM Y DE 02:00 PM - 04:30 PM</t>
        </is>
      </c>
      <c r="G288" s="17" t="inlineStr">
        <is>
          <t>CALLE 13 N. 19-57</t>
        </is>
      </c>
      <c r="H288" s="17" t="inlineStr">
        <is>
          <t>6013821400</t>
        </is>
      </c>
      <c r="I288" s="17" t="inlineStr">
        <is>
          <t>LUNES A VIERNES</t>
        </is>
      </c>
      <c r="J288" s="17" t="inlineStr">
        <is>
          <t>GESTIONATECH</t>
        </is>
      </c>
      <c r="K288" s="18" t="n">
        <v>46267</v>
      </c>
      <c r="L288" s="18" t="n">
        <v>46267</v>
      </c>
      <c r="M288" s="17" t="n">
        <v>19</v>
      </c>
    </row>
    <row r="289">
      <c r="A289" s="19" t="inlineStr">
        <is>
          <t>2414</t>
        </is>
      </c>
      <c r="B289" s="20" t="inlineStr">
        <is>
          <t>BOSCONIA</t>
        </is>
      </c>
      <c r="C289" s="20" t="inlineStr">
        <is>
          <t>Bosconia</t>
        </is>
      </c>
      <c r="D289" s="20" t="inlineStr">
        <is>
          <t>Cesar</t>
        </is>
      </c>
      <c r="E289" s="20" t="inlineStr">
        <is>
          <t>COSTA</t>
        </is>
      </c>
      <c r="F289" s="20" t="inlineStr">
        <is>
          <t>8:00 AM - 11:30 AM Y DE 02:00 PM - 04:30 PM</t>
        </is>
      </c>
      <c r="G289" s="20" t="inlineStr">
        <is>
          <t>CALLE 18  Nº.19-67</t>
        </is>
      </c>
      <c r="H289" s="20" t="inlineStr">
        <is>
          <t>6013821400</t>
        </is>
      </c>
      <c r="I289" s="20" t="inlineStr">
        <is>
          <t>LUNES A VIERNES</t>
        </is>
      </c>
      <c r="J289" s="20" t="inlineStr">
        <is>
          <t>GESTIONATECH</t>
        </is>
      </c>
      <c r="K289" s="21" t="n">
        <v>46269</v>
      </c>
      <c r="L289" s="21" t="n">
        <v>46269</v>
      </c>
      <c r="M289" s="20" t="n">
        <v>20</v>
      </c>
    </row>
    <row r="290">
      <c r="A290" s="16" t="inlineStr">
        <is>
          <t>2416</t>
        </is>
      </c>
      <c r="B290" s="17" t="inlineStr">
        <is>
          <t>CHIMICHAGUA</t>
        </is>
      </c>
      <c r="C290" s="17" t="inlineStr">
        <is>
          <t>Chimichagua</t>
        </is>
      </c>
      <c r="D290" s="17" t="inlineStr">
        <is>
          <t>Cesar</t>
        </is>
      </c>
      <c r="E290" s="17" t="inlineStr">
        <is>
          <t>COSTA</t>
        </is>
      </c>
      <c r="F290" s="17" t="inlineStr">
        <is>
          <t>8:00 AM - 11:30 AM Y DE 02:00 PM - 04:30 PM</t>
        </is>
      </c>
      <c r="G290" s="17" t="inlineStr">
        <is>
          <t>Calle 5 No. 4-02/ 06</t>
        </is>
      </c>
      <c r="H290" s="17" t="inlineStr">
        <is>
          <t>6013821400</t>
        </is>
      </c>
      <c r="I290" s="17" t="inlineStr">
        <is>
          <t>LUNES A VIERNES</t>
        </is>
      </c>
      <c r="J290" s="17" t="inlineStr">
        <is>
          <t>GESTIONATECH</t>
        </is>
      </c>
      <c r="K290" s="18" t="n">
        <v>46297</v>
      </c>
      <c r="L290" s="18" t="n">
        <v>46297</v>
      </c>
      <c r="M290" s="17" t="n">
        <v>18</v>
      </c>
    </row>
    <row r="291">
      <c r="A291" s="19" t="inlineStr">
        <is>
          <t>2420</t>
        </is>
      </c>
      <c r="B291" s="20" t="inlineStr">
        <is>
          <t>MANAURE</t>
        </is>
      </c>
      <c r="C291" s="20" t="inlineStr">
        <is>
          <t>Manaure</t>
        </is>
      </c>
      <c r="D291" s="20" t="inlineStr">
        <is>
          <t>Cesar</t>
        </is>
      </c>
      <c r="E291" s="20" t="inlineStr">
        <is>
          <t>COSTA</t>
        </is>
      </c>
      <c r="F291" s="20" t="inlineStr">
        <is>
          <t>8:00 AM - 11:30 AM Y DE 02:00 PM - 04:30 PM</t>
        </is>
      </c>
      <c r="G291" s="20" t="inlineStr">
        <is>
          <t>Calle 2 No.7 A - 43</t>
        </is>
      </c>
      <c r="H291" s="20" t="inlineStr">
        <is>
          <t>6013821400</t>
        </is>
      </c>
      <c r="I291" s="20" t="inlineStr">
        <is>
          <t>LUNES A VIERNES</t>
        </is>
      </c>
      <c r="J291" s="20" t="inlineStr">
        <is>
          <t>GESTIONATECH</t>
        </is>
      </c>
      <c r="K291" s="21" t="n">
        <v>46274</v>
      </c>
      <c r="L291" s="21" t="n">
        <v>46274</v>
      </c>
      <c r="M291" s="20" t="n">
        <v>12</v>
      </c>
    </row>
    <row r="292">
      <c r="A292" s="16" t="inlineStr">
        <is>
          <t>2422</t>
        </is>
      </c>
      <c r="B292" s="17" t="inlineStr">
        <is>
          <t>CHIRIGUANA</t>
        </is>
      </c>
      <c r="C292" s="17" t="inlineStr">
        <is>
          <t>Chiriguaná</t>
        </is>
      </c>
      <c r="D292" s="17" t="inlineStr">
        <is>
          <t>Cesar</t>
        </is>
      </c>
      <c r="E292" s="17" t="inlineStr">
        <is>
          <t>COSTA</t>
        </is>
      </c>
      <c r="F292" s="17" t="inlineStr">
        <is>
          <t>8:00 AM - 11:30 AM Y DE 02:00 PM - 04:30 PM</t>
        </is>
      </c>
      <c r="G292" s="17" t="inlineStr">
        <is>
          <t>Calle 8 No 2-148</t>
        </is>
      </c>
      <c r="H292" s="17" t="inlineStr">
        <is>
          <t>6013821400</t>
        </is>
      </c>
      <c r="I292" s="17" t="inlineStr">
        <is>
          <t>LUNES A VIERNES</t>
        </is>
      </c>
      <c r="J292" s="17" t="inlineStr">
        <is>
          <t>GESTIONATECH</t>
        </is>
      </c>
      <c r="K292" s="18" t="n">
        <v>46281</v>
      </c>
      <c r="L292" s="18" t="n">
        <v>46281</v>
      </c>
      <c r="M292" s="17" t="n">
        <v>25</v>
      </c>
    </row>
    <row r="293">
      <c r="A293" s="19" t="inlineStr">
        <is>
          <t>2427</t>
        </is>
      </c>
      <c r="B293" s="20" t="inlineStr">
        <is>
          <t>EL COPEY</t>
        </is>
      </c>
      <c r="C293" s="20" t="inlineStr">
        <is>
          <t>El Copey</t>
        </is>
      </c>
      <c r="D293" s="20" t="inlineStr">
        <is>
          <t>Cesar</t>
        </is>
      </c>
      <c r="E293" s="20" t="inlineStr">
        <is>
          <t>COSTA</t>
        </is>
      </c>
      <c r="F293" s="20" t="inlineStr">
        <is>
          <t>8:00 AM - 11:30 AM Y DE 02:00 PM - 04:30 PM</t>
        </is>
      </c>
      <c r="G293" s="20" t="inlineStr">
        <is>
          <t>Carrera 14 No 15-06 Barrio el Bosque</t>
        </is>
      </c>
      <c r="H293" s="20" t="inlineStr">
        <is>
          <t>6013821400</t>
        </is>
      </c>
      <c r="I293" s="20" t="inlineStr">
        <is>
          <t>LUNES A VIERNES</t>
        </is>
      </c>
      <c r="J293" s="20" t="inlineStr">
        <is>
          <t>GESTIONATECH</t>
        </is>
      </c>
      <c r="K293" s="21" t="n">
        <v>46268</v>
      </c>
      <c r="L293" s="21" t="n">
        <v>46268</v>
      </c>
      <c r="M293" s="20" t="n">
        <v>22</v>
      </c>
    </row>
    <row r="294">
      <c r="A294" s="16" t="inlineStr">
        <is>
          <t>2435</t>
        </is>
      </c>
      <c r="B294" s="17" t="inlineStr">
        <is>
          <t>SAN ALBERTO</t>
        </is>
      </c>
      <c r="C294" s="17" t="inlineStr">
        <is>
          <t>San Alberto</t>
        </is>
      </c>
      <c r="D294" s="17" t="inlineStr">
        <is>
          <t>Cesar</t>
        </is>
      </c>
      <c r="E294" s="17" t="inlineStr">
        <is>
          <t>SANTANDERES</t>
        </is>
      </c>
      <c r="F294" s="17" t="inlineStr">
        <is>
          <t>8:00 AM - 11:30 AM Y DE 02:00 PM - 04:30 PM</t>
        </is>
      </c>
      <c r="G294" s="17" t="inlineStr">
        <is>
          <t>CRA. 2 Nº. 6-54  Esquina   Calle 6 No. 3 -20 Parque Principal</t>
        </is>
      </c>
      <c r="H294" s="17" t="inlineStr">
        <is>
          <t>6013821400</t>
        </is>
      </c>
      <c r="I294" s="17" t="inlineStr">
        <is>
          <t>LUNES A VIERNES</t>
        </is>
      </c>
      <c r="J294" s="17" t="inlineStr">
        <is>
          <t>GESTIONATECH</t>
        </is>
      </c>
      <c r="K294" s="18" t="n">
        <v>46289</v>
      </c>
      <c r="L294" s="18" t="n">
        <v>46289</v>
      </c>
      <c r="M294" s="17" t="n">
        <v>30</v>
      </c>
    </row>
    <row r="295">
      <c r="A295" s="19" t="inlineStr">
        <is>
          <t>2437</t>
        </is>
      </c>
      <c r="B295" s="20" t="inlineStr">
        <is>
          <t>LA GLORIA</t>
        </is>
      </c>
      <c r="C295" s="20" t="inlineStr">
        <is>
          <t>La Gloria</t>
        </is>
      </c>
      <c r="D295" s="20" t="inlineStr">
        <is>
          <t>Cesar</t>
        </is>
      </c>
      <c r="E295" s="20" t="inlineStr">
        <is>
          <t>COSTA</t>
        </is>
      </c>
      <c r="F295" s="20" t="inlineStr">
        <is>
          <t>8:00 AM - 11:30 AM Y DE 02:00 PM - 04:30 PM</t>
        </is>
      </c>
      <c r="G295" s="20" t="inlineStr">
        <is>
          <t>Calle 2 No. 4 - 27 Barrio Calle Central</t>
        </is>
      </c>
      <c r="H295" s="20" t="inlineStr">
        <is>
          <t>6013821400</t>
        </is>
      </c>
      <c r="I295" s="20" t="inlineStr">
        <is>
          <t>LUNES A VIERNES</t>
        </is>
      </c>
      <c r="J295" s="20" t="inlineStr">
        <is>
          <t>GESTIONATECH</t>
        </is>
      </c>
      <c r="K295" s="21" t="n">
        <v>46286</v>
      </c>
      <c r="L295" s="21" t="n">
        <v>46286</v>
      </c>
      <c r="M295" s="20" t="n">
        <v>12</v>
      </c>
    </row>
    <row r="296">
      <c r="A296" s="16" t="inlineStr">
        <is>
          <t>2440</t>
        </is>
      </c>
      <c r="B296" s="17" t="inlineStr">
        <is>
          <t>SAN DIEGO</t>
        </is>
      </c>
      <c r="C296" s="17" t="inlineStr">
        <is>
          <t>San Diego</t>
        </is>
      </c>
      <c r="D296" s="17" t="inlineStr">
        <is>
          <t>Cesar</t>
        </is>
      </c>
      <c r="E296" s="17" t="inlineStr">
        <is>
          <t>COSTA</t>
        </is>
      </c>
      <c r="F296" s="17" t="inlineStr">
        <is>
          <t>8:00 AM - 11:30 AM Y DE 02:00 PM - 04:30 PM</t>
        </is>
      </c>
      <c r="G296" s="17" t="inlineStr">
        <is>
          <t>CALLE  3  Nº. 9-35</t>
        </is>
      </c>
      <c r="H296" s="17" t="inlineStr">
        <is>
          <t>6013821400</t>
        </is>
      </c>
      <c r="I296" s="17" t="inlineStr">
        <is>
          <t>LUNES A VIERNES</t>
        </is>
      </c>
      <c r="J296" s="17" t="inlineStr">
        <is>
          <t>GESTIONATECH</t>
        </is>
      </c>
      <c r="K296" s="18" t="n">
        <v>46272</v>
      </c>
      <c r="L296" s="18" t="n">
        <v>46272</v>
      </c>
      <c r="M296" s="17" t="n">
        <v>12</v>
      </c>
    </row>
    <row r="297">
      <c r="A297" s="19" t="inlineStr">
        <is>
          <t>2442</t>
        </is>
      </c>
      <c r="B297" s="20" t="inlineStr">
        <is>
          <t>LA JAGUA DE IBIRICO</t>
        </is>
      </c>
      <c r="C297" s="20" t="inlineStr">
        <is>
          <t>La Jagua De Ibirico</t>
        </is>
      </c>
      <c r="D297" s="20" t="inlineStr">
        <is>
          <t>Cesar</t>
        </is>
      </c>
      <c r="E297" s="20" t="inlineStr">
        <is>
          <t>COSTA</t>
        </is>
      </c>
      <c r="F297" s="20" t="inlineStr">
        <is>
          <t>8:00 AM - 11:30 AM Y DE 02:00 PM - 04:30 PM</t>
        </is>
      </c>
      <c r="G297" s="20" t="inlineStr">
        <is>
          <t>Carrera  4 No. 6 - 07</t>
        </is>
      </c>
      <c r="H297" s="20" t="inlineStr">
        <is>
          <t>6013821400</t>
        </is>
      </c>
      <c r="I297" s="20" t="inlineStr">
        <is>
          <t>LUNES A VIERNES</t>
        </is>
      </c>
      <c r="J297" s="20" t="inlineStr">
        <is>
          <t>GESTIONATECH</t>
        </is>
      </c>
      <c r="K297" s="21" t="n">
        <v>46283</v>
      </c>
      <c r="L297" s="21" t="n">
        <v>46283</v>
      </c>
      <c r="M297" s="20" t="n">
        <v>22</v>
      </c>
    </row>
    <row r="298">
      <c r="A298" s="16" t="inlineStr">
        <is>
          <t>2445</t>
        </is>
      </c>
      <c r="B298" s="17" t="inlineStr">
        <is>
          <t>PUEBLO BELLO</t>
        </is>
      </c>
      <c r="C298" s="17" t="inlineStr">
        <is>
          <t>PUEBLO BELLO</t>
        </is>
      </c>
      <c r="D298" s="17" t="inlineStr">
        <is>
          <t>Cesar</t>
        </is>
      </c>
      <c r="E298" s="17" t="inlineStr">
        <is>
          <t>COSTA</t>
        </is>
      </c>
      <c r="F298" s="17" t="inlineStr">
        <is>
          <t>8:00 AM - 11:30 AM Y DE 02:00 PM - 04:30 PM</t>
        </is>
      </c>
      <c r="G298" s="17" t="inlineStr">
        <is>
          <t>Calle 9 No. 9-161</t>
        </is>
      </c>
      <c r="H298" s="17" t="inlineStr">
        <is>
          <t>6013821400</t>
        </is>
      </c>
      <c r="I298" s="17" t="inlineStr">
        <is>
          <t>LUNES A VIERNES</t>
        </is>
      </c>
      <c r="J298" s="17" t="inlineStr">
        <is>
          <t>GESTIONATECH</t>
        </is>
      </c>
      <c r="K298" s="18" t="n">
        <v>46276</v>
      </c>
      <c r="L298" s="18" t="n">
        <v>46276</v>
      </c>
      <c r="M298" s="17" t="n">
        <v>12</v>
      </c>
    </row>
    <row r="299">
      <c r="A299" s="19" t="inlineStr">
        <is>
          <t>2455</t>
        </is>
      </c>
      <c r="B299" s="20" t="inlineStr">
        <is>
          <t>PAILITAS - CESAR</t>
        </is>
      </c>
      <c r="C299" s="20" t="inlineStr">
        <is>
          <t>Pailitas</t>
        </is>
      </c>
      <c r="D299" s="20" t="inlineStr">
        <is>
          <t>Cesar</t>
        </is>
      </c>
      <c r="E299" s="20" t="inlineStr">
        <is>
          <t>COSTA</t>
        </is>
      </c>
      <c r="F299" s="20" t="inlineStr">
        <is>
          <t>8:00 AM - 11:30 AM Y DE 02:00 PM - 04:30 PM</t>
        </is>
      </c>
      <c r="G299" s="20" t="inlineStr">
        <is>
          <t>Carrera 6 No. 5 – 40</t>
        </is>
      </c>
      <c r="H299" s="20" t="inlineStr">
        <is>
          <t>6013821400</t>
        </is>
      </c>
      <c r="I299" s="20" t="inlineStr">
        <is>
          <t>LUNES A VIERNES</t>
        </is>
      </c>
      <c r="J299" s="20" t="inlineStr">
        <is>
          <t>GESTIONATECH</t>
        </is>
      </c>
      <c r="K299" s="21" t="n">
        <v>46272</v>
      </c>
      <c r="L299" s="21" t="n">
        <v>46272</v>
      </c>
      <c r="M299" s="20" t="n">
        <v>16</v>
      </c>
    </row>
    <row r="300">
      <c r="A300" s="16" t="inlineStr">
        <is>
          <t>2460</t>
        </is>
      </c>
      <c r="B300" s="17" t="inlineStr">
        <is>
          <t>PELAYA</t>
        </is>
      </c>
      <c r="C300" s="17" t="inlineStr">
        <is>
          <t>Pelaya</t>
        </is>
      </c>
      <c r="D300" s="17" t="inlineStr">
        <is>
          <t>Cesar</t>
        </is>
      </c>
      <c r="E300" s="17" t="inlineStr">
        <is>
          <t>COSTA</t>
        </is>
      </c>
      <c r="F300" s="17" t="inlineStr">
        <is>
          <t>8:00 AM - 11:30 AM Y DE 02:00 PM - 04:30 PM</t>
        </is>
      </c>
      <c r="G300" s="17" t="inlineStr">
        <is>
          <t>CRA. 8 Nº. 9-67</t>
        </is>
      </c>
      <c r="H300" s="17" t="inlineStr">
        <is>
          <t>6013821400</t>
        </is>
      </c>
      <c r="I300" s="17" t="inlineStr">
        <is>
          <t>LUNES A VIERNES</t>
        </is>
      </c>
      <c r="J300" s="17" t="inlineStr">
        <is>
          <t>GESTIONATECH</t>
        </is>
      </c>
      <c r="K300" s="18" t="n">
        <v>46283</v>
      </c>
      <c r="L300" s="18" t="n">
        <v>46283</v>
      </c>
      <c r="M300" s="17" t="n">
        <v>20</v>
      </c>
    </row>
    <row r="301">
      <c r="A301" s="19" t="inlineStr">
        <is>
          <t>2465</t>
        </is>
      </c>
      <c r="B301" s="20" t="inlineStr">
        <is>
          <t>RIO DE ORO</t>
        </is>
      </c>
      <c r="C301" s="20" t="inlineStr">
        <is>
          <t>Río De Oro</t>
        </is>
      </c>
      <c r="D301" s="20" t="inlineStr">
        <is>
          <t>Cesar</t>
        </is>
      </c>
      <c r="E301" s="20" t="inlineStr">
        <is>
          <t>SANTANDERES</t>
        </is>
      </c>
      <c r="F301" s="20" t="inlineStr">
        <is>
          <t>8:00 AM - 11:30 AM Y DE 02:00 PM - 04:30 PM</t>
        </is>
      </c>
      <c r="G301" s="20" t="inlineStr">
        <is>
          <t>PARQUE PRINCIPAL</t>
        </is>
      </c>
      <c r="H301" s="20" t="inlineStr">
        <is>
          <t>6013821400</t>
        </is>
      </c>
      <c r="I301" s="20" t="inlineStr">
        <is>
          <t>LUNES A VIERNES</t>
        </is>
      </c>
      <c r="J301" s="20" t="inlineStr">
        <is>
          <t>GESTIONATECH</t>
        </is>
      </c>
      <c r="K301" s="21" t="n">
        <v>46283</v>
      </c>
      <c r="L301" s="21" t="n">
        <v>46283</v>
      </c>
      <c r="M301" s="20" t="n">
        <v>15</v>
      </c>
    </row>
    <row r="302">
      <c r="A302" s="16" t="inlineStr">
        <is>
          <t>2470</t>
        </is>
      </c>
      <c r="B302" s="17" t="inlineStr">
        <is>
          <t>TAMALAMEQUE</t>
        </is>
      </c>
      <c r="C302" s="17" t="inlineStr">
        <is>
          <t>Tamalameque</t>
        </is>
      </c>
      <c r="D302" s="17" t="inlineStr">
        <is>
          <t>Cesar</t>
        </is>
      </c>
      <c r="E302" s="17" t="inlineStr">
        <is>
          <t>COSTA</t>
        </is>
      </c>
      <c r="F302" s="17" t="inlineStr">
        <is>
          <t>8:00 AM - 11:30 AM Y DE 02:00 PM - 04:30 PM</t>
        </is>
      </c>
      <c r="G302" s="17" t="inlineStr">
        <is>
          <t>Carrera 5 No. 4 - 57 Esquina</t>
        </is>
      </c>
      <c r="H302" s="17" t="inlineStr">
        <is>
          <t>6013821400</t>
        </is>
      </c>
      <c r="I302" s="17" t="inlineStr">
        <is>
          <t>LUNES A VIERNES</t>
        </is>
      </c>
      <c r="J302" s="17" t="inlineStr">
        <is>
          <t>GESTIONATECH</t>
        </is>
      </c>
      <c r="K302" s="18" t="n">
        <v>46269</v>
      </c>
      <c r="L302" s="18" t="n">
        <v>46269</v>
      </c>
      <c r="M302" s="17" t="n">
        <v>12</v>
      </c>
    </row>
    <row r="303">
      <c r="A303" s="19" t="inlineStr">
        <is>
          <t>2701</t>
        </is>
      </c>
      <c r="B303" s="20" t="inlineStr">
        <is>
          <t>AYAPEL</t>
        </is>
      </c>
      <c r="C303" s="20" t="inlineStr">
        <is>
          <t>Ayapel</t>
        </is>
      </c>
      <c r="D303" s="20" t="inlineStr">
        <is>
          <t>Córdoba</t>
        </is>
      </c>
      <c r="E303" s="20" t="inlineStr">
        <is>
          <t>ANTIOQUIA</t>
        </is>
      </c>
      <c r="F303" s="20" t="inlineStr">
        <is>
          <t>8:00 AM - 11:30 AM Y DE 02:00 PM - 04:30 PM</t>
        </is>
      </c>
      <c r="G303" s="20" t="inlineStr">
        <is>
          <t>Calle 8 A No.1 - 48 - Centro Comercial Bulevar - Ayapel - Córdoba</t>
        </is>
      </c>
      <c r="H303" s="20" t="inlineStr">
        <is>
          <t>6013821400</t>
        </is>
      </c>
      <c r="I303" s="20" t="inlineStr">
        <is>
          <t>LUNES A VIERNES</t>
        </is>
      </c>
      <c r="J303" s="20" t="inlineStr">
        <is>
          <t>GESTIONATECH</t>
        </is>
      </c>
      <c r="K303" s="21" t="n">
        <v>46279</v>
      </c>
      <c r="L303" s="21" t="n">
        <v>46279</v>
      </c>
      <c r="M303" s="20" t="n">
        <v>15</v>
      </c>
    </row>
    <row r="304">
      <c r="A304" s="16" t="inlineStr">
        <is>
          <t>2703</t>
        </is>
      </c>
      <c r="B304" s="17" t="inlineStr">
        <is>
          <t>MONTERIA</t>
        </is>
      </c>
      <c r="C304" s="17" t="inlineStr">
        <is>
          <t>Montería</t>
        </is>
      </c>
      <c r="D304" s="17" t="inlineStr">
        <is>
          <t>Córdoba</t>
        </is>
      </c>
      <c r="E304" s="17" t="inlineStr">
        <is>
          <t>COSTA</t>
        </is>
      </c>
      <c r="F304" s="17" t="inlineStr">
        <is>
          <t>8:00 AM - 11:30 AM Y DE 02:00 PM - 04:30 PM</t>
        </is>
      </c>
      <c r="G304" s="17" t="inlineStr">
        <is>
          <t>Carrera.3 No.29-21</t>
        </is>
      </c>
      <c r="H304" s="17" t="inlineStr">
        <is>
          <t>6013821400</t>
        </is>
      </c>
      <c r="I304" s="17" t="inlineStr">
        <is>
          <t>LUNES A VIERNES</t>
        </is>
      </c>
      <c r="J304" s="17" t="inlineStr">
        <is>
          <t>REGIONAL</t>
        </is>
      </c>
      <c r="K304" s="18" t="n">
        <v>46301</v>
      </c>
      <c r="L304" s="18" t="n">
        <v>46311</v>
      </c>
      <c r="M304" s="17" t="n">
        <v>52</v>
      </c>
    </row>
    <row r="305">
      <c r="A305" s="19" t="inlineStr">
        <is>
          <t>2712</t>
        </is>
      </c>
      <c r="B305" s="20" t="inlineStr">
        <is>
          <t>BUENAVISTA</t>
        </is>
      </c>
      <c r="C305" s="20" t="inlineStr">
        <is>
          <t>Buenavista</t>
        </is>
      </c>
      <c r="D305" s="20" t="inlineStr">
        <is>
          <t>Córdoba</t>
        </is>
      </c>
      <c r="E305" s="20" t="inlineStr">
        <is>
          <t>ANTIOQUIA</t>
        </is>
      </c>
      <c r="F305" s="20" t="inlineStr">
        <is>
          <t>8:00 AM - 11:30 AM Y DE 02:00 PM - 04:30 PM</t>
        </is>
      </c>
      <c r="G305" s="20" t="inlineStr">
        <is>
          <t>Carrera 12 N° 9 - 26</t>
        </is>
      </c>
      <c r="H305" s="20" t="inlineStr">
        <is>
          <t>6013821400</t>
        </is>
      </c>
      <c r="I305" s="20" t="inlineStr">
        <is>
          <t>LUNES A VIERNES</t>
        </is>
      </c>
      <c r="J305" s="20" t="inlineStr">
        <is>
          <t>GESTIONATECH</t>
        </is>
      </c>
      <c r="K305" s="21" t="n">
        <v>46266</v>
      </c>
      <c r="L305" s="21" t="n">
        <v>46266</v>
      </c>
      <c r="M305" s="20" t="n">
        <v>14</v>
      </c>
    </row>
    <row r="306">
      <c r="A306" s="16" t="inlineStr">
        <is>
          <t>2715</t>
        </is>
      </c>
      <c r="B306" s="17" t="inlineStr">
        <is>
          <t>CERETE</t>
        </is>
      </c>
      <c r="C306" s="17" t="inlineStr">
        <is>
          <t>Cereté</t>
        </is>
      </c>
      <c r="D306" s="17" t="inlineStr">
        <is>
          <t>Córdoba</t>
        </is>
      </c>
      <c r="E306" s="17" t="inlineStr">
        <is>
          <t>COSTA</t>
        </is>
      </c>
      <c r="F306" s="17" t="inlineStr">
        <is>
          <t>8:00 AM - 11:30 AM Y DE 02:00 PM - 04:30 PM</t>
        </is>
      </c>
      <c r="G306" s="17" t="inlineStr">
        <is>
          <t>Calle 13 A No.9-65</t>
        </is>
      </c>
      <c r="H306" s="17" t="inlineStr">
        <is>
          <t>6013821400</t>
        </is>
      </c>
      <c r="I306" s="17" t="inlineStr">
        <is>
          <t>LUNES A VIERNES</t>
        </is>
      </c>
      <c r="J306" s="17" t="inlineStr">
        <is>
          <t>GESTIONATECH</t>
        </is>
      </c>
      <c r="K306" s="18" t="n">
        <v>46275</v>
      </c>
      <c r="L306" s="18" t="n">
        <v>46275</v>
      </c>
      <c r="M306" s="17" t="n">
        <v>25</v>
      </c>
    </row>
    <row r="307">
      <c r="A307" s="19" t="inlineStr">
        <is>
          <t>2717</t>
        </is>
      </c>
      <c r="B307" s="20" t="inlineStr">
        <is>
          <t>CANALETE</t>
        </is>
      </c>
      <c r="C307" s="20" t="inlineStr">
        <is>
          <t>Canalete</t>
        </is>
      </c>
      <c r="D307" s="20" t="inlineStr">
        <is>
          <t>Córdoba</t>
        </is>
      </c>
      <c r="E307" s="20" t="inlineStr">
        <is>
          <t>COSTA</t>
        </is>
      </c>
      <c r="F307" s="20" t="inlineStr">
        <is>
          <t>8:00 AM - 11:30 AM Y DE 02:00 PM - 04:30 PM</t>
        </is>
      </c>
      <c r="G307" s="20" t="inlineStr">
        <is>
          <t>Diagonal al parque</t>
        </is>
      </c>
      <c r="H307" s="20" t="inlineStr">
        <is>
          <t>6013821400</t>
        </is>
      </c>
      <c r="I307" s="20" t="inlineStr">
        <is>
          <t>LUNES A VIERNES</t>
        </is>
      </c>
      <c r="J307" s="20" t="inlineStr">
        <is>
          <t>GESTIONATECH</t>
        </is>
      </c>
      <c r="K307" s="21" t="n">
        <v>46286</v>
      </c>
      <c r="L307" s="21" t="n">
        <v>46286</v>
      </c>
      <c r="M307" s="20" t="n">
        <v>12</v>
      </c>
    </row>
    <row r="308">
      <c r="A308" s="16" t="inlineStr">
        <is>
          <t>2719</t>
        </is>
      </c>
      <c r="B308" s="17" t="inlineStr">
        <is>
          <t>CIENAGA DE ORO</t>
        </is>
      </c>
      <c r="C308" s="17" t="inlineStr">
        <is>
          <t>Ciénaga De Oro</t>
        </is>
      </c>
      <c r="D308" s="17" t="inlineStr">
        <is>
          <t>Córdoba</t>
        </is>
      </c>
      <c r="E308" s="17" t="inlineStr">
        <is>
          <t>COSTA</t>
        </is>
      </c>
      <c r="F308" s="17" t="inlineStr">
        <is>
          <t>8:00 AM - 11:30 AM Y DE 02:00 PM - 04:30 PM</t>
        </is>
      </c>
      <c r="G308" s="17" t="inlineStr">
        <is>
          <t>Calle 7 N0.16-04</t>
        </is>
      </c>
      <c r="H308" s="17" t="inlineStr">
        <is>
          <t>6013821400</t>
        </is>
      </c>
      <c r="I308" s="17" t="inlineStr">
        <is>
          <t>LUNES A VIERNES</t>
        </is>
      </c>
      <c r="J308" s="17" t="inlineStr">
        <is>
          <t>GESTIONATECH</t>
        </is>
      </c>
      <c r="K308" s="18" t="n">
        <v>46272</v>
      </c>
      <c r="L308" s="18" t="n">
        <v>46272</v>
      </c>
      <c r="M308" s="17" t="n">
        <v>18</v>
      </c>
    </row>
    <row r="309">
      <c r="A309" s="19" t="inlineStr">
        <is>
          <t>2721</t>
        </is>
      </c>
      <c r="B309" s="20" t="inlineStr">
        <is>
          <t>CHIMA</t>
        </is>
      </c>
      <c r="C309" s="20" t="inlineStr">
        <is>
          <t>Chimá</t>
        </is>
      </c>
      <c r="D309" s="20" t="inlineStr">
        <is>
          <t>Córdoba</t>
        </is>
      </c>
      <c r="E309" s="20" t="inlineStr">
        <is>
          <t>COSTA</t>
        </is>
      </c>
      <c r="F309" s="20" t="inlineStr">
        <is>
          <t>8:00 AM - 11:30 AM Y DE 02:00 PM - 04:30 PM</t>
        </is>
      </c>
      <c r="G309" s="20" t="inlineStr">
        <is>
          <t>Carrera 4 N° 11 - 18</t>
        </is>
      </c>
      <c r="H309" s="20" t="inlineStr">
        <is>
          <t>6013821400</t>
        </is>
      </c>
      <c r="I309" s="20" t="inlineStr">
        <is>
          <t>LUNES A VIERNES</t>
        </is>
      </c>
      <c r="J309" s="20" t="inlineStr">
        <is>
          <t>GESTIONATECH</t>
        </is>
      </c>
      <c r="K309" s="21" t="n">
        <v>46275</v>
      </c>
      <c r="L309" s="21" t="n">
        <v>46275</v>
      </c>
      <c r="M309" s="20" t="n">
        <v>13</v>
      </c>
    </row>
    <row r="310">
      <c r="A310" s="16" t="inlineStr">
        <is>
          <t>2730</t>
        </is>
      </c>
      <c r="B310" s="17" t="inlineStr">
        <is>
          <t>SAN CARLOS</t>
        </is>
      </c>
      <c r="C310" s="17" t="inlineStr">
        <is>
          <t>San Carlos</t>
        </is>
      </c>
      <c r="D310" s="17" t="inlineStr">
        <is>
          <t>Córdoba</t>
        </is>
      </c>
      <c r="E310" s="17" t="inlineStr">
        <is>
          <t>COSTA</t>
        </is>
      </c>
      <c r="F310" s="17" t="inlineStr">
        <is>
          <t>8:00 AM - 11:30 AM Y DE 02:00 PM - 04:30 PM</t>
        </is>
      </c>
      <c r="G310" s="17" t="inlineStr">
        <is>
          <t>Calle 9 -26 Barrio Centro - Calle Principal</t>
        </is>
      </c>
      <c r="H310" s="17" t="inlineStr">
        <is>
          <t>6013821400</t>
        </is>
      </c>
      <c r="I310" s="17" t="inlineStr">
        <is>
          <t>LUNES A VIERNES</t>
        </is>
      </c>
      <c r="J310" s="17" t="inlineStr">
        <is>
          <t>GESTIONATECH</t>
        </is>
      </c>
      <c r="K310" s="18" t="n">
        <v>46274</v>
      </c>
      <c r="L310" s="18" t="n">
        <v>46274</v>
      </c>
      <c r="M310" s="17" t="n">
        <v>12</v>
      </c>
    </row>
    <row r="311">
      <c r="A311" s="19" t="inlineStr">
        <is>
          <t>2745</t>
        </is>
      </c>
      <c r="B311" s="20" t="inlineStr">
        <is>
          <t>LORICA</t>
        </is>
      </c>
      <c r="C311" s="20" t="inlineStr">
        <is>
          <t>Lorica</t>
        </is>
      </c>
      <c r="D311" s="20" t="inlineStr">
        <is>
          <t>Córdoba</t>
        </is>
      </c>
      <c r="E311" s="20" t="inlineStr">
        <is>
          <t>COSTA</t>
        </is>
      </c>
      <c r="F311" s="20" t="inlineStr">
        <is>
          <t>8:00 AM - 11:30 AM Y DE 02:00 PM - 04:30 PM</t>
        </is>
      </c>
      <c r="G311" s="20" t="inlineStr">
        <is>
          <t>Calle 1 No.6-16</t>
        </is>
      </c>
      <c r="H311" s="20" t="inlineStr">
        <is>
          <t>6013821400</t>
        </is>
      </c>
      <c r="I311" s="20" t="inlineStr">
        <is>
          <t>LUNES A VIERNES</t>
        </is>
      </c>
      <c r="J311" s="20" t="inlineStr">
        <is>
          <t>GESTIONATECH</t>
        </is>
      </c>
      <c r="K311" s="21" t="n">
        <v>46267</v>
      </c>
      <c r="L311" s="21" t="n">
        <v>46267</v>
      </c>
      <c r="M311" s="20" t="n">
        <v>24</v>
      </c>
    </row>
    <row r="312">
      <c r="A312" s="16" t="inlineStr">
        <is>
          <t>2747</t>
        </is>
      </c>
      <c r="B312" s="17" t="inlineStr">
        <is>
          <t>LOS CORDOBAS</t>
        </is>
      </c>
      <c r="C312" s="17" t="inlineStr">
        <is>
          <t>Los Córdobas</t>
        </is>
      </c>
      <c r="D312" s="17" t="inlineStr">
        <is>
          <t>Córdoba</t>
        </is>
      </c>
      <c r="E312" s="17" t="inlineStr">
        <is>
          <t>COSTA</t>
        </is>
      </c>
      <c r="F312" s="17" t="inlineStr">
        <is>
          <t>8:00 AM - 11:30 AM Y DE 02:00 PM - 04:30 PM</t>
        </is>
      </c>
      <c r="G312" s="17" t="inlineStr">
        <is>
          <t>Plaza Principal</t>
        </is>
      </c>
      <c r="H312" s="17" t="inlineStr">
        <is>
          <t>6013821400</t>
        </is>
      </c>
      <c r="I312" s="17" t="inlineStr">
        <is>
          <t>LUNES A VIERNES</t>
        </is>
      </c>
      <c r="J312" s="17" t="inlineStr">
        <is>
          <t>GESTIONATECH</t>
        </is>
      </c>
      <c r="K312" s="18" t="n">
        <v>46287</v>
      </c>
      <c r="L312" s="18" t="n">
        <v>46287</v>
      </c>
      <c r="M312" s="17" t="n">
        <v>12</v>
      </c>
    </row>
    <row r="313">
      <c r="A313" s="19" t="inlineStr">
        <is>
          <t>2750</t>
        </is>
      </c>
      <c r="B313" s="20" t="inlineStr">
        <is>
          <t>MOMIL</t>
        </is>
      </c>
      <c r="C313" s="20" t="inlineStr">
        <is>
          <t>Momil</t>
        </is>
      </c>
      <c r="D313" s="20" t="inlineStr">
        <is>
          <t>Córdoba</t>
        </is>
      </c>
      <c r="E313" s="20" t="inlineStr">
        <is>
          <t>COSTA</t>
        </is>
      </c>
      <c r="F313" s="20" t="inlineStr">
        <is>
          <t>8:00 AM - 11:30 AM Y DE 02:00 PM - 04:30 PM</t>
        </is>
      </c>
      <c r="G313" s="20" t="inlineStr">
        <is>
          <t>Carrera 10 No. 9 -07</t>
        </is>
      </c>
      <c r="H313" s="20" t="inlineStr">
        <is>
          <t>6013821400</t>
        </is>
      </c>
      <c r="I313" s="20" t="inlineStr">
        <is>
          <t>LUNES A VIERNES</t>
        </is>
      </c>
      <c r="J313" s="20" t="inlineStr">
        <is>
          <t>GESTIONATECH</t>
        </is>
      </c>
      <c r="K313" s="21" t="n">
        <v>46274</v>
      </c>
      <c r="L313" s="21" t="n">
        <v>46274</v>
      </c>
      <c r="M313" s="20" t="n">
        <v>12</v>
      </c>
    </row>
    <row r="314">
      <c r="A314" s="16" t="inlineStr">
        <is>
          <t>2752</t>
        </is>
      </c>
      <c r="B314" s="17" t="inlineStr">
        <is>
          <t>MONTELIBANO</t>
        </is>
      </c>
      <c r="C314" s="17" t="inlineStr">
        <is>
          <t>Montelíbano</t>
        </is>
      </c>
      <c r="D314" s="17" t="inlineStr">
        <is>
          <t>Córdoba</t>
        </is>
      </c>
      <c r="E314" s="17" t="inlineStr">
        <is>
          <t>ANTIOQUIA</t>
        </is>
      </c>
      <c r="F314" s="17" t="inlineStr">
        <is>
          <t>8:00 AM - 11:30 AM Y DE 02:00 PM - 04:30 PM</t>
        </is>
      </c>
      <c r="G314" s="17" t="inlineStr">
        <is>
          <t>CALLE 4 N° 17 -15</t>
        </is>
      </c>
      <c r="H314" s="17" t="inlineStr">
        <is>
          <t>6013821400</t>
        </is>
      </c>
      <c r="I314" s="17" t="inlineStr">
        <is>
          <t>LUNES A VIERNES</t>
        </is>
      </c>
      <c r="J314" s="17" t="inlineStr">
        <is>
          <t>GESTIONATECH</t>
        </is>
      </c>
      <c r="K314" s="18" t="n">
        <v>46280</v>
      </c>
      <c r="L314" s="18" t="n">
        <v>46280</v>
      </c>
      <c r="M314" s="17" t="n">
        <v>30</v>
      </c>
    </row>
    <row r="315">
      <c r="A315" s="19" t="inlineStr">
        <is>
          <t>2754</t>
        </is>
      </c>
      <c r="B315" s="20" t="inlineStr">
        <is>
          <t>MOÑITOS</t>
        </is>
      </c>
      <c r="C315" s="20" t="inlineStr">
        <is>
          <t>Moñitos</t>
        </is>
      </c>
      <c r="D315" s="20" t="inlineStr">
        <is>
          <t>Córdoba</t>
        </is>
      </c>
      <c r="E315" s="20" t="inlineStr">
        <is>
          <t>COSTA</t>
        </is>
      </c>
      <c r="F315" s="20" t="inlineStr">
        <is>
          <t>8:00 AM - 11:30 AM Y DE 02:00 PM - 04:30 PM</t>
        </is>
      </c>
      <c r="G315" s="20" t="inlineStr">
        <is>
          <t>Carrera 4 No.4-29 Calle Principal</t>
        </is>
      </c>
      <c r="H315" s="20" t="inlineStr">
        <is>
          <t>6013821400</t>
        </is>
      </c>
      <c r="I315" s="20" t="inlineStr">
        <is>
          <t>LUNES A VIERNES</t>
        </is>
      </c>
      <c r="J315" s="20" t="inlineStr">
        <is>
          <t>GESTIONATECH</t>
        </is>
      </c>
      <c r="K315" s="21" t="n">
        <v>46273</v>
      </c>
      <c r="L315" s="21" t="n">
        <v>46273</v>
      </c>
      <c r="M315" s="20" t="n">
        <v>12</v>
      </c>
    </row>
    <row r="316">
      <c r="A316" s="16" t="inlineStr">
        <is>
          <t>2757</t>
        </is>
      </c>
      <c r="B316" s="17" t="inlineStr">
        <is>
          <t>SAN BERNARDO DEL VIENTO</t>
        </is>
      </c>
      <c r="C316" s="17" t="inlineStr">
        <is>
          <t>San Bernardo Del Viento</t>
        </is>
      </c>
      <c r="D316" s="17" t="inlineStr">
        <is>
          <t>Córdoba</t>
        </is>
      </c>
      <c r="E316" s="17" t="inlineStr">
        <is>
          <t>COSTA</t>
        </is>
      </c>
      <c r="F316" s="17" t="inlineStr">
        <is>
          <t>8:00 AM - 11:30 AM Y DE 02:00 PM - 04:30 PM</t>
        </is>
      </c>
      <c r="G316" s="17" t="inlineStr">
        <is>
          <t>Calle 8C # 8 - 110</t>
        </is>
      </c>
      <c r="H316" s="17" t="inlineStr">
        <is>
          <t>6013821400</t>
        </is>
      </c>
      <c r="I316" s="17" t="inlineStr">
        <is>
          <t>LUNES A VIERNES</t>
        </is>
      </c>
      <c r="J316" s="17" t="inlineStr">
        <is>
          <t>GESTIONATECH</t>
        </is>
      </c>
      <c r="K316" s="18" t="n">
        <v>46289</v>
      </c>
      <c r="L316" s="18" t="n">
        <v>46289</v>
      </c>
      <c r="M316" s="17" t="n">
        <v>14</v>
      </c>
    </row>
    <row r="317">
      <c r="A317" s="19" t="inlineStr">
        <is>
          <t>2765</t>
        </is>
      </c>
      <c r="B317" s="20" t="inlineStr">
        <is>
          <t>PLANETA RICA</t>
        </is>
      </c>
      <c r="C317" s="20" t="inlineStr">
        <is>
          <t>Planeta Rica</t>
        </is>
      </c>
      <c r="D317" s="20" t="inlineStr">
        <is>
          <t>Córdoba</t>
        </is>
      </c>
      <c r="E317" s="20" t="inlineStr">
        <is>
          <t>ANTIOQUIA</t>
        </is>
      </c>
      <c r="F317" s="20" t="inlineStr">
        <is>
          <t>8:00 AM - 11:30 AM Y DE 02:00 PM - 04:30 PM</t>
        </is>
      </c>
      <c r="G317" s="20" t="inlineStr">
        <is>
          <t>Carrera 8 No. 18-11 0 CALLE PRINCIPAL</t>
        </is>
      </c>
      <c r="H317" s="20" t="inlineStr">
        <is>
          <t>6013821400</t>
        </is>
      </c>
      <c r="I317" s="20" t="inlineStr">
        <is>
          <t>LUNES A VIERNES</t>
        </is>
      </c>
      <c r="J317" s="20" t="inlineStr">
        <is>
          <t>GESTIONATECH</t>
        </is>
      </c>
      <c r="K317" s="21" t="n">
        <v>46267</v>
      </c>
      <c r="L317" s="21" t="n">
        <v>46267</v>
      </c>
      <c r="M317" s="20" t="n">
        <v>28</v>
      </c>
    </row>
    <row r="318">
      <c r="A318" s="16" t="inlineStr">
        <is>
          <t>2767</t>
        </is>
      </c>
      <c r="B318" s="17" t="inlineStr">
        <is>
          <t>PUEBLO NUEVO</t>
        </is>
      </c>
      <c r="C318" s="17" t="inlineStr">
        <is>
          <t>Pueblo Nuevo</t>
        </is>
      </c>
      <c r="D318" s="17" t="inlineStr">
        <is>
          <t>Córdoba</t>
        </is>
      </c>
      <c r="E318" s="17" t="inlineStr">
        <is>
          <t>ANTIOQUIA</t>
        </is>
      </c>
      <c r="F318" s="17" t="inlineStr">
        <is>
          <t>8:00 AM - 11:30 AM Y DE 02:00 PM - 04:30 PM</t>
        </is>
      </c>
      <c r="G318" s="17" t="inlineStr">
        <is>
          <t>Carrera 9 No. 11-75 Barrio Las Flores - local 01</t>
        </is>
      </c>
      <c r="H318" s="17" t="inlineStr">
        <is>
          <t>6013821400</t>
        </is>
      </c>
      <c r="I318" s="17" t="inlineStr">
        <is>
          <t>LUNES A VIERNES</t>
        </is>
      </c>
      <c r="J318" s="17" t="inlineStr">
        <is>
          <t>GESTIONATECH</t>
        </is>
      </c>
      <c r="K318" s="18" t="n">
        <v>46268</v>
      </c>
      <c r="L318" s="18" t="n">
        <v>46268</v>
      </c>
      <c r="M318" s="17" t="n">
        <v>14</v>
      </c>
    </row>
    <row r="319">
      <c r="A319" s="19" t="inlineStr">
        <is>
          <t>2769</t>
        </is>
      </c>
      <c r="B319" s="20" t="inlineStr">
        <is>
          <t>PUERTO ESCONDIDO</t>
        </is>
      </c>
      <c r="C319" s="20" t="inlineStr">
        <is>
          <t>Puerto Escondido</t>
        </is>
      </c>
      <c r="D319" s="20" t="inlineStr">
        <is>
          <t>Córdoba</t>
        </is>
      </c>
      <c r="E319" s="20" t="inlineStr">
        <is>
          <t>COSTA</t>
        </is>
      </c>
      <c r="F319" s="20" t="inlineStr">
        <is>
          <t>8:00 AM - 11:30 AM Y DE 02:00 PM - 04:30 PM</t>
        </is>
      </c>
      <c r="G319" s="20" t="inlineStr">
        <is>
          <t>Carrera 3 No.3-32 Local 1 Plaza Principal</t>
        </is>
      </c>
      <c r="H319" s="20" t="inlineStr">
        <is>
          <t>6013821400</t>
        </is>
      </c>
      <c r="I319" s="20" t="inlineStr">
        <is>
          <t>LUNES A VIERNES</t>
        </is>
      </c>
      <c r="J319" s="20" t="inlineStr">
        <is>
          <t>GESTIONATECH</t>
        </is>
      </c>
      <c r="K319" s="21" t="n">
        <v>46288</v>
      </c>
      <c r="L319" s="21" t="n">
        <v>46288</v>
      </c>
      <c r="M319" s="20" t="n">
        <v>12</v>
      </c>
    </row>
    <row r="320">
      <c r="A320" s="16" t="inlineStr">
        <is>
          <t>2770</t>
        </is>
      </c>
      <c r="B320" s="17" t="inlineStr">
        <is>
          <t>SAHAGUN</t>
        </is>
      </c>
      <c r="C320" s="17" t="inlineStr">
        <is>
          <t>Sahagún</t>
        </is>
      </c>
      <c r="D320" s="17" t="inlineStr">
        <is>
          <t>Córdoba</t>
        </is>
      </c>
      <c r="E320" s="17" t="inlineStr">
        <is>
          <t>COSTA</t>
        </is>
      </c>
      <c r="F320" s="17" t="inlineStr">
        <is>
          <t>8:00 AM - 11:30 AM Y DE 02:00 PM - 04:30 PM</t>
        </is>
      </c>
      <c r="G320" s="17" t="inlineStr">
        <is>
          <t>Calle 14 No.11-29</t>
        </is>
      </c>
      <c r="H320" s="17" t="inlineStr">
        <is>
          <t>6013821400</t>
        </is>
      </c>
      <c r="I320" s="17" t="inlineStr">
        <is>
          <t>LUNES A VIERNES</t>
        </is>
      </c>
      <c r="J320" s="17" t="inlineStr">
        <is>
          <t>GESTIONATECH</t>
        </is>
      </c>
      <c r="K320" s="18" t="n">
        <v>46293</v>
      </c>
      <c r="L320" s="18" t="n">
        <v>46293</v>
      </c>
      <c r="M320" s="17" t="n">
        <v>30</v>
      </c>
    </row>
    <row r="321">
      <c r="A321" s="19" t="inlineStr">
        <is>
          <t>2771</t>
        </is>
      </c>
      <c r="B321" s="20" t="inlineStr">
        <is>
          <t>PUERTO LIBERTADOR</t>
        </is>
      </c>
      <c r="C321" s="20" t="inlineStr">
        <is>
          <t>Puerto Libertador</t>
        </is>
      </c>
      <c r="D321" s="20" t="inlineStr">
        <is>
          <t>Córdoba</t>
        </is>
      </c>
      <c r="E321" s="20" t="inlineStr">
        <is>
          <t>ANTIOQUIA</t>
        </is>
      </c>
      <c r="F321" s="20" t="inlineStr">
        <is>
          <t>8:00 AM - 11:30 AM Y DE 02:00 PM - 04:30 PM</t>
        </is>
      </c>
      <c r="G321" s="20" t="inlineStr">
        <is>
          <t>Cra. 9 Nº. 8-01/03/07  Calle Principal del Comercio</t>
        </is>
      </c>
      <c r="H321" s="20" t="inlineStr">
        <is>
          <t>6013821400</t>
        </is>
      </c>
      <c r="I321" s="20" t="inlineStr">
        <is>
          <t>LUNES A VIERNES</t>
        </is>
      </c>
      <c r="J321" s="20" t="inlineStr">
        <is>
          <t>GESTIONATECH</t>
        </is>
      </c>
      <c r="K321" s="21" t="n">
        <v>46281</v>
      </c>
      <c r="L321" s="21" t="n">
        <v>46281</v>
      </c>
      <c r="M321" s="20" t="n">
        <v>14</v>
      </c>
    </row>
    <row r="322">
      <c r="A322" s="16" t="inlineStr">
        <is>
          <t>2772</t>
        </is>
      </c>
      <c r="B322" s="17" t="inlineStr">
        <is>
          <t>SAN PELAYO</t>
        </is>
      </c>
      <c r="C322" s="17" t="inlineStr">
        <is>
          <t>San Pelayo</t>
        </is>
      </c>
      <c r="D322" s="17" t="inlineStr">
        <is>
          <t>Córdoba</t>
        </is>
      </c>
      <c r="E322" s="17" t="inlineStr">
        <is>
          <t>COSTA</t>
        </is>
      </c>
      <c r="F322" s="17" t="inlineStr">
        <is>
          <t>8:00 AM - 11:30 AM Y DE 02:00 PM - 04:30 PM</t>
        </is>
      </c>
      <c r="G322" s="17" t="inlineStr">
        <is>
          <t>Carrera 7 No. 5 - 20 Barrio Boca Grande</t>
        </is>
      </c>
      <c r="H322" s="17" t="inlineStr">
        <is>
          <t>6013821400</t>
        </is>
      </c>
      <c r="I322" s="17" t="inlineStr">
        <is>
          <t>LUNES A VIERNES</t>
        </is>
      </c>
      <c r="J322" s="17" t="inlineStr">
        <is>
          <t>GESTIONATECH</t>
        </is>
      </c>
      <c r="K322" s="18" t="n">
        <v>46273</v>
      </c>
      <c r="L322" s="18" t="n">
        <v>46273</v>
      </c>
      <c r="M322" s="17" t="n">
        <v>18</v>
      </c>
    </row>
    <row r="323">
      <c r="A323" s="19" t="inlineStr">
        <is>
          <t>2773</t>
        </is>
      </c>
      <c r="B323" s="20" t="inlineStr">
        <is>
          <t>PURISIMA</t>
        </is>
      </c>
      <c r="C323" s="20" t="inlineStr">
        <is>
          <t>Purísima</t>
        </is>
      </c>
      <c r="D323" s="20" t="inlineStr">
        <is>
          <t>Córdoba</t>
        </is>
      </c>
      <c r="E323" s="20" t="inlineStr">
        <is>
          <t>COSTA</t>
        </is>
      </c>
      <c r="F323" s="20" t="inlineStr">
        <is>
          <t>8:00 AM - 11:30 AM Y DE 02:00 PM - 04:30 PM</t>
        </is>
      </c>
      <c r="G323" s="20" t="inlineStr">
        <is>
          <t>Carrera 6 # 4 - 34</t>
        </is>
      </c>
      <c r="H323" s="20" t="inlineStr">
        <is>
          <t>6013821400</t>
        </is>
      </c>
      <c r="I323" s="20" t="inlineStr">
        <is>
          <t>LUNES A VIERNES</t>
        </is>
      </c>
      <c r="J323" s="20" t="inlineStr">
        <is>
          <t>GESTIONATECH</t>
        </is>
      </c>
      <c r="K323" s="21" t="n">
        <v>46290</v>
      </c>
      <c r="L323" s="21" t="n">
        <v>46290</v>
      </c>
      <c r="M323" s="20" t="n">
        <v>12</v>
      </c>
    </row>
    <row r="324">
      <c r="A324" s="16" t="inlineStr">
        <is>
          <t>2775</t>
        </is>
      </c>
      <c r="B324" s="17" t="inlineStr">
        <is>
          <t>SAN ANDRES DE SOTAVENTO</t>
        </is>
      </c>
      <c r="C324" s="17" t="inlineStr">
        <is>
          <t>San Andrés De Sotavento</t>
        </is>
      </c>
      <c r="D324" s="17" t="inlineStr">
        <is>
          <t>Córdoba</t>
        </is>
      </c>
      <c r="E324" s="17" t="inlineStr">
        <is>
          <t>COSTA</t>
        </is>
      </c>
      <c r="F324" s="17" t="inlineStr">
        <is>
          <t>8:00 AM - 11:30 AM Y DE 02:00 PM - 04:30 PM</t>
        </is>
      </c>
      <c r="G324" s="17" t="inlineStr">
        <is>
          <t>CALLE 9 No.5-59     Calle 8 B No. 7 B -59 Centro</t>
        </is>
      </c>
      <c r="H324" s="17" t="inlineStr">
        <is>
          <t>6013821400</t>
        </is>
      </c>
      <c r="I324" s="17" t="inlineStr">
        <is>
          <t>LUNES A VIERNES</t>
        </is>
      </c>
      <c r="J324" s="17" t="inlineStr">
        <is>
          <t>GESTIONATECH</t>
        </is>
      </c>
      <c r="K324" s="18" t="n">
        <v>46289</v>
      </c>
      <c r="L324" s="18" t="n">
        <v>46289</v>
      </c>
      <c r="M324" s="17" t="n">
        <v>14</v>
      </c>
    </row>
    <row r="325">
      <c r="A325" s="19" t="inlineStr">
        <is>
          <t>2777</t>
        </is>
      </c>
      <c r="B325" s="20" t="inlineStr">
        <is>
          <t>SAN ANTERO</t>
        </is>
      </c>
      <c r="C325" s="20" t="inlineStr">
        <is>
          <t>San Antero</t>
        </is>
      </c>
      <c r="D325" s="20" t="inlineStr">
        <is>
          <t>Córdoba</t>
        </is>
      </c>
      <c r="E325" s="20" t="inlineStr">
        <is>
          <t>COSTA</t>
        </is>
      </c>
      <c r="F325" s="20" t="inlineStr">
        <is>
          <t>8:00 AM - 11:30 AM Y DE 02:00 PM - 04:30 PM</t>
        </is>
      </c>
      <c r="G325" s="20" t="inlineStr">
        <is>
          <t>Carrera.14 No.13-97</t>
        </is>
      </c>
      <c r="H325" s="20" t="inlineStr">
        <is>
          <t>6013821400</t>
        </is>
      </c>
      <c r="I325" s="20" t="inlineStr">
        <is>
          <t>LUNES A VIERNES</t>
        </is>
      </c>
      <c r="J325" s="20" t="inlineStr">
        <is>
          <t>GESTIONATECH</t>
        </is>
      </c>
      <c r="K325" s="21" t="n">
        <v>46266</v>
      </c>
      <c r="L325" s="21" t="n">
        <v>46266</v>
      </c>
      <c r="M325" s="20" t="n">
        <v>16</v>
      </c>
    </row>
    <row r="326">
      <c r="A326" s="16" t="inlineStr">
        <is>
          <t>2780</t>
        </is>
      </c>
      <c r="B326" s="17" t="inlineStr">
        <is>
          <t>TIERRALTA</t>
        </is>
      </c>
      <c r="C326" s="17" t="inlineStr">
        <is>
          <t>Tierralta</t>
        </is>
      </c>
      <c r="D326" s="17" t="inlineStr">
        <is>
          <t>Córdoba</t>
        </is>
      </c>
      <c r="E326" s="17" t="inlineStr">
        <is>
          <t>COSTA</t>
        </is>
      </c>
      <c r="F326" s="17" t="inlineStr">
        <is>
          <t>8:00 AM - 11:30 AM Y DE 02:00 PM - 04:30 PM</t>
        </is>
      </c>
      <c r="G326" s="17" t="inlineStr">
        <is>
          <t>Calle 3 No. 14-72 Parque Principal</t>
        </is>
      </c>
      <c r="H326" s="17" t="inlineStr">
        <is>
          <t>6013821400</t>
        </is>
      </c>
      <c r="I326" s="17" t="inlineStr">
        <is>
          <t>LUNES A VIERNES</t>
        </is>
      </c>
      <c r="J326" s="17" t="inlineStr">
        <is>
          <t>GESTIONATECH</t>
        </is>
      </c>
      <c r="K326" s="18" t="n">
        <v>46282</v>
      </c>
      <c r="L326" s="18" t="n">
        <v>46282</v>
      </c>
      <c r="M326" s="17" t="n">
        <v>24</v>
      </c>
    </row>
    <row r="327">
      <c r="A327" s="19" t="inlineStr">
        <is>
          <t>2786</t>
        </is>
      </c>
      <c r="B327" s="20" t="inlineStr">
        <is>
          <t>VALENCIA</t>
        </is>
      </c>
      <c r="C327" s="20" t="inlineStr">
        <is>
          <t>Valencia</t>
        </is>
      </c>
      <c r="D327" s="20" t="inlineStr">
        <is>
          <t>Córdoba</t>
        </is>
      </c>
      <c r="E327" s="20" t="inlineStr">
        <is>
          <t>COSTA</t>
        </is>
      </c>
      <c r="F327" s="20" t="inlineStr">
        <is>
          <t>8:00 AM - 11:30 AM Y DE 02:00 PM - 04:30 PM</t>
        </is>
      </c>
      <c r="G327" s="20" t="inlineStr">
        <is>
          <t>Carrera.  12  Nº.  15-75</t>
        </is>
      </c>
      <c r="H327" s="20" t="inlineStr">
        <is>
          <t>6013821400</t>
        </is>
      </c>
      <c r="I327" s="20" t="inlineStr">
        <is>
          <t>LUNES A VIERNES</t>
        </is>
      </c>
      <c r="J327" s="20" t="inlineStr">
        <is>
          <t>GESTIONATECH</t>
        </is>
      </c>
      <c r="K327" s="21" t="n">
        <v>46283</v>
      </c>
      <c r="L327" s="21" t="n">
        <v>46283</v>
      </c>
      <c r="M327" s="20" t="n">
        <v>15</v>
      </c>
    </row>
    <row r="328">
      <c r="A328" s="16" t="inlineStr">
        <is>
          <t>2790</t>
        </is>
      </c>
      <c r="B328" s="17" t="inlineStr">
        <is>
          <t>CHINU</t>
        </is>
      </c>
      <c r="C328" s="17" t="inlineStr">
        <is>
          <t>Chinú</t>
        </is>
      </c>
      <c r="D328" s="17" t="inlineStr">
        <is>
          <t>Córdoba</t>
        </is>
      </c>
      <c r="E328" s="17" t="inlineStr">
        <is>
          <t>COSTA</t>
        </is>
      </c>
      <c r="F328" s="17" t="inlineStr">
        <is>
          <t>8:00 AM - 11:30 AM Y DE 02:00 PM - 04:30 PM</t>
        </is>
      </c>
      <c r="G328" s="17" t="inlineStr">
        <is>
          <t>Calle 15 # 8 -32</t>
        </is>
      </c>
      <c r="H328" s="17" t="inlineStr">
        <is>
          <t>6013821400</t>
        </is>
      </c>
      <c r="I328" s="17" t="inlineStr">
        <is>
          <t>LUNES A VIERNES</t>
        </is>
      </c>
      <c r="J328" s="17" t="inlineStr">
        <is>
          <t>GESTIONATECH</t>
        </is>
      </c>
      <c r="K328" s="18" t="n">
        <v>46290</v>
      </c>
      <c r="L328" s="18" t="n">
        <v>46290</v>
      </c>
      <c r="M328" s="17" t="n">
        <v>14</v>
      </c>
    </row>
    <row r="329">
      <c r="A329" s="19" t="inlineStr">
        <is>
          <t>3101</t>
        </is>
      </c>
      <c r="B329" s="20" t="inlineStr">
        <is>
          <t>TENA</t>
        </is>
      </c>
      <c r="C329" s="20" t="inlineStr">
        <is>
          <t>Tena</t>
        </is>
      </c>
      <c r="D329" s="20" t="inlineStr">
        <is>
          <t>Cundinamarca</t>
        </is>
      </c>
      <c r="E329" s="20" t="inlineStr">
        <is>
          <t>BOGOTA</t>
        </is>
      </c>
      <c r="F329" s="20" t="inlineStr">
        <is>
          <t>8:00 AM - 11:30 AM Y DE 02:00 PM - 04:30 PM</t>
        </is>
      </c>
      <c r="G329" s="20" t="inlineStr">
        <is>
          <t>Calle 2 No 3-15 lado de la estación de policía</t>
        </is>
      </c>
      <c r="H329" s="20" t="inlineStr">
        <is>
          <t>6013821400</t>
        </is>
      </c>
      <c r="I329" s="20" t="inlineStr">
        <is>
          <t>LUNES A VIERNES</t>
        </is>
      </c>
      <c r="J329" s="20" t="inlineStr">
        <is>
          <t>GESTIONATECH</t>
        </is>
      </c>
      <c r="K329" s="21" t="n">
        <v>46296</v>
      </c>
      <c r="L329" s="21" t="n">
        <v>46296</v>
      </c>
      <c r="M329" s="20" t="n">
        <v>12</v>
      </c>
    </row>
    <row r="330">
      <c r="A330" s="16" t="inlineStr">
        <is>
          <t>3105</t>
        </is>
      </c>
      <c r="B330" s="17" t="inlineStr">
        <is>
          <t>VILLAGOMEZ</t>
        </is>
      </c>
      <c r="C330" s="17" t="inlineStr">
        <is>
          <t>Villagómez</t>
        </is>
      </c>
      <c r="D330" s="17" t="inlineStr">
        <is>
          <t>Cundinamarca</t>
        </is>
      </c>
      <c r="E330" s="17" t="inlineStr">
        <is>
          <t>BOGOTA</t>
        </is>
      </c>
      <c r="F330" s="17" t="inlineStr">
        <is>
          <t>8:00 AM A 2:00 P.M.</t>
        </is>
      </c>
      <c r="G330" s="17" t="inlineStr">
        <is>
          <t>Calle 5 No. 3-47</t>
        </is>
      </c>
      <c r="H330" s="17" t="inlineStr">
        <is>
          <t>6013821400</t>
        </is>
      </c>
      <c r="I330" s="17" t="inlineStr">
        <is>
          <t>MARTES A SABADO</t>
        </is>
      </c>
      <c r="J330" s="17" t="inlineStr">
        <is>
          <t>GESTIONATECH</t>
        </is>
      </c>
      <c r="K330" s="18" t="n">
        <v>46276</v>
      </c>
      <c r="L330" s="18" t="n">
        <v>46276</v>
      </c>
      <c r="M330" s="17" t="n">
        <v>12</v>
      </c>
    </row>
    <row r="331">
      <c r="A331" s="19" t="inlineStr">
        <is>
          <t>3106</t>
        </is>
      </c>
      <c r="B331" s="20" t="inlineStr">
        <is>
          <t>ANAPOIMA</t>
        </is>
      </c>
      <c r="C331" s="20" t="inlineStr">
        <is>
          <t>Anapoima</t>
        </is>
      </c>
      <c r="D331" s="20" t="inlineStr">
        <is>
          <t>Cundinamarca</t>
        </is>
      </c>
      <c r="E331" s="20" t="inlineStr">
        <is>
          <t>BOGOTA</t>
        </is>
      </c>
      <c r="F331" s="20" t="inlineStr">
        <is>
          <t>8:00 AM - 11:30 AM Y DE 02:00 PM - 04:30 PM</t>
        </is>
      </c>
      <c r="G331" s="20" t="inlineStr">
        <is>
          <t>Calle 8 No. 2-14</t>
        </is>
      </c>
      <c r="H331" s="20" t="inlineStr">
        <is>
          <t>6013821400</t>
        </is>
      </c>
      <c r="I331" s="20" t="inlineStr">
        <is>
          <t>LUNES A VIERNES</t>
        </is>
      </c>
      <c r="J331" s="20" t="inlineStr">
        <is>
          <t>GESTIONATECH</t>
        </is>
      </c>
      <c r="K331" s="21" t="n">
        <v>46290</v>
      </c>
      <c r="L331" s="21" t="n">
        <v>46290</v>
      </c>
      <c r="M331" s="20" t="n">
        <v>14</v>
      </c>
    </row>
    <row r="332">
      <c r="A332" s="16" t="inlineStr">
        <is>
          <t>3107</t>
        </is>
      </c>
      <c r="B332" s="17" t="inlineStr">
        <is>
          <t>ANOLAIMA</t>
        </is>
      </c>
      <c r="C332" s="17" t="inlineStr">
        <is>
          <t>Anolaima</t>
        </is>
      </c>
      <c r="D332" s="17" t="inlineStr">
        <is>
          <t>Cundinamarca</t>
        </is>
      </c>
      <c r="E332" s="17" t="inlineStr">
        <is>
          <t>BOGOTA</t>
        </is>
      </c>
      <c r="F332" s="17" t="inlineStr">
        <is>
          <t>7.00 A.M. A 2:00 PM</t>
        </is>
      </c>
      <c r="G332" s="17" t="inlineStr">
        <is>
          <t>Carrera 4 No. 4-02</t>
        </is>
      </c>
      <c r="H332" s="17" t="inlineStr">
        <is>
          <t>6013821400</t>
        </is>
      </c>
      <c r="I332" s="17" t="inlineStr">
        <is>
          <t>LUNES A VIERNES</t>
        </is>
      </c>
      <c r="J332" s="17" t="inlineStr">
        <is>
          <t>GESTIONATECH</t>
        </is>
      </c>
      <c r="K332" s="18" t="n">
        <v>46297</v>
      </c>
      <c r="L332" s="18" t="n">
        <v>46297</v>
      </c>
      <c r="M332" s="17" t="n">
        <v>17</v>
      </c>
    </row>
    <row r="333">
      <c r="A333" s="19" t="inlineStr">
        <is>
          <t>3109</t>
        </is>
      </c>
      <c r="B333" s="20" t="inlineStr">
        <is>
          <t>APULO</t>
        </is>
      </c>
      <c r="C333" s="20" t="inlineStr">
        <is>
          <t>Apulo</t>
        </is>
      </c>
      <c r="D333" s="20" t="inlineStr">
        <is>
          <t>Cundinamarca</t>
        </is>
      </c>
      <c r="E333" s="20" t="inlineStr">
        <is>
          <t>BOGOTA</t>
        </is>
      </c>
      <c r="F333" s="20" t="inlineStr">
        <is>
          <t>7.00 A.M. A 2:00 PM</t>
        </is>
      </c>
      <c r="G333" s="20" t="inlineStr">
        <is>
          <t>Carrera 4 No. 11-65 Avenida Colombia Barrio Centro</t>
        </is>
      </c>
      <c r="H333" s="20" t="inlineStr">
        <is>
          <t>6013821400</t>
        </is>
      </c>
      <c r="I333" s="20" t="inlineStr">
        <is>
          <t>LUNES A VIERNES</t>
        </is>
      </c>
      <c r="J333" s="20" t="inlineStr">
        <is>
          <t>GESTIONATECH</t>
        </is>
      </c>
      <c r="K333" s="21" t="n">
        <v>46289</v>
      </c>
      <c r="L333" s="21" t="n">
        <v>46289</v>
      </c>
      <c r="M333" s="20" t="n">
        <v>14</v>
      </c>
    </row>
    <row r="334">
      <c r="A334" s="16" t="inlineStr">
        <is>
          <t>3110</t>
        </is>
      </c>
      <c r="B334" s="17" t="inlineStr">
        <is>
          <t>AGUA DE DIOS</t>
        </is>
      </c>
      <c r="C334" s="17" t="inlineStr">
        <is>
          <t>Agua De Dios</t>
        </is>
      </c>
      <c r="D334" s="17" t="inlineStr">
        <is>
          <t>Cundinamarca</t>
        </is>
      </c>
      <c r="E334" s="17" t="inlineStr">
        <is>
          <t>BOGOTA</t>
        </is>
      </c>
      <c r="F334" s="17" t="inlineStr">
        <is>
          <t>8:00 AM - 11:30 AM Y DE 02:00 PM - 04:30 PM</t>
        </is>
      </c>
      <c r="G334" s="17" t="inlineStr">
        <is>
          <t>Carrera 9 No.14-02/08</t>
        </is>
      </c>
      <c r="H334" s="17" t="inlineStr">
        <is>
          <t>6013821400</t>
        </is>
      </c>
      <c r="I334" s="17" t="inlineStr">
        <is>
          <t>LUNES A VIERNES</t>
        </is>
      </c>
      <c r="J334" s="17" t="inlineStr">
        <is>
          <t>GESTIONATECH</t>
        </is>
      </c>
      <c r="K334" s="18" t="n">
        <v>46287</v>
      </c>
      <c r="L334" s="18" t="n">
        <v>46287</v>
      </c>
      <c r="M334" s="17" t="n">
        <v>16</v>
      </c>
    </row>
    <row r="335">
      <c r="A335" s="19" t="inlineStr">
        <is>
          <t>3111</t>
        </is>
      </c>
      <c r="B335" s="20" t="inlineStr">
        <is>
          <t>CABRERA</t>
        </is>
      </c>
      <c r="C335" s="20" t="inlineStr">
        <is>
          <t>Cabrera</t>
        </is>
      </c>
      <c r="D335" s="20" t="inlineStr">
        <is>
          <t>Cundinamarca</t>
        </is>
      </c>
      <c r="E335" s="20" t="inlineStr">
        <is>
          <t>BOGOTA</t>
        </is>
      </c>
      <c r="F335" s="20" t="inlineStr">
        <is>
          <t>8:00 A.M.  A 3:00 P.M.</t>
        </is>
      </c>
      <c r="G335" s="20" t="inlineStr">
        <is>
          <t>Carrera. 2 No.5-34</t>
        </is>
      </c>
      <c r="H335" s="20" t="inlineStr">
        <is>
          <t>6013821400</t>
        </is>
      </c>
      <c r="I335" s="20" t="inlineStr">
        <is>
          <t>LUNES A VIERNES</t>
        </is>
      </c>
      <c r="J335" s="20" t="inlineStr">
        <is>
          <t>GESTIONATECH</t>
        </is>
      </c>
      <c r="K335" s="21" t="n">
        <v>46286</v>
      </c>
      <c r="L335" s="21" t="n">
        <v>46286</v>
      </c>
      <c r="M335" s="20" t="n">
        <v>14</v>
      </c>
    </row>
    <row r="336">
      <c r="A336" s="16" t="inlineStr">
        <is>
          <t>3113</t>
        </is>
      </c>
      <c r="B336" s="17" t="inlineStr">
        <is>
          <t>ARBELAEZ</t>
        </is>
      </c>
      <c r="C336" s="17" t="inlineStr">
        <is>
          <t>Arbeláez</t>
        </is>
      </c>
      <c r="D336" s="17" t="inlineStr">
        <is>
          <t>Cundinamarca</t>
        </is>
      </c>
      <c r="E336" s="17" t="inlineStr">
        <is>
          <t>BOGOTA</t>
        </is>
      </c>
      <c r="F336" s="17" t="inlineStr">
        <is>
          <t>8:00 A.M.  A 3:00 P.M.</t>
        </is>
      </c>
      <c r="G336" s="17" t="inlineStr">
        <is>
          <t>Calle 8 No.7-08/10</t>
        </is>
      </c>
      <c r="H336" s="17" t="inlineStr">
        <is>
          <t>6013821400</t>
        </is>
      </c>
      <c r="I336" s="17" t="inlineStr">
        <is>
          <t>LUNES A VIERNES</t>
        </is>
      </c>
      <c r="J336" s="17" t="inlineStr">
        <is>
          <t>GESTIONATECH</t>
        </is>
      </c>
      <c r="K336" s="18" t="n">
        <v>46293</v>
      </c>
      <c r="L336" s="18" t="n">
        <v>46293</v>
      </c>
      <c r="M336" s="17" t="n">
        <v>17</v>
      </c>
    </row>
    <row r="337">
      <c r="A337" s="19" t="inlineStr">
        <is>
          <t>3114</t>
        </is>
      </c>
      <c r="B337" s="20" t="inlineStr">
        <is>
          <t>CAQUEZA</t>
        </is>
      </c>
      <c r="C337" s="20" t="inlineStr">
        <is>
          <t>Caqueza</t>
        </is>
      </c>
      <c r="D337" s="20" t="inlineStr">
        <is>
          <t>Cundinamarca</t>
        </is>
      </c>
      <c r="E337" s="20" t="inlineStr">
        <is>
          <t>BOGOTA</t>
        </is>
      </c>
      <c r="F337" s="20" t="inlineStr">
        <is>
          <t>8:00 A.M.  A 3:00 P.M.</t>
        </is>
      </c>
      <c r="G337" s="20" t="inlineStr">
        <is>
          <t>Carrera 5 No. 2-18</t>
        </is>
      </c>
      <c r="H337" s="20" t="inlineStr">
        <is>
          <t>6013821400</t>
        </is>
      </c>
      <c r="I337" s="20" t="inlineStr">
        <is>
          <t>LUNES A VIERNES</t>
        </is>
      </c>
      <c r="J337" s="20" t="inlineStr">
        <is>
          <t>GESTIONATECH</t>
        </is>
      </c>
      <c r="K337" s="21" t="n">
        <v>46283</v>
      </c>
      <c r="L337" s="21" t="n">
        <v>46283</v>
      </c>
      <c r="M337" s="20" t="n">
        <v>20</v>
      </c>
    </row>
    <row r="338">
      <c r="A338" s="16" t="inlineStr">
        <is>
          <t>3115</t>
        </is>
      </c>
      <c r="B338" s="17" t="inlineStr">
        <is>
          <t>CACHIPAY</t>
        </is>
      </c>
      <c r="C338" s="17" t="inlineStr">
        <is>
          <t>Cachipay</t>
        </is>
      </c>
      <c r="D338" s="17" t="inlineStr">
        <is>
          <t>Cundinamarca</t>
        </is>
      </c>
      <c r="E338" s="17" t="inlineStr">
        <is>
          <t>BOGOTA</t>
        </is>
      </c>
      <c r="F338" s="17" t="inlineStr">
        <is>
          <t>8:00 AM - 11:30 AM Y DE 02:00 PM - 04:30 PM</t>
        </is>
      </c>
      <c r="G338" s="17" t="inlineStr">
        <is>
          <t>Calle 4 No. 5-34/40</t>
        </is>
      </c>
      <c r="H338" s="17" t="inlineStr">
        <is>
          <t>6013821400</t>
        </is>
      </c>
      <c r="I338" s="17" t="inlineStr">
        <is>
          <t>LUNES A VIERNES</t>
        </is>
      </c>
      <c r="J338" s="17" t="inlineStr">
        <is>
          <t>GESTIONATECH</t>
        </is>
      </c>
      <c r="K338" s="18" t="n">
        <v>46296</v>
      </c>
      <c r="L338" s="18" t="n">
        <v>46296</v>
      </c>
      <c r="M338" s="17" t="n">
        <v>14</v>
      </c>
    </row>
    <row r="339">
      <c r="A339" s="19" t="inlineStr">
        <is>
          <t>3116</t>
        </is>
      </c>
      <c r="B339" s="20" t="inlineStr">
        <is>
          <t>CHOACHI</t>
        </is>
      </c>
      <c r="C339" s="20" t="inlineStr">
        <is>
          <t>Choachí</t>
        </is>
      </c>
      <c r="D339" s="20" t="inlineStr">
        <is>
          <t>Cundinamarca</t>
        </is>
      </c>
      <c r="E339" s="20" t="inlineStr">
        <is>
          <t>BOGOTA</t>
        </is>
      </c>
      <c r="F339" s="20" t="inlineStr">
        <is>
          <t>8:00 A.M.  A 3:00 P.M.</t>
        </is>
      </c>
      <c r="G339" s="20" t="inlineStr">
        <is>
          <t>Carrera 3 NO 4-08</t>
        </is>
      </c>
      <c r="H339" s="20" t="inlineStr">
        <is>
          <t>6013821400</t>
        </is>
      </c>
      <c r="I339" s="20" t="inlineStr">
        <is>
          <t>LUNES A VIERNES</t>
        </is>
      </c>
      <c r="J339" s="20" t="inlineStr">
        <is>
          <t>GESTIONATECH</t>
        </is>
      </c>
      <c r="K339" s="21" t="n">
        <v>46276</v>
      </c>
      <c r="L339" s="21" t="n">
        <v>46276</v>
      </c>
      <c r="M339" s="20" t="n">
        <v>20</v>
      </c>
    </row>
    <row r="340">
      <c r="A340" s="16" t="inlineStr">
        <is>
          <t>3117</t>
        </is>
      </c>
      <c r="B340" s="17" t="inlineStr">
        <is>
          <t>CAPARRAPI</t>
        </is>
      </c>
      <c r="C340" s="17" t="inlineStr">
        <is>
          <t>Caparrapí</t>
        </is>
      </c>
      <c r="D340" s="17" t="inlineStr">
        <is>
          <t>Cundinamarca</t>
        </is>
      </c>
      <c r="E340" s="17" t="inlineStr">
        <is>
          <t>BOGOTA</t>
        </is>
      </c>
      <c r="F340" s="17" t="inlineStr">
        <is>
          <t>8:00 AM A 2:00 P.M.</t>
        </is>
      </c>
      <c r="G340" s="17" t="inlineStr">
        <is>
          <t>Carrera. 4 No. 7-25</t>
        </is>
      </c>
      <c r="H340" s="17" t="inlineStr">
        <is>
          <t>6013821400</t>
        </is>
      </c>
      <c r="I340" s="17" t="inlineStr">
        <is>
          <t>MARTES A SABADO</t>
        </is>
      </c>
      <c r="J340" s="17" t="inlineStr">
        <is>
          <t>GESTIONATECH</t>
        </is>
      </c>
      <c r="K340" s="18" t="n">
        <v>46287</v>
      </c>
      <c r="L340" s="18" t="n">
        <v>46287</v>
      </c>
      <c r="M340" s="17" t="n">
        <v>19</v>
      </c>
    </row>
    <row r="341">
      <c r="A341" s="19" t="inlineStr">
        <is>
          <t>3118</t>
        </is>
      </c>
      <c r="B341" s="20" t="inlineStr">
        <is>
          <t>CHOCONTA</t>
        </is>
      </c>
      <c r="C341" s="20" t="inlineStr">
        <is>
          <t>Chocontá</t>
        </is>
      </c>
      <c r="D341" s="20" t="inlineStr">
        <is>
          <t>Cundinamarca</t>
        </is>
      </c>
      <c r="E341" s="20" t="inlineStr">
        <is>
          <t>BOGOTA</t>
        </is>
      </c>
      <c r="F341" s="20" t="inlineStr">
        <is>
          <t>8:00 A.M.  A 3:00 P.M.</t>
        </is>
      </c>
      <c r="G341" s="20" t="inlineStr">
        <is>
          <t>Carrera 5 No. 4 - 43</t>
        </is>
      </c>
      <c r="H341" s="20" t="inlineStr">
        <is>
          <t>6013821400</t>
        </is>
      </c>
      <c r="I341" s="20" t="inlineStr">
        <is>
          <t>LUNES A VIERNES</t>
        </is>
      </c>
      <c r="J341" s="20" t="inlineStr">
        <is>
          <t>GESTIONATECH</t>
        </is>
      </c>
      <c r="K341" s="21" t="n">
        <v>46274</v>
      </c>
      <c r="L341" s="21" t="n">
        <v>46275</v>
      </c>
      <c r="M341" s="20" t="n">
        <v>30</v>
      </c>
    </row>
    <row r="342">
      <c r="A342" s="16" t="inlineStr">
        <is>
          <t>3120</t>
        </is>
      </c>
      <c r="B342" s="17" t="inlineStr">
        <is>
          <t>CHAGUANI</t>
        </is>
      </c>
      <c r="C342" s="17" t="inlineStr">
        <is>
          <t>Chaguaní</t>
        </is>
      </c>
      <c r="D342" s="17" t="inlineStr">
        <is>
          <t>Cundinamarca</t>
        </is>
      </c>
      <c r="E342" s="17" t="inlineStr">
        <is>
          <t>BOGOTA</t>
        </is>
      </c>
      <c r="F342" s="17" t="inlineStr">
        <is>
          <t>7.00 A.M. A 2:00 PM</t>
        </is>
      </c>
      <c r="G342" s="17" t="inlineStr">
        <is>
          <t>Carrera 4 No. 3-01  Esquina</t>
        </is>
      </c>
      <c r="H342" s="17" t="inlineStr">
        <is>
          <t>6013821400</t>
        </is>
      </c>
      <c r="I342" s="17" t="inlineStr">
        <is>
          <t>LUNES A VIERNES</t>
        </is>
      </c>
      <c r="J342" s="17" t="inlineStr">
        <is>
          <t>GESTIONATECH</t>
        </is>
      </c>
      <c r="K342" s="18" t="n">
        <v>46293</v>
      </c>
      <c r="L342" s="18" t="n">
        <v>46293</v>
      </c>
      <c r="M342" s="17" t="n">
        <v>12</v>
      </c>
    </row>
    <row r="343">
      <c r="A343" s="19" t="inlineStr">
        <is>
          <t>3121</t>
        </is>
      </c>
      <c r="B343" s="20" t="inlineStr">
        <is>
          <t>VILLETA</t>
        </is>
      </c>
      <c r="C343" s="20" t="inlineStr">
        <is>
          <t>Villeta</t>
        </is>
      </c>
      <c r="D343" s="20" t="inlineStr">
        <is>
          <t>Cundinamarca</t>
        </is>
      </c>
      <c r="E343" s="20" t="inlineStr">
        <is>
          <t>BOGOTA</t>
        </is>
      </c>
      <c r="F343" s="20" t="inlineStr">
        <is>
          <t>8:00 AM - 11:30 AM Y DE 02:00 PM - 04:30 PM</t>
        </is>
      </c>
      <c r="G343" s="20" t="inlineStr">
        <is>
          <t>Carrera 8 No. 4 - 33</t>
        </is>
      </c>
      <c r="H343" s="20" t="inlineStr">
        <is>
          <t>6013821400</t>
        </is>
      </c>
      <c r="I343" s="20" t="inlineStr">
        <is>
          <t>LUNES A VIERNES</t>
        </is>
      </c>
      <c r="J343" s="20" t="inlineStr">
        <is>
          <t>GESTIONATECH</t>
        </is>
      </c>
      <c r="K343" s="21" t="n">
        <v>46293</v>
      </c>
      <c r="L343" s="21" t="n">
        <v>46293</v>
      </c>
      <c r="M343" s="20" t="n">
        <v>19</v>
      </c>
    </row>
    <row r="344">
      <c r="A344" s="16" t="inlineStr">
        <is>
          <t>3122</t>
        </is>
      </c>
      <c r="B344" s="17" t="inlineStr">
        <is>
          <t>GIRARDOT</t>
        </is>
      </c>
      <c r="C344" s="17" t="inlineStr">
        <is>
          <t>Girardot</t>
        </is>
      </c>
      <c r="D344" s="17" t="inlineStr">
        <is>
          <t>Cundinamarca</t>
        </is>
      </c>
      <c r="E344" s="17" t="inlineStr">
        <is>
          <t>BOGOTA</t>
        </is>
      </c>
      <c r="F344" s="17" t="inlineStr">
        <is>
          <t>8:00 AM - 11:30 AM Y DE 02:00 PM - 04:30 PM</t>
        </is>
      </c>
      <c r="G344" s="17" t="inlineStr">
        <is>
          <t>Carrera 14 N° 18-02 / Calle 18  N° 12 – 70</t>
        </is>
      </c>
      <c r="H344" s="17" t="inlineStr">
        <is>
          <t>6013821400</t>
        </is>
      </c>
      <c r="I344" s="17" t="inlineStr">
        <is>
          <t>LUNES A VIERNES</t>
        </is>
      </c>
      <c r="J344" s="17" t="inlineStr">
        <is>
          <t>GESTIONATECH</t>
        </is>
      </c>
      <c r="K344" s="18" t="n">
        <v>46286</v>
      </c>
      <c r="L344" s="18" t="n">
        <v>46286</v>
      </c>
      <c r="M344" s="17" t="n">
        <v>26</v>
      </c>
    </row>
    <row r="345">
      <c r="A345" s="19" t="inlineStr">
        <is>
          <t>3123</t>
        </is>
      </c>
      <c r="B345" s="20" t="inlineStr">
        <is>
          <t>GUAYABETAL</t>
        </is>
      </c>
      <c r="C345" s="20" t="inlineStr">
        <is>
          <t>Guayabetal</t>
        </is>
      </c>
      <c r="D345" s="20" t="inlineStr">
        <is>
          <t>Cundinamarca</t>
        </is>
      </c>
      <c r="E345" s="20" t="inlineStr">
        <is>
          <t>BOGOTA</t>
        </is>
      </c>
      <c r="F345" s="20" t="inlineStr">
        <is>
          <t>8:00 A.M.  A 3:00 P.M.</t>
        </is>
      </c>
      <c r="G345" s="20" t="inlineStr">
        <is>
          <t>Calle 2 No.1-71</t>
        </is>
      </c>
      <c r="H345" s="20" t="inlineStr">
        <is>
          <t>6013821400</t>
        </is>
      </c>
      <c r="I345" s="20" t="inlineStr">
        <is>
          <t>LUNES A VIERNES</t>
        </is>
      </c>
      <c r="J345" s="20" t="inlineStr">
        <is>
          <t>GESTIONATECH</t>
        </is>
      </c>
      <c r="K345" s="21" t="n">
        <v>46281</v>
      </c>
      <c r="L345" s="21" t="n">
        <v>46281</v>
      </c>
      <c r="M345" s="20" t="n">
        <v>12</v>
      </c>
    </row>
    <row r="346">
      <c r="A346" s="16" t="inlineStr">
        <is>
          <t>3124</t>
        </is>
      </c>
      <c r="B346" s="17" t="inlineStr">
        <is>
          <t>EL COLEGIO</t>
        </is>
      </c>
      <c r="C346" s="17" t="inlineStr">
        <is>
          <t>El Colegio</t>
        </is>
      </c>
      <c r="D346" s="17" t="inlineStr">
        <is>
          <t>Cundinamarca</t>
        </is>
      </c>
      <c r="E346" s="17" t="inlineStr">
        <is>
          <t>BOGOTA</t>
        </is>
      </c>
      <c r="F346" s="17" t="inlineStr">
        <is>
          <t>8:00 AM - 11:30 AM Y DE 02:00 PM - 04:30 PM</t>
        </is>
      </c>
      <c r="G346" s="17" t="inlineStr">
        <is>
          <t>Carrera 6 No. 9 – 50 / 58</t>
        </is>
      </c>
      <c r="H346" s="17" t="inlineStr">
        <is>
          <t>6013821400</t>
        </is>
      </c>
      <c r="I346" s="17" t="inlineStr">
        <is>
          <t>LUNES A VIERNES</t>
        </is>
      </c>
      <c r="J346" s="17" t="inlineStr">
        <is>
          <t>GESTIONATECH</t>
        </is>
      </c>
      <c r="K346" s="18" t="n">
        <v>46293</v>
      </c>
      <c r="L346" s="18" t="n">
        <v>46293</v>
      </c>
      <c r="M346" s="17" t="n">
        <v>20</v>
      </c>
    </row>
    <row r="347">
      <c r="A347" s="19" t="inlineStr">
        <is>
          <t>3126</t>
        </is>
      </c>
      <c r="B347" s="20" t="inlineStr">
        <is>
          <t>FOSCA</t>
        </is>
      </c>
      <c r="C347" s="20" t="inlineStr">
        <is>
          <t>Fosca</t>
        </is>
      </c>
      <c r="D347" s="20" t="inlineStr">
        <is>
          <t>Cundinamarca</t>
        </is>
      </c>
      <c r="E347" s="20" t="inlineStr">
        <is>
          <t>BOGOTA</t>
        </is>
      </c>
      <c r="F347" s="20" t="inlineStr">
        <is>
          <t>8:00 A.M.  A 3:00 P.M.</t>
        </is>
      </c>
      <c r="G347" s="20" t="inlineStr">
        <is>
          <t>Calle  2 NO 1-51</t>
        </is>
      </c>
      <c r="H347" s="20" t="inlineStr">
        <is>
          <t>6013821400</t>
        </is>
      </c>
      <c r="I347" s="20" t="inlineStr">
        <is>
          <t>LUNES A VIERNES</t>
        </is>
      </c>
      <c r="J347" s="20" t="inlineStr">
        <is>
          <t>GESTIONATECH</t>
        </is>
      </c>
      <c r="K347" s="21" t="n">
        <v>46273</v>
      </c>
      <c r="L347" s="21" t="n">
        <v>46273</v>
      </c>
      <c r="M347" s="20" t="n">
        <v>14</v>
      </c>
    </row>
    <row r="348">
      <c r="A348" s="16" t="inlineStr">
        <is>
          <t>3127</t>
        </is>
      </c>
      <c r="B348" s="17" t="inlineStr">
        <is>
          <t>CARMEN DE CARUPA</t>
        </is>
      </c>
      <c r="C348" s="17" t="inlineStr">
        <is>
          <t>Carmen De Carupa</t>
        </is>
      </c>
      <c r="D348" s="17" t="inlineStr">
        <is>
          <t>Cundinamarca</t>
        </is>
      </c>
      <c r="E348" s="17" t="inlineStr">
        <is>
          <t>BOGOTA</t>
        </is>
      </c>
      <c r="F348" s="17" t="inlineStr">
        <is>
          <t>8:00 A.M.  A 3:00 P.M.</t>
        </is>
      </c>
      <c r="G348" s="17" t="inlineStr">
        <is>
          <t>Calle 2  N° 1 – 03</t>
        </is>
      </c>
      <c r="H348" s="17" t="inlineStr">
        <is>
          <t>6013821400</t>
        </is>
      </c>
      <c r="I348" s="17" t="inlineStr">
        <is>
          <t>LUNES A VIERNES</t>
        </is>
      </c>
      <c r="J348" s="17" t="inlineStr">
        <is>
          <t>GESTIONATECH</t>
        </is>
      </c>
      <c r="K348" s="18" t="n">
        <v>46274</v>
      </c>
      <c r="L348" s="18" t="n">
        <v>46274</v>
      </c>
      <c r="M348" s="17" t="n">
        <v>16</v>
      </c>
    </row>
    <row r="349">
      <c r="A349" s="19" t="inlineStr">
        <is>
          <t>3130</t>
        </is>
      </c>
      <c r="B349" s="20" t="inlineStr">
        <is>
          <t>FOMEQUE</t>
        </is>
      </c>
      <c r="C349" s="20" t="inlineStr">
        <is>
          <t>Fomeque</t>
        </is>
      </c>
      <c r="D349" s="20" t="inlineStr">
        <is>
          <t>Cundinamarca</t>
        </is>
      </c>
      <c r="E349" s="20" t="inlineStr">
        <is>
          <t>BOGOTA</t>
        </is>
      </c>
      <c r="F349" s="20" t="inlineStr">
        <is>
          <t>8:00 AM A 2:00 P.M.</t>
        </is>
      </c>
      <c r="G349" s="20" t="inlineStr">
        <is>
          <t>Carrera 4 NO 4-55</t>
        </is>
      </c>
      <c r="H349" s="20" t="inlineStr">
        <is>
          <t>6013821400</t>
        </is>
      </c>
      <c r="I349" s="20" t="inlineStr">
        <is>
          <t>MARTES A SABADO</t>
        </is>
      </c>
      <c r="J349" s="20" t="inlineStr">
        <is>
          <t>GESTIONATECH</t>
        </is>
      </c>
      <c r="K349" s="21" t="n">
        <v>46275</v>
      </c>
      <c r="L349" s="21" t="n">
        <v>46275</v>
      </c>
      <c r="M349" s="20" t="n">
        <v>20</v>
      </c>
    </row>
    <row r="350">
      <c r="A350" s="16" t="inlineStr">
        <is>
          <t>3133</t>
        </is>
      </c>
      <c r="B350" s="17" t="inlineStr">
        <is>
          <t>GUADUAS</t>
        </is>
      </c>
      <c r="C350" s="17" t="inlineStr">
        <is>
          <t>Guaduas</t>
        </is>
      </c>
      <c r="D350" s="17" t="inlineStr">
        <is>
          <t>Cundinamarca</t>
        </is>
      </c>
      <c r="E350" s="17" t="inlineStr">
        <is>
          <t>BOGOTA</t>
        </is>
      </c>
      <c r="F350" s="17" t="inlineStr">
        <is>
          <t>8:00 AM - 11:30 AM Y DE 02:00 PM - 04:30 PM</t>
        </is>
      </c>
      <c r="G350" s="17" t="inlineStr">
        <is>
          <t>Calle 4 No. 4 A - 16</t>
        </is>
      </c>
      <c r="H350" s="17" t="inlineStr">
        <is>
          <t>6013821400</t>
        </is>
      </c>
      <c r="I350" s="17" t="inlineStr">
        <is>
          <t>LUNES A VIERNES</t>
        </is>
      </c>
      <c r="J350" s="17" t="inlineStr">
        <is>
          <t>GESTIONATECH</t>
        </is>
      </c>
      <c r="K350" s="18" t="n">
        <v>46288</v>
      </c>
      <c r="L350" s="18" t="n">
        <v>46288</v>
      </c>
      <c r="M350" s="17" t="n">
        <v>19</v>
      </c>
    </row>
    <row r="351">
      <c r="A351" s="19" t="inlineStr">
        <is>
          <t>3134</t>
        </is>
      </c>
      <c r="B351" s="20" t="inlineStr">
        <is>
          <t>GACHALA</t>
        </is>
      </c>
      <c r="C351" s="20" t="inlineStr">
        <is>
          <t>Gachala</t>
        </is>
      </c>
      <c r="D351" s="20" t="inlineStr">
        <is>
          <t>Cundinamarca</t>
        </is>
      </c>
      <c r="E351" s="20" t="inlineStr">
        <is>
          <t>BOGOTA</t>
        </is>
      </c>
      <c r="F351" s="20" t="inlineStr">
        <is>
          <t>8:00 A.M.  A 3:00 P.M.</t>
        </is>
      </c>
      <c r="G351" s="20" t="inlineStr">
        <is>
          <t>Carrera 4 No. 6-32/36</t>
        </is>
      </c>
      <c r="H351" s="20" t="inlineStr">
        <is>
          <t>6013821400</t>
        </is>
      </c>
      <c r="I351" s="20" t="inlineStr">
        <is>
          <t>LUNES A VIERNES</t>
        </is>
      </c>
      <c r="J351" s="20" t="inlineStr">
        <is>
          <t>GESTIONATECH</t>
        </is>
      </c>
      <c r="K351" s="21" t="n">
        <v>46279</v>
      </c>
      <c r="L351" s="21" t="n">
        <v>46279</v>
      </c>
      <c r="M351" s="20" t="n">
        <v>12</v>
      </c>
    </row>
    <row r="352">
      <c r="A352" s="16" t="inlineStr">
        <is>
          <t>3135</t>
        </is>
      </c>
      <c r="B352" s="17" t="inlineStr">
        <is>
          <t>GACHETA</t>
        </is>
      </c>
      <c r="C352" s="17" t="inlineStr">
        <is>
          <t>Gachetá</t>
        </is>
      </c>
      <c r="D352" s="17" t="inlineStr">
        <is>
          <t>Cundinamarca</t>
        </is>
      </c>
      <c r="E352" s="17" t="inlineStr">
        <is>
          <t>BOGOTA</t>
        </is>
      </c>
      <c r="F352" s="17" t="inlineStr">
        <is>
          <t>8:00 A.M.  A 3:00 P.M.</t>
        </is>
      </c>
      <c r="G352" s="17" t="inlineStr">
        <is>
          <t>Carrera 4 No. 4-27</t>
        </is>
      </c>
      <c r="H352" s="17" t="inlineStr">
        <is>
          <t>6013821400</t>
        </is>
      </c>
      <c r="I352" s="17" t="inlineStr">
        <is>
          <t>LUNES A VIERNES</t>
        </is>
      </c>
      <c r="J352" s="17" t="inlineStr">
        <is>
          <t>GESTIONATECH</t>
        </is>
      </c>
      <c r="K352" s="18" t="n">
        <v>46281</v>
      </c>
      <c r="L352" s="18" t="n">
        <v>46281</v>
      </c>
      <c r="M352" s="17" t="n">
        <v>20</v>
      </c>
    </row>
    <row r="353">
      <c r="A353" s="19" t="inlineStr">
        <is>
          <t>3136</t>
        </is>
      </c>
      <c r="B353" s="20" t="inlineStr">
        <is>
          <t>GUASCA</t>
        </is>
      </c>
      <c r="C353" s="20" t="inlineStr">
        <is>
          <t>Guasca</t>
        </is>
      </c>
      <c r="D353" s="20" t="inlineStr">
        <is>
          <t>Cundinamarca</t>
        </is>
      </c>
      <c r="E353" s="20" t="inlineStr">
        <is>
          <t>BOGOTA</t>
        </is>
      </c>
      <c r="F353" s="20" t="inlineStr">
        <is>
          <t>8:00 A.M.  A 3:00 P.M.</t>
        </is>
      </c>
      <c r="G353" s="20" t="inlineStr">
        <is>
          <t>Carrera 4 No.3-35/45</t>
        </is>
      </c>
      <c r="H353" s="20" t="inlineStr">
        <is>
          <t>6013821400</t>
        </is>
      </c>
      <c r="I353" s="20" t="inlineStr">
        <is>
          <t>LUNES A VIERNES</t>
        </is>
      </c>
      <c r="J353" s="20" t="inlineStr">
        <is>
          <t>GESTIONATECH</t>
        </is>
      </c>
      <c r="K353" s="21" t="n">
        <v>46283</v>
      </c>
      <c r="L353" s="21" t="n">
        <v>46283</v>
      </c>
      <c r="M353" s="20" t="n">
        <v>16</v>
      </c>
    </row>
    <row r="354">
      <c r="A354" s="16" t="inlineStr">
        <is>
          <t>3137</t>
        </is>
      </c>
      <c r="B354" s="17" t="inlineStr">
        <is>
          <t>GUATAVITA</t>
        </is>
      </c>
      <c r="C354" s="17" t="inlineStr">
        <is>
          <t>Guatavita</t>
        </is>
      </c>
      <c r="D354" s="17" t="inlineStr">
        <is>
          <t>Cundinamarca</t>
        </is>
      </c>
      <c r="E354" s="17" t="inlineStr">
        <is>
          <t>BOGOTA</t>
        </is>
      </c>
      <c r="F354" s="17" t="inlineStr">
        <is>
          <t>8:00 A.M.  A 3:00 P.M.</t>
        </is>
      </c>
      <c r="G354" s="17" t="inlineStr">
        <is>
          <t>Plaza Civica -  Guatavita</t>
        </is>
      </c>
      <c r="H354" s="17" t="inlineStr">
        <is>
          <t>6013821400</t>
        </is>
      </c>
      <c r="I354" s="17" t="inlineStr">
        <is>
          <t>LUNES A VIERNES</t>
        </is>
      </c>
      <c r="J354" s="17" t="inlineStr">
        <is>
          <t>GESTIONATECH</t>
        </is>
      </c>
      <c r="K354" s="18" t="n">
        <v>46282</v>
      </c>
      <c r="L354" s="18" t="n">
        <v>46282</v>
      </c>
      <c r="M354" s="17" t="n">
        <v>18</v>
      </c>
    </row>
    <row r="355">
      <c r="A355" s="19" t="inlineStr">
        <is>
          <t>3138</t>
        </is>
      </c>
      <c r="B355" s="20" t="inlineStr">
        <is>
          <t>GUAYABAL DE SIQUIMA</t>
        </is>
      </c>
      <c r="C355" s="20" t="inlineStr">
        <is>
          <t>Guayabal De Siquima</t>
        </is>
      </c>
      <c r="D355" s="20" t="inlineStr">
        <is>
          <t>Cundinamarca</t>
        </is>
      </c>
      <c r="E355" s="20" t="inlineStr">
        <is>
          <t>BOGOTA</t>
        </is>
      </c>
      <c r="F355" s="20" t="inlineStr">
        <is>
          <t>8:00 AM - 11:30 AM Y DE 02:00 PM - 04:30 PM</t>
        </is>
      </c>
      <c r="G355" s="20" t="inlineStr">
        <is>
          <t>Calle 3 No. 4 -03 Alcaldía Municipal</t>
        </is>
      </c>
      <c r="H355" s="20" t="inlineStr">
        <is>
          <t>6013821400</t>
        </is>
      </c>
      <c r="I355" s="20" t="inlineStr">
        <is>
          <t>LUNES A VIERNES</t>
        </is>
      </c>
      <c r="J355" s="20" t="inlineStr">
        <is>
          <t>GESTIONATECH</t>
        </is>
      </c>
      <c r="K355" s="21" t="n">
        <v>46295</v>
      </c>
      <c r="L355" s="21" t="n">
        <v>46295</v>
      </c>
      <c r="M355" s="20" t="n">
        <v>12</v>
      </c>
    </row>
    <row r="356">
      <c r="A356" s="16" t="inlineStr">
        <is>
          <t>3139</t>
        </is>
      </c>
      <c r="B356" s="17" t="inlineStr">
        <is>
          <t>GUTIERREZ</t>
        </is>
      </c>
      <c r="C356" s="17" t="inlineStr">
        <is>
          <t>Gutiérrez</t>
        </is>
      </c>
      <c r="D356" s="17" t="inlineStr">
        <is>
          <t>Cundinamarca</t>
        </is>
      </c>
      <c r="E356" s="17" t="inlineStr">
        <is>
          <t>BOGOTA</t>
        </is>
      </c>
      <c r="F356" s="17" t="inlineStr">
        <is>
          <t>8:00 A.M.  A 3:00 P.M.</t>
        </is>
      </c>
      <c r="G356" s="17" t="inlineStr">
        <is>
          <t>Calle 5 NO 4-20</t>
        </is>
      </c>
      <c r="H356" s="17" t="inlineStr">
        <is>
          <t>6013821400</t>
        </is>
      </c>
      <c r="I356" s="17" t="inlineStr">
        <is>
          <t>LUNES A VIERNES</t>
        </is>
      </c>
      <c r="J356" s="17" t="inlineStr">
        <is>
          <t>GESTIONATECH</t>
        </is>
      </c>
      <c r="K356" s="18" t="n">
        <v>46272</v>
      </c>
      <c r="L356" s="18" t="n">
        <v>46272</v>
      </c>
      <c r="M356" s="17" t="n">
        <v>14</v>
      </c>
    </row>
    <row r="357">
      <c r="A357" s="19" t="inlineStr">
        <is>
          <t>3140</t>
        </is>
      </c>
      <c r="B357" s="20" t="inlineStr">
        <is>
          <t>JUNIN</t>
        </is>
      </c>
      <c r="C357" s="20" t="inlineStr">
        <is>
          <t>Junín</t>
        </is>
      </c>
      <c r="D357" s="20" t="inlineStr">
        <is>
          <t>Cundinamarca</t>
        </is>
      </c>
      <c r="E357" s="20" t="inlineStr">
        <is>
          <t>BOGOTA</t>
        </is>
      </c>
      <c r="F357" s="20" t="inlineStr">
        <is>
          <t>8:00 A.M.  A 3:00 P.M.</t>
        </is>
      </c>
      <c r="G357" s="20" t="inlineStr">
        <is>
          <t>Carrera 4 No 2-13</t>
        </is>
      </c>
      <c r="H357" s="20" t="inlineStr">
        <is>
          <t>6013821400</t>
        </is>
      </c>
      <c r="I357" s="20" t="inlineStr">
        <is>
          <t>LUNES A VIERNES</t>
        </is>
      </c>
      <c r="J357" s="20" t="inlineStr">
        <is>
          <t>GESTIONATECH</t>
        </is>
      </c>
      <c r="K357" s="21" t="n">
        <v>46282</v>
      </c>
      <c r="L357" s="21" t="n">
        <v>46282</v>
      </c>
      <c r="M357" s="20" t="n">
        <v>12</v>
      </c>
    </row>
    <row r="358">
      <c r="A358" s="16" t="inlineStr">
        <is>
          <t>3141</t>
        </is>
      </c>
      <c r="B358" s="17" t="inlineStr">
        <is>
          <t>LENGUAZAQUE</t>
        </is>
      </c>
      <c r="C358" s="17" t="inlineStr">
        <is>
          <t>Lenguazaque</t>
        </is>
      </c>
      <c r="D358" s="17" t="inlineStr">
        <is>
          <t>Cundinamarca</t>
        </is>
      </c>
      <c r="E358" s="17" t="inlineStr">
        <is>
          <t>BOGOTA</t>
        </is>
      </c>
      <c r="F358" s="17" t="inlineStr">
        <is>
          <t>8:00 A.M.  A 3:00 P.M.</t>
        </is>
      </c>
      <c r="G358" s="17" t="inlineStr">
        <is>
          <t>Carrera 4 No. 2 -70</t>
        </is>
      </c>
      <c r="H358" s="17" t="inlineStr">
        <is>
          <t>6013821400</t>
        </is>
      </c>
      <c r="I358" s="17" t="inlineStr">
        <is>
          <t>LUNES A VIERNES</t>
        </is>
      </c>
      <c r="J358" s="17" t="inlineStr">
        <is>
          <t>GESTIONATECH</t>
        </is>
      </c>
      <c r="K358" s="18" t="n">
        <v>46272</v>
      </c>
      <c r="L358" s="18" t="n">
        <v>46272</v>
      </c>
      <c r="M358" s="17" t="n">
        <v>15</v>
      </c>
    </row>
    <row r="359">
      <c r="A359" s="19" t="inlineStr">
        <is>
          <t>3142</t>
        </is>
      </c>
      <c r="B359" s="20" t="inlineStr">
        <is>
          <t>LA MESA</t>
        </is>
      </c>
      <c r="C359" s="20" t="inlineStr">
        <is>
          <t>La Mesa</t>
        </is>
      </c>
      <c r="D359" s="20" t="inlineStr">
        <is>
          <t>Cundinamarca</t>
        </is>
      </c>
      <c r="E359" s="20" t="inlineStr">
        <is>
          <t>BOGOTA</t>
        </is>
      </c>
      <c r="F359" s="20" t="inlineStr">
        <is>
          <t>8:00 A.M.  A 3:00 P.M.</t>
        </is>
      </c>
      <c r="G359" s="20" t="inlineStr">
        <is>
          <t>Calle 8 No. 18 - 17</t>
        </is>
      </c>
      <c r="H359" s="20" t="inlineStr">
        <is>
          <t>6013821400</t>
        </is>
      </c>
      <c r="I359" s="20" t="inlineStr">
        <is>
          <t>LUNES A VIERNES</t>
        </is>
      </c>
      <c r="J359" s="20" t="inlineStr">
        <is>
          <t>GESTIONATECH</t>
        </is>
      </c>
      <c r="K359" s="21" t="n">
        <v>46294</v>
      </c>
      <c r="L359" s="21" t="n">
        <v>46294</v>
      </c>
      <c r="M359" s="20" t="n">
        <v>23</v>
      </c>
    </row>
    <row r="360">
      <c r="A360" s="16" t="inlineStr">
        <is>
          <t>3143</t>
        </is>
      </c>
      <c r="B360" s="17" t="inlineStr">
        <is>
          <t>LA PALMA</t>
        </is>
      </c>
      <c r="C360" s="17" t="inlineStr">
        <is>
          <t>La Palma</t>
        </is>
      </c>
      <c r="D360" s="17" t="inlineStr">
        <is>
          <t>Cundinamarca</t>
        </is>
      </c>
      <c r="E360" s="17" t="inlineStr">
        <is>
          <t>BOGOTA</t>
        </is>
      </c>
      <c r="F360" s="17" t="inlineStr">
        <is>
          <t>7.00 A.M. A 2:00 PM</t>
        </is>
      </c>
      <c r="G360" s="17" t="inlineStr">
        <is>
          <t>Calle 4 con Carrera 4 esquina</t>
        </is>
      </c>
      <c r="H360" s="17" t="inlineStr">
        <is>
          <t>6013821400</t>
        </is>
      </c>
      <c r="I360" s="17" t="inlineStr">
        <is>
          <t>LUNES A VIERNES</t>
        </is>
      </c>
      <c r="J360" s="17" t="inlineStr">
        <is>
          <t>GESTIONATECH</t>
        </is>
      </c>
      <c r="K360" s="18" t="n">
        <v>46272</v>
      </c>
      <c r="L360" s="18" t="n">
        <v>46272</v>
      </c>
      <c r="M360" s="17" t="n">
        <v>16</v>
      </c>
    </row>
    <row r="361">
      <c r="A361" s="19" t="inlineStr">
        <is>
          <t>3144</t>
        </is>
      </c>
      <c r="B361" s="20" t="inlineStr">
        <is>
          <t>LA PEÑA</t>
        </is>
      </c>
      <c r="C361" s="20" t="inlineStr">
        <is>
          <t>La Peña</t>
        </is>
      </c>
      <c r="D361" s="20" t="inlineStr">
        <is>
          <t>Cundinamarca</t>
        </is>
      </c>
      <c r="E361" s="20" t="inlineStr">
        <is>
          <t>BOGOTA</t>
        </is>
      </c>
      <c r="F361" s="20" t="inlineStr">
        <is>
          <t>8:00 AM A 2:00 P.M.</t>
        </is>
      </c>
      <c r="G361" s="20" t="inlineStr">
        <is>
          <t>Carrera 2 No. 7 - 53</t>
        </is>
      </c>
      <c r="H361" s="20" t="inlineStr">
        <is>
          <t>6013821400</t>
        </is>
      </c>
      <c r="I361" s="20" t="inlineStr">
        <is>
          <t>MARTES A SABADO</t>
        </is>
      </c>
      <c r="J361" s="20" t="inlineStr">
        <is>
          <t>GESTIONATECH</t>
        </is>
      </c>
      <c r="K361" s="21" t="n">
        <v>46289</v>
      </c>
      <c r="L361" s="21" t="n">
        <v>46289</v>
      </c>
      <c r="M361" s="20" t="n">
        <v>13</v>
      </c>
    </row>
    <row r="362">
      <c r="A362" s="16" t="inlineStr">
        <is>
          <t>3145</t>
        </is>
      </c>
      <c r="B362" s="17" t="inlineStr">
        <is>
          <t>LA VEGA</t>
        </is>
      </c>
      <c r="C362" s="17" t="inlineStr">
        <is>
          <t>La Vega</t>
        </is>
      </c>
      <c r="D362" s="17" t="inlineStr">
        <is>
          <t>Cundinamarca</t>
        </is>
      </c>
      <c r="E362" s="17" t="inlineStr">
        <is>
          <t>BOGOTA</t>
        </is>
      </c>
      <c r="F362" s="17" t="inlineStr">
        <is>
          <t>8:00 AM - 11:30 AM Y DE 02:00 PM - 04:30 PM</t>
        </is>
      </c>
      <c r="G362" s="17" t="inlineStr">
        <is>
          <t>Carrera .2 No.18-148</t>
        </is>
      </c>
      <c r="H362" s="17" t="inlineStr">
        <is>
          <t>6013821400</t>
        </is>
      </c>
      <c r="I362" s="17" t="inlineStr">
        <is>
          <t>LUNES A VIERNES</t>
        </is>
      </c>
      <c r="J362" s="17" t="inlineStr">
        <is>
          <t>GESTIONATECH</t>
        </is>
      </c>
      <c r="K362" s="18" t="n">
        <v>46288</v>
      </c>
      <c r="L362" s="18" t="n">
        <v>46288</v>
      </c>
      <c r="M362" s="17" t="n">
        <v>17</v>
      </c>
    </row>
    <row r="363">
      <c r="A363" s="19" t="inlineStr">
        <is>
          <t>3146</t>
        </is>
      </c>
      <c r="B363" s="20" t="inlineStr">
        <is>
          <t>MACHETA</t>
        </is>
      </c>
      <c r="C363" s="20" t="inlineStr">
        <is>
          <t>Macheta</t>
        </is>
      </c>
      <c r="D363" s="20" t="inlineStr">
        <is>
          <t>Cundinamarca</t>
        </is>
      </c>
      <c r="E363" s="20" t="inlineStr">
        <is>
          <t>BOGOTA</t>
        </is>
      </c>
      <c r="F363" s="20" t="inlineStr">
        <is>
          <t>8:00 A.M.  A 3:00 P.M.</t>
        </is>
      </c>
      <c r="G363" s="20" t="inlineStr">
        <is>
          <t>Carrera  7 No. 7-32</t>
        </is>
      </c>
      <c r="H363" s="20" t="inlineStr">
        <is>
          <t>6013821400</t>
        </is>
      </c>
      <c r="I363" s="20" t="inlineStr">
        <is>
          <t>LUNES A VIERNES</t>
        </is>
      </c>
      <c r="J363" s="20" t="inlineStr">
        <is>
          <t>GESTIONATECH</t>
        </is>
      </c>
      <c r="K363" s="21" t="n">
        <v>46273</v>
      </c>
      <c r="L363" s="21" t="n">
        <v>46273</v>
      </c>
      <c r="M363" s="20" t="n">
        <v>14</v>
      </c>
    </row>
    <row r="364">
      <c r="A364" s="16" t="inlineStr">
        <is>
          <t>3147</t>
        </is>
      </c>
      <c r="B364" s="17" t="inlineStr">
        <is>
          <t>MANTA</t>
        </is>
      </c>
      <c r="C364" s="17" t="inlineStr">
        <is>
          <t>Manta</t>
        </is>
      </c>
      <c r="D364" s="17" t="inlineStr">
        <is>
          <t>Cundinamarca</t>
        </is>
      </c>
      <c r="E364" s="17" t="inlineStr">
        <is>
          <t>BOGOTA</t>
        </is>
      </c>
      <c r="F364" s="17" t="inlineStr">
        <is>
          <t>8:00 A.M.  A 3:00 P.M.</t>
        </is>
      </c>
      <c r="G364" s="17" t="inlineStr">
        <is>
          <t>Carrera 6 No. 2-27</t>
        </is>
      </c>
      <c r="H364" s="17" t="inlineStr">
        <is>
          <t>6013821400</t>
        </is>
      </c>
      <c r="I364" s="17" t="inlineStr">
        <is>
          <t>LUNES A VIERNES</t>
        </is>
      </c>
      <c r="J364" s="17" t="inlineStr">
        <is>
          <t>GESTIONATECH</t>
        </is>
      </c>
      <c r="K364" s="18" t="n">
        <v>46272</v>
      </c>
      <c r="L364" s="18" t="n">
        <v>46272</v>
      </c>
      <c r="M364" s="17" t="n">
        <v>12</v>
      </c>
    </row>
    <row r="365">
      <c r="A365" s="19" t="inlineStr">
        <is>
          <t>3148</t>
        </is>
      </c>
      <c r="B365" s="20" t="inlineStr">
        <is>
          <t>MEDINA</t>
        </is>
      </c>
      <c r="C365" s="20" t="inlineStr">
        <is>
          <t>Medina</t>
        </is>
      </c>
      <c r="D365" s="20" t="inlineStr">
        <is>
          <t>Cundinamarca</t>
        </is>
      </c>
      <c r="E365" s="20" t="inlineStr">
        <is>
          <t>BOGOTA</t>
        </is>
      </c>
      <c r="F365" s="20" t="inlineStr">
        <is>
          <t>8:00 AM - 11:30 AM Y DE 02:00 PM - 04:30 PM</t>
        </is>
      </c>
      <c r="G365" s="20" t="inlineStr">
        <is>
          <t>Calle 13 No.6-61</t>
        </is>
      </c>
      <c r="H365" s="20" t="inlineStr">
        <is>
          <t>6013821400</t>
        </is>
      </c>
      <c r="I365" s="20" t="inlineStr">
        <is>
          <t>LUNES A VIERNES</t>
        </is>
      </c>
      <c r="J365" s="20" t="inlineStr">
        <is>
          <t>GESTIONATECH</t>
        </is>
      </c>
      <c r="K365" s="21" t="n">
        <v>46279</v>
      </c>
      <c r="L365" s="21" t="n">
        <v>46279</v>
      </c>
      <c r="M365" s="20" t="n">
        <v>18</v>
      </c>
    </row>
    <row r="366">
      <c r="A366" s="16" t="inlineStr">
        <is>
          <t>3149</t>
        </is>
      </c>
      <c r="B366" s="17" t="inlineStr">
        <is>
          <t>NOCAIMA</t>
        </is>
      </c>
      <c r="C366" s="17" t="inlineStr">
        <is>
          <t>Nocaima</t>
        </is>
      </c>
      <c r="D366" s="17" t="inlineStr">
        <is>
          <t>Cundinamarca</t>
        </is>
      </c>
      <c r="E366" s="17" t="inlineStr">
        <is>
          <t>BOGOTA</t>
        </is>
      </c>
      <c r="F366" s="17" t="inlineStr">
        <is>
          <t>8:00 AM A 2:00 P.M.</t>
        </is>
      </c>
      <c r="G366" s="17" t="inlineStr">
        <is>
          <t>Carrera 6 No.6-49</t>
        </is>
      </c>
      <c r="H366" s="17" t="inlineStr">
        <is>
          <t>6013821400</t>
        </is>
      </c>
      <c r="I366" s="17" t="inlineStr">
        <is>
          <t>MARTES A SABADO</t>
        </is>
      </c>
      <c r="J366" s="17" t="inlineStr">
        <is>
          <t>GESTIONATECH</t>
        </is>
      </c>
      <c r="K366" s="18" t="n">
        <v>46290</v>
      </c>
      <c r="L366" s="18" t="n">
        <v>46290</v>
      </c>
      <c r="M366" s="17" t="n">
        <v>15</v>
      </c>
    </row>
    <row r="367">
      <c r="A367" s="19" t="inlineStr">
        <is>
          <t>3150</t>
        </is>
      </c>
      <c r="B367" s="20" t="inlineStr">
        <is>
          <t>VENECIA</t>
        </is>
      </c>
      <c r="C367" s="20" t="inlineStr">
        <is>
          <t>Venecia</t>
        </is>
      </c>
      <c r="D367" s="20" t="inlineStr">
        <is>
          <t>Cundinamarca</t>
        </is>
      </c>
      <c r="E367" s="20" t="inlineStr">
        <is>
          <t>BOGOTA</t>
        </is>
      </c>
      <c r="F367" s="20" t="inlineStr">
        <is>
          <t>8:00 A.M.  A 3:00 P.M.</t>
        </is>
      </c>
      <c r="G367" s="20" t="inlineStr">
        <is>
          <t>Carrera 4 N° 5-04</t>
        </is>
      </c>
      <c r="H367" s="20" t="inlineStr">
        <is>
          <t>6013821400</t>
        </is>
      </c>
      <c r="I367" s="20" t="inlineStr">
        <is>
          <t>LUNES A VIERNES</t>
        </is>
      </c>
      <c r="J367" s="20" t="inlineStr">
        <is>
          <t>GESTIONATECH</t>
        </is>
      </c>
      <c r="K367" s="21" t="n">
        <v>46287</v>
      </c>
      <c r="L367" s="21" t="n">
        <v>46287</v>
      </c>
      <c r="M367" s="20" t="n">
        <v>12</v>
      </c>
    </row>
    <row r="368">
      <c r="A368" s="16" t="inlineStr">
        <is>
          <t>3152</t>
        </is>
      </c>
      <c r="B368" s="17" t="inlineStr">
        <is>
          <t>PAIME</t>
        </is>
      </c>
      <c r="C368" s="17" t="inlineStr">
        <is>
          <t>Paime</t>
        </is>
      </c>
      <c r="D368" s="17" t="inlineStr">
        <is>
          <t>Cundinamarca</t>
        </is>
      </c>
      <c r="E368" s="17" t="inlineStr">
        <is>
          <t>BOGOTA</t>
        </is>
      </c>
      <c r="F368" s="17" t="inlineStr">
        <is>
          <t>7.00 A.M. A 2:00 PM</t>
        </is>
      </c>
      <c r="G368" s="17" t="inlineStr">
        <is>
          <t>Calle 3 No. 2-16</t>
        </is>
      </c>
      <c r="H368" s="17" t="inlineStr">
        <is>
          <t>6013821400</t>
        </is>
      </c>
      <c r="I368" s="17" t="inlineStr">
        <is>
          <t>LUNES A VIERNES</t>
        </is>
      </c>
      <c r="J368" s="17" t="inlineStr">
        <is>
          <t>GESTIONATECH</t>
        </is>
      </c>
      <c r="K368" s="18" t="n">
        <v>46275</v>
      </c>
      <c r="L368" s="18" t="n">
        <v>46275</v>
      </c>
      <c r="M368" s="17" t="n">
        <v>12</v>
      </c>
    </row>
    <row r="369">
      <c r="A369" s="19" t="inlineStr">
        <is>
          <t>3153</t>
        </is>
      </c>
      <c r="B369" s="20" t="inlineStr">
        <is>
          <t>PASCA</t>
        </is>
      </c>
      <c r="C369" s="20" t="inlineStr">
        <is>
          <t>Pasca</t>
        </is>
      </c>
      <c r="D369" s="20" t="inlineStr">
        <is>
          <t>Cundinamarca</t>
        </is>
      </c>
      <c r="E369" s="20" t="inlineStr">
        <is>
          <t>BOGOTA</t>
        </is>
      </c>
      <c r="F369" s="20" t="inlineStr">
        <is>
          <t>8:00 AM A 2:00 P.M.</t>
        </is>
      </c>
      <c r="G369" s="20" t="inlineStr">
        <is>
          <t>Calle 2 No. 2-72</t>
        </is>
      </c>
      <c r="H369" s="20" t="inlineStr">
        <is>
          <t>6013821400</t>
        </is>
      </c>
      <c r="I369" s="20" t="inlineStr">
        <is>
          <t>MARTES A SABADO</t>
        </is>
      </c>
      <c r="J369" s="20" t="inlineStr">
        <is>
          <t>GESTIONATECH</t>
        </is>
      </c>
      <c r="K369" s="21" t="n">
        <v>46290</v>
      </c>
      <c r="L369" s="21" t="n">
        <v>46290</v>
      </c>
      <c r="M369" s="20" t="n">
        <v>17</v>
      </c>
    </row>
    <row r="370">
      <c r="A370" s="16" t="inlineStr">
        <is>
          <t>3154</t>
        </is>
      </c>
      <c r="B370" s="17" t="inlineStr">
        <is>
          <t>QUETAME</t>
        </is>
      </c>
      <c r="C370" s="17" t="inlineStr">
        <is>
          <t>Quetame</t>
        </is>
      </c>
      <c r="D370" s="17" t="inlineStr">
        <is>
          <t>Cundinamarca</t>
        </is>
      </c>
      <c r="E370" s="17" t="inlineStr">
        <is>
          <t>BOGOTA</t>
        </is>
      </c>
      <c r="F370" s="17" t="inlineStr">
        <is>
          <t>8:00 A.M.  A 3:00 P.M.</t>
        </is>
      </c>
      <c r="G370" s="17" t="inlineStr">
        <is>
          <t>Calle 4 NO 3-87</t>
        </is>
      </c>
      <c r="H370" s="17" t="inlineStr">
        <is>
          <t>6013821400</t>
        </is>
      </c>
      <c r="I370" s="17" t="inlineStr">
        <is>
          <t>LUNES A VIERNES</t>
        </is>
      </c>
      <c r="J370" s="17" t="inlineStr">
        <is>
          <t>GESTIONATECH</t>
        </is>
      </c>
      <c r="K370" s="18" t="n">
        <v>46282</v>
      </c>
      <c r="L370" s="18" t="n">
        <v>46282</v>
      </c>
      <c r="M370" s="17" t="n">
        <v>12</v>
      </c>
    </row>
    <row r="371">
      <c r="A371" s="19" t="inlineStr">
        <is>
          <t>3155</t>
        </is>
      </c>
      <c r="B371" s="20" t="inlineStr">
        <is>
          <t>QUIPILE</t>
        </is>
      </c>
      <c r="C371" s="20" t="inlineStr">
        <is>
          <t>Quipile</t>
        </is>
      </c>
      <c r="D371" s="20" t="inlineStr">
        <is>
          <t>Cundinamarca</t>
        </is>
      </c>
      <c r="E371" s="20" t="inlineStr">
        <is>
          <t>BOGOTA</t>
        </is>
      </c>
      <c r="F371" s="20" t="inlineStr">
        <is>
          <t>8:00 A.M.  A 3:00 P.M.</t>
        </is>
      </c>
      <c r="G371" s="20" t="inlineStr">
        <is>
          <t>Carrera 2 No. 3-67 Parque Principal</t>
        </is>
      </c>
      <c r="H371" s="20" t="inlineStr">
        <is>
          <t>6013821400</t>
        </is>
      </c>
      <c r="I371" s="20" t="inlineStr">
        <is>
          <t>LUNES A VIERNES</t>
        </is>
      </c>
      <c r="J371" s="20" t="inlineStr">
        <is>
          <t>GESTIONATECH</t>
        </is>
      </c>
      <c r="K371" s="21" t="n">
        <v>46295</v>
      </c>
      <c r="L371" s="21" t="n">
        <v>46295</v>
      </c>
      <c r="M371" s="20" t="n">
        <v>12</v>
      </c>
    </row>
    <row r="372">
      <c r="A372" s="16" t="inlineStr">
        <is>
          <t>3156</t>
        </is>
      </c>
      <c r="B372" s="17" t="inlineStr">
        <is>
          <t>SAN BERNARDO</t>
        </is>
      </c>
      <c r="C372" s="17" t="inlineStr">
        <is>
          <t>San Bernardo</t>
        </is>
      </c>
      <c r="D372" s="17" t="inlineStr">
        <is>
          <t>Cundinamarca</t>
        </is>
      </c>
      <c r="E372" s="17" t="inlineStr">
        <is>
          <t>BOGOTA</t>
        </is>
      </c>
      <c r="F372" s="17" t="inlineStr">
        <is>
          <t>8:00 AM A 2:00 P.M.</t>
        </is>
      </c>
      <c r="G372" s="17" t="inlineStr">
        <is>
          <t>Carrera 4 No. 6-02 Palacio Municipal primer Piso</t>
        </is>
      </c>
      <c r="H372" s="17" t="inlineStr">
        <is>
          <t>6013821400</t>
        </is>
      </c>
      <c r="I372" s="17" t="inlineStr">
        <is>
          <t>MARTES A SABADO</t>
        </is>
      </c>
      <c r="J372" s="17" t="inlineStr">
        <is>
          <t>GESTIONATECH</t>
        </is>
      </c>
      <c r="K372" s="18" t="n">
        <v>46289</v>
      </c>
      <c r="L372" s="18" t="n">
        <v>46289</v>
      </c>
      <c r="M372" s="17" t="n">
        <v>15</v>
      </c>
    </row>
    <row r="373">
      <c r="A373" s="19" t="inlineStr">
        <is>
          <t>3157</t>
        </is>
      </c>
      <c r="B373" s="20" t="inlineStr">
        <is>
          <t>SAN CAYETANO</t>
        </is>
      </c>
      <c r="C373" s="20" t="inlineStr">
        <is>
          <t>San Cayetano</t>
        </is>
      </c>
      <c r="D373" s="20" t="inlineStr">
        <is>
          <t>Cundinamarca</t>
        </is>
      </c>
      <c r="E373" s="20" t="inlineStr">
        <is>
          <t>BOGOTA</t>
        </is>
      </c>
      <c r="F373" s="20" t="inlineStr">
        <is>
          <t>8:00 AM A 2:00 P.M.</t>
        </is>
      </c>
      <c r="G373" s="20" t="inlineStr">
        <is>
          <t>Calle 3 No.4-10  Centro</t>
        </is>
      </c>
      <c r="H373" s="20" t="inlineStr">
        <is>
          <t>6013821400</t>
        </is>
      </c>
      <c r="I373" s="20" t="inlineStr">
        <is>
          <t>MARTES A SABADO</t>
        </is>
      </c>
      <c r="J373" s="20" t="inlineStr">
        <is>
          <t>GESTIONATECH</t>
        </is>
      </c>
      <c r="K373" s="21" t="n">
        <v>46280</v>
      </c>
      <c r="L373" s="21" t="n">
        <v>46280</v>
      </c>
      <c r="M373" s="20" t="n">
        <v>12</v>
      </c>
    </row>
    <row r="374">
      <c r="A374" s="16" t="inlineStr">
        <is>
          <t>3158</t>
        </is>
      </c>
      <c r="B374" s="17" t="inlineStr">
        <is>
          <t>SAN FRANCISCO</t>
        </is>
      </c>
      <c r="C374" s="17" t="inlineStr">
        <is>
          <t>San Francisco</t>
        </is>
      </c>
      <c r="D374" s="17" t="inlineStr">
        <is>
          <t>Cundinamarca</t>
        </is>
      </c>
      <c r="E374" s="17" t="inlineStr">
        <is>
          <t>BOGOTA</t>
        </is>
      </c>
      <c r="F374" s="17" t="inlineStr">
        <is>
          <t>8:00 AM - 11:30 AM Y DE 02:00 PM - 04:30 PM</t>
        </is>
      </c>
      <c r="G374" s="17" t="inlineStr">
        <is>
          <t>Carrera. 6 No. 3-09</t>
        </is>
      </c>
      <c r="H374" s="17" t="inlineStr">
        <is>
          <t>6013821400</t>
        </is>
      </c>
      <c r="I374" s="17" t="inlineStr">
        <is>
          <t>LUNES A VIERNES</t>
        </is>
      </c>
      <c r="J374" s="17" t="inlineStr">
        <is>
          <t>GESTIONATECH</t>
        </is>
      </c>
      <c r="K374" s="18" t="n">
        <v>46286</v>
      </c>
      <c r="L374" s="18" t="n">
        <v>46286</v>
      </c>
      <c r="M374" s="17" t="n">
        <v>12</v>
      </c>
    </row>
    <row r="375">
      <c r="A375" s="19" t="inlineStr">
        <is>
          <t>3159</t>
        </is>
      </c>
      <c r="B375" s="20" t="inlineStr">
        <is>
          <t>SAN JUAN DE RIOSECO</t>
        </is>
      </c>
      <c r="C375" s="20" t="inlineStr">
        <is>
          <t>San Juan De Río Seco</t>
        </is>
      </c>
      <c r="D375" s="20" t="inlineStr">
        <is>
          <t>Cundinamarca</t>
        </is>
      </c>
      <c r="E375" s="20" t="inlineStr">
        <is>
          <t>BOGOTA</t>
        </is>
      </c>
      <c r="F375" s="20" t="inlineStr">
        <is>
          <t>8:00 AM - 11:30 AM Y DE 02:00 PM - 04:30 PM</t>
        </is>
      </c>
      <c r="G375" s="20" t="inlineStr">
        <is>
          <t>Carrera 6 No. 4- 40/46</t>
        </is>
      </c>
      <c r="H375" s="20" t="inlineStr">
        <is>
          <t>6013821400</t>
        </is>
      </c>
      <c r="I375" s="20" t="inlineStr">
        <is>
          <t>LUNES A VIERNES</t>
        </is>
      </c>
      <c r="J375" s="20" t="inlineStr">
        <is>
          <t>GESTIONATECH</t>
        </is>
      </c>
      <c r="K375" s="21" t="n">
        <v>46294</v>
      </c>
      <c r="L375" s="21" t="n">
        <v>46294</v>
      </c>
      <c r="M375" s="20" t="n">
        <v>18</v>
      </c>
    </row>
    <row r="376">
      <c r="A376" s="16" t="inlineStr">
        <is>
          <t>3160</t>
        </is>
      </c>
      <c r="B376" s="17" t="inlineStr">
        <is>
          <t>SUESCA</t>
        </is>
      </c>
      <c r="C376" s="17" t="inlineStr">
        <is>
          <t>Suesca</t>
        </is>
      </c>
      <c r="D376" s="17" t="inlineStr">
        <is>
          <t>Cundinamarca</t>
        </is>
      </c>
      <c r="E376" s="17" t="inlineStr">
        <is>
          <t>BOGOTA</t>
        </is>
      </c>
      <c r="F376" s="17" t="inlineStr">
        <is>
          <t>8:00 A.M.  A 3:00 P.M.</t>
        </is>
      </c>
      <c r="G376" s="17" t="inlineStr">
        <is>
          <t>Carrera 5 No. 8  - 16 Centro - Frente al Parque Principal</t>
        </is>
      </c>
      <c r="H376" s="17" t="inlineStr">
        <is>
          <t>6013821400</t>
        </is>
      </c>
      <c r="I376" s="17" t="inlineStr">
        <is>
          <t>LUNES A VIERNES</t>
        </is>
      </c>
      <c r="J376" s="17" t="inlineStr">
        <is>
          <t>GESTIONATECH</t>
        </is>
      </c>
      <c r="K376" s="18" t="n">
        <v>46283</v>
      </c>
      <c r="L376" s="18" t="n">
        <v>46283</v>
      </c>
      <c r="M376" s="17" t="n">
        <v>17</v>
      </c>
    </row>
    <row r="377">
      <c r="A377" s="19" t="inlineStr">
        <is>
          <t>3161</t>
        </is>
      </c>
      <c r="B377" s="20" t="inlineStr">
        <is>
          <t>SUPATA</t>
        </is>
      </c>
      <c r="C377" s="20" t="inlineStr">
        <is>
          <t>Supatá</t>
        </is>
      </c>
      <c r="D377" s="20" t="inlineStr">
        <is>
          <t>Cundinamarca</t>
        </is>
      </c>
      <c r="E377" s="20" t="inlineStr">
        <is>
          <t>BOGOTA</t>
        </is>
      </c>
      <c r="F377" s="20" t="inlineStr">
        <is>
          <t>8:00 AM A 2:00 P.M.</t>
        </is>
      </c>
      <c r="G377" s="20" t="inlineStr">
        <is>
          <t>Carrera 6 No. 5-03  Centro</t>
        </is>
      </c>
      <c r="H377" s="20" t="inlineStr">
        <is>
          <t>6013821400</t>
        </is>
      </c>
      <c r="I377" s="20" t="inlineStr">
        <is>
          <t>MARTES A SABADO</t>
        </is>
      </c>
      <c r="J377" s="20" t="inlineStr">
        <is>
          <t>GESTIONATECH</t>
        </is>
      </c>
      <c r="K377" s="21" t="n">
        <v>46287</v>
      </c>
      <c r="L377" s="21" t="n">
        <v>46287</v>
      </c>
      <c r="M377" s="20" t="n">
        <v>12</v>
      </c>
    </row>
    <row r="378">
      <c r="A378" s="16" t="inlineStr">
        <is>
          <t>3162</t>
        </is>
      </c>
      <c r="B378" s="17" t="inlineStr">
        <is>
          <t>PANDI</t>
        </is>
      </c>
      <c r="C378" s="17" t="inlineStr">
        <is>
          <t>Pandi</t>
        </is>
      </c>
      <c r="D378" s="17" t="inlineStr">
        <is>
          <t>Cundinamarca</t>
        </is>
      </c>
      <c r="E378" s="17" t="inlineStr">
        <is>
          <t>BOGOTA</t>
        </is>
      </c>
      <c r="F378" s="17" t="inlineStr">
        <is>
          <t>8:00 AM A 2:00 P.M.</t>
        </is>
      </c>
      <c r="G378" s="17" t="inlineStr">
        <is>
          <t>Avenida 3 # 5 -21 Barrio Las Quintas</t>
        </is>
      </c>
      <c r="H378" s="17" t="inlineStr">
        <is>
          <t>6013821400</t>
        </is>
      </c>
      <c r="I378" s="17" t="inlineStr">
        <is>
          <t>MARTES A SABADO</t>
        </is>
      </c>
      <c r="J378" s="17" t="inlineStr">
        <is>
          <t>GESTIONATECH</t>
        </is>
      </c>
      <c r="K378" s="18" t="n">
        <v>46288</v>
      </c>
      <c r="L378" s="18" t="n">
        <v>46288</v>
      </c>
      <c r="M378" s="17" t="n">
        <v>13</v>
      </c>
    </row>
    <row r="379">
      <c r="A379" s="19" t="inlineStr">
        <is>
          <t>3163</t>
        </is>
      </c>
      <c r="B379" s="20" t="inlineStr">
        <is>
          <t>SILVANIA</t>
        </is>
      </c>
      <c r="C379" s="20" t="inlineStr">
        <is>
          <t>Silvania</t>
        </is>
      </c>
      <c r="D379" s="20" t="inlineStr">
        <is>
          <t>Cundinamarca</t>
        </is>
      </c>
      <c r="E379" s="20" t="inlineStr">
        <is>
          <t>BOGOTA</t>
        </is>
      </c>
      <c r="F379" s="20" t="inlineStr">
        <is>
          <t>8:00 A.M.  A 3:00 P.M.</t>
        </is>
      </c>
      <c r="G379" s="20" t="inlineStr">
        <is>
          <t>Calle 10 No. 5 - 14 / 16 / 18</t>
        </is>
      </c>
      <c r="H379" s="20" t="inlineStr">
        <is>
          <t>6013821400</t>
        </is>
      </c>
      <c r="I379" s="20" t="inlineStr">
        <is>
          <t>LUNES A VIERNES</t>
        </is>
      </c>
      <c r="J379" s="20" t="inlineStr">
        <is>
          <t>GESTIONATECH</t>
        </is>
      </c>
      <c r="K379" s="21" t="n">
        <v>46295</v>
      </c>
      <c r="L379" s="21" t="n">
        <v>46295</v>
      </c>
      <c r="M379" s="20" t="n">
        <v>29</v>
      </c>
    </row>
    <row r="380">
      <c r="A380" s="16" t="inlineStr">
        <is>
          <t>3164</t>
        </is>
      </c>
      <c r="B380" s="17" t="inlineStr">
        <is>
          <t>PUERTO SALGAR</t>
        </is>
      </c>
      <c r="C380" s="17" t="inlineStr">
        <is>
          <t>Puerto Salgar</t>
        </is>
      </c>
      <c r="D380" s="17" t="inlineStr">
        <is>
          <t>Cundinamarca</t>
        </is>
      </c>
      <c r="E380" s="17" t="inlineStr">
        <is>
          <t>CAFETERA</t>
        </is>
      </c>
      <c r="F380" s="17" t="inlineStr">
        <is>
          <t>8:00 AM - 11:30 AM Y DE 02:00 PM - 04:30 PM</t>
        </is>
      </c>
      <c r="G380" s="17" t="inlineStr">
        <is>
          <t>Calle 11 No.12-17    Calle 12 No. 11-17</t>
        </is>
      </c>
      <c r="H380" s="17" t="inlineStr">
        <is>
          <t>6013821400</t>
        </is>
      </c>
      <c r="I380" s="17" t="inlineStr">
        <is>
          <t>LUNES A VIERNES</t>
        </is>
      </c>
      <c r="J380" s="17" t="inlineStr">
        <is>
          <t>GESTIONATECH</t>
        </is>
      </c>
      <c r="K380" s="18" t="n">
        <v>46286</v>
      </c>
      <c r="L380" s="18" t="n">
        <v>46286</v>
      </c>
      <c r="M380" s="17" t="n">
        <v>17</v>
      </c>
    </row>
    <row r="381">
      <c r="A381" s="19" t="inlineStr">
        <is>
          <t>3165</t>
        </is>
      </c>
      <c r="B381" s="20" t="inlineStr">
        <is>
          <t>SIMIJACA</t>
        </is>
      </c>
      <c r="C381" s="20" t="inlineStr">
        <is>
          <t>Simijaca</t>
        </is>
      </c>
      <c r="D381" s="20" t="inlineStr">
        <is>
          <t>Cundinamarca</t>
        </is>
      </c>
      <c r="E381" s="20" t="inlineStr">
        <is>
          <t>BOGOTA</t>
        </is>
      </c>
      <c r="F381" s="20" t="inlineStr">
        <is>
          <t>8:00 A.M.  A 3:00 P.M.</t>
        </is>
      </c>
      <c r="G381" s="20" t="inlineStr">
        <is>
          <t>Calle 8 No. 7-25</t>
        </is>
      </c>
      <c r="H381" s="20" t="inlineStr">
        <is>
          <t>6013821400</t>
        </is>
      </c>
      <c r="I381" s="20" t="inlineStr">
        <is>
          <t>LUNES A VIERNES</t>
        </is>
      </c>
      <c r="J381" s="20" t="inlineStr">
        <is>
          <t>GESTIONATECH</t>
        </is>
      </c>
      <c r="K381" s="21" t="n">
        <v>46276</v>
      </c>
      <c r="L381" s="21" t="n">
        <v>46276</v>
      </c>
      <c r="M381" s="20" t="n">
        <v>18</v>
      </c>
    </row>
    <row r="382">
      <c r="A382" s="16" t="inlineStr">
        <is>
          <t>3166</t>
        </is>
      </c>
      <c r="B382" s="17" t="inlineStr">
        <is>
          <t>FUSAGASUGA</t>
        </is>
      </c>
      <c r="C382" s="17" t="inlineStr">
        <is>
          <t>Fusagasugá</t>
        </is>
      </c>
      <c r="D382" s="17" t="inlineStr">
        <is>
          <t>Cundinamarca</t>
        </is>
      </c>
      <c r="E382" s="17" t="inlineStr">
        <is>
          <t>BOGOTA</t>
        </is>
      </c>
      <c r="F382" s="17" t="inlineStr">
        <is>
          <t>8:00 A.M.  A 3:00 P.M.</t>
        </is>
      </c>
      <c r="G382" s="17" t="inlineStr">
        <is>
          <t>Carrera 4 No. 8 A - 10</t>
        </is>
      </c>
      <c r="H382" s="17" t="inlineStr">
        <is>
          <t>6013821400</t>
        </is>
      </c>
      <c r="I382" s="17" t="inlineStr">
        <is>
          <t>LUNES A VIERNES</t>
        </is>
      </c>
      <c r="J382" s="17" t="inlineStr">
        <is>
          <t>GESTIONATECH</t>
        </is>
      </c>
      <c r="K382" s="18" t="n">
        <v>46294</v>
      </c>
      <c r="L382" s="18" t="n">
        <v>46294</v>
      </c>
      <c r="M382" s="17" t="n">
        <v>27</v>
      </c>
    </row>
    <row r="383">
      <c r="A383" s="19" t="inlineStr">
        <is>
          <t>3167</t>
        </is>
      </c>
      <c r="B383" s="20" t="inlineStr">
        <is>
          <t>SASAIMA</t>
        </is>
      </c>
      <c r="C383" s="20" t="inlineStr">
        <is>
          <t>Sasaima</t>
        </is>
      </c>
      <c r="D383" s="20" t="inlineStr">
        <is>
          <t>Cundinamarca</t>
        </is>
      </c>
      <c r="E383" s="20" t="inlineStr">
        <is>
          <t>BOGOTA</t>
        </is>
      </c>
      <c r="F383" s="20" t="inlineStr">
        <is>
          <t>8:00 AM - 11:30 AM Y DE 02:00 PM - 04:30 PM</t>
        </is>
      </c>
      <c r="G383" s="20" t="inlineStr">
        <is>
          <t>Carrera 4 No. 7-75</t>
        </is>
      </c>
      <c r="H383" s="20" t="inlineStr">
        <is>
          <t>6013821400</t>
        </is>
      </c>
      <c r="I383" s="20" t="inlineStr">
        <is>
          <t>LUNES A VIERNES</t>
        </is>
      </c>
      <c r="J383" s="20" t="inlineStr">
        <is>
          <t>GESTIONATECH</t>
        </is>
      </c>
      <c r="K383" s="21" t="n">
        <v>46294</v>
      </c>
      <c r="L383" s="21" t="n">
        <v>46294</v>
      </c>
      <c r="M383" s="20" t="n">
        <v>14</v>
      </c>
    </row>
    <row r="384">
      <c r="A384" s="16" t="inlineStr">
        <is>
          <t>3168</t>
        </is>
      </c>
      <c r="B384" s="17" t="inlineStr">
        <is>
          <t>SUSA</t>
        </is>
      </c>
      <c r="C384" s="17" t="inlineStr">
        <is>
          <t>Susa</t>
        </is>
      </c>
      <c r="D384" s="17" t="inlineStr">
        <is>
          <t>Cundinamarca</t>
        </is>
      </c>
      <c r="E384" s="17" t="inlineStr">
        <is>
          <t>BOGOTA</t>
        </is>
      </c>
      <c r="F384" s="17" t="inlineStr">
        <is>
          <t>8:00 A.M.  A 3:00 P.M.</t>
        </is>
      </c>
      <c r="G384" s="17" t="inlineStr">
        <is>
          <t>Calle 6 N 3- 105</t>
        </is>
      </c>
      <c r="H384" s="17" t="inlineStr">
        <is>
          <t>6013821400</t>
        </is>
      </c>
      <c r="I384" s="17" t="inlineStr">
        <is>
          <t>LUNES A VIERNES</t>
        </is>
      </c>
      <c r="J384" s="17" t="inlineStr">
        <is>
          <t>GESTIONATECH</t>
        </is>
      </c>
      <c r="K384" s="18" t="n">
        <v>46275</v>
      </c>
      <c r="L384" s="18" t="n">
        <v>46275</v>
      </c>
      <c r="M384" s="17" t="n">
        <v>15</v>
      </c>
    </row>
    <row r="385">
      <c r="A385" s="19" t="inlineStr">
        <is>
          <t>3172</t>
        </is>
      </c>
      <c r="B385" s="20" t="inlineStr">
        <is>
          <t>TOPAIPI</t>
        </is>
      </c>
      <c r="C385" s="20" t="inlineStr">
        <is>
          <t>Topaipí</t>
        </is>
      </c>
      <c r="D385" s="20" t="inlineStr">
        <is>
          <t>Cundinamarca</t>
        </is>
      </c>
      <c r="E385" s="20" t="inlineStr">
        <is>
          <t>BOGOTA</t>
        </is>
      </c>
      <c r="F385" s="20" t="inlineStr">
        <is>
          <t>8:00 A.M.  A 3:00 P.M.</t>
        </is>
      </c>
      <c r="G385" s="20" t="inlineStr">
        <is>
          <t>Carrera 10 No. 3-30</t>
        </is>
      </c>
      <c r="H385" s="20" t="inlineStr">
        <is>
          <t>6013821400</t>
        </is>
      </c>
      <c r="I385" s="20" t="inlineStr">
        <is>
          <t>LUNES A VIERNES</t>
        </is>
      </c>
      <c r="J385" s="20" t="inlineStr">
        <is>
          <t>GESTIONATECH</t>
        </is>
      </c>
      <c r="K385" s="21" t="n">
        <v>46274</v>
      </c>
      <c r="L385" s="21" t="n">
        <v>46274</v>
      </c>
      <c r="M385" s="20" t="n">
        <v>12</v>
      </c>
    </row>
    <row r="386">
      <c r="A386" s="16" t="inlineStr">
        <is>
          <t>3174</t>
        </is>
      </c>
      <c r="B386" s="17" t="inlineStr">
        <is>
          <t>UBALA</t>
        </is>
      </c>
      <c r="C386" s="17" t="inlineStr">
        <is>
          <t>Ubalá</t>
        </is>
      </c>
      <c r="D386" s="17" t="inlineStr">
        <is>
          <t>Cundinamarca</t>
        </is>
      </c>
      <c r="E386" s="17" t="inlineStr">
        <is>
          <t>BOGOTA</t>
        </is>
      </c>
      <c r="F386" s="17" t="inlineStr">
        <is>
          <t>8:00 AM A 2:00 P.M.</t>
        </is>
      </c>
      <c r="G386" s="17" t="inlineStr">
        <is>
          <t>Calle 2 N° 4-03/09</t>
        </is>
      </c>
      <c r="H386" s="17" t="inlineStr">
        <is>
          <t>6013821400</t>
        </is>
      </c>
      <c r="I386" s="17" t="inlineStr">
        <is>
          <t>MARTES A SABADO</t>
        </is>
      </c>
      <c r="J386" s="17" t="inlineStr">
        <is>
          <t>GESTIONATECH</t>
        </is>
      </c>
      <c r="K386" s="18" t="n">
        <v>46280</v>
      </c>
      <c r="L386" s="18" t="n">
        <v>46280</v>
      </c>
      <c r="M386" s="17" t="n">
        <v>12</v>
      </c>
    </row>
    <row r="387">
      <c r="A387" s="19" t="inlineStr">
        <is>
          <t>3176</t>
        </is>
      </c>
      <c r="B387" s="20" t="inlineStr">
        <is>
          <t>UTICA</t>
        </is>
      </c>
      <c r="C387" s="20" t="inlineStr">
        <is>
          <t>Útica</t>
        </is>
      </c>
      <c r="D387" s="20" t="inlineStr">
        <is>
          <t>Cundinamarca</t>
        </is>
      </c>
      <c r="E387" s="20" t="inlineStr">
        <is>
          <t>BOGOTA</t>
        </is>
      </c>
      <c r="F387" s="20" t="inlineStr">
        <is>
          <t>8:00 AM A 2:00 P.M.</t>
        </is>
      </c>
      <c r="G387" s="20" t="inlineStr">
        <is>
          <t>Carrera.4 No.2-54 Plaza Principal Esquina</t>
        </is>
      </c>
      <c r="H387" s="20" t="inlineStr">
        <is>
          <t>6013821400</t>
        </is>
      </c>
      <c r="I387" s="20" t="inlineStr">
        <is>
          <t>MARTES A SABADO</t>
        </is>
      </c>
      <c r="J387" s="20" t="inlineStr">
        <is>
          <t>GESTIONATECH</t>
        </is>
      </c>
      <c r="K387" s="21" t="n">
        <v>46290</v>
      </c>
      <c r="L387" s="21" t="n">
        <v>46290</v>
      </c>
      <c r="M387" s="20" t="n">
        <v>14</v>
      </c>
    </row>
    <row r="388">
      <c r="A388" s="16" t="inlineStr">
        <is>
          <t>3178</t>
        </is>
      </c>
      <c r="B388" s="17" t="inlineStr">
        <is>
          <t>VERGARA</t>
        </is>
      </c>
      <c r="C388" s="17" t="inlineStr">
        <is>
          <t>Vergara</t>
        </is>
      </c>
      <c r="D388" s="17" t="inlineStr">
        <is>
          <t>Cundinamarca</t>
        </is>
      </c>
      <c r="E388" s="17" t="inlineStr">
        <is>
          <t>BOGOTA</t>
        </is>
      </c>
      <c r="F388" s="17" t="inlineStr">
        <is>
          <t>DE MARTES A VIERNES DE 8:00 AM A 11:30 AM Y DE 2:00 P.M. A 4:30 P.M.    SABADO DE 8:00 AM A 2:00 P.M.</t>
        </is>
      </c>
      <c r="G388" s="17" t="inlineStr">
        <is>
          <t>Calle 2 No. 4 - 34</t>
        </is>
      </c>
      <c r="H388" s="17" t="inlineStr">
        <is>
          <t>6013821400</t>
        </is>
      </c>
      <c r="I388" s="17" t="inlineStr">
        <is>
          <t>MARTES A VIERNES Y      SÁBADO</t>
        </is>
      </c>
      <c r="J388" s="17" t="inlineStr">
        <is>
          <t>GESTIONATECH</t>
        </is>
      </c>
      <c r="K388" s="18" t="n">
        <v>46289</v>
      </c>
      <c r="L388" s="18" t="n">
        <v>46289</v>
      </c>
      <c r="M388" s="17" t="n">
        <v>15</v>
      </c>
    </row>
    <row r="389">
      <c r="A389" s="19" t="inlineStr">
        <is>
          <t>3180</t>
        </is>
      </c>
      <c r="B389" s="20" t="inlineStr">
        <is>
          <t>VILLAPINZON</t>
        </is>
      </c>
      <c r="C389" s="20" t="inlineStr">
        <is>
          <t>Villapinzón</t>
        </is>
      </c>
      <c r="D389" s="20" t="inlineStr">
        <is>
          <t>Cundinamarca</t>
        </is>
      </c>
      <c r="E389" s="20" t="inlineStr">
        <is>
          <t>ORIENTE</t>
        </is>
      </c>
      <c r="F389" s="20" t="inlineStr">
        <is>
          <t>8:00 AM - 11:30 AM Y DE 02:00 PM - 04:30 PM</t>
        </is>
      </c>
      <c r="G389" s="20" t="inlineStr">
        <is>
          <t>Calle 4 No.4-16</t>
        </is>
      </c>
      <c r="H389" s="20" t="inlineStr">
        <is>
          <t>6013821400</t>
        </is>
      </c>
      <c r="I389" s="20" t="inlineStr">
        <is>
          <t>LUNES A VIERNES</t>
        </is>
      </c>
      <c r="J389" s="20" t="inlineStr">
        <is>
          <t>GESTIONATECH</t>
        </is>
      </c>
      <c r="K389" s="21" t="n">
        <v>46275</v>
      </c>
      <c r="L389" s="21" t="n">
        <v>46276</v>
      </c>
      <c r="M389" s="20" t="n">
        <v>22</v>
      </c>
    </row>
    <row r="390">
      <c r="A390" s="16" t="inlineStr">
        <is>
          <t>3186</t>
        </is>
      </c>
      <c r="B390" s="17" t="inlineStr">
        <is>
          <t>VIOTA</t>
        </is>
      </c>
      <c r="C390" s="17" t="inlineStr">
        <is>
          <t>Viotá</t>
        </is>
      </c>
      <c r="D390" s="17" t="inlineStr">
        <is>
          <t>Cundinamarca</t>
        </is>
      </c>
      <c r="E390" s="17" t="inlineStr">
        <is>
          <t>BOGOTA</t>
        </is>
      </c>
      <c r="F390" s="17" t="inlineStr">
        <is>
          <t>8:00 A.M.  A 3:00 P.M.</t>
        </is>
      </c>
      <c r="G390" s="17" t="inlineStr">
        <is>
          <t>Calle 20 No.10-33</t>
        </is>
      </c>
      <c r="H390" s="17" t="inlineStr">
        <is>
          <t>6013821400</t>
        </is>
      </c>
      <c r="I390" s="17" t="inlineStr">
        <is>
          <t>LUNES A VIERNES</t>
        </is>
      </c>
      <c r="J390" s="17" t="inlineStr">
        <is>
          <t>GESTIONATECH</t>
        </is>
      </c>
      <c r="K390" s="18" t="n">
        <v>46288</v>
      </c>
      <c r="L390" s="18" t="n">
        <v>46288</v>
      </c>
      <c r="M390" s="17" t="n">
        <v>16</v>
      </c>
    </row>
    <row r="391">
      <c r="A391" s="19" t="inlineStr">
        <is>
          <t>3190</t>
        </is>
      </c>
      <c r="B391" s="20" t="inlineStr">
        <is>
          <t>YACOPI</t>
        </is>
      </c>
      <c r="C391" s="20" t="inlineStr">
        <is>
          <t>Yacopí</t>
        </is>
      </c>
      <c r="D391" s="20" t="inlineStr">
        <is>
          <t>Cundinamarca</t>
        </is>
      </c>
      <c r="E391" s="20" t="inlineStr">
        <is>
          <t>BOGOTA</t>
        </is>
      </c>
      <c r="F391" s="20" t="inlineStr">
        <is>
          <t>8:00 AM - 11:30 AM Y DE 02:00 PM - 04:30 PM</t>
        </is>
      </c>
      <c r="G391" s="20" t="inlineStr">
        <is>
          <t>Carrera 4 No. 9 - 23 / 27 frente al parque principal</t>
        </is>
      </c>
      <c r="H391" s="20" t="inlineStr">
        <is>
          <t>6013821400</t>
        </is>
      </c>
      <c r="I391" s="20" t="inlineStr">
        <is>
          <t>LUNES A VIERNES</t>
        </is>
      </c>
      <c r="J391" s="20" t="inlineStr">
        <is>
          <t>GESTIONATECH</t>
        </is>
      </c>
      <c r="K391" s="21" t="n">
        <v>46273</v>
      </c>
      <c r="L391" s="21" t="n">
        <v>46273</v>
      </c>
      <c r="M391" s="20" t="n">
        <v>19</v>
      </c>
    </row>
    <row r="392">
      <c r="A392" s="16" t="inlineStr">
        <is>
          <t>3192</t>
        </is>
      </c>
      <c r="B392" s="17" t="inlineStr">
        <is>
          <t>BOGOTA - GOBERNACION DE CUND.</t>
        </is>
      </c>
      <c r="C392" s="17" t="inlineStr">
        <is>
          <t>Bogotá, D.C.</t>
        </is>
      </c>
      <c r="D392" s="17" t="inlineStr">
        <is>
          <t>Bogotá D.C</t>
        </is>
      </c>
      <c r="E392" s="17" t="inlineStr">
        <is>
          <t>BOGOTA</t>
        </is>
      </c>
      <c r="F392" s="17" t="inlineStr">
        <is>
          <t>9:00 A.M. A 4:00 P.M.</t>
        </is>
      </c>
      <c r="G392" s="17" t="inlineStr">
        <is>
          <t>CALLE 26 No.47-73 Edif.Gobernación de Cund.</t>
        </is>
      </c>
      <c r="H392" s="17" t="inlineStr">
        <is>
          <t>6013821400</t>
        </is>
      </c>
      <c r="I392" s="17" t="inlineStr">
        <is>
          <t>LUNES A VIERNES</t>
        </is>
      </c>
      <c r="J392" s="17" t="inlineStr">
        <is>
          <t>GESTIONATECH</t>
        </is>
      </c>
      <c r="K392" s="18" t="n">
        <v>46323</v>
      </c>
      <c r="L392" s="18" t="n">
        <v>46323</v>
      </c>
      <c r="M392" s="17" t="n">
        <v>12</v>
      </c>
    </row>
    <row r="393">
      <c r="A393" s="19" t="inlineStr">
        <is>
          <t>3195</t>
        </is>
      </c>
      <c r="B393" s="20" t="inlineStr">
        <is>
          <t>PACHO</t>
        </is>
      </c>
      <c r="C393" s="20" t="inlineStr">
        <is>
          <t>Pacho</t>
        </is>
      </c>
      <c r="D393" s="20" t="inlineStr">
        <is>
          <t>Cundinamarca</t>
        </is>
      </c>
      <c r="E393" s="20" t="inlineStr">
        <is>
          <t>BOGOTA</t>
        </is>
      </c>
      <c r="F393" s="20" t="inlineStr">
        <is>
          <t>8:00 AM - 11:30 AM Y DE 02:00 PM - 04:30 PM</t>
        </is>
      </c>
      <c r="G393" s="20" t="inlineStr">
        <is>
          <t>CALLE 8 No. 14-41</t>
        </is>
      </c>
      <c r="H393" s="20" t="inlineStr">
        <is>
          <t>6013821400</t>
        </is>
      </c>
      <c r="I393" s="20" t="inlineStr">
        <is>
          <t>LUNES A VIERNES</t>
        </is>
      </c>
      <c r="J393" s="20" t="inlineStr">
        <is>
          <t>GESTIONATECH</t>
        </is>
      </c>
      <c r="K393" s="21" t="n">
        <v>46279</v>
      </c>
      <c r="L393" s="21" t="n">
        <v>46279</v>
      </c>
      <c r="M393" s="20" t="n">
        <v>23</v>
      </c>
    </row>
    <row r="394">
      <c r="A394" s="16" t="inlineStr">
        <is>
          <t>3301</t>
        </is>
      </c>
      <c r="B394" s="17" t="inlineStr">
        <is>
          <t>ACANDI</t>
        </is>
      </c>
      <c r="C394" s="17" t="inlineStr">
        <is>
          <t>Acandí</t>
        </is>
      </c>
      <c r="D394" s="17" t="inlineStr">
        <is>
          <t>Chocó</t>
        </is>
      </c>
      <c r="E394" s="17" t="inlineStr">
        <is>
          <t>ANTIOQUIA</t>
        </is>
      </c>
      <c r="F394" s="17" t="inlineStr">
        <is>
          <t>8:00 AM - 11:30 AM Y DE 02:00 PM - 04:30 PM</t>
        </is>
      </c>
      <c r="G394" s="17" t="inlineStr">
        <is>
          <t>Calle Ppal.  Calle Las  Flores con Calle CONSISTORIAL</t>
        </is>
      </c>
      <c r="H394" s="17" t="inlineStr">
        <is>
          <t>6013821400</t>
        </is>
      </c>
      <c r="I394" s="17" t="inlineStr">
        <is>
          <t>LUNES A VIERNES</t>
        </is>
      </c>
      <c r="J394" s="17" t="inlineStr">
        <is>
          <t>INSARED</t>
        </is>
      </c>
      <c r="K394" s="18" t="n">
        <v>46301</v>
      </c>
      <c r="L394" s="18" t="n">
        <v>46301</v>
      </c>
      <c r="M394" s="17" t="n">
        <v>12</v>
      </c>
    </row>
    <row r="395">
      <c r="A395" s="19" t="inlineStr">
        <is>
          <t>3303</t>
        </is>
      </c>
      <c r="B395" s="20" t="inlineStr">
        <is>
          <t>QUIBDO</t>
        </is>
      </c>
      <c r="C395" s="20" t="inlineStr">
        <is>
          <t>Quibdó</t>
        </is>
      </c>
      <c r="D395" s="20" t="inlineStr">
        <is>
          <t>Chocó</t>
        </is>
      </c>
      <c r="E395" s="20" t="inlineStr">
        <is>
          <t>ANTIOQUIA</t>
        </is>
      </c>
      <c r="F395" s="20" t="inlineStr">
        <is>
          <t>8:00 AM - 11:30 AM Y DE 02:00 PM - 04:30 PM</t>
        </is>
      </c>
      <c r="G395" s="20" t="inlineStr">
        <is>
          <t>Calle 24 No.3-04</t>
        </is>
      </c>
      <c r="H395" s="20" t="inlineStr">
        <is>
          <t>6013821400</t>
        </is>
      </c>
      <c r="I395" s="20" t="inlineStr">
        <is>
          <t>LUNES A VIERNES</t>
        </is>
      </c>
      <c r="J395" s="20" t="inlineStr">
        <is>
          <t>INSARED</t>
        </is>
      </c>
      <c r="K395" s="21" t="n">
        <v>46300</v>
      </c>
      <c r="L395" s="21" t="n">
        <v>46302</v>
      </c>
      <c r="M395" s="20" t="n">
        <v>42</v>
      </c>
    </row>
    <row r="396">
      <c r="A396" s="16" t="inlineStr">
        <is>
          <t>3309</t>
        </is>
      </c>
      <c r="B396" s="17" t="inlineStr">
        <is>
          <t>BAHIA SOLANO</t>
        </is>
      </c>
      <c r="C396" s="17" t="inlineStr">
        <is>
          <t>Bahía Solano</t>
        </is>
      </c>
      <c r="D396" s="17" t="inlineStr">
        <is>
          <t>Chocó</t>
        </is>
      </c>
      <c r="E396" s="17" t="inlineStr">
        <is>
          <t>ANTIOQUIA</t>
        </is>
      </c>
      <c r="F396" s="17" t="inlineStr">
        <is>
          <t>8:00 AM - 11:30 AM Y DE 02:00 PM - 04:30 PM</t>
        </is>
      </c>
      <c r="G396" s="17" t="inlineStr">
        <is>
          <t>Cra.3A No.2-10</t>
        </is>
      </c>
      <c r="H396" s="17" t="inlineStr">
        <is>
          <t>6013821400</t>
        </is>
      </c>
      <c r="I396" s="17" t="inlineStr">
        <is>
          <t>LUNES A VIERNES</t>
        </is>
      </c>
      <c r="J396" s="17" t="inlineStr">
        <is>
          <t>INSARED</t>
        </is>
      </c>
      <c r="K396" s="18" t="n">
        <v>46314</v>
      </c>
      <c r="L396" s="18" t="n">
        <v>46315</v>
      </c>
      <c r="M396" s="17" t="n">
        <v>13</v>
      </c>
    </row>
    <row r="397">
      <c r="A397" s="19" t="inlineStr">
        <is>
          <t>3315</t>
        </is>
      </c>
      <c r="B397" s="20" t="inlineStr">
        <is>
          <t>CARMEN DE ATRATO</t>
        </is>
      </c>
      <c r="C397" s="20" t="inlineStr">
        <is>
          <t>El Carmen De Atrato</t>
        </is>
      </c>
      <c r="D397" s="20" t="inlineStr">
        <is>
          <t>Chocó</t>
        </is>
      </c>
      <c r="E397" s="20" t="inlineStr">
        <is>
          <t>ANTIOQUIA</t>
        </is>
      </c>
      <c r="F397" s="20" t="inlineStr">
        <is>
          <t>Martes a Viernes  08:00 a.m. a 11:30 a.m.  y de  02:00 p.m. a 4:30 p.m . y Sábados de 8:00 a.m. a 02.00 p.m.</t>
        </is>
      </c>
      <c r="G397" s="20" t="inlineStr">
        <is>
          <t>Carrera 5 No. 5 - 15 Pqrque Principal.</t>
        </is>
      </c>
      <c r="H397" s="20" t="inlineStr">
        <is>
          <t>6013821400</t>
        </is>
      </c>
      <c r="I397" s="20" t="inlineStr">
        <is>
          <t>MARTES A SABADO</t>
        </is>
      </c>
      <c r="J397" s="20" t="inlineStr">
        <is>
          <t>INSARED</t>
        </is>
      </c>
      <c r="K397" s="21" t="n">
        <v>46310</v>
      </c>
      <c r="L397" s="21" t="n">
        <v>46311</v>
      </c>
      <c r="M397" s="20" t="n">
        <v>12</v>
      </c>
    </row>
    <row r="398">
      <c r="A398" s="16" t="inlineStr">
        <is>
          <t>3320</t>
        </is>
      </c>
      <c r="B398" s="17" t="inlineStr">
        <is>
          <t>CONDOTO</t>
        </is>
      </c>
      <c r="C398" s="17" t="inlineStr">
        <is>
          <t>Condoto</t>
        </is>
      </c>
      <c r="D398" s="17" t="inlineStr">
        <is>
          <t>Chocó</t>
        </is>
      </c>
      <c r="E398" s="17" t="inlineStr">
        <is>
          <t>ANTIOQUIA</t>
        </is>
      </c>
      <c r="F398" s="17" t="inlineStr">
        <is>
          <t>8:00 AM - 11:30 AM Y DE 02:00 PM - 04:30 PM</t>
        </is>
      </c>
      <c r="G398" s="17" t="inlineStr">
        <is>
          <t>Carrera 3 No. 6-7 Barrio el Comercio</t>
        </is>
      </c>
      <c r="H398" s="17" t="inlineStr">
        <is>
          <t>6013821400</t>
        </is>
      </c>
      <c r="I398" s="17" t="inlineStr">
        <is>
          <t>LUNES A VIERNES</t>
        </is>
      </c>
      <c r="J398" s="17" t="inlineStr">
        <is>
          <t>INSARED</t>
        </is>
      </c>
      <c r="K398" s="18" t="n">
        <v>46308</v>
      </c>
      <c r="L398" s="18" t="n">
        <v>46309</v>
      </c>
      <c r="M398" s="17" t="n">
        <v>23</v>
      </c>
    </row>
    <row r="399">
      <c r="A399" s="19" t="inlineStr">
        <is>
          <t>3350</t>
        </is>
      </c>
      <c r="B399" s="20" t="inlineStr">
        <is>
          <t>PIZARRO</t>
        </is>
      </c>
      <c r="C399" s="20" t="inlineStr">
        <is>
          <t>Bajo Baudó</t>
        </is>
      </c>
      <c r="D399" s="20" t="inlineStr">
        <is>
          <t>Chocó</t>
        </is>
      </c>
      <c r="E399" s="20" t="inlineStr">
        <is>
          <t>ANTIOQUIA</t>
        </is>
      </c>
      <c r="F399" s="20" t="inlineStr">
        <is>
          <t>8:00 AM - 11:30 AM Y DE 02:00 PM - 04:30 PM</t>
        </is>
      </c>
      <c r="G399" s="20" t="inlineStr">
        <is>
          <t>Barrio Santander - Antiguo Horgar Infantil - Pizarro - Chocó</t>
        </is>
      </c>
      <c r="H399" s="20" t="inlineStr">
        <is>
          <t>6013821400</t>
        </is>
      </c>
      <c r="I399" s="20" t="inlineStr">
        <is>
          <t>LUNES A VIERNES</t>
        </is>
      </c>
      <c r="J399" s="20" t="inlineStr">
        <is>
          <t>INSARED</t>
        </is>
      </c>
      <c r="K399" s="21" t="n">
        <v>46316</v>
      </c>
      <c r="L399" s="21" t="n">
        <v>46317</v>
      </c>
      <c r="M399" s="20" t="n">
        <v>11</v>
      </c>
    </row>
    <row r="400">
      <c r="A400" s="16" t="inlineStr">
        <is>
          <t>3360</t>
        </is>
      </c>
      <c r="B400" s="17" t="inlineStr">
        <is>
          <t>RIOSUCIO</t>
        </is>
      </c>
      <c r="C400" s="17" t="inlineStr">
        <is>
          <t>Riosucio</t>
        </is>
      </c>
      <c r="D400" s="17" t="inlineStr">
        <is>
          <t>Chocó</t>
        </is>
      </c>
      <c r="E400" s="17" t="inlineStr">
        <is>
          <t>ANTIOQUIA</t>
        </is>
      </c>
      <c r="F400" s="17" t="inlineStr">
        <is>
          <t>8:00 AM - 11:30 AM Y DE 02:00 PM - 04:30 PM</t>
        </is>
      </c>
      <c r="G400" s="17" t="inlineStr">
        <is>
          <t>Calle 5 No 7-35</t>
        </is>
      </c>
      <c r="H400" s="17" t="inlineStr">
        <is>
          <t>6013821400</t>
        </is>
      </c>
      <c r="I400" s="17" t="inlineStr">
        <is>
          <t>LUNES A VIERNES</t>
        </is>
      </c>
      <c r="J400" s="17" t="inlineStr">
        <is>
          <t>INSARED</t>
        </is>
      </c>
      <c r="K400" s="18" t="n">
        <v>46302</v>
      </c>
      <c r="L400" s="18" t="n">
        <v>46302</v>
      </c>
      <c r="M400" s="17" t="n">
        <v>12</v>
      </c>
    </row>
    <row r="401">
      <c r="A401" s="19" t="inlineStr">
        <is>
          <t>3370</t>
        </is>
      </c>
      <c r="B401" s="20" t="inlineStr">
        <is>
          <t>UNGUIA</t>
        </is>
      </c>
      <c r="C401" s="20" t="inlineStr">
        <is>
          <t>Unguía</t>
        </is>
      </c>
      <c r="D401" s="20" t="inlineStr">
        <is>
          <t>Chocó</t>
        </is>
      </c>
      <c r="E401" s="20" t="inlineStr">
        <is>
          <t>ANTIOQUIA</t>
        </is>
      </c>
      <c r="F401" s="20" t="inlineStr">
        <is>
          <t>8:00 AM - 11:30 AM Y DE 02:00 PM - 04:30 PM</t>
        </is>
      </c>
      <c r="G401" s="20" t="inlineStr">
        <is>
          <t>CRA 3 No. 3-11/15 Calle principal</t>
        </is>
      </c>
      <c r="H401" s="20" t="inlineStr">
        <is>
          <t>6013821400</t>
        </is>
      </c>
      <c r="I401" s="20" t="inlineStr">
        <is>
          <t>LUNES A VIERNES</t>
        </is>
      </c>
      <c r="J401" s="20" t="inlineStr">
        <is>
          <t>INSARED</t>
        </is>
      </c>
      <c r="K401" s="21" t="n">
        <v>46303</v>
      </c>
      <c r="L401" s="21" t="n">
        <v>46303</v>
      </c>
      <c r="M401" s="20" t="n">
        <v>12</v>
      </c>
    </row>
    <row r="402">
      <c r="A402" s="16" t="inlineStr">
        <is>
          <t>3375</t>
        </is>
      </c>
      <c r="B402" s="17" t="inlineStr">
        <is>
          <t>TADO</t>
        </is>
      </c>
      <c r="C402" s="17" t="inlineStr">
        <is>
          <t>Tadó</t>
        </is>
      </c>
      <c r="D402" s="17" t="inlineStr">
        <is>
          <t>Chocó</t>
        </is>
      </c>
      <c r="E402" s="17" t="inlineStr">
        <is>
          <t>ANTIOQUIA</t>
        </is>
      </c>
      <c r="F402" s="17" t="inlineStr">
        <is>
          <t>8:00 AM - 11:30 AM Y DE 02:00 PM - 04:30 PM</t>
        </is>
      </c>
      <c r="G402" s="17" t="inlineStr">
        <is>
          <t>Carrera 16 No.6-22</t>
        </is>
      </c>
      <c r="H402" s="17" t="inlineStr">
        <is>
          <t>6013821400</t>
        </is>
      </c>
      <c r="I402" s="17" t="inlineStr">
        <is>
          <t>LUNES A VIERNES</t>
        </is>
      </c>
      <c r="J402" s="17" t="inlineStr">
        <is>
          <t>INSARED</t>
        </is>
      </c>
      <c r="K402" s="18" t="n">
        <v>46303</v>
      </c>
      <c r="L402" s="18" t="n">
        <v>46304</v>
      </c>
      <c r="M402" s="17" t="n">
        <v>15</v>
      </c>
    </row>
    <row r="403">
      <c r="A403" s="19" t="inlineStr">
        <is>
          <t>3603</t>
        </is>
      </c>
      <c r="B403" s="20" t="inlineStr">
        <is>
          <t>RIOHACHA</t>
        </is>
      </c>
      <c r="C403" s="20" t="inlineStr">
        <is>
          <t>Riohacha</t>
        </is>
      </c>
      <c r="D403" s="20" t="inlineStr">
        <is>
          <t>La Guajira</t>
        </is>
      </c>
      <c r="E403" s="20" t="inlineStr">
        <is>
          <t>COSTA</t>
        </is>
      </c>
      <c r="F403" s="20" t="inlineStr">
        <is>
          <t>8:00 AM - 11:30 AM Y DE 02:00 PM - 04:30 PM</t>
        </is>
      </c>
      <c r="G403" s="20" t="inlineStr">
        <is>
          <t>Calle 2 Nº. 6-67/69</t>
        </is>
      </c>
      <c r="H403" s="20" t="inlineStr">
        <is>
          <t>6013821400</t>
        </is>
      </c>
      <c r="I403" s="20" t="inlineStr">
        <is>
          <t>LUNES A VIERNES</t>
        </is>
      </c>
      <c r="J403" s="20" t="inlineStr">
        <is>
          <t>GESTIONATECH</t>
        </is>
      </c>
      <c r="K403" s="21" t="n">
        <v>46282</v>
      </c>
      <c r="L403" s="21" t="n">
        <v>46283</v>
      </c>
      <c r="M403" s="20" t="n">
        <v>27</v>
      </c>
    </row>
    <row r="404">
      <c r="A404" s="16" t="inlineStr">
        <is>
          <t>3620</t>
        </is>
      </c>
      <c r="B404" s="17" t="inlineStr">
        <is>
          <t>MANAURE</t>
        </is>
      </c>
      <c r="C404" s="17" t="inlineStr">
        <is>
          <t>Manaure</t>
        </is>
      </c>
      <c r="D404" s="17" t="inlineStr">
        <is>
          <t>La Guajira</t>
        </is>
      </c>
      <c r="E404" s="17" t="inlineStr">
        <is>
          <t>COSTA</t>
        </is>
      </c>
      <c r="F404" s="17" t="inlineStr">
        <is>
          <t>8:00 AM - 11:30 AM Y DE 02:00 PM - 04:30 PM</t>
        </is>
      </c>
      <c r="G404" s="17" t="inlineStr">
        <is>
          <t>Calle 3 No. 3-36 Barrio Centro</t>
        </is>
      </c>
      <c r="H404" s="17" t="inlineStr">
        <is>
          <t>6013821400</t>
        </is>
      </c>
      <c r="I404" s="17" t="inlineStr">
        <is>
          <t>LUNES A VIERNES</t>
        </is>
      </c>
      <c r="J404" s="17" t="inlineStr">
        <is>
          <t>GESTIONATECH</t>
        </is>
      </c>
      <c r="K404" s="18" t="n">
        <v>46282</v>
      </c>
      <c r="L404" s="18" t="n">
        <v>46282</v>
      </c>
      <c r="M404" s="17" t="n">
        <v>14</v>
      </c>
    </row>
    <row r="405">
      <c r="A405" s="19" t="inlineStr">
        <is>
          <t>3630</t>
        </is>
      </c>
      <c r="B405" s="20" t="inlineStr">
        <is>
          <t>MAICAO</t>
        </is>
      </c>
      <c r="C405" s="20" t="inlineStr">
        <is>
          <t>Maicao</t>
        </is>
      </c>
      <c r="D405" s="20" t="inlineStr">
        <is>
          <t>La Guajira</t>
        </is>
      </c>
      <c r="E405" s="20" t="inlineStr">
        <is>
          <t>COSTA</t>
        </is>
      </c>
      <c r="F405" s="20" t="inlineStr">
        <is>
          <t>8:00 AM - 11:30 AM Y DE 02:00 PM - 04:30 PM</t>
        </is>
      </c>
      <c r="G405" s="20" t="inlineStr">
        <is>
          <t>CALLE 12  Nº. 9-12/12/16/18</t>
        </is>
      </c>
      <c r="H405" s="20" t="inlineStr">
        <is>
          <t>6013821400</t>
        </is>
      </c>
      <c r="I405" s="20" t="inlineStr">
        <is>
          <t>LUNES A VIERNES</t>
        </is>
      </c>
      <c r="J405" s="20" t="inlineStr">
        <is>
          <t>GESTIONATECH</t>
        </is>
      </c>
      <c r="K405" s="21" t="n">
        <v>46279</v>
      </c>
      <c r="L405" s="21" t="n">
        <v>46279</v>
      </c>
      <c r="M405" s="20" t="n">
        <v>30</v>
      </c>
    </row>
    <row r="406">
      <c r="A406" s="16" t="inlineStr">
        <is>
          <t>3640</t>
        </is>
      </c>
      <c r="B406" s="17" t="inlineStr">
        <is>
          <t>SAN JUAN DEL CESAR</t>
        </is>
      </c>
      <c r="C406" s="17" t="inlineStr">
        <is>
          <t>San Juan Del Cesar</t>
        </is>
      </c>
      <c r="D406" s="17" t="inlineStr">
        <is>
          <t>La Guajira</t>
        </is>
      </c>
      <c r="E406" s="17" t="inlineStr">
        <is>
          <t>COSTA</t>
        </is>
      </c>
      <c r="F406" s="17" t="inlineStr">
        <is>
          <t>8:00 AM - 11:30 AM Y DE 02:00 PM - 04:30 PM</t>
        </is>
      </c>
      <c r="G406" s="17" t="inlineStr">
        <is>
          <t>CALLE  5 N° 5 -121</t>
        </is>
      </c>
      <c r="H406" s="17" t="inlineStr">
        <is>
          <t>6013821400</t>
        </is>
      </c>
      <c r="I406" s="17" t="inlineStr">
        <is>
          <t>LUNES A VIERNES</t>
        </is>
      </c>
      <c r="J406" s="17" t="inlineStr">
        <is>
          <t>GESTIONATECH</t>
        </is>
      </c>
      <c r="K406" s="18" t="n">
        <v>46267</v>
      </c>
      <c r="L406" s="18" t="n">
        <v>46267</v>
      </c>
      <c r="M406" s="17" t="n">
        <v>26</v>
      </c>
    </row>
    <row r="407">
      <c r="A407" s="19" t="inlineStr">
        <is>
          <t>3655</t>
        </is>
      </c>
      <c r="B407" s="20" t="inlineStr">
        <is>
          <t>VILLANUEVA</t>
        </is>
      </c>
      <c r="C407" s="20" t="inlineStr">
        <is>
          <t>VILLANUEVA</t>
        </is>
      </c>
      <c r="D407" s="20" t="inlineStr">
        <is>
          <t>La Guajira</t>
        </is>
      </c>
      <c r="E407" s="20" t="inlineStr">
        <is>
          <t>COSTA</t>
        </is>
      </c>
      <c r="F407" s="20" t="inlineStr">
        <is>
          <t>8:00 AM - 11:30 AM Y DE 02:00 PM - 04:30 PM</t>
        </is>
      </c>
      <c r="G407" s="20" t="inlineStr">
        <is>
          <t>Carrera 8a No 12A 83– Parque Principal Villanueva</t>
        </is>
      </c>
      <c r="H407" s="20" t="inlineStr">
        <is>
          <t>6013821400</t>
        </is>
      </c>
      <c r="I407" s="20" t="inlineStr">
        <is>
          <t>LUNES A VIERNES</t>
        </is>
      </c>
      <c r="J407" s="20" t="inlineStr">
        <is>
          <t>GESTIONATECH</t>
        </is>
      </c>
      <c r="K407" s="21" t="n">
        <v>46295</v>
      </c>
      <c r="L407" s="21" t="n">
        <v>46295</v>
      </c>
      <c r="M407" s="20" t="n">
        <v>12</v>
      </c>
    </row>
    <row r="408">
      <c r="A408" s="16" t="inlineStr">
        <is>
          <t>3660</t>
        </is>
      </c>
      <c r="B408" s="17" t="inlineStr">
        <is>
          <t>URUMITA</t>
        </is>
      </c>
      <c r="C408" s="17" t="inlineStr">
        <is>
          <t>Urumita</t>
        </is>
      </c>
      <c r="D408" s="17" t="inlineStr">
        <is>
          <t>La Guajira</t>
        </is>
      </c>
      <c r="E408" s="17" t="inlineStr">
        <is>
          <t>COSTA</t>
        </is>
      </c>
      <c r="F408" s="17" t="inlineStr">
        <is>
          <t>8:00 AM - 11:30 AM Y DE 02:00 PM - 04:30 PM</t>
        </is>
      </c>
      <c r="G408" s="17" t="inlineStr">
        <is>
          <t>Carrera 9  N° 9 -04</t>
        </is>
      </c>
      <c r="H408" s="17" t="inlineStr">
        <is>
          <t>6013821400</t>
        </is>
      </c>
      <c r="I408" s="17" t="inlineStr">
        <is>
          <t>LUNES A VIERNES</t>
        </is>
      </c>
      <c r="J408" s="17" t="inlineStr">
        <is>
          <t>GESTIONATECH</t>
        </is>
      </c>
      <c r="K408" s="18" t="n">
        <v>46294</v>
      </c>
      <c r="L408" s="18" t="n">
        <v>46294</v>
      </c>
      <c r="M408" s="17" t="n">
        <v>12</v>
      </c>
    </row>
    <row r="409">
      <c r="A409" s="19" t="inlineStr">
        <is>
          <t>3901</t>
        </is>
      </c>
      <c r="B409" s="20" t="inlineStr">
        <is>
          <t>ACEVEDO</t>
        </is>
      </c>
      <c r="C409" s="20" t="inlineStr">
        <is>
          <t>Acevedo</t>
        </is>
      </c>
      <c r="D409" s="20" t="inlineStr">
        <is>
          <t>Huila</t>
        </is>
      </c>
      <c r="E409" s="20" t="inlineStr">
        <is>
          <t>SUR</t>
        </is>
      </c>
      <c r="F409" s="20" t="inlineStr">
        <is>
          <t>DE MARTES A VIERNES DE 8:00 AM A 11:30 AM Y DE 2:00 P.M. A 4:30 P.M.    SABADO DE 8:00 AM A 2:00 P.M.</t>
        </is>
      </c>
      <c r="G409" s="20" t="inlineStr">
        <is>
          <t>Carrera 4 No 6 -19/25 Acevedo - Huila</t>
        </is>
      </c>
      <c r="H409" s="20" t="inlineStr">
        <is>
          <t>6013821400</t>
        </is>
      </c>
      <c r="I409" s="20" t="inlineStr">
        <is>
          <t>MARTES A VIERNES Y      SÁBADO</t>
        </is>
      </c>
      <c r="J409" s="20" t="inlineStr">
        <is>
          <t>GESTIONATECH</t>
        </is>
      </c>
      <c r="K409" s="21" t="n">
        <v>46311</v>
      </c>
      <c r="L409" s="21" t="n">
        <v>46311</v>
      </c>
      <c r="M409" s="20" t="n">
        <v>25</v>
      </c>
    </row>
    <row r="410">
      <c r="A410" s="16" t="inlineStr">
        <is>
          <t>3902</t>
        </is>
      </c>
      <c r="B410" s="17" t="inlineStr">
        <is>
          <t>AGRADO</t>
        </is>
      </c>
      <c r="C410" s="17" t="inlineStr">
        <is>
          <t>Agrado</t>
        </is>
      </c>
      <c r="D410" s="17" t="inlineStr">
        <is>
          <t>Huila</t>
        </is>
      </c>
      <c r="E410" s="17" t="inlineStr">
        <is>
          <t>SUR</t>
        </is>
      </c>
      <c r="F410" s="17" t="inlineStr">
        <is>
          <t>DE MARTES A VIERNES DE 8:00 AM A 11:30 AM Y DE 2:00 P.M. A 4:30 P.M.    SABADO DE 8:00 AM A 2:00 P.M.</t>
        </is>
      </c>
      <c r="G410" s="17" t="inlineStr">
        <is>
          <t>Carrera 4 No 5-16 Parque Central.</t>
        </is>
      </c>
      <c r="H410" s="17" t="inlineStr">
        <is>
          <t>6013821400</t>
        </is>
      </c>
      <c r="I410" s="17" t="inlineStr">
        <is>
          <t>MARTES A VIERNES Y      SÁBADO</t>
        </is>
      </c>
      <c r="J410" s="17" t="inlineStr">
        <is>
          <t>GESTIONATECH</t>
        </is>
      </c>
      <c r="K410" s="18" t="n">
        <v>46288</v>
      </c>
      <c r="L410" s="18" t="n">
        <v>46288</v>
      </c>
      <c r="M410" s="17" t="n">
        <v>14</v>
      </c>
    </row>
    <row r="411">
      <c r="A411" s="19" t="inlineStr">
        <is>
          <t>7103</t>
        </is>
      </c>
      <c r="B411" s="20" t="inlineStr">
        <is>
          <t>LETICIA</t>
        </is>
      </c>
      <c r="C411" s="20" t="inlineStr">
        <is>
          <t>Leticia</t>
        </is>
      </c>
      <c r="D411" s="20" t="inlineStr">
        <is>
          <t>Amazonas</t>
        </is>
      </c>
      <c r="E411" s="20" t="inlineStr">
        <is>
          <t>BOGOTA</t>
        </is>
      </c>
      <c r="F411" s="20" t="inlineStr">
        <is>
          <t>8:00 AM - 11:30 AM Y DE 02:00 PM - 04:30 PM</t>
        </is>
      </c>
      <c r="G411" s="20" t="inlineStr">
        <is>
          <t>Calle.8 No.10-66/70</t>
        </is>
      </c>
      <c r="H411" s="20" t="inlineStr">
        <is>
          <t>6013821400</t>
        </is>
      </c>
      <c r="I411" s="20" t="inlineStr">
        <is>
          <t>LUNES A VIERNES</t>
        </is>
      </c>
      <c r="J411" s="20" t="inlineStr">
        <is>
          <t>COBERTURA</t>
        </is>
      </c>
      <c r="K411" s="21" t="n">
        <v>46276</v>
      </c>
      <c r="L411" s="21" t="n">
        <v>46276</v>
      </c>
      <c r="M411" s="20" t="n">
        <v>19</v>
      </c>
    </row>
    <row r="412">
      <c r="A412" s="16" t="inlineStr">
        <is>
          <t>3904</t>
        </is>
      </c>
      <c r="B412" s="17" t="inlineStr">
        <is>
          <t>SOLITA</t>
        </is>
      </c>
      <c r="C412" s="17" t="inlineStr">
        <is>
          <t>Solita</t>
        </is>
      </c>
      <c r="D412" s="17" t="inlineStr">
        <is>
          <t>Caquetá</t>
        </is>
      </c>
      <c r="E412" s="17" t="inlineStr">
        <is>
          <t>SUR</t>
        </is>
      </c>
      <c r="F412" s="17" t="inlineStr">
        <is>
          <t>8:00 AM - 11:30 AM Y DE 02:00 PM - 04:30 PM</t>
        </is>
      </c>
      <c r="G412" s="17" t="inlineStr">
        <is>
          <t>Carrera 4 N°2-65/69 -Calle 3N°3-62/66</t>
        </is>
      </c>
      <c r="H412" s="17" t="inlineStr">
        <is>
          <t>6013821400</t>
        </is>
      </c>
      <c r="I412" s="17" t="inlineStr">
        <is>
          <t>LUNES A VIERNES</t>
        </is>
      </c>
      <c r="J412" s="17" t="inlineStr">
        <is>
          <t>GESTIONATECH</t>
        </is>
      </c>
      <c r="K412" s="18" t="n">
        <v>46343</v>
      </c>
      <c r="L412" s="18" t="n">
        <v>46343</v>
      </c>
      <c r="M412" s="17" t="n">
        <v>15</v>
      </c>
    </row>
    <row r="413">
      <c r="A413" s="19" t="inlineStr">
        <is>
          <t>3905</t>
        </is>
      </c>
      <c r="B413" s="20" t="inlineStr">
        <is>
          <t>NEIVA</t>
        </is>
      </c>
      <c r="C413" s="20" t="inlineStr">
        <is>
          <t>Neiva</t>
        </is>
      </c>
      <c r="D413" s="20" t="inlineStr">
        <is>
          <t>Huila</t>
        </is>
      </c>
      <c r="E413" s="20" t="inlineStr">
        <is>
          <t>SUR</t>
        </is>
      </c>
      <c r="F413" s="20" t="inlineStr">
        <is>
          <t>8:00 AM - 11:30 AM Y DE 02:00 PM - 04:30 PM</t>
        </is>
      </c>
      <c r="G413" s="20" t="inlineStr">
        <is>
          <t>CALLE 7 No. 6 - 27</t>
        </is>
      </c>
      <c r="H413" s="20" t="inlineStr">
        <is>
          <t>6013821400</t>
        </is>
      </c>
      <c r="I413" s="20" t="inlineStr">
        <is>
          <t>LUNES A VIERNES</t>
        </is>
      </c>
      <c r="J413" s="20" t="inlineStr">
        <is>
          <t>REGIONAL</t>
        </is>
      </c>
      <c r="K413" s="21" t="n">
        <v>46301</v>
      </c>
      <c r="L413" s="21" t="n">
        <v>46311</v>
      </c>
      <c r="M413" s="20" t="n">
        <v>60</v>
      </c>
    </row>
    <row r="414">
      <c r="A414" s="16" t="inlineStr">
        <is>
          <t>3903</t>
        </is>
      </c>
      <c r="B414" s="17" t="inlineStr">
        <is>
          <t>ALGECIRAS</t>
        </is>
      </c>
      <c r="C414" s="17" t="inlineStr">
        <is>
          <t>Algeciras</t>
        </is>
      </c>
      <c r="D414" s="17" t="inlineStr">
        <is>
          <t>Huila</t>
        </is>
      </c>
      <c r="E414" s="17" t="inlineStr">
        <is>
          <t>SUR</t>
        </is>
      </c>
      <c r="F414" s="17" t="inlineStr">
        <is>
          <t>DE MARTES A VIERNES DE 8:00 AM A 11:30 AM Y DE 2:00 P.M. A 4:30 P.M.    SABADO DE 8:00 AM A 2:00 P.M.</t>
        </is>
      </c>
      <c r="G414" s="17" t="inlineStr">
        <is>
          <t>CARRERA 5 N° 6- 59 local 101</t>
        </is>
      </c>
      <c r="H414" s="17" t="inlineStr">
        <is>
          <t>6013821400</t>
        </is>
      </c>
      <c r="I414" s="17" t="inlineStr">
        <is>
          <t>MARTES A VIERNES Y      SÁBADO</t>
        </is>
      </c>
      <c r="J414" s="17" t="inlineStr">
        <is>
          <t>COBERTURA</t>
        </is>
      </c>
      <c r="K414" s="18" t="n">
        <v>46287</v>
      </c>
      <c r="L414" s="18" t="n">
        <v>46288</v>
      </c>
      <c r="M414" s="17" t="n">
        <v>21</v>
      </c>
    </row>
    <row r="415">
      <c r="A415" s="19" t="inlineStr">
        <is>
          <t>3909</t>
        </is>
      </c>
      <c r="B415" s="20" t="inlineStr">
        <is>
          <t>ALTAMIRA</t>
        </is>
      </c>
      <c r="C415" s="20" t="inlineStr">
        <is>
          <t>Altamira</t>
        </is>
      </c>
      <c r="D415" s="20" t="inlineStr">
        <is>
          <t>Huila</t>
        </is>
      </c>
      <c r="E415" s="20" t="inlineStr">
        <is>
          <t>SUR</t>
        </is>
      </c>
      <c r="F415" s="20" t="inlineStr">
        <is>
          <t>DE MARTES A VIERNES DE 8:00 AM A 11:30 AM Y DE 2:00 P.M. A 4:30 P.M.    SABADO DE 8:00 AM A 2:00 P.M.</t>
        </is>
      </c>
      <c r="G415" s="20" t="inlineStr">
        <is>
          <t>Calle 4 solar, hoy calle 6 sin nomenclatura</t>
        </is>
      </c>
      <c r="H415" s="20" t="inlineStr">
        <is>
          <t>6013821400</t>
        </is>
      </c>
      <c r="I415" s="20" t="inlineStr">
        <is>
          <t>MARTES A VIERNES Y      SÁBADO</t>
        </is>
      </c>
      <c r="J415" s="20" t="inlineStr">
        <is>
          <t>GESTIONATECH</t>
        </is>
      </c>
      <c r="K415" s="21" t="n">
        <v>46289</v>
      </c>
      <c r="L415" s="21" t="n">
        <v>46289</v>
      </c>
      <c r="M415" s="20" t="n">
        <v>12</v>
      </c>
    </row>
    <row r="416">
      <c r="A416" s="16" t="inlineStr">
        <is>
          <t>3908</t>
        </is>
      </c>
      <c r="B416" s="17" t="inlineStr">
        <is>
          <t>AIPE</t>
        </is>
      </c>
      <c r="C416" s="17" t="inlineStr">
        <is>
          <t>Aipe</t>
        </is>
      </c>
      <c r="D416" s="17" t="inlineStr">
        <is>
          <t>Huila</t>
        </is>
      </c>
      <c r="E416" s="17" t="inlineStr">
        <is>
          <t>SUR</t>
        </is>
      </c>
      <c r="F416" s="17" t="inlineStr">
        <is>
          <t>8:00 AM - 11:30 AM Y DE 02:00 PM - 04:30 PM</t>
        </is>
      </c>
      <c r="G416" s="17" t="inlineStr">
        <is>
          <t>Calle 5 CRA 4-12 ESQUINA</t>
        </is>
      </c>
      <c r="H416" s="17" t="inlineStr">
        <is>
          <t>6013821400</t>
        </is>
      </c>
      <c r="I416" s="17" t="inlineStr">
        <is>
          <t>LUNES A VIERNES</t>
        </is>
      </c>
      <c r="J416" s="17" t="inlineStr">
        <is>
          <t>COBERTURA</t>
        </is>
      </c>
      <c r="K416" s="18" t="n">
        <v>46275</v>
      </c>
      <c r="L416" s="18" t="n">
        <v>46276</v>
      </c>
      <c r="M416" s="17" t="n">
        <v>15</v>
      </c>
    </row>
    <row r="417">
      <c r="A417" s="19" t="inlineStr">
        <is>
          <t>3910</t>
        </is>
      </c>
      <c r="B417" s="20" t="inlineStr">
        <is>
          <t>COLOMBIA</t>
        </is>
      </c>
      <c r="C417" s="20" t="inlineStr">
        <is>
          <t>Colombia</t>
        </is>
      </c>
      <c r="D417" s="20" t="inlineStr">
        <is>
          <t>Huila</t>
        </is>
      </c>
      <c r="E417" s="20" t="inlineStr">
        <is>
          <t>SUR</t>
        </is>
      </c>
      <c r="F417" s="20" t="inlineStr">
        <is>
          <t>DE MARTES A VIERNES DE 8:00 AM A 11:30 AM Y DE 2:00 P.M. A 4:30 P.M.    SABADO DE 8:00 AM A 2:00 P.M.</t>
        </is>
      </c>
      <c r="G417" s="20" t="inlineStr">
        <is>
          <t>Cra. 3 No 7 - 12      Carrera 3 No. 6 – 05 Barrio Unicentro</t>
        </is>
      </c>
      <c r="H417" s="20" t="inlineStr">
        <is>
          <t>6013821400</t>
        </is>
      </c>
      <c r="I417" s="20" t="inlineStr">
        <is>
          <t>MARTES A VIERNES Y      SÁBADO</t>
        </is>
      </c>
      <c r="J417" s="20" t="inlineStr">
        <is>
          <t>COBERTURA</t>
        </is>
      </c>
      <c r="K417" s="21" t="n">
        <v>46267</v>
      </c>
      <c r="L417" s="21" t="n">
        <v>46268</v>
      </c>
      <c r="M417" s="20" t="n">
        <v>14</v>
      </c>
    </row>
    <row r="418">
      <c r="A418" s="16" t="inlineStr">
        <is>
          <t>3913</t>
        </is>
      </c>
      <c r="B418" s="17" t="inlineStr">
        <is>
          <t>GARZON</t>
        </is>
      </c>
      <c r="C418" s="17" t="inlineStr">
        <is>
          <t>Garzón</t>
        </is>
      </c>
      <c r="D418" s="17" t="inlineStr">
        <is>
          <t>Huila</t>
        </is>
      </c>
      <c r="E418" s="17" t="inlineStr">
        <is>
          <t>SUR</t>
        </is>
      </c>
      <c r="F418" s="17" t="inlineStr">
        <is>
          <t>8:00 AM - 11:30 AM Y DE 02:00 PM - 04:30 PM</t>
        </is>
      </c>
      <c r="G418" s="17" t="inlineStr">
        <is>
          <t>Calle 7 No.9-55   /57</t>
        </is>
      </c>
      <c r="H418" s="17" t="inlineStr">
        <is>
          <t>6013821400</t>
        </is>
      </c>
      <c r="I418" s="17" t="inlineStr">
        <is>
          <t>LUNES A VIERNES</t>
        </is>
      </c>
      <c r="J418" s="17" t="inlineStr">
        <is>
          <t>GESTIONATECH</t>
        </is>
      </c>
      <c r="K418" s="18" t="n">
        <v>46286</v>
      </c>
      <c r="L418" s="18" t="n">
        <v>46286</v>
      </c>
      <c r="M418" s="17" t="n">
        <v>28</v>
      </c>
    </row>
    <row r="419">
      <c r="A419" s="19" t="inlineStr">
        <is>
          <t>3914</t>
        </is>
      </c>
      <c r="B419" s="20" t="inlineStr">
        <is>
          <t>CAMPOALEGRE</t>
        </is>
      </c>
      <c r="C419" s="20" t="inlineStr">
        <is>
          <t>Campolegre</t>
        </is>
      </c>
      <c r="D419" s="20" t="inlineStr">
        <is>
          <t>Huila</t>
        </is>
      </c>
      <c r="E419" s="20" t="inlineStr">
        <is>
          <t>SUR</t>
        </is>
      </c>
      <c r="F419" s="20" t="inlineStr">
        <is>
          <t>8:00 AM - 11:30 AM Y DE 02:00 PM - 04:30 PM</t>
        </is>
      </c>
      <c r="G419" s="20" t="inlineStr">
        <is>
          <t>Calle 17 No. 7-63</t>
        </is>
      </c>
      <c r="H419" s="20" t="inlineStr">
        <is>
          <t>6013821400</t>
        </is>
      </c>
      <c r="I419" s="20" t="inlineStr">
        <is>
          <t>LUNES A VIERNES</t>
        </is>
      </c>
      <c r="J419" s="20" t="inlineStr">
        <is>
          <t>GESTIONATECH</t>
        </is>
      </c>
      <c r="K419" s="21" t="n">
        <v>46272</v>
      </c>
      <c r="L419" s="21" t="n">
        <v>46272</v>
      </c>
      <c r="M419" s="20" t="n">
        <v>19</v>
      </c>
    </row>
    <row r="420">
      <c r="A420" s="16" t="inlineStr">
        <is>
          <t>3915</t>
        </is>
      </c>
      <c r="B420" s="17" t="inlineStr">
        <is>
          <t>CURILLO</t>
        </is>
      </c>
      <c r="C420" s="17" t="inlineStr">
        <is>
          <t>Curillo</t>
        </is>
      </c>
      <c r="D420" s="17" t="inlineStr">
        <is>
          <t>Caquetá</t>
        </is>
      </c>
      <c r="E420" s="17" t="inlineStr">
        <is>
          <t>SUR</t>
        </is>
      </c>
      <c r="F420" s="17" t="inlineStr">
        <is>
          <t>8:00 AM - 11:30 AM Y DE 02:00 PM - 04:30 PM</t>
        </is>
      </c>
      <c r="G420" s="17" t="inlineStr">
        <is>
          <t>Calle 11 N° 2-01</t>
        </is>
      </c>
      <c r="H420" s="17" t="inlineStr">
        <is>
          <t>6013821400</t>
        </is>
      </c>
      <c r="I420" s="17" t="inlineStr">
        <is>
          <t>LUNES A VIERNES</t>
        </is>
      </c>
      <c r="J420" s="17" t="inlineStr">
        <is>
          <t>GESTIONATECH</t>
        </is>
      </c>
      <c r="K420" s="18" t="n">
        <v>46335</v>
      </c>
      <c r="L420" s="18" t="n">
        <v>46335</v>
      </c>
      <c r="M420" s="17" t="n">
        <v>12</v>
      </c>
    </row>
    <row r="421">
      <c r="A421" s="19" t="inlineStr">
        <is>
          <t>3916</t>
        </is>
      </c>
      <c r="B421" s="20" t="inlineStr">
        <is>
          <t>CENTRAL DE ABASTOS NEIVA(Operando Provisionalmente desde Oficina Neiva)</t>
        </is>
      </c>
      <c r="C421" s="20" t="inlineStr">
        <is>
          <t>Neiva</t>
        </is>
      </c>
      <c r="D421" s="20" t="inlineStr">
        <is>
          <t>Huila</t>
        </is>
      </c>
      <c r="E421" s="20" t="inlineStr">
        <is>
          <t>SUR</t>
        </is>
      </c>
      <c r="F421" s="20" t="inlineStr">
        <is>
          <t>8:00 AM - 11:30 AM Y DE 02:00 PM - 04:30 PM</t>
        </is>
      </c>
      <c r="G421" s="20" t="inlineStr">
        <is>
          <t>CALLE 7 No. 6 - 27</t>
        </is>
      </c>
      <c r="H421" s="20" t="inlineStr">
        <is>
          <t>6013821400</t>
        </is>
      </c>
      <c r="I421" s="20" t="inlineStr">
        <is>
          <t>LUNES A VIERNES</t>
        </is>
      </c>
      <c r="J421" s="20" t="inlineStr">
        <is>
          <t>REGIONAL</t>
        </is>
      </c>
      <c r="K421" s="21" t="n">
        <v>46315</v>
      </c>
      <c r="L421" s="21" t="n">
        <v>46318</v>
      </c>
      <c r="M421" s="20" t="n">
        <v>26</v>
      </c>
    </row>
    <row r="422">
      <c r="A422" s="16" t="inlineStr">
        <is>
          <t>3918</t>
        </is>
      </c>
      <c r="B422" s="17" t="inlineStr">
        <is>
          <t>GIGANTE</t>
        </is>
      </c>
      <c r="C422" s="17" t="inlineStr">
        <is>
          <t>Gigante</t>
        </is>
      </c>
      <c r="D422" s="17" t="inlineStr">
        <is>
          <t>Huila</t>
        </is>
      </c>
      <c r="E422" s="17" t="inlineStr">
        <is>
          <t>SUR</t>
        </is>
      </c>
      <c r="F422" s="17" t="inlineStr">
        <is>
          <t>DE MARTES A VIERNES DE 8:00 AM A 11:30 AM Y DE 2:00 P.M. A 4:30 P.M.    SABADO DE 8:00 AM A 2:00 P.M.</t>
        </is>
      </c>
      <c r="G422" s="17" t="inlineStr">
        <is>
          <t>Cra.4 Calle 4 Esquina</t>
        </is>
      </c>
      <c r="H422" s="17" t="inlineStr">
        <is>
          <t>6013821400</t>
        </is>
      </c>
      <c r="I422" s="17" t="inlineStr">
        <is>
          <t>MARTES A VIERNES Y      SÁBADO</t>
        </is>
      </c>
      <c r="J422" s="17" t="inlineStr">
        <is>
          <t>GESTIONATECH</t>
        </is>
      </c>
      <c r="K422" s="18" t="n">
        <v>46275</v>
      </c>
      <c r="L422" s="18" t="n">
        <v>46275</v>
      </c>
      <c r="M422" s="17" t="n">
        <v>25</v>
      </c>
    </row>
    <row r="423">
      <c r="A423" s="19" t="inlineStr">
        <is>
          <t>3920</t>
        </is>
      </c>
      <c r="B423" s="20" t="inlineStr">
        <is>
          <t>GUADALUPE</t>
        </is>
      </c>
      <c r="C423" s="20" t="inlineStr">
        <is>
          <t>Guadalupe</t>
        </is>
      </c>
      <c r="D423" s="20" t="inlineStr">
        <is>
          <t>Huila</t>
        </is>
      </c>
      <c r="E423" s="20" t="inlineStr">
        <is>
          <t>SUR</t>
        </is>
      </c>
      <c r="F423" s="20" t="inlineStr">
        <is>
          <t>DE MARTES A VIERNES DE 8:00 AM A 11:30 AM Y DE 2:00 P.M. A 4:30 P.M.    SABADO DE 8:00 AM A 2:00 P.M.</t>
        </is>
      </c>
      <c r="G423" s="20" t="inlineStr">
        <is>
          <t>CRA 6 No 4 - 24</t>
        </is>
      </c>
      <c r="H423" s="20" t="inlineStr">
        <is>
          <t>6013821400</t>
        </is>
      </c>
      <c r="I423" s="20" t="inlineStr">
        <is>
          <t>MARTES A VIERNES Y      SÁBADO</t>
        </is>
      </c>
      <c r="J423" s="20" t="inlineStr">
        <is>
          <t>GESTIONATECH</t>
        </is>
      </c>
      <c r="K423" s="21" t="n">
        <v>46310</v>
      </c>
      <c r="L423" s="21" t="n">
        <v>46310</v>
      </c>
      <c r="M423" s="20" t="n">
        <v>17</v>
      </c>
    </row>
    <row r="424">
      <c r="A424" s="16" t="inlineStr">
        <is>
          <t>3912</t>
        </is>
      </c>
      <c r="B424" s="17" t="inlineStr">
        <is>
          <t>BARAYA</t>
        </is>
      </c>
      <c r="C424" s="17" t="inlineStr">
        <is>
          <t>Baraya</t>
        </is>
      </c>
      <c r="D424" s="17" t="inlineStr">
        <is>
          <t>Huila</t>
        </is>
      </c>
      <c r="E424" s="17" t="inlineStr">
        <is>
          <t>SUR</t>
        </is>
      </c>
      <c r="F424" s="17" t="inlineStr">
        <is>
          <t>DE MARTES A VIERNES DE 8:00 AM A 11:30 AM Y DE 2:00 P.M. A 4:30 P.M.    SABADO DE 8:00 AM A 2:00 P.M.</t>
        </is>
      </c>
      <c r="G424" s="17" t="inlineStr">
        <is>
          <t>Calle 2C No.6-64</t>
        </is>
      </c>
      <c r="H424" s="17" t="inlineStr">
        <is>
          <t>6013821400</t>
        </is>
      </c>
      <c r="I424" s="17" t="inlineStr">
        <is>
          <t>MARTES A VIERNES Y      SÁBADO</t>
        </is>
      </c>
      <c r="J424" s="17" t="inlineStr">
        <is>
          <t>COBERTURA</t>
        </is>
      </c>
      <c r="K424" s="18" t="n">
        <v>46268</v>
      </c>
      <c r="L424" s="18" t="n">
        <v>46269</v>
      </c>
      <c r="M424" s="17" t="n">
        <v>11</v>
      </c>
    </row>
    <row r="425">
      <c r="A425" s="19" t="inlineStr">
        <is>
          <t>3922</t>
        </is>
      </c>
      <c r="B425" s="20" t="inlineStr">
        <is>
          <t>HOBO</t>
        </is>
      </c>
      <c r="C425" s="20" t="inlineStr">
        <is>
          <t>Hobo</t>
        </is>
      </c>
      <c r="D425" s="20" t="inlineStr">
        <is>
          <t>Huila</t>
        </is>
      </c>
      <c r="E425" s="20" t="inlineStr">
        <is>
          <t>SUR</t>
        </is>
      </c>
      <c r="F425" s="20" t="inlineStr">
        <is>
          <t>DE MARTES A VIERNES DE 8:00 AM A 11:30 AM Y DE 2:00 P.M. A 4:30 P.M.    SABADO DE 8:00 AM A 2:00 P.M.</t>
        </is>
      </c>
      <c r="G425" s="20" t="inlineStr">
        <is>
          <t>Carrera 8 No. 5-36</t>
        </is>
      </c>
      <c r="H425" s="20" t="inlineStr">
        <is>
          <t>6013821400</t>
        </is>
      </c>
      <c r="I425" s="20" t="inlineStr">
        <is>
          <t>MARTES A VIERNES Y      SÁBADO</t>
        </is>
      </c>
      <c r="J425" s="20" t="inlineStr">
        <is>
          <t>GESTIONATECH</t>
        </is>
      </c>
      <c r="K425" s="21" t="n">
        <v>46274</v>
      </c>
      <c r="L425" s="21" t="n">
        <v>46274</v>
      </c>
      <c r="M425" s="20" t="n">
        <v>14</v>
      </c>
    </row>
    <row r="426">
      <c r="A426" s="16" t="inlineStr">
        <is>
          <t>3923</t>
        </is>
      </c>
      <c r="B426" s="17" t="inlineStr">
        <is>
          <t>PAICOL</t>
        </is>
      </c>
      <c r="C426" s="17" t="inlineStr">
        <is>
          <t>Paicol</t>
        </is>
      </c>
      <c r="D426" s="17" t="inlineStr">
        <is>
          <t>Huila</t>
        </is>
      </c>
      <c r="E426" s="17" t="inlineStr">
        <is>
          <t>SUR</t>
        </is>
      </c>
      <c r="F426" s="17" t="inlineStr">
        <is>
          <t>DE MARTES A VIERNES DE 8:00 AM A 11:30 AM Y DE 2:00 P.M. A 4:30 P.M.    SABADO DE 8:00 AM A 2:00 P.M.</t>
        </is>
      </c>
      <c r="G426" s="17" t="inlineStr">
        <is>
          <t>Calle 4 No 6 - 52/56      CALLE 6 No. 6-52</t>
        </is>
      </c>
      <c r="H426" s="17" t="inlineStr">
        <is>
          <t>6013821400</t>
        </is>
      </c>
      <c r="I426" s="17" t="inlineStr">
        <is>
          <t>MARTES A VIERNES Y      SÁBADO</t>
        </is>
      </c>
      <c r="J426" s="17" t="inlineStr">
        <is>
          <t>GESTIONATECH</t>
        </is>
      </c>
      <c r="K426" s="18" t="n">
        <v>46282</v>
      </c>
      <c r="L426" s="18" t="n">
        <v>46282</v>
      </c>
      <c r="M426" s="17" t="n">
        <v>12</v>
      </c>
    </row>
    <row r="427">
      <c r="A427" s="19" t="inlineStr">
        <is>
          <t>3925</t>
        </is>
      </c>
      <c r="B427" s="20" t="inlineStr">
        <is>
          <t>PALERMO</t>
        </is>
      </c>
      <c r="C427" s="20" t="inlineStr">
        <is>
          <t>Palermo</t>
        </is>
      </c>
      <c r="D427" s="20" t="inlineStr">
        <is>
          <t>Huila</t>
        </is>
      </c>
      <c r="E427" s="20" t="inlineStr">
        <is>
          <t>SUR</t>
        </is>
      </c>
      <c r="F427" s="20" t="inlineStr">
        <is>
          <t>DE MARTES A VIERNES DE 8:00 AM A 11:30 AM Y DE 2:00 P.M. A 4:30 P.M.    SABADO DE 8:00 AM A 2:00 P.M.</t>
        </is>
      </c>
      <c r="G427" s="20" t="inlineStr">
        <is>
          <t>Carrera 9 No. 9-46</t>
        </is>
      </c>
      <c r="H427" s="20" t="inlineStr">
        <is>
          <t>6013821400</t>
        </is>
      </c>
      <c r="I427" s="20" t="inlineStr">
        <is>
          <t>MARTES A VIERNES Y      SÁBADO</t>
        </is>
      </c>
      <c r="J427" s="20" t="inlineStr">
        <is>
          <t>GESTIONATECH</t>
        </is>
      </c>
      <c r="K427" s="21" t="n">
        <v>46269</v>
      </c>
      <c r="L427" s="21" t="n">
        <v>46269</v>
      </c>
      <c r="M427" s="20" t="n">
        <v>17</v>
      </c>
    </row>
    <row r="428">
      <c r="A428" s="16" t="inlineStr">
        <is>
          <t>3927</t>
        </is>
      </c>
      <c r="B428" s="17" t="inlineStr">
        <is>
          <t>LA PLATA</t>
        </is>
      </c>
      <c r="C428" s="17" t="inlineStr">
        <is>
          <t>La Plata</t>
        </is>
      </c>
      <c r="D428" s="17" t="inlineStr">
        <is>
          <t>Huila</t>
        </is>
      </c>
      <c r="E428" s="17" t="inlineStr">
        <is>
          <t>SUR</t>
        </is>
      </c>
      <c r="F428" s="17" t="inlineStr">
        <is>
          <t>DE MARTES A VIERNES DE 8:00 AM A 11:30 AM Y DE 2:00 P.M. A 4:30 P.M.    SABADO DE 8:00 AM A 2:00 P.M.</t>
        </is>
      </c>
      <c r="G428" s="17" t="inlineStr">
        <is>
          <t>CRA 4 No 3 - 34</t>
        </is>
      </c>
      <c r="H428" s="17" t="inlineStr">
        <is>
          <t>6013821400</t>
        </is>
      </c>
      <c r="I428" s="17" t="inlineStr">
        <is>
          <t>MARTES A VIERNES Y      SÁBADO</t>
        </is>
      </c>
      <c r="J428" s="17" t="inlineStr">
        <is>
          <t>GESTIONATECH</t>
        </is>
      </c>
      <c r="K428" s="18" t="n">
        <v>46281</v>
      </c>
      <c r="L428" s="18" t="n">
        <v>46281</v>
      </c>
      <c r="M428" s="17" t="n">
        <v>41</v>
      </c>
    </row>
    <row r="429">
      <c r="A429" s="19" t="inlineStr">
        <is>
          <t>3928</t>
        </is>
      </c>
      <c r="B429" s="20" t="inlineStr">
        <is>
          <t>LA ARGENTINA</t>
        </is>
      </c>
      <c r="C429" s="20" t="inlineStr">
        <is>
          <t>La Argentina</t>
        </is>
      </c>
      <c r="D429" s="20" t="inlineStr">
        <is>
          <t>Huila</t>
        </is>
      </c>
      <c r="E429" s="20" t="inlineStr">
        <is>
          <t>SUR</t>
        </is>
      </c>
      <c r="F429" s="20" t="inlineStr">
        <is>
          <t>DE MARTES A VIERNES DE 8:00 AM A 11:30 AM Y DE 2:00 P.M. A 4:30 P.M.    SABADO DE 8:00 AM A 2:00 P.M.</t>
        </is>
      </c>
      <c r="G429" s="20" t="inlineStr">
        <is>
          <t>CRA 5 No 5 - 60 Barrio Centro</t>
        </is>
      </c>
      <c r="H429" s="20" t="inlineStr">
        <is>
          <t>6013821400</t>
        </is>
      </c>
      <c r="I429" s="20" t="inlineStr">
        <is>
          <t>MARTES A VIERNES Y      SÁBADO</t>
        </is>
      </c>
      <c r="J429" s="20" t="inlineStr">
        <is>
          <t>GESTIONATECH</t>
        </is>
      </c>
      <c r="K429" s="21" t="n">
        <v>46280</v>
      </c>
      <c r="L429" s="21" t="n">
        <v>46280</v>
      </c>
      <c r="M429" s="20" t="n">
        <v>17</v>
      </c>
    </row>
    <row r="430">
      <c r="A430" s="16" t="inlineStr">
        <is>
          <t>3930</t>
        </is>
      </c>
      <c r="B430" s="17" t="inlineStr">
        <is>
          <t>RIVERA</t>
        </is>
      </c>
      <c r="C430" s="17" t="inlineStr">
        <is>
          <t>Rivera</t>
        </is>
      </c>
      <c r="D430" s="17" t="inlineStr">
        <is>
          <t>Huila</t>
        </is>
      </c>
      <c r="E430" s="17" t="inlineStr">
        <is>
          <t>SUR</t>
        </is>
      </c>
      <c r="F430" s="17" t="inlineStr">
        <is>
          <t>DE MARTES A VIERNES DE 8:00 AM A 11:30 AM Y DE 2:00 P.M. A 4:30 P.M.    SABADO DE 8:00 AM A 2:00 P.M.</t>
        </is>
      </c>
      <c r="G430" s="17" t="inlineStr">
        <is>
          <t>Carrera 7 No. 3-57 - 3-59</t>
        </is>
      </c>
      <c r="H430" s="17" t="inlineStr">
        <is>
          <t>6013821400</t>
        </is>
      </c>
      <c r="I430" s="17" t="inlineStr">
        <is>
          <t>MARTES A VIERNES Y      SÁBADO</t>
        </is>
      </c>
      <c r="J430" s="17" t="inlineStr">
        <is>
          <t>GESTIONATECH</t>
        </is>
      </c>
      <c r="K430" s="18" t="n">
        <v>46273</v>
      </c>
      <c r="L430" s="18" t="n">
        <v>46273</v>
      </c>
      <c r="M430" s="17" t="n">
        <v>17</v>
      </c>
    </row>
    <row r="431">
      <c r="A431" s="19" t="inlineStr">
        <is>
          <t>3921</t>
        </is>
      </c>
      <c r="B431" s="20" t="inlineStr">
        <is>
          <t>ELIAS</t>
        </is>
      </c>
      <c r="C431" s="20" t="inlineStr">
        <is>
          <t>Elías</t>
        </is>
      </c>
      <c r="D431" s="20" t="inlineStr">
        <is>
          <t>Huila</t>
        </is>
      </c>
      <c r="E431" s="20" t="inlineStr">
        <is>
          <t>SUR</t>
        </is>
      </c>
      <c r="F431" s="20" t="inlineStr">
        <is>
          <t>DE MARTES A VIERNES DE 8:00 AM A 11:30 AM Y DE 2:00 P.M. A 4:30 P.M.    SABADO DE 8:00 AM A 2:00 P.M.</t>
        </is>
      </c>
      <c r="G431" s="20" t="inlineStr">
        <is>
          <t>Calle 2 Cra.5 Esquina</t>
        </is>
      </c>
      <c r="H431" s="20" t="inlineStr">
        <is>
          <t>6013821400</t>
        </is>
      </c>
      <c r="I431" s="20" t="inlineStr">
        <is>
          <t>MARTES A VIERNES Y      SÁBADO</t>
        </is>
      </c>
      <c r="J431" s="20" t="inlineStr">
        <is>
          <t>COBERTURA</t>
        </is>
      </c>
      <c r="K431" s="21" t="n">
        <v>46281</v>
      </c>
      <c r="L431" s="21" t="n">
        <v>46282</v>
      </c>
      <c r="M431" s="20" t="n">
        <v>12</v>
      </c>
    </row>
    <row r="432">
      <c r="A432" s="16" t="inlineStr">
        <is>
          <t>3935</t>
        </is>
      </c>
      <c r="B432" s="17" t="inlineStr">
        <is>
          <t>IQUIRA</t>
        </is>
      </c>
      <c r="C432" s="17" t="inlineStr">
        <is>
          <t>Iquira</t>
        </is>
      </c>
      <c r="D432" s="17" t="inlineStr">
        <is>
          <t>Huila</t>
        </is>
      </c>
      <c r="E432" s="17" t="inlineStr">
        <is>
          <t>SUR</t>
        </is>
      </c>
      <c r="F432" s="17" t="inlineStr">
        <is>
          <t>DE MARTES A VIERNES DE 8:00 AM A 11:30 AM Y DE 2:00 P.M. A 4:30 P.M.    SABADO DE 8:00 AM A 2:00 P.M.</t>
        </is>
      </c>
      <c r="G432" s="17" t="inlineStr">
        <is>
          <t>Carrera 7 No. 3 - 26 Barrio el Centro</t>
        </is>
      </c>
      <c r="H432" s="17" t="inlineStr">
        <is>
          <t>6013821400</t>
        </is>
      </c>
      <c r="I432" s="17" t="inlineStr">
        <is>
          <t>MARTES A VIERNES Y      SÁBADO</t>
        </is>
      </c>
      <c r="J432" s="17" t="inlineStr">
        <is>
          <t>GESTIONATECH</t>
        </is>
      </c>
      <c r="K432" s="18" t="n">
        <v>46266</v>
      </c>
      <c r="L432" s="18" t="n">
        <v>46266</v>
      </c>
      <c r="M432" s="17" t="n">
        <v>16</v>
      </c>
    </row>
    <row r="433">
      <c r="A433" s="19" t="inlineStr">
        <is>
          <t>3937</t>
        </is>
      </c>
      <c r="B433" s="20" t="inlineStr">
        <is>
          <t>ISNOS</t>
        </is>
      </c>
      <c r="C433" s="20" t="inlineStr">
        <is>
          <t>San José de Isnos</t>
        </is>
      </c>
      <c r="D433" s="20" t="inlineStr">
        <is>
          <t>Huila</t>
        </is>
      </c>
      <c r="E433" s="20" t="inlineStr">
        <is>
          <t>SUR</t>
        </is>
      </c>
      <c r="F433" s="20" t="inlineStr">
        <is>
          <t>8:00 AM - 11:30 AM Y DE 02:00 PM - 04:30 PM</t>
        </is>
      </c>
      <c r="G433" s="20" t="inlineStr">
        <is>
          <t>Calle 5 # 3-60</t>
        </is>
      </c>
      <c r="H433" s="20" t="inlineStr">
        <is>
          <t>6013821400</t>
        </is>
      </c>
      <c r="I433" s="20" t="inlineStr">
        <is>
          <t>LUNES A VIERNES</t>
        </is>
      </c>
      <c r="J433" s="20" t="inlineStr">
        <is>
          <t>GESTIONATECH</t>
        </is>
      </c>
      <c r="K433" s="21" t="n">
        <v>46272</v>
      </c>
      <c r="L433" s="21" t="n">
        <v>46272</v>
      </c>
      <c r="M433" s="20" t="n">
        <v>21</v>
      </c>
    </row>
    <row r="434">
      <c r="A434" s="16" t="inlineStr">
        <is>
          <t>3940</t>
        </is>
      </c>
      <c r="B434" s="17" t="inlineStr">
        <is>
          <t>YAGUARA</t>
        </is>
      </c>
      <c r="C434" s="17" t="inlineStr">
        <is>
          <t>Yaguará</t>
        </is>
      </c>
      <c r="D434" s="17" t="inlineStr">
        <is>
          <t>Huila</t>
        </is>
      </c>
      <c r="E434" s="17" t="inlineStr">
        <is>
          <t>SUR</t>
        </is>
      </c>
      <c r="F434" s="17" t="inlineStr">
        <is>
          <t>8:00 AM - 11:30 AM Y DE 02:00 PM - 04:30 PM</t>
        </is>
      </c>
      <c r="G434" s="17" t="inlineStr">
        <is>
          <t>CALLE 4 No 3 - 70</t>
        </is>
      </c>
      <c r="H434" s="17" t="inlineStr">
        <is>
          <t>6013821400</t>
        </is>
      </c>
      <c r="I434" s="17" t="inlineStr">
        <is>
          <t>LUNES A VIERNES</t>
        </is>
      </c>
      <c r="J434" s="17" t="inlineStr">
        <is>
          <t>GESTIONATECH</t>
        </is>
      </c>
      <c r="K434" s="18" t="n">
        <v>46297</v>
      </c>
      <c r="L434" s="18" t="n">
        <v>46297</v>
      </c>
      <c r="M434" s="17" t="n">
        <v>14</v>
      </c>
    </row>
    <row r="435">
      <c r="A435" s="19" t="inlineStr">
        <is>
          <t>3942</t>
        </is>
      </c>
      <c r="B435" s="20" t="inlineStr">
        <is>
          <t>PITALITO</t>
        </is>
      </c>
      <c r="C435" s="20" t="inlineStr">
        <is>
          <t>Pitalito</t>
        </is>
      </c>
      <c r="D435" s="20" t="inlineStr">
        <is>
          <t>Huila</t>
        </is>
      </c>
      <c r="E435" s="20" t="inlineStr">
        <is>
          <t>SUR</t>
        </is>
      </c>
      <c r="F435" s="20" t="inlineStr">
        <is>
          <t>8:00 AM - 11:30 AM Y DE 02:00 PM - 04:30 PM</t>
        </is>
      </c>
      <c r="G435" s="20" t="inlineStr">
        <is>
          <t>Carrera 5 N°3-56</t>
        </is>
      </c>
      <c r="H435" s="20" t="inlineStr">
        <is>
          <t>6013821400</t>
        </is>
      </c>
      <c r="I435" s="20" t="inlineStr">
        <is>
          <t>LUNES A VIERNES</t>
        </is>
      </c>
      <c r="J435" s="20" t="inlineStr">
        <is>
          <t>GESTIONATECH</t>
        </is>
      </c>
      <c r="K435" s="21" t="n">
        <v>46293</v>
      </c>
      <c r="L435" s="21" t="n">
        <v>46294</v>
      </c>
      <c r="M435" s="20" t="n">
        <v>50</v>
      </c>
    </row>
    <row r="436">
      <c r="A436" s="16" t="inlineStr">
        <is>
          <t>3943</t>
        </is>
      </c>
      <c r="B436" s="17" t="inlineStr">
        <is>
          <t>BRUSELAS (Corregimiento de Pitalito - Huila)</t>
        </is>
      </c>
      <c r="C436" s="17" t="inlineStr">
        <is>
          <t>Pitalito</t>
        </is>
      </c>
      <c r="D436" s="17" t="inlineStr">
        <is>
          <t>Huila</t>
        </is>
      </c>
      <c r="E436" s="17" t="inlineStr">
        <is>
          <t>SUR</t>
        </is>
      </c>
      <c r="F436" s="17" t="inlineStr">
        <is>
          <t>DE MARTES A VIERNES DE 8:00 AM A 11:30 AM Y DE 2:00 P.M. A 4:30 P.M.    SABADO DE 8:00 AM A 2:00 P.M.</t>
        </is>
      </c>
      <c r="G436" s="17" t="inlineStr">
        <is>
          <t>Calle 5 N° 3 - 36</t>
        </is>
      </c>
      <c r="H436" s="17" t="inlineStr">
        <is>
          <t>6013821400</t>
        </is>
      </c>
      <c r="I436" s="17" t="inlineStr">
        <is>
          <t>MARTES A VIERNES Y      SÁBADO</t>
        </is>
      </c>
      <c r="J436" s="17" t="inlineStr">
        <is>
          <t>GESTIONATECH</t>
        </is>
      </c>
      <c r="K436" s="18" t="n">
        <v>46295</v>
      </c>
      <c r="L436" s="18" t="n">
        <v>46295</v>
      </c>
      <c r="M436" s="17" t="n">
        <v>17</v>
      </c>
    </row>
    <row r="437">
      <c r="A437" s="19" t="inlineStr">
        <is>
          <t>3945</t>
        </is>
      </c>
      <c r="B437" s="20" t="inlineStr">
        <is>
          <t>PALESTINA</t>
        </is>
      </c>
      <c r="C437" s="20" t="inlineStr">
        <is>
          <t>Palestina</t>
        </is>
      </c>
      <c r="D437" s="20" t="inlineStr">
        <is>
          <t>Huila</t>
        </is>
      </c>
      <c r="E437" s="20" t="inlineStr">
        <is>
          <t>SUR</t>
        </is>
      </c>
      <c r="F437" s="20" t="inlineStr">
        <is>
          <t>DE MARTES A VIERNES DE 8:00 AM A 11:30 AM Y DE 2:00 P.M. A 4:30 P.M.    SABADO DE 8:00 AM A 2:00 P.M.</t>
        </is>
      </c>
      <c r="G437" s="20" t="inlineStr">
        <is>
          <t>Calle 1a No. 2 - 37</t>
        </is>
      </c>
      <c r="H437" s="20" t="inlineStr">
        <is>
          <t>6013821400</t>
        </is>
      </c>
      <c r="I437" s="20" t="inlineStr">
        <is>
          <t>MARTES A VIERNES Y      SÁBADO</t>
        </is>
      </c>
      <c r="J437" s="20" t="inlineStr">
        <is>
          <t>GESTIONATECH</t>
        </is>
      </c>
      <c r="K437" s="21" t="n">
        <v>46296</v>
      </c>
      <c r="L437" s="21" t="n">
        <v>46296</v>
      </c>
      <c r="M437" s="20" t="n">
        <v>15</v>
      </c>
    </row>
    <row r="438">
      <c r="A438" s="16" t="inlineStr">
        <is>
          <t>3947</t>
        </is>
      </c>
      <c r="B438" s="17" t="inlineStr">
        <is>
          <t>OPORAPA</t>
        </is>
      </c>
      <c r="C438" s="17" t="inlineStr">
        <is>
          <t>Oporapa</t>
        </is>
      </c>
      <c r="D438" s="17" t="inlineStr">
        <is>
          <t>Huila</t>
        </is>
      </c>
      <c r="E438" s="17" t="inlineStr">
        <is>
          <t>SUR</t>
        </is>
      </c>
      <c r="F438" s="17" t="inlineStr">
        <is>
          <t>DE MARTES A VIERNES DE 8:00 AM A 11:30 AM Y DE 2:00 P.M. A 4:30 P.M.    SABADO DE 8:00 AM A 2:00 P.M.</t>
        </is>
      </c>
      <c r="G438" s="17" t="inlineStr">
        <is>
          <t>CARRERA 7 No.5 - 21/23</t>
        </is>
      </c>
      <c r="H438" s="17" t="inlineStr">
        <is>
          <t>6013821400</t>
        </is>
      </c>
      <c r="I438" s="17" t="inlineStr">
        <is>
          <t>MARTES A VIERNES Y      SÁBADO</t>
        </is>
      </c>
      <c r="J438" s="17" t="inlineStr">
        <is>
          <t>GESTIONATECH</t>
        </is>
      </c>
      <c r="K438" s="18" t="n">
        <v>46303</v>
      </c>
      <c r="L438" s="18" t="n">
        <v>46303</v>
      </c>
      <c r="M438" s="17" t="n">
        <v>13</v>
      </c>
    </row>
    <row r="439">
      <c r="A439" s="19" t="inlineStr">
        <is>
          <t>3932</t>
        </is>
      </c>
      <c r="B439" s="20" t="inlineStr">
        <is>
          <t>NATAGA</t>
        </is>
      </c>
      <c r="C439" s="20" t="inlineStr">
        <is>
          <t>Nátaga</t>
        </is>
      </c>
      <c r="D439" s="20" t="inlineStr">
        <is>
          <t>Huila</t>
        </is>
      </c>
      <c r="E439" s="20" t="inlineStr">
        <is>
          <t>SUR</t>
        </is>
      </c>
      <c r="F439" s="20" t="inlineStr">
        <is>
          <t>DE MARTES A VIERNES DE 8:00 AM A 11:30 AM Y DE 2:00 P.M. A 4:30 P.M.    SABADO DE 8:00 AM A 2:00 P.M.</t>
        </is>
      </c>
      <c r="G439" s="20" t="inlineStr">
        <is>
          <t>CALLE 2 No. 5 - 77 / 83</t>
        </is>
      </c>
      <c r="H439" s="20" t="inlineStr">
        <is>
          <t>6013821400</t>
        </is>
      </c>
      <c r="I439" s="20" t="inlineStr">
        <is>
          <t>MARTES A VIERNES Y      SÁBADO</t>
        </is>
      </c>
      <c r="J439" s="20" t="inlineStr">
        <is>
          <t>COBERTURA</t>
        </is>
      </c>
      <c r="K439" s="21" t="n">
        <v>46282</v>
      </c>
      <c r="L439" s="21" t="n">
        <v>46283</v>
      </c>
      <c r="M439" s="20" t="n">
        <v>13</v>
      </c>
    </row>
    <row r="440">
      <c r="A440" s="16" t="inlineStr">
        <is>
          <t>3952</t>
        </is>
      </c>
      <c r="B440" s="17" t="inlineStr">
        <is>
          <t>SAN AGUSTIN</t>
        </is>
      </c>
      <c r="C440" s="17" t="inlineStr">
        <is>
          <t>San Agustín</t>
        </is>
      </c>
      <c r="D440" s="17" t="inlineStr">
        <is>
          <t>Huila</t>
        </is>
      </c>
      <c r="E440" s="17" t="inlineStr">
        <is>
          <t>SUR</t>
        </is>
      </c>
      <c r="F440" s="17" t="inlineStr">
        <is>
          <t>8:00 AM - 11:30 AM Y DE 02:00 PM - 04:30 PM</t>
        </is>
      </c>
      <c r="G440" s="17" t="inlineStr">
        <is>
          <t>Cra.13 No.3-72</t>
        </is>
      </c>
      <c r="H440" s="17" t="inlineStr">
        <is>
          <t>6013821400</t>
        </is>
      </c>
      <c r="I440" s="17" t="inlineStr">
        <is>
          <t>LUNES A VIERNES</t>
        </is>
      </c>
      <c r="J440" s="17" t="inlineStr">
        <is>
          <t>GESTIONATECH</t>
        </is>
      </c>
      <c r="K440" s="18" t="n">
        <v>46300</v>
      </c>
      <c r="L440" s="18" t="n">
        <v>46300</v>
      </c>
      <c r="M440" s="17" t="n">
        <v>29</v>
      </c>
    </row>
    <row r="441">
      <c r="A441" s="19" t="inlineStr">
        <is>
          <t>3955</t>
        </is>
      </c>
      <c r="B441" s="20" t="inlineStr">
        <is>
          <t>TARQUI</t>
        </is>
      </c>
      <c r="C441" s="20" t="inlineStr">
        <is>
          <t>Tarqui</t>
        </is>
      </c>
      <c r="D441" s="20" t="inlineStr">
        <is>
          <t>Huila</t>
        </is>
      </c>
      <c r="E441" s="20" t="inlineStr">
        <is>
          <t>SUR</t>
        </is>
      </c>
      <c r="F441" s="20" t="inlineStr">
        <is>
          <t>DE MARTES A VIERNES DE 8:00 AM A 11:30 AM Y DE 2:00 P.M. A 4:30 P.M.    SABADO DE 8:00 AM A 2:00 P.M.</t>
        </is>
      </c>
      <c r="G441" s="20" t="inlineStr">
        <is>
          <t>CRA 4 No 9 - 24  Calle 4 No. 9-24</t>
        </is>
      </c>
      <c r="H441" s="20" t="inlineStr">
        <is>
          <t>6013821400</t>
        </is>
      </c>
      <c r="I441" s="20" t="inlineStr">
        <is>
          <t>MARTES A VIERNES Y      SÁBADO</t>
        </is>
      </c>
      <c r="J441" s="20" t="inlineStr">
        <is>
          <t>GESTIONATECH</t>
        </is>
      </c>
      <c r="K441" s="21" t="n">
        <v>46304</v>
      </c>
      <c r="L441" s="21" t="n">
        <v>46304</v>
      </c>
      <c r="M441" s="20" t="n">
        <v>16</v>
      </c>
    </row>
    <row r="442">
      <c r="A442" s="16" t="inlineStr">
        <is>
          <t>3957</t>
        </is>
      </c>
      <c r="B442" s="17" t="inlineStr">
        <is>
          <t>TERUEL</t>
        </is>
      </c>
      <c r="C442" s="17" t="inlineStr">
        <is>
          <t>Teruel</t>
        </is>
      </c>
      <c r="D442" s="17" t="inlineStr">
        <is>
          <t>Huila</t>
        </is>
      </c>
      <c r="E442" s="17" t="inlineStr">
        <is>
          <t>SUR</t>
        </is>
      </c>
      <c r="F442" s="17" t="inlineStr">
        <is>
          <t>DE MARTES A VIERNES DE 8:00 AM A 11:30 AM Y DE 2:00 P.M. A 4:30 P.M.    SABADO DE 8:00 AM A 2:00 P.M.</t>
        </is>
      </c>
      <c r="G442" s="17" t="inlineStr">
        <is>
          <t>CRA 3 No 5 - 76</t>
        </is>
      </c>
      <c r="H442" s="17" t="inlineStr">
        <is>
          <t>6013821400</t>
        </is>
      </c>
      <c r="I442" s="17" t="inlineStr">
        <is>
          <t>MARTES A VIERNES Y      SÁBADO</t>
        </is>
      </c>
      <c r="J442" s="17" t="inlineStr">
        <is>
          <t>GESTIONATECH</t>
        </is>
      </c>
      <c r="K442" s="18" t="n">
        <v>46268</v>
      </c>
      <c r="L442" s="18" t="n">
        <v>46268</v>
      </c>
      <c r="M442" s="17" t="n">
        <v>14</v>
      </c>
    </row>
    <row r="443">
      <c r="A443" s="19" t="inlineStr">
        <is>
          <t>3950</t>
        </is>
      </c>
      <c r="B443" s="20" t="inlineStr">
        <is>
          <t>SANTA MARIA</t>
        </is>
      </c>
      <c r="C443" s="20" t="inlineStr">
        <is>
          <t>Santa María</t>
        </is>
      </c>
      <c r="D443" s="20" t="inlineStr">
        <is>
          <t>Huila</t>
        </is>
      </c>
      <c r="E443" s="20" t="inlineStr">
        <is>
          <t>SUR</t>
        </is>
      </c>
      <c r="F443" s="20" t="inlineStr">
        <is>
          <t>DE MARTES A VIERNES DE 8:00 AM A 11:30 AM Y DE 2:00 P.M. A 4:30 P.M.    SABADO DE 8:00 AM A 2:00 P.M.</t>
        </is>
      </c>
      <c r="G443" s="20" t="inlineStr">
        <is>
          <t>Carrera 4a No. 10 - 40/44/46</t>
        </is>
      </c>
      <c r="H443" s="20" t="inlineStr">
        <is>
          <t>6013821400</t>
        </is>
      </c>
      <c r="I443" s="20" t="inlineStr">
        <is>
          <t>MARTES A VIERNES Y      SÁBADO</t>
        </is>
      </c>
      <c r="J443" s="20" t="inlineStr">
        <is>
          <t>COBERTURA</t>
        </is>
      </c>
      <c r="K443" s="21" t="n">
        <v>46280</v>
      </c>
      <c r="L443" s="21" t="n">
        <v>46281</v>
      </c>
      <c r="M443" s="20" t="n">
        <v>15</v>
      </c>
    </row>
    <row r="444">
      <c r="A444" s="16" t="inlineStr">
        <is>
          <t>3963</t>
        </is>
      </c>
      <c r="B444" s="17" t="inlineStr">
        <is>
          <t>PITAL</t>
        </is>
      </c>
      <c r="C444" s="17" t="inlineStr">
        <is>
          <t>Pital</t>
        </is>
      </c>
      <c r="D444" s="17" t="inlineStr">
        <is>
          <t>Huila</t>
        </is>
      </c>
      <c r="E444" s="17" t="inlineStr">
        <is>
          <t>SUR</t>
        </is>
      </c>
      <c r="F444" s="17" t="inlineStr">
        <is>
          <t>DE MARTES A VIERNES DE 8:00 AM A 11:30 AM Y DE 2:00 P.M. A 4:30 P.M.    SABADO DE 8:00 AM A 2:00 P.M.</t>
        </is>
      </c>
      <c r="G444" s="17" t="inlineStr">
        <is>
          <t>Calle 8 No. 8 - 05</t>
        </is>
      </c>
      <c r="H444" s="17" t="inlineStr">
        <is>
          <t>6013821400</t>
        </is>
      </c>
      <c r="I444" s="17" t="inlineStr">
        <is>
          <t>MARTES A VIERNES Y      SÁBADO</t>
        </is>
      </c>
      <c r="J444" s="17" t="inlineStr">
        <is>
          <t>GESTIONATECH</t>
        </is>
      </c>
      <c r="K444" s="18" t="n">
        <v>46287</v>
      </c>
      <c r="L444" s="18" t="n">
        <v>46287</v>
      </c>
      <c r="M444" s="17" t="n">
        <v>14</v>
      </c>
    </row>
    <row r="445">
      <c r="A445" s="19" t="inlineStr">
        <is>
          <t>3965</t>
        </is>
      </c>
      <c r="B445" s="20" t="inlineStr">
        <is>
          <t>TIMANA</t>
        </is>
      </c>
      <c r="C445" s="20" t="inlineStr">
        <is>
          <t>Timaná</t>
        </is>
      </c>
      <c r="D445" s="20" t="inlineStr">
        <is>
          <t>Huila</t>
        </is>
      </c>
      <c r="E445" s="20" t="inlineStr">
        <is>
          <t>SUR</t>
        </is>
      </c>
      <c r="F445" s="20" t="inlineStr">
        <is>
          <t>DE MARTES A VIERNES DE 8:00 AM A 11:30 AM Y DE 2:00 P.M. A 4:30 P.M.    SABADO DE 8:00 AM A 2:00 P.M.</t>
        </is>
      </c>
      <c r="G445" s="20" t="inlineStr">
        <is>
          <t>Carrera 4 No. 9-42 Edificio del Café</t>
        </is>
      </c>
      <c r="H445" s="20" t="inlineStr">
        <is>
          <t>6013821400</t>
        </is>
      </c>
      <c r="I445" s="20" t="inlineStr">
        <is>
          <t>MARTES A VIERNES Y      SÁBADO</t>
        </is>
      </c>
      <c r="J445" s="20" t="inlineStr">
        <is>
          <t>GESTIONATECH</t>
        </is>
      </c>
      <c r="K445" s="21" t="n">
        <v>46297</v>
      </c>
      <c r="L445" s="21" t="n">
        <v>46297</v>
      </c>
      <c r="M445" s="20" t="n">
        <v>23</v>
      </c>
    </row>
    <row r="446">
      <c r="A446" s="16" t="inlineStr">
        <is>
          <t>3967</t>
        </is>
      </c>
      <c r="B446" s="17" t="inlineStr">
        <is>
          <t>SALADOBLANCO</t>
        </is>
      </c>
      <c r="C446" s="17" t="inlineStr">
        <is>
          <t>Saladoblanco</t>
        </is>
      </c>
      <c r="D446" s="17" t="inlineStr">
        <is>
          <t>Huila</t>
        </is>
      </c>
      <c r="E446" s="17" t="inlineStr">
        <is>
          <t>SUR</t>
        </is>
      </c>
      <c r="F446" s="17" t="inlineStr">
        <is>
          <t>DE MARTES A VIERNES DE 8:00 AM A 11:30 AM Y DE 2:00 P.M. A 4:30 P.M.    SABADO DE 8:00 AM A 2:00 P.M.</t>
        </is>
      </c>
      <c r="G446" s="17" t="inlineStr">
        <is>
          <t>Calle 2 No. 3 - 185</t>
        </is>
      </c>
      <c r="H446" s="17" t="inlineStr">
        <is>
          <t>6013821400</t>
        </is>
      </c>
      <c r="I446" s="17" t="inlineStr">
        <is>
          <t>MARTES A VIERNES Y      SÁBADO</t>
        </is>
      </c>
      <c r="J446" s="17" t="inlineStr">
        <is>
          <t>GESTIONATECH</t>
        </is>
      </c>
      <c r="K446" s="18" t="n">
        <v>46301</v>
      </c>
      <c r="L446" s="18" t="n">
        <v>46301</v>
      </c>
      <c r="M446" s="17" t="n">
        <v>14</v>
      </c>
    </row>
    <row r="447">
      <c r="A447" s="19" t="inlineStr">
        <is>
          <t>3970</t>
        </is>
      </c>
      <c r="B447" s="20" t="inlineStr">
        <is>
          <t>TESALIA</t>
        </is>
      </c>
      <c r="C447" s="20" t="inlineStr">
        <is>
          <t>Tesalia</t>
        </is>
      </c>
      <c r="D447" s="20" t="inlineStr">
        <is>
          <t>Huila</t>
        </is>
      </c>
      <c r="E447" s="20" t="inlineStr">
        <is>
          <t>SUR</t>
        </is>
      </c>
      <c r="F447" s="20" t="inlineStr">
        <is>
          <t>DE MARTES A VIERNES DE 8:00 AM A 11:30 AM Y DE 2:00 P.M. A 4:30 P.M.    SABADO DE 8:00 AM A 2:00 P.M.</t>
        </is>
      </c>
      <c r="G447" s="20" t="inlineStr">
        <is>
          <t>CRA 9 No 5 - 16/18</t>
        </is>
      </c>
      <c r="H447" s="20" t="inlineStr">
        <is>
          <t>6013821400</t>
        </is>
      </c>
      <c r="I447" s="20" t="inlineStr">
        <is>
          <t>MARTES A VIERNES Y      SÁBADO</t>
        </is>
      </c>
      <c r="J447" s="20" t="inlineStr">
        <is>
          <t>GESTIONATECH</t>
        </is>
      </c>
      <c r="K447" s="21" t="n">
        <v>46283</v>
      </c>
      <c r="L447" s="21" t="n">
        <v>46283</v>
      </c>
      <c r="M447" s="20" t="n">
        <v>14</v>
      </c>
    </row>
    <row r="448">
      <c r="A448" s="16" t="inlineStr">
        <is>
          <t>3973</t>
        </is>
      </c>
      <c r="B448" s="17" t="inlineStr">
        <is>
          <t>SUAZA</t>
        </is>
      </c>
      <c r="C448" s="17" t="inlineStr">
        <is>
          <t>Suaza</t>
        </is>
      </c>
      <c r="D448" s="17" t="inlineStr">
        <is>
          <t>Huila</t>
        </is>
      </c>
      <c r="E448" s="17" t="inlineStr">
        <is>
          <t>SUR</t>
        </is>
      </c>
      <c r="F448" s="17" t="inlineStr">
        <is>
          <t>DE MARTES A VIERNES DE 8:00 AM A 11:30 AM Y DE 2:00 P.M. A 4:30 P.M.    SABADO DE 8:00 AM A 2:00 P.M.</t>
        </is>
      </c>
      <c r="G448" s="17" t="inlineStr">
        <is>
          <t>Calle 7 N° 3 -27</t>
        </is>
      </c>
      <c r="H448" s="17" t="inlineStr">
        <is>
          <t>6013821400</t>
        </is>
      </c>
      <c r="I448" s="17" t="inlineStr">
        <is>
          <t>MARTES A VIERNES Y      SÁBADO</t>
        </is>
      </c>
      <c r="J448" s="17" t="inlineStr">
        <is>
          <t>GESTIONATECH</t>
        </is>
      </c>
      <c r="K448" s="18" t="n">
        <v>46309</v>
      </c>
      <c r="L448" s="18" t="n">
        <v>46309</v>
      </c>
      <c r="M448" s="17" t="n">
        <v>19</v>
      </c>
    </row>
    <row r="449">
      <c r="A449" s="19" t="inlineStr">
        <is>
          <t>3960</t>
        </is>
      </c>
      <c r="B449" s="20" t="inlineStr">
        <is>
          <t>TELLO</t>
        </is>
      </c>
      <c r="C449" s="20" t="inlineStr">
        <is>
          <t>Tello</t>
        </is>
      </c>
      <c r="D449" s="20" t="inlineStr">
        <is>
          <t>Huila</t>
        </is>
      </c>
      <c r="E449" s="20" t="inlineStr">
        <is>
          <t>SUR</t>
        </is>
      </c>
      <c r="F449" s="20" t="inlineStr">
        <is>
          <t>DE MARTES A VIERNES DE 8:00 AM A 11:30 AM Y DE 2:00 P.M. A 4:30 P.M.    SABADO DE 8:00 AM A 2:00 P.M.</t>
        </is>
      </c>
      <c r="G449" s="20" t="inlineStr">
        <is>
          <t>CRA 5 No 4 - 02</t>
        </is>
      </c>
      <c r="H449" s="20" t="inlineStr">
        <is>
          <t>6013821400</t>
        </is>
      </c>
      <c r="I449" s="20" t="inlineStr">
        <is>
          <t>MARTES A VIERNES Y      SÁBADO</t>
        </is>
      </c>
      <c r="J449" s="20" t="inlineStr">
        <is>
          <t>COBERTURA</t>
        </is>
      </c>
      <c r="K449" s="21" t="n">
        <v>46273</v>
      </c>
      <c r="L449" s="21" t="n">
        <v>46274</v>
      </c>
      <c r="M449" s="20" t="n">
        <v>14</v>
      </c>
    </row>
    <row r="450">
      <c r="A450" s="16" t="inlineStr">
        <is>
          <t>4203</t>
        </is>
      </c>
      <c r="B450" s="17" t="inlineStr">
        <is>
          <t>CERRO DE SAN ANTONIO</t>
        </is>
      </c>
      <c r="C450" s="17" t="inlineStr">
        <is>
          <t>Cerro San Antonio</t>
        </is>
      </c>
      <c r="D450" s="17" t="inlineStr">
        <is>
          <t>Magdalena</t>
        </is>
      </c>
      <c r="E450" s="17" t="inlineStr">
        <is>
          <t>COSTA</t>
        </is>
      </c>
      <c r="F450" s="17" t="inlineStr">
        <is>
          <t>8:00 AM - 11:30 AM Y DE 02:00 PM - 04:30 PM</t>
        </is>
      </c>
      <c r="G450" s="17" t="inlineStr">
        <is>
          <t>Calle   5    Nº. 4-41  Calle Principal - Barrio el Centro</t>
        </is>
      </c>
      <c r="H450" s="17" t="inlineStr">
        <is>
          <t>6013821400</t>
        </is>
      </c>
      <c r="I450" s="17" t="inlineStr">
        <is>
          <t>LUNES A VIERNES</t>
        </is>
      </c>
      <c r="J450" s="17" t="inlineStr">
        <is>
          <t>GESTIONATECH</t>
        </is>
      </c>
      <c r="K450" s="18" t="n">
        <v>46323</v>
      </c>
      <c r="L450" s="18" t="n">
        <v>46324</v>
      </c>
      <c r="M450" s="17" t="n">
        <v>12</v>
      </c>
    </row>
    <row r="451">
      <c r="A451" s="19" t="inlineStr">
        <is>
          <t>4205</t>
        </is>
      </c>
      <c r="B451" s="20" t="inlineStr">
        <is>
          <t>CHIVOLO</t>
        </is>
      </c>
      <c r="C451" s="20" t="inlineStr">
        <is>
          <t>Chivolo</t>
        </is>
      </c>
      <c r="D451" s="20" t="inlineStr">
        <is>
          <t>Magdalena</t>
        </is>
      </c>
      <c r="E451" s="20" t="inlineStr">
        <is>
          <t>COSTA</t>
        </is>
      </c>
      <c r="F451" s="20" t="inlineStr">
        <is>
          <t>8:00 AM - 11:30 AM Y DE 02:00 PM - 04:30 PM</t>
        </is>
      </c>
      <c r="G451" s="20" t="inlineStr">
        <is>
          <t>TRANSV. 5ª No.3-86     Carrera 13 No.5-54</t>
        </is>
      </c>
      <c r="H451" s="20" t="inlineStr">
        <is>
          <t>6013821400</t>
        </is>
      </c>
      <c r="I451" s="20" t="inlineStr">
        <is>
          <t>LUNES A VIERNES</t>
        </is>
      </c>
      <c r="J451" s="20" t="inlineStr">
        <is>
          <t>GESTIONATECH</t>
        </is>
      </c>
      <c r="K451" s="21" t="n">
        <v>46322</v>
      </c>
      <c r="L451" s="21" t="n">
        <v>46323</v>
      </c>
      <c r="M451" s="20" t="n">
        <v>13</v>
      </c>
    </row>
    <row r="452">
      <c r="A452" s="16" t="inlineStr">
        <is>
          <t>4209</t>
        </is>
      </c>
      <c r="B452" s="17" t="inlineStr">
        <is>
          <t>CIENAGA</t>
        </is>
      </c>
      <c r="C452" s="17" t="inlineStr">
        <is>
          <t>Ciénaga</t>
        </is>
      </c>
      <c r="D452" s="17" t="inlineStr">
        <is>
          <t>Magdalena</t>
        </is>
      </c>
      <c r="E452" s="17" t="inlineStr">
        <is>
          <t>COSTA</t>
        </is>
      </c>
      <c r="F452" s="17" t="inlineStr">
        <is>
          <t>8:00 AM - 11:30 AM Y DE 02:00 PM - 04:30 PM</t>
        </is>
      </c>
      <c r="G452" s="17" t="inlineStr">
        <is>
          <t>CALLE 12 No. 11 - 52 Barrio Centro</t>
        </is>
      </c>
      <c r="H452" s="17" t="inlineStr">
        <is>
          <t>6013821400</t>
        </is>
      </c>
      <c r="I452" s="17" t="inlineStr">
        <is>
          <t>LUNES A VIERNES</t>
        </is>
      </c>
      <c r="J452" s="17" t="inlineStr">
        <is>
          <t>GESTIONATECH</t>
        </is>
      </c>
      <c r="K452" s="18" t="n">
        <v>46324</v>
      </c>
      <c r="L452" s="18" t="n">
        <v>46325</v>
      </c>
      <c r="M452" s="17" t="n">
        <v>29</v>
      </c>
    </row>
    <row r="453">
      <c r="A453" s="19" t="inlineStr">
        <is>
          <t>4210</t>
        </is>
      </c>
      <c r="B453" s="20" t="inlineStr">
        <is>
          <t>SANTA MARTA</t>
        </is>
      </c>
      <c r="C453" s="20" t="inlineStr">
        <is>
          <t>Santa Marta</t>
        </is>
      </c>
      <c r="D453" s="20" t="inlineStr">
        <is>
          <t>Magdalena</t>
        </is>
      </c>
      <c r="E453" s="20" t="inlineStr">
        <is>
          <t>COSTA</t>
        </is>
      </c>
      <c r="F453" s="20" t="inlineStr">
        <is>
          <t>8:00 AM - 11:30 AM Y DE 02:00 PM - 04:30 PM</t>
        </is>
      </c>
      <c r="G453" s="20" t="inlineStr">
        <is>
          <t>Calle 15 No.3-07</t>
        </is>
      </c>
      <c r="H453" s="20" t="inlineStr">
        <is>
          <t>6013821400</t>
        </is>
      </c>
      <c r="I453" s="20" t="inlineStr">
        <is>
          <t>LUNES A VIERNES</t>
        </is>
      </c>
      <c r="J453" s="20" t="inlineStr">
        <is>
          <t>GESTIONATECH</t>
        </is>
      </c>
      <c r="K453" s="21" t="n">
        <v>46324</v>
      </c>
      <c r="L453" s="21" t="n">
        <v>46325</v>
      </c>
      <c r="M453" s="20" t="n">
        <v>47</v>
      </c>
    </row>
    <row r="454">
      <c r="A454" s="16" t="inlineStr">
        <is>
          <t>4212</t>
        </is>
      </c>
      <c r="B454" s="17" t="inlineStr">
        <is>
          <t>ARACATACA</t>
        </is>
      </c>
      <c r="C454" s="17" t="inlineStr">
        <is>
          <t>Aracataca</t>
        </is>
      </c>
      <c r="D454" s="17" t="inlineStr">
        <is>
          <t>Magdalena</t>
        </is>
      </c>
      <c r="E454" s="17" t="inlineStr">
        <is>
          <t>COSTA</t>
        </is>
      </c>
      <c r="F454" s="17" t="inlineStr">
        <is>
          <t>8:00 AM - 11:30 AM Y DE 02:00 PM - 04:30 PM</t>
        </is>
      </c>
      <c r="G454" s="17" t="inlineStr">
        <is>
          <t>CALLE  6  Nº. 2-76     Carrera 3 No. 6-06</t>
        </is>
      </c>
      <c r="H454" s="17" t="inlineStr">
        <is>
          <t>6013821400</t>
        </is>
      </c>
      <c r="I454" s="17" t="inlineStr">
        <is>
          <t>LUNES A VIERNES</t>
        </is>
      </c>
      <c r="J454" s="17" t="inlineStr">
        <is>
          <t>GESTIONATECH</t>
        </is>
      </c>
      <c r="K454" s="18" t="n">
        <v>46323</v>
      </c>
      <c r="L454" s="18" t="n">
        <v>46324</v>
      </c>
      <c r="M454" s="17" t="n">
        <v>24</v>
      </c>
    </row>
    <row r="455">
      <c r="A455" s="19" t="inlineStr">
        <is>
          <t>4215</t>
        </is>
      </c>
      <c r="B455" s="20" t="inlineStr">
        <is>
          <t>SABANAS DE SAN ANGEL</t>
        </is>
      </c>
      <c r="C455" s="20" t="inlineStr">
        <is>
          <t>Sabanas De San Angel</t>
        </is>
      </c>
      <c r="D455" s="20" t="inlineStr">
        <is>
          <t>Magdalena</t>
        </is>
      </c>
      <c r="E455" s="20" t="inlineStr">
        <is>
          <t>COSTA</t>
        </is>
      </c>
      <c r="F455" s="20" t="inlineStr">
        <is>
          <t>8:00 AM - 11:30 AM Y DE 02:00 PM - 04:30 PM</t>
        </is>
      </c>
      <c r="G455" s="20" t="inlineStr">
        <is>
          <t>Carrera 3 No. 3 - 03 Plaza Principal</t>
        </is>
      </c>
      <c r="H455" s="20" t="inlineStr">
        <is>
          <t>6013821400</t>
        </is>
      </c>
      <c r="I455" s="20" t="inlineStr">
        <is>
          <t>LUNES A VIERNES</t>
        </is>
      </c>
      <c r="J455" s="20" t="inlineStr">
        <is>
          <t>GESTIONATECH</t>
        </is>
      </c>
      <c r="K455" s="21" t="n">
        <v>46323</v>
      </c>
      <c r="L455" s="21" t="n">
        <v>46324</v>
      </c>
      <c r="M455" s="20" t="n">
        <v>13</v>
      </c>
    </row>
    <row r="456">
      <c r="A456" s="16" t="inlineStr">
        <is>
          <t>4220</t>
        </is>
      </c>
      <c r="B456" s="17" t="inlineStr">
        <is>
          <t>EL BANCO</t>
        </is>
      </c>
      <c r="C456" s="17" t="inlineStr">
        <is>
          <t>El Banco</t>
        </is>
      </c>
      <c r="D456" s="17" t="inlineStr">
        <is>
          <t>Magdalena</t>
        </is>
      </c>
      <c r="E456" s="17" t="inlineStr">
        <is>
          <t>COSTA</t>
        </is>
      </c>
      <c r="F456" s="17" t="inlineStr">
        <is>
          <t>8:00 AM - 11:30 AM Y DE 02:00 PM - 04:30 PM</t>
        </is>
      </c>
      <c r="G456" s="17" t="inlineStr">
        <is>
          <t>Calle 6 No.8-51</t>
        </is>
      </c>
      <c r="H456" s="17" t="inlineStr">
        <is>
          <t>6013821400</t>
        </is>
      </c>
      <c r="I456" s="17" t="inlineStr">
        <is>
          <t>LUNES A VIERNES</t>
        </is>
      </c>
      <c r="J456" s="17" t="inlineStr">
        <is>
          <t>GESTIONATECH</t>
        </is>
      </c>
      <c r="K456" s="18" t="n">
        <v>46321</v>
      </c>
      <c r="L456" s="18" t="n">
        <v>46322</v>
      </c>
      <c r="M456" s="17" t="n">
        <v>28</v>
      </c>
    </row>
    <row r="457">
      <c r="A457" s="19" t="inlineStr">
        <is>
          <t>4223</t>
        </is>
      </c>
      <c r="B457" s="20" t="inlineStr">
        <is>
          <t>EL DIFICIL</t>
        </is>
      </c>
      <c r="C457" s="20" t="inlineStr">
        <is>
          <t>Ariguaní</t>
        </is>
      </c>
      <c r="D457" s="20" t="inlineStr">
        <is>
          <t>Magdalena</t>
        </is>
      </c>
      <c r="E457" s="20" t="inlineStr">
        <is>
          <t>COSTA</t>
        </is>
      </c>
      <c r="F457" s="20" t="inlineStr">
        <is>
          <t>8:00 AM - 11:30 AM Y DE 02:00 PM - 04:30 PM</t>
        </is>
      </c>
      <c r="G457" s="20" t="inlineStr">
        <is>
          <t>Calle 4 No. 5-120</t>
        </is>
      </c>
      <c r="H457" s="20" t="inlineStr">
        <is>
          <t>6013821400</t>
        </is>
      </c>
      <c r="I457" s="20" t="inlineStr">
        <is>
          <t>LUNES A VIERNES</t>
        </is>
      </c>
      <c r="J457" s="20" t="inlineStr">
        <is>
          <t>GESTIONATECH</t>
        </is>
      </c>
      <c r="K457" s="21" t="n">
        <v>46321</v>
      </c>
      <c r="L457" s="21" t="n">
        <v>46322</v>
      </c>
      <c r="M457" s="20" t="n">
        <v>14</v>
      </c>
    </row>
    <row r="458">
      <c r="A458" s="16" t="inlineStr">
        <is>
          <t>4230</t>
        </is>
      </c>
      <c r="B458" s="17" t="inlineStr">
        <is>
          <t>GUAMAL</t>
        </is>
      </c>
      <c r="C458" s="17" t="inlineStr">
        <is>
          <t>Guamal</t>
        </is>
      </c>
      <c r="D458" s="17" t="inlineStr">
        <is>
          <t>Magdalena</t>
        </is>
      </c>
      <c r="E458" s="17" t="inlineStr">
        <is>
          <t>COSTA</t>
        </is>
      </c>
      <c r="F458" s="17" t="inlineStr">
        <is>
          <t>8:00 AM - 11:30 AM Y DE 02:00 PM - 04:30 PM</t>
        </is>
      </c>
      <c r="G458" s="17" t="inlineStr">
        <is>
          <t>Carrera 5 No. 5 - 27</t>
        </is>
      </c>
      <c r="H458" s="17" t="inlineStr">
        <is>
          <t>6013821400</t>
        </is>
      </c>
      <c r="I458" s="17" t="inlineStr">
        <is>
          <t>LUNES A VIERNES</t>
        </is>
      </c>
      <c r="J458" s="17" t="inlineStr">
        <is>
          <t>GESTIONATECH</t>
        </is>
      </c>
      <c r="K458" s="18" t="n">
        <v>46321</v>
      </c>
      <c r="L458" s="18" t="n">
        <v>46322</v>
      </c>
      <c r="M458" s="17" t="n">
        <v>22</v>
      </c>
    </row>
    <row r="459">
      <c r="A459" s="19" t="inlineStr">
        <is>
          <t>4240</t>
        </is>
      </c>
      <c r="B459" s="20" t="inlineStr">
        <is>
          <t>PIVIJAY</t>
        </is>
      </c>
      <c r="C459" s="20" t="inlineStr">
        <is>
          <t>Pivijay</t>
        </is>
      </c>
      <c r="D459" s="20" t="inlineStr">
        <is>
          <t>Magdalena</t>
        </is>
      </c>
      <c r="E459" s="20" t="inlineStr">
        <is>
          <t>COSTA</t>
        </is>
      </c>
      <c r="F459" s="20" t="inlineStr">
        <is>
          <t>8:00 AM - 11:30 AM Y DE 02:00 PM - 04:30 PM</t>
        </is>
      </c>
      <c r="G459" s="20" t="inlineStr">
        <is>
          <t>Carrera 15 No. 4 -23 Barrio Centro</t>
        </is>
      </c>
      <c r="H459" s="20" t="inlineStr">
        <is>
          <t>6013821400</t>
        </is>
      </c>
      <c r="I459" s="20" t="inlineStr">
        <is>
          <t>LUNES A VIERNES</t>
        </is>
      </c>
      <c r="J459" s="20" t="inlineStr">
        <is>
          <t>GESTIONATECH</t>
        </is>
      </c>
      <c r="K459" s="21" t="n">
        <v>46322</v>
      </c>
      <c r="L459" s="21" t="n">
        <v>46323</v>
      </c>
      <c r="M459" s="20" t="n">
        <v>21</v>
      </c>
    </row>
    <row r="460">
      <c r="A460" s="16" t="inlineStr">
        <is>
          <t>4244</t>
        </is>
      </c>
      <c r="B460" s="17" t="inlineStr">
        <is>
          <t>PLATO</t>
        </is>
      </c>
      <c r="C460" s="17" t="inlineStr">
        <is>
          <t>Plato</t>
        </is>
      </c>
      <c r="D460" s="17" t="inlineStr">
        <is>
          <t>Magdalena</t>
        </is>
      </c>
      <c r="E460" s="17" t="inlineStr">
        <is>
          <t>COSTA</t>
        </is>
      </c>
      <c r="F460" s="17" t="inlineStr">
        <is>
          <t>8:00 AM - 11:30 AM Y DE 02:00 PM - 04:30 PM</t>
        </is>
      </c>
      <c r="G460" s="17" t="inlineStr">
        <is>
          <t>Carrera 15 No. 6-61 Los guayacane</t>
        </is>
      </c>
      <c r="H460" s="17" t="inlineStr">
        <is>
          <t>6013821400</t>
        </is>
      </c>
      <c r="I460" s="17" t="inlineStr">
        <is>
          <t>LUNES A VIERNES</t>
        </is>
      </c>
      <c r="J460" s="17" t="inlineStr">
        <is>
          <t>GESTIONATECH</t>
        </is>
      </c>
      <c r="K460" s="18" t="n">
        <v>46322</v>
      </c>
      <c r="L460" s="18" t="n">
        <v>46323</v>
      </c>
      <c r="M460" s="17" t="n">
        <v>20</v>
      </c>
    </row>
    <row r="461">
      <c r="A461" s="19" t="inlineStr">
        <is>
          <t>4260</t>
        </is>
      </c>
      <c r="B461" s="20" t="inlineStr">
        <is>
          <t>SAN SEBASTIAN</t>
        </is>
      </c>
      <c r="C461" s="20" t="inlineStr">
        <is>
          <t>San Sebastián De Buenavista</t>
        </is>
      </c>
      <c r="D461" s="20" t="inlineStr">
        <is>
          <t>Magdalena</t>
        </is>
      </c>
      <c r="E461" s="20" t="inlineStr">
        <is>
          <t>COSTA</t>
        </is>
      </c>
      <c r="F461" s="20" t="inlineStr">
        <is>
          <t>8:00 AM - 11:30 AM Y DE 02:00 PM - 04:30 PM</t>
        </is>
      </c>
      <c r="G461" s="20" t="inlineStr">
        <is>
          <t>Calle 5 No  5-37</t>
        </is>
      </c>
      <c r="H461" s="20" t="inlineStr">
        <is>
          <t>6013821400</t>
        </is>
      </c>
      <c r="I461" s="20" t="inlineStr">
        <is>
          <t>LUNES A VIERNES</t>
        </is>
      </c>
      <c r="J461" s="20" t="inlineStr">
        <is>
          <t>GESTIONATECH</t>
        </is>
      </c>
      <c r="K461" s="21" t="n">
        <v>46321</v>
      </c>
      <c r="L461" s="21" t="n">
        <v>46322</v>
      </c>
      <c r="M461" s="20" t="n">
        <v>12</v>
      </c>
    </row>
    <row r="462">
      <c r="A462" s="16" t="inlineStr">
        <is>
          <t>4263</t>
        </is>
      </c>
      <c r="B462" s="17" t="inlineStr">
        <is>
          <t>SANTA ANA</t>
        </is>
      </c>
      <c r="C462" s="17" t="inlineStr">
        <is>
          <t>Santa Ana</t>
        </is>
      </c>
      <c r="D462" s="17" t="inlineStr">
        <is>
          <t>Magdalena</t>
        </is>
      </c>
      <c r="E462" s="17" t="inlineStr">
        <is>
          <t>COSTA</t>
        </is>
      </c>
      <c r="F462" s="17" t="inlineStr">
        <is>
          <t>8:00 AM - 11:30 AM Y DE 02:00 PM - 04:30 PM</t>
        </is>
      </c>
      <c r="G462" s="17" t="inlineStr">
        <is>
          <t>CALLE 10 N° 3A – 20</t>
        </is>
      </c>
      <c r="H462" s="17" t="inlineStr">
        <is>
          <t>6013821400</t>
        </is>
      </c>
      <c r="I462" s="17" t="inlineStr">
        <is>
          <t>LUNES A VIERNES</t>
        </is>
      </c>
      <c r="J462" s="17" t="inlineStr">
        <is>
          <t>GESTIONATECH</t>
        </is>
      </c>
      <c r="K462" s="18" t="n">
        <v>46321</v>
      </c>
      <c r="L462" s="18" t="n">
        <v>46322</v>
      </c>
      <c r="M462" s="17" t="n">
        <v>18</v>
      </c>
    </row>
    <row r="463">
      <c r="A463" s="19" t="inlineStr">
        <is>
          <t>4501</t>
        </is>
      </c>
      <c r="B463" s="20" t="inlineStr">
        <is>
          <t>VILLAVICENCIO</t>
        </is>
      </c>
      <c r="C463" s="20" t="inlineStr">
        <is>
          <t>Villavicencio</t>
        </is>
      </c>
      <c r="D463" s="20" t="inlineStr">
        <is>
          <t>Meta</t>
        </is>
      </c>
      <c r="E463" s="20" t="inlineStr">
        <is>
          <t>BOGOTA</t>
        </is>
      </c>
      <c r="F463" s="20" t="inlineStr">
        <is>
          <t>8:00 AM - 11:30 AM Y DE 02:00 PM - 04:30 PM</t>
        </is>
      </c>
      <c r="G463" s="20" t="inlineStr">
        <is>
          <t>Carrera. 32 No. 39 - 43</t>
        </is>
      </c>
      <c r="H463" s="20" t="inlineStr">
        <is>
          <t>6013821400</t>
        </is>
      </c>
      <c r="I463" s="20" t="inlineStr">
        <is>
          <t>LUNES A VIERNES</t>
        </is>
      </c>
      <c r="J463" s="20" t="inlineStr">
        <is>
          <t>REGIONAL</t>
        </is>
      </c>
      <c r="K463" s="21" t="n">
        <v>46301</v>
      </c>
      <c r="L463" s="21" t="n">
        <v>46311</v>
      </c>
      <c r="M463" s="20" t="n">
        <v>56</v>
      </c>
    </row>
    <row r="464">
      <c r="A464" s="16" t="inlineStr">
        <is>
          <t>4503</t>
        </is>
      </c>
      <c r="B464" s="17" t="inlineStr">
        <is>
          <t>ACACIAS</t>
        </is>
      </c>
      <c r="C464" s="17" t="inlineStr">
        <is>
          <t>Acacías</t>
        </is>
      </c>
      <c r="D464" s="17" t="inlineStr">
        <is>
          <t>Meta</t>
        </is>
      </c>
      <c r="E464" s="17" t="inlineStr">
        <is>
          <t>BOGOTA</t>
        </is>
      </c>
      <c r="F464" s="17" t="inlineStr">
        <is>
          <t>8:00 AM - 11:30 AM Y DE 02:00 PM - 04:30 PM</t>
        </is>
      </c>
      <c r="G464" s="17" t="inlineStr">
        <is>
          <t>Carrera 17 No. 12 - 51</t>
        </is>
      </c>
      <c r="H464" s="17" t="inlineStr">
        <is>
          <t>6013821400</t>
        </is>
      </c>
      <c r="I464" s="17" t="inlineStr">
        <is>
          <t>LUNES A VIERNES</t>
        </is>
      </c>
      <c r="J464" s="17" t="inlineStr">
        <is>
          <t>GESTIONATECH</t>
        </is>
      </c>
      <c r="K464" s="18" t="n">
        <v>46269</v>
      </c>
      <c r="L464" s="18" t="n">
        <v>46269</v>
      </c>
      <c r="M464" s="17" t="n">
        <v>28</v>
      </c>
    </row>
    <row r="465">
      <c r="A465" s="19" t="inlineStr">
        <is>
          <t>4505</t>
        </is>
      </c>
      <c r="B465" s="20" t="inlineStr">
        <is>
          <t>CUBARRAL</t>
        </is>
      </c>
      <c r="C465" s="20" t="inlineStr">
        <is>
          <t>San Luis De Cubarral</t>
        </is>
      </c>
      <c r="D465" s="20" t="inlineStr">
        <is>
          <t>Meta</t>
        </is>
      </c>
      <c r="E465" s="20" t="inlineStr">
        <is>
          <t>BOGOTA</t>
        </is>
      </c>
      <c r="F465" s="20" t="inlineStr">
        <is>
          <t>8:00 AM - 11:30 AM Y DE 02:00 PM - 04:30 PM</t>
        </is>
      </c>
      <c r="G465" s="20" t="inlineStr">
        <is>
          <t>Calle 9 No.8-33</t>
        </is>
      </c>
      <c r="H465" s="20" t="inlineStr">
        <is>
          <t>6013821400</t>
        </is>
      </c>
      <c r="I465" s="20" t="inlineStr">
        <is>
          <t>LUNES A VIERNES</t>
        </is>
      </c>
      <c r="J465" s="20" t="inlineStr">
        <is>
          <t>GESTIONATECH</t>
        </is>
      </c>
      <c r="K465" s="21" t="n">
        <v>46281</v>
      </c>
      <c r="L465" s="21" t="n">
        <v>46281</v>
      </c>
      <c r="M465" s="20" t="n">
        <v>15</v>
      </c>
    </row>
    <row r="466">
      <c r="A466" s="16" t="inlineStr">
        <is>
          <t>4507</t>
        </is>
      </c>
      <c r="B466" s="17" t="inlineStr">
        <is>
          <t>CUMARAL</t>
        </is>
      </c>
      <c r="C466" s="17" t="inlineStr">
        <is>
          <t>Cumaral</t>
        </is>
      </c>
      <c r="D466" s="17" t="inlineStr">
        <is>
          <t>Meta</t>
        </is>
      </c>
      <c r="E466" s="17" t="inlineStr">
        <is>
          <t>BOGOTA</t>
        </is>
      </c>
      <c r="F466" s="17" t="inlineStr">
        <is>
          <t>8:00 AM - 11:30 AM Y DE 02:00 PM - 04:30 PM</t>
        </is>
      </c>
      <c r="G466" s="17" t="inlineStr">
        <is>
          <t>Cra.21 No.11-04</t>
        </is>
      </c>
      <c r="H466" s="17" t="inlineStr">
        <is>
          <t>6013821400</t>
        </is>
      </c>
      <c r="I466" s="17" t="inlineStr">
        <is>
          <t>LUNES A VIERNES</t>
        </is>
      </c>
      <c r="J466" s="17" t="inlineStr">
        <is>
          <t>GESTIONATECH</t>
        </is>
      </c>
      <c r="K466" s="18" t="n">
        <v>46276</v>
      </c>
      <c r="L466" s="18" t="n">
        <v>46276</v>
      </c>
      <c r="M466" s="17" t="n">
        <v>20</v>
      </c>
    </row>
    <row r="467">
      <c r="A467" s="19" t="inlineStr">
        <is>
          <t>4509</t>
        </is>
      </c>
      <c r="B467" s="20" t="inlineStr">
        <is>
          <t>CASTILLA LA NUEVA</t>
        </is>
      </c>
      <c r="C467" s="20" t="inlineStr">
        <is>
          <t>Castilla La Nueva</t>
        </is>
      </c>
      <c r="D467" s="20" t="inlineStr">
        <is>
          <t>Meta</t>
        </is>
      </c>
      <c r="E467" s="20" t="inlineStr">
        <is>
          <t>BOGOTA</t>
        </is>
      </c>
      <c r="F467" s="20" t="inlineStr">
        <is>
          <t>8:00 AM - 11:30 AM Y DE 02:00 PM - 04:30 PM</t>
        </is>
      </c>
      <c r="G467" s="20" t="inlineStr">
        <is>
          <t>Carrera 8 No. 5 – 41/43 Centro</t>
        </is>
      </c>
      <c r="H467" s="20" t="inlineStr">
        <is>
          <t>6013821400</t>
        </is>
      </c>
      <c r="I467" s="20" t="inlineStr">
        <is>
          <t>LUNES A VIERNES</t>
        </is>
      </c>
      <c r="J467" s="20" t="inlineStr">
        <is>
          <t>GESTIONATECH</t>
        </is>
      </c>
      <c r="K467" s="21" t="n">
        <v>46267</v>
      </c>
      <c r="L467" s="21" t="n">
        <v>46267</v>
      </c>
      <c r="M467" s="20" t="n">
        <v>15</v>
      </c>
    </row>
    <row r="468">
      <c r="A468" s="16" t="inlineStr">
        <is>
          <t>4510</t>
        </is>
      </c>
      <c r="B468" s="17" t="inlineStr">
        <is>
          <t>CABUYARO</t>
        </is>
      </c>
      <c r="C468" s="17" t="inlineStr">
        <is>
          <t>Cabuyaro</t>
        </is>
      </c>
      <c r="D468" s="17" t="inlineStr">
        <is>
          <t>Meta</t>
        </is>
      </c>
      <c r="E468" s="17" t="inlineStr">
        <is>
          <t>BOGOTA</t>
        </is>
      </c>
      <c r="F468" s="17" t="inlineStr">
        <is>
          <t>8:00 AM - 11:30 AM Y DE 02:00 PM - 04:30 PM</t>
        </is>
      </c>
      <c r="G468" s="17" t="inlineStr">
        <is>
          <t>Centro</t>
        </is>
      </c>
      <c r="H468" s="17" t="inlineStr">
        <is>
          <t>6013821400</t>
        </is>
      </c>
      <c r="I468" s="17" t="inlineStr">
        <is>
          <t>LUNES A VIERNES</t>
        </is>
      </c>
      <c r="J468" s="17" t="inlineStr">
        <is>
          <t>GESTIONATECH</t>
        </is>
      </c>
      <c r="K468" s="18" t="n">
        <v>46272</v>
      </c>
      <c r="L468" s="18" t="n">
        <v>46272</v>
      </c>
      <c r="M468" s="17" t="n">
        <v>12</v>
      </c>
    </row>
    <row r="469">
      <c r="A469" s="19" t="inlineStr">
        <is>
          <t>4512</t>
        </is>
      </c>
      <c r="B469" s="20" t="inlineStr">
        <is>
          <t>EL CASTILLO</t>
        </is>
      </c>
      <c r="C469" s="20" t="inlineStr">
        <is>
          <t>El Castillo</t>
        </is>
      </c>
      <c r="D469" s="20" t="inlineStr">
        <is>
          <t>Meta</t>
        </is>
      </c>
      <c r="E469" s="20" t="inlineStr">
        <is>
          <t>BOGOTA</t>
        </is>
      </c>
      <c r="F469" s="20" t="inlineStr">
        <is>
          <t>8:00 AM - 11:30 AM Y DE 02:00 PM - 04:30 PM</t>
        </is>
      </c>
      <c r="G469" s="20" t="inlineStr">
        <is>
          <t>Calle 10 No.8-33 Centro</t>
        </is>
      </c>
      <c r="H469" s="20" t="inlineStr">
        <is>
          <t>6013821400</t>
        </is>
      </c>
      <c r="I469" s="20" t="inlineStr">
        <is>
          <t>LUNES A VIERNES</t>
        </is>
      </c>
      <c r="J469" s="20" t="inlineStr">
        <is>
          <t>GESTIONATECH</t>
        </is>
      </c>
      <c r="K469" s="21" t="n">
        <v>46282</v>
      </c>
      <c r="L469" s="21" t="n">
        <v>46282</v>
      </c>
      <c r="M469" s="20" t="n">
        <v>14</v>
      </c>
    </row>
    <row r="470">
      <c r="A470" s="16" t="inlineStr">
        <is>
          <t>4514</t>
        </is>
      </c>
      <c r="B470" s="17" t="inlineStr">
        <is>
          <t>FUENTE DE ORO</t>
        </is>
      </c>
      <c r="C470" s="17" t="inlineStr">
        <is>
          <t>Fuente De Oro</t>
        </is>
      </c>
      <c r="D470" s="17" t="inlineStr">
        <is>
          <t>Meta</t>
        </is>
      </c>
      <c r="E470" s="17" t="inlineStr">
        <is>
          <t>BOGOTA</t>
        </is>
      </c>
      <c r="F470" s="17" t="inlineStr">
        <is>
          <t>8:00 AM - 11:30 AM Y DE 02:00 PM - 04:30 PM</t>
        </is>
      </c>
      <c r="G470" s="17" t="inlineStr">
        <is>
          <t>Carrera  14 Centro</t>
        </is>
      </c>
      <c r="H470" s="17" t="inlineStr">
        <is>
          <t>6013821400</t>
        </is>
      </c>
      <c r="I470" s="17" t="inlineStr">
        <is>
          <t>LUNES A VIERNES</t>
        </is>
      </c>
      <c r="J470" s="17" t="inlineStr">
        <is>
          <t>GESTIONATECH</t>
        </is>
      </c>
      <c r="K470" s="18" t="n">
        <v>46286</v>
      </c>
      <c r="L470" s="18" t="n">
        <v>46286</v>
      </c>
      <c r="M470" s="17" t="n">
        <v>17</v>
      </c>
    </row>
    <row r="471">
      <c r="A471" s="19" t="inlineStr">
        <is>
          <t>4515</t>
        </is>
      </c>
      <c r="B471" s="20" t="inlineStr">
        <is>
          <t>GUAMAL</t>
        </is>
      </c>
      <c r="C471" s="20" t="inlineStr">
        <is>
          <t>Guamal</t>
        </is>
      </c>
      <c r="D471" s="20" t="inlineStr">
        <is>
          <t>Meta</t>
        </is>
      </c>
      <c r="E471" s="20" t="inlineStr">
        <is>
          <t>BOGOTA</t>
        </is>
      </c>
      <c r="F471" s="20" t="inlineStr">
        <is>
          <t>8:00 AM - 11:30 AM Y DE 02:00 PM - 04:30 PM</t>
        </is>
      </c>
      <c r="G471" s="20" t="inlineStr">
        <is>
          <t>Calle 12 No.4-06/10</t>
        </is>
      </c>
      <c r="H471" s="20" t="inlineStr">
        <is>
          <t>6013821400</t>
        </is>
      </c>
      <c r="I471" s="20" t="inlineStr">
        <is>
          <t>LUNES A VIERNES</t>
        </is>
      </c>
      <c r="J471" s="20" t="inlineStr">
        <is>
          <t>GESTIONATECH</t>
        </is>
      </c>
      <c r="K471" s="21" t="n">
        <v>46268</v>
      </c>
      <c r="L471" s="21" t="n">
        <v>46268</v>
      </c>
      <c r="M471" s="20" t="n">
        <v>17</v>
      </c>
    </row>
    <row r="472">
      <c r="A472" s="16" t="inlineStr">
        <is>
          <t>4517</t>
        </is>
      </c>
      <c r="B472" s="17" t="inlineStr">
        <is>
          <t>GRANADA</t>
        </is>
      </c>
      <c r="C472" s="17" t="inlineStr">
        <is>
          <t>Granada</t>
        </is>
      </c>
      <c r="D472" s="17" t="inlineStr">
        <is>
          <t>Meta</t>
        </is>
      </c>
      <c r="E472" s="17" t="inlineStr">
        <is>
          <t>BOGOTA</t>
        </is>
      </c>
      <c r="F472" s="17" t="inlineStr">
        <is>
          <t>8:00 AM - 11:30 AM Y DE 02:00 PM - 04:30 PM</t>
        </is>
      </c>
      <c r="G472" s="17" t="inlineStr">
        <is>
          <t>Calle 16 No. 12 - 09 Barrio Centro</t>
        </is>
      </c>
      <c r="H472" s="17" t="inlineStr">
        <is>
          <t>6013821400</t>
        </is>
      </c>
      <c r="I472" s="17" t="inlineStr">
        <is>
          <t>LUNES A VIERNES</t>
        </is>
      </c>
      <c r="J472" s="17" t="inlineStr">
        <is>
          <t>GESTIONATECH</t>
        </is>
      </c>
      <c r="K472" s="18" t="n">
        <v>46275</v>
      </c>
      <c r="L472" s="18" t="n">
        <v>46275</v>
      </c>
      <c r="M472" s="17" t="n">
        <v>34</v>
      </c>
    </row>
    <row r="473">
      <c r="A473" s="19" t="inlineStr">
        <is>
          <t>4518</t>
        </is>
      </c>
      <c r="B473" s="20" t="inlineStr">
        <is>
          <t>LEJANIAS</t>
        </is>
      </c>
      <c r="C473" s="20" t="inlineStr">
        <is>
          <t>Lejanías</t>
        </is>
      </c>
      <c r="D473" s="20" t="inlineStr">
        <is>
          <t>Meta</t>
        </is>
      </c>
      <c r="E473" s="20" t="inlineStr">
        <is>
          <t>BOGOTA</t>
        </is>
      </c>
      <c r="F473" s="20" t="inlineStr">
        <is>
          <t>8:00 AM - 11:30 AM Y DE 02:00 PM - 04:30 PM</t>
        </is>
      </c>
      <c r="G473" s="20" t="inlineStr">
        <is>
          <t>Carrera 14 No.7-02 Barrio Centro</t>
        </is>
      </c>
      <c r="H473" s="20" t="inlineStr">
        <is>
          <t>6013821400</t>
        </is>
      </c>
      <c r="I473" s="20" t="inlineStr">
        <is>
          <t>LUNES A VIERNES</t>
        </is>
      </c>
      <c r="J473" s="20" t="inlineStr">
        <is>
          <t>GESTIONATECH</t>
        </is>
      </c>
      <c r="K473" s="21" t="n">
        <v>46276</v>
      </c>
      <c r="L473" s="21" t="n">
        <v>46276</v>
      </c>
      <c r="M473" s="20" t="n">
        <v>14</v>
      </c>
    </row>
    <row r="474">
      <c r="A474" s="16" t="inlineStr">
        <is>
          <t>4519</t>
        </is>
      </c>
      <c r="B474" s="17" t="inlineStr">
        <is>
          <t>LA MACARENA</t>
        </is>
      </c>
      <c r="C474" s="17" t="inlineStr">
        <is>
          <t>La Macarena</t>
        </is>
      </c>
      <c r="D474" s="17" t="inlineStr">
        <is>
          <t>Meta</t>
        </is>
      </c>
      <c r="E474" s="17" t="inlineStr">
        <is>
          <t>BOGOTA</t>
        </is>
      </c>
      <c r="F474" s="17" t="inlineStr">
        <is>
          <t>8:00 AM - 11:30 AM Y DE 02:00 PM - 04:30 PM</t>
        </is>
      </c>
      <c r="G474" s="17" t="inlineStr">
        <is>
          <t>Calle 5 No. 6 -09</t>
        </is>
      </c>
      <c r="H474" s="17" t="inlineStr">
        <is>
          <t>6013821400</t>
        </is>
      </c>
      <c r="I474" s="17" t="inlineStr">
        <is>
          <t>LUNES A VIERNES</t>
        </is>
      </c>
      <c r="J474" s="17" t="inlineStr">
        <is>
          <t>GESTIONATECH</t>
        </is>
      </c>
      <c r="K474" s="18" t="n">
        <v>46276</v>
      </c>
      <c r="L474" s="18" t="n">
        <v>46276</v>
      </c>
      <c r="M474" s="17" t="n">
        <v>19</v>
      </c>
    </row>
    <row r="475">
      <c r="A475" s="19" t="inlineStr">
        <is>
          <t>4521</t>
        </is>
      </c>
      <c r="B475" s="20" t="inlineStr">
        <is>
          <t>MESETAS</t>
        </is>
      </c>
      <c r="C475" s="20" t="inlineStr">
        <is>
          <t>Mesetas</t>
        </is>
      </c>
      <c r="D475" s="20" t="inlineStr">
        <is>
          <t>Meta</t>
        </is>
      </c>
      <c r="E475" s="20" t="inlineStr">
        <is>
          <t>BOGOTA</t>
        </is>
      </c>
      <c r="F475" s="20" t="inlineStr">
        <is>
          <t>8:00 AM - 11:30 AM Y DE 02:00 PM - 04:30 PM</t>
        </is>
      </c>
      <c r="G475" s="20" t="inlineStr">
        <is>
          <t>Carrera 7 No.8-74</t>
        </is>
      </c>
      <c r="H475" s="20" t="inlineStr">
        <is>
          <t>6013821400</t>
        </is>
      </c>
      <c r="I475" s="20" t="inlineStr">
        <is>
          <t>LUNES A VIERNES</t>
        </is>
      </c>
      <c r="J475" s="20" t="inlineStr">
        <is>
          <t>GESTIONATECH</t>
        </is>
      </c>
      <c r="K475" s="21" t="n">
        <v>46280</v>
      </c>
      <c r="L475" s="21" t="n">
        <v>46280</v>
      </c>
      <c r="M475" s="20" t="n">
        <v>15</v>
      </c>
    </row>
    <row r="476">
      <c r="A476" s="16" t="inlineStr">
        <is>
          <t>4522</t>
        </is>
      </c>
      <c r="B476" s="17" t="inlineStr">
        <is>
          <t>PUERTO LLERAS</t>
        </is>
      </c>
      <c r="C476" s="17" t="inlineStr">
        <is>
          <t>Puerto Lleras</t>
        </is>
      </c>
      <c r="D476" s="17" t="inlineStr">
        <is>
          <t>Meta</t>
        </is>
      </c>
      <c r="E476" s="17" t="inlineStr">
        <is>
          <t>BOGOTA</t>
        </is>
      </c>
      <c r="F476" s="17" t="inlineStr">
        <is>
          <t>8:00 AM - 11:30 AM Y DE 02:00 PM - 04:30 PM</t>
        </is>
      </c>
      <c r="G476" s="17" t="inlineStr">
        <is>
          <t>Carrera 5 No. 6 A -42 Parque Principal.</t>
        </is>
      </c>
      <c r="H476" s="17" t="inlineStr">
        <is>
          <t>6013821400</t>
        </is>
      </c>
      <c r="I476" s="17" t="inlineStr">
        <is>
          <t>LUNES A VIERNES</t>
        </is>
      </c>
      <c r="J476" s="17" t="inlineStr">
        <is>
          <t>GESTIONATECH</t>
        </is>
      </c>
      <c r="K476" s="18" t="n">
        <v>46288</v>
      </c>
      <c r="L476" s="18" t="n">
        <v>46288</v>
      </c>
      <c r="M476" s="17" t="n">
        <v>15</v>
      </c>
    </row>
    <row r="477">
      <c r="A477" s="19" t="inlineStr">
        <is>
          <t>4523</t>
        </is>
      </c>
      <c r="B477" s="20" t="inlineStr">
        <is>
          <t>PUERTO RICO</t>
        </is>
      </c>
      <c r="C477" s="20" t="inlineStr">
        <is>
          <t>Puerto Rico</t>
        </is>
      </c>
      <c r="D477" s="20" t="inlineStr">
        <is>
          <t>Meta</t>
        </is>
      </c>
      <c r="E477" s="20" t="inlineStr">
        <is>
          <t>BOGOTA</t>
        </is>
      </c>
      <c r="F477" s="20" t="inlineStr">
        <is>
          <t>8:00 AM - 11:30 AM Y DE 02:00 PM - 04:30 PM</t>
        </is>
      </c>
      <c r="G477" s="20" t="inlineStr">
        <is>
          <t>Calle 13 No. 3-20-24</t>
        </is>
      </c>
      <c r="H477" s="20" t="inlineStr">
        <is>
          <t>6013821400</t>
        </is>
      </c>
      <c r="I477" s="20" t="inlineStr">
        <is>
          <t>LUNES A VIERNES</t>
        </is>
      </c>
      <c r="J477" s="20" t="inlineStr">
        <is>
          <t>GESTIONATECH</t>
        </is>
      </c>
      <c r="K477" s="21" t="n">
        <v>46287</v>
      </c>
      <c r="L477" s="21" t="n">
        <v>46287</v>
      </c>
      <c r="M477" s="20" t="n">
        <v>16</v>
      </c>
    </row>
    <row r="478">
      <c r="A478" s="16" t="inlineStr">
        <is>
          <t>4524</t>
        </is>
      </c>
      <c r="B478" s="17" t="inlineStr">
        <is>
          <t>PUERTO GAITAN</t>
        </is>
      </c>
      <c r="C478" s="17" t="inlineStr">
        <is>
          <t>Puerto Gaitán</t>
        </is>
      </c>
      <c r="D478" s="17" t="inlineStr">
        <is>
          <t>Meta</t>
        </is>
      </c>
      <c r="E478" s="17" t="inlineStr">
        <is>
          <t>BOGOTA</t>
        </is>
      </c>
      <c r="F478" s="17" t="inlineStr">
        <is>
          <t>8:00 AM - 11:30 AM Y DE 02:00 PM - 04:30 PM</t>
        </is>
      </c>
      <c r="G478" s="17" t="inlineStr">
        <is>
          <t>Calle 8 No.15-07</t>
        </is>
      </c>
      <c r="H478" s="17" t="inlineStr">
        <is>
          <t>6013821400</t>
        </is>
      </c>
      <c r="I478" s="17" t="inlineStr">
        <is>
          <t>LUNES A VIERNES</t>
        </is>
      </c>
      <c r="J478" s="17" t="inlineStr">
        <is>
          <t>GESTIONATECH</t>
        </is>
      </c>
      <c r="K478" s="18" t="n">
        <v>46268</v>
      </c>
      <c r="L478" s="18" t="n">
        <v>46268</v>
      </c>
      <c r="M478" s="17" t="n">
        <v>15</v>
      </c>
    </row>
    <row r="479">
      <c r="A479" s="19" t="inlineStr">
        <is>
          <t>4525</t>
        </is>
      </c>
      <c r="B479" s="20" t="inlineStr">
        <is>
          <t>RESTREPO</t>
        </is>
      </c>
      <c r="C479" s="20" t="inlineStr">
        <is>
          <t>Restrepo</t>
        </is>
      </c>
      <c r="D479" s="20" t="inlineStr">
        <is>
          <t>Meta</t>
        </is>
      </c>
      <c r="E479" s="20" t="inlineStr">
        <is>
          <t>BOGOTA</t>
        </is>
      </c>
      <c r="F479" s="20" t="inlineStr">
        <is>
          <t>8:00 AM - 11:30 AM Y DE 02:00 PM - 04:30 PM</t>
        </is>
      </c>
      <c r="G479" s="20" t="inlineStr">
        <is>
          <t>Carrera 5 No.9 - 61</t>
        </is>
      </c>
      <c r="H479" s="20" t="inlineStr">
        <is>
          <t>6013821400</t>
        </is>
      </c>
      <c r="I479" s="20" t="inlineStr">
        <is>
          <t>LUNES A VIERNES</t>
        </is>
      </c>
      <c r="J479" s="20" t="inlineStr">
        <is>
          <t>GESTIONATECH</t>
        </is>
      </c>
      <c r="K479" s="21" t="n">
        <v>46275</v>
      </c>
      <c r="L479" s="21" t="n">
        <v>46275</v>
      </c>
      <c r="M479" s="20" t="n">
        <v>12</v>
      </c>
    </row>
    <row r="480">
      <c r="A480" s="16" t="inlineStr">
        <is>
          <t>4530</t>
        </is>
      </c>
      <c r="B480" s="17" t="inlineStr">
        <is>
          <t>PUERTO LOPEZ</t>
        </is>
      </c>
      <c r="C480" s="17" t="inlineStr">
        <is>
          <t>Puerto López</t>
        </is>
      </c>
      <c r="D480" s="17" t="inlineStr">
        <is>
          <t>Meta</t>
        </is>
      </c>
      <c r="E480" s="17" t="inlineStr">
        <is>
          <t>BOGOTA</t>
        </is>
      </c>
      <c r="F480" s="17" t="inlineStr">
        <is>
          <t>8:00 AM - 11:30 AM Y DE 02:00 PM - 04:30 PM</t>
        </is>
      </c>
      <c r="G480" s="17" t="inlineStr">
        <is>
          <t>Carrera 4 No. 5-16/20 Barrio Abel Rey</t>
        </is>
      </c>
      <c r="H480" s="17" t="inlineStr">
        <is>
          <t>6013821400</t>
        </is>
      </c>
      <c r="I480" s="17" t="inlineStr">
        <is>
          <t>LUNES A VIERNES</t>
        </is>
      </c>
      <c r="J480" s="17" t="inlineStr">
        <is>
          <t>GESTIONATECH</t>
        </is>
      </c>
      <c r="K480" s="18" t="n">
        <v>46274</v>
      </c>
      <c r="L480" s="18" t="n">
        <v>46274</v>
      </c>
      <c r="M480" s="17" t="n">
        <v>21</v>
      </c>
    </row>
    <row r="481">
      <c r="A481" s="19" t="inlineStr">
        <is>
          <t>4532</t>
        </is>
      </c>
      <c r="B481" s="20" t="inlineStr">
        <is>
          <t>SAN JUAN DE ARAMA</t>
        </is>
      </c>
      <c r="C481" s="20" t="inlineStr">
        <is>
          <t>San Juan De Arama</t>
        </is>
      </c>
      <c r="D481" s="20" t="inlineStr">
        <is>
          <t>Meta</t>
        </is>
      </c>
      <c r="E481" s="20" t="inlineStr">
        <is>
          <t>BOGOTA</t>
        </is>
      </c>
      <c r="F481" s="20" t="inlineStr">
        <is>
          <t>8:00 AM - 11:30 AM Y DE 02:00 PM - 04:30 PM</t>
        </is>
      </c>
      <c r="G481" s="20" t="inlineStr">
        <is>
          <t>Carrera 9 No.11-25</t>
        </is>
      </c>
      <c r="H481" s="20" t="inlineStr">
        <is>
          <t>6013821400</t>
        </is>
      </c>
      <c r="I481" s="20" t="inlineStr">
        <is>
          <t>LUNES A VIERNES</t>
        </is>
      </c>
      <c r="J481" s="20" t="inlineStr">
        <is>
          <t>GESTIONATECH</t>
        </is>
      </c>
      <c r="K481" s="21" t="n">
        <v>46274</v>
      </c>
      <c r="L481" s="21" t="n">
        <v>46274</v>
      </c>
      <c r="M481" s="20" t="n">
        <v>12</v>
      </c>
    </row>
    <row r="482">
      <c r="A482" s="16" t="inlineStr">
        <is>
          <t>4535</t>
        </is>
      </c>
      <c r="B482" s="17" t="inlineStr">
        <is>
          <t>SAN MARTIN</t>
        </is>
      </c>
      <c r="C482" s="17" t="inlineStr">
        <is>
          <t>San Martín</t>
        </is>
      </c>
      <c r="D482" s="17" t="inlineStr">
        <is>
          <t>Meta</t>
        </is>
      </c>
      <c r="E482" s="17" t="inlineStr">
        <is>
          <t>BOGOTA</t>
        </is>
      </c>
      <c r="F482" s="17" t="inlineStr">
        <is>
          <t>8:00 AM - 11:30 AM Y DE 02:00 PM - 04:30 PM</t>
        </is>
      </c>
      <c r="G482" s="17" t="inlineStr">
        <is>
          <t>Carrera 7 No. 5-68</t>
        </is>
      </c>
      <c r="H482" s="17" t="inlineStr">
        <is>
          <t>6013821400</t>
        </is>
      </c>
      <c r="I482" s="17" t="inlineStr">
        <is>
          <t>LUNES A VIERNES</t>
        </is>
      </c>
      <c r="J482" s="17" t="inlineStr">
        <is>
          <t>GESTIONATECH</t>
        </is>
      </c>
      <c r="K482" s="18" t="n">
        <v>46283</v>
      </c>
      <c r="L482" s="18" t="n">
        <v>46283</v>
      </c>
      <c r="M482" s="17" t="n">
        <v>23</v>
      </c>
    </row>
    <row r="483">
      <c r="A483" s="19" t="inlineStr">
        <is>
          <t>4540</t>
        </is>
      </c>
      <c r="B483" s="20" t="inlineStr">
        <is>
          <t>SAN CARLOS DE GUAROA</t>
        </is>
      </c>
      <c r="C483" s="20" t="inlineStr">
        <is>
          <t>San Carlos De Guaroa</t>
        </is>
      </c>
      <c r="D483" s="20" t="inlineStr">
        <is>
          <t>Meta</t>
        </is>
      </c>
      <c r="E483" s="20" t="inlineStr">
        <is>
          <t>BOGOTA</t>
        </is>
      </c>
      <c r="F483" s="20" t="inlineStr">
        <is>
          <t>8:00 AM - 11:30 AM Y DE 02:00 PM - 04:30 PM</t>
        </is>
      </c>
      <c r="G483" s="20" t="inlineStr">
        <is>
          <t>Carrera 12 No.4-53 Parque Principal</t>
        </is>
      </c>
      <c r="H483" s="20" t="inlineStr">
        <is>
          <t>6013821400</t>
        </is>
      </c>
      <c r="I483" s="20" t="inlineStr">
        <is>
          <t>LUNES A VIERNES</t>
        </is>
      </c>
      <c r="J483" s="20" t="inlineStr">
        <is>
          <t>GESTIONATECH</t>
        </is>
      </c>
      <c r="K483" s="21" t="n">
        <v>46266</v>
      </c>
      <c r="L483" s="21" t="n">
        <v>46266</v>
      </c>
      <c r="M483" s="20" t="n">
        <v>16</v>
      </c>
    </row>
    <row r="484">
      <c r="A484" s="16" t="inlineStr">
        <is>
          <t>4542</t>
        </is>
      </c>
      <c r="B484" s="17" t="inlineStr">
        <is>
          <t>SAN JUANITO</t>
        </is>
      </c>
      <c r="C484" s="17" t="inlineStr">
        <is>
          <t>San Juanito</t>
        </is>
      </c>
      <c r="D484" s="17" t="inlineStr">
        <is>
          <t>Meta</t>
        </is>
      </c>
      <c r="E484" s="17" t="inlineStr">
        <is>
          <t>BOGOTA</t>
        </is>
      </c>
      <c r="F484" s="17" t="inlineStr">
        <is>
          <t>8:00 AM - 11:30 AM Y DE 02:00 PM - 04:30 PM</t>
        </is>
      </c>
      <c r="G484" s="17" t="inlineStr">
        <is>
          <t>Calle 7 No. 2-55 Centro</t>
        </is>
      </c>
      <c r="H484" s="17" t="inlineStr">
        <is>
          <t>6013821400</t>
        </is>
      </c>
      <c r="I484" s="17" t="inlineStr">
        <is>
          <t>LUNES A VIERNES</t>
        </is>
      </c>
      <c r="J484" s="17" t="inlineStr">
        <is>
          <t>GESTIONATECH</t>
        </is>
      </c>
      <c r="K484" s="18" t="n">
        <v>46293</v>
      </c>
      <c r="L484" s="18" t="n">
        <v>46294</v>
      </c>
      <c r="M484" s="17" t="n">
        <v>13</v>
      </c>
    </row>
    <row r="485">
      <c r="A485" s="19" t="inlineStr">
        <is>
          <t>4543</t>
        </is>
      </c>
      <c r="B485" s="20" t="inlineStr">
        <is>
          <t>MAPIRIPAN</t>
        </is>
      </c>
      <c r="C485" s="20" t="inlineStr">
        <is>
          <t>Mapiripán</t>
        </is>
      </c>
      <c r="D485" s="20" t="inlineStr">
        <is>
          <t>Meta</t>
        </is>
      </c>
      <c r="E485" s="20" t="inlineStr">
        <is>
          <t>BOGOTA</t>
        </is>
      </c>
      <c r="F485" s="20" t="inlineStr">
        <is>
          <t>8:00 A.M.  A 3:00 P.M.</t>
        </is>
      </c>
      <c r="G485" s="20" t="inlineStr">
        <is>
          <t>Calle 4 No. 20-71/75 Parque Principal</t>
        </is>
      </c>
      <c r="H485" s="20" t="inlineStr">
        <is>
          <t>6013821400</t>
        </is>
      </c>
      <c r="I485" s="20" t="inlineStr">
        <is>
          <t>LUNES A VIERNES</t>
        </is>
      </c>
      <c r="J485" s="20" t="inlineStr">
        <is>
          <t>GESTIONATECH</t>
        </is>
      </c>
      <c r="K485" s="21" t="n">
        <v>46295</v>
      </c>
      <c r="L485" s="21" t="n">
        <v>46297</v>
      </c>
      <c r="M485" s="20" t="n">
        <v>12</v>
      </c>
    </row>
    <row r="486">
      <c r="A486" s="16" t="inlineStr">
        <is>
          <t>4550</t>
        </is>
      </c>
      <c r="B486" s="17" t="inlineStr">
        <is>
          <t>VISTAHERMOSA</t>
        </is>
      </c>
      <c r="C486" s="17" t="inlineStr">
        <is>
          <t>Vistahermosa</t>
        </is>
      </c>
      <c r="D486" s="17" t="inlineStr">
        <is>
          <t>Meta</t>
        </is>
      </c>
      <c r="E486" s="17" t="inlineStr">
        <is>
          <t>BOGOTA</t>
        </is>
      </c>
      <c r="F486" s="17" t="inlineStr">
        <is>
          <t>8:00 AM - 11:30 AM Y DE 02:00 PM - 04:30 PM</t>
        </is>
      </c>
      <c r="G486" s="17" t="inlineStr">
        <is>
          <t>Calle 9 No.11-37    Calle 9 No. 2-77</t>
        </is>
      </c>
      <c r="H486" s="17" t="inlineStr">
        <is>
          <t>6013821400</t>
        </is>
      </c>
      <c r="I486" s="17" t="inlineStr">
        <is>
          <t>LUNES A VIERNES</t>
        </is>
      </c>
      <c r="J486" s="17" t="inlineStr">
        <is>
          <t>GESTIONATECH</t>
        </is>
      </c>
      <c r="K486" s="18" t="n">
        <v>46273</v>
      </c>
      <c r="L486" s="18" t="n">
        <v>46273</v>
      </c>
      <c r="M486" s="17" t="n">
        <v>16</v>
      </c>
    </row>
    <row r="487">
      <c r="A487" s="19" t="inlineStr">
        <is>
          <t>4560</t>
        </is>
      </c>
      <c r="B487" s="20" t="inlineStr">
        <is>
          <t>URIBE</t>
        </is>
      </c>
      <c r="C487" s="20" t="inlineStr">
        <is>
          <t>Uribe</t>
        </is>
      </c>
      <c r="D487" s="20" t="inlineStr">
        <is>
          <t>Meta</t>
        </is>
      </c>
      <c r="E487" s="20" t="inlineStr">
        <is>
          <t>BOGOTA</t>
        </is>
      </c>
      <c r="F487" s="20" t="inlineStr">
        <is>
          <t>8:00 AM - 11:30 AM Y DE 02:00 PM - 04:30 PM</t>
        </is>
      </c>
      <c r="G487" s="20" t="inlineStr">
        <is>
          <t>Carrera 5 N° 5 43/49 Barrio Industrial</t>
        </is>
      </c>
      <c r="H487" s="20" t="inlineStr">
        <is>
          <t>6013821400</t>
        </is>
      </c>
      <c r="I487" s="20" t="inlineStr">
        <is>
          <t>LUNES A VIERNES</t>
        </is>
      </c>
      <c r="J487" s="20" t="inlineStr">
        <is>
          <t>GESTIONATECH</t>
        </is>
      </c>
      <c r="K487" s="21" t="n">
        <v>46279</v>
      </c>
      <c r="L487" s="21" t="n">
        <v>46279</v>
      </c>
      <c r="M487" s="20" t="n">
        <v>14</v>
      </c>
    </row>
    <row r="488">
      <c r="A488" s="16" t="inlineStr">
        <is>
          <t>4801</t>
        </is>
      </c>
      <c r="B488" s="17" t="inlineStr">
        <is>
          <t>PASTO</t>
        </is>
      </c>
      <c r="C488" s="17" t="inlineStr">
        <is>
          <t>Pasto</t>
        </is>
      </c>
      <c r="D488" s="17" t="inlineStr">
        <is>
          <t>Nariño</t>
        </is>
      </c>
      <c r="E488" s="17" t="inlineStr">
        <is>
          <t>OCCIDENTE</t>
        </is>
      </c>
      <c r="F488" s="17" t="inlineStr">
        <is>
          <t>8:00 AM - 11:30 AM Y DE 02:00 PM - 04:30 PM</t>
        </is>
      </c>
      <c r="G488" s="17" t="inlineStr">
        <is>
          <t>Calle 18 No. 21A-20 - Local 6 Complejo Bancario</t>
        </is>
      </c>
      <c r="H488" s="17" t="inlineStr">
        <is>
          <t>6013821400</t>
        </is>
      </c>
      <c r="I488" s="17" t="inlineStr">
        <is>
          <t>LUNES A VIERNES</t>
        </is>
      </c>
      <c r="J488" s="17" t="inlineStr">
        <is>
          <t>REGIONAL</t>
        </is>
      </c>
      <c r="K488" s="18" t="n">
        <v>46301</v>
      </c>
      <c r="L488" s="18" t="n">
        <v>46311</v>
      </c>
      <c r="M488" s="17" t="n">
        <v>60</v>
      </c>
    </row>
    <row r="489">
      <c r="A489" s="19" t="inlineStr">
        <is>
          <t>4805</t>
        </is>
      </c>
      <c r="B489" s="20" t="inlineStr">
        <is>
          <t>CORDOBA</t>
        </is>
      </c>
      <c r="C489" s="20" t="inlineStr">
        <is>
          <t>Córdoba</t>
        </is>
      </c>
      <c r="D489" s="20" t="inlineStr">
        <is>
          <t>Nariño</t>
        </is>
      </c>
      <c r="E489" s="20" t="inlineStr">
        <is>
          <t>OCCIDENTE</t>
        </is>
      </c>
      <c r="F489" s="20" t="inlineStr">
        <is>
          <t>8:00 AM - 11:30 AM Y DE 02:00 PM - 04:30 PM</t>
        </is>
      </c>
      <c r="G489" s="20" t="inlineStr">
        <is>
          <t>CARRERA 3 - CALLE 3B  No. 3 - 15 Parque Principal</t>
        </is>
      </c>
      <c r="H489" s="20" t="inlineStr">
        <is>
          <t>6013821400</t>
        </is>
      </c>
      <c r="I489" s="20" t="inlineStr">
        <is>
          <t>LUNES A VIERNES</t>
        </is>
      </c>
      <c r="J489" s="20" t="inlineStr">
        <is>
          <t>INSARED</t>
        </is>
      </c>
      <c r="K489" s="21" t="n">
        <v>46282</v>
      </c>
      <c r="L489" s="21" t="n">
        <v>46282</v>
      </c>
      <c r="M489" s="20" t="n">
        <v>18</v>
      </c>
    </row>
    <row r="490">
      <c r="A490" s="16" t="inlineStr">
        <is>
          <t>4806</t>
        </is>
      </c>
      <c r="B490" s="17" t="inlineStr">
        <is>
          <t>IPIALES</t>
        </is>
      </c>
      <c r="C490" s="17" t="inlineStr">
        <is>
          <t>Ipiales</t>
        </is>
      </c>
      <c r="D490" s="17" t="inlineStr">
        <is>
          <t>Nariño</t>
        </is>
      </c>
      <c r="E490" s="17" t="inlineStr">
        <is>
          <t>OCCIDENTE</t>
        </is>
      </c>
      <c r="F490" s="17" t="inlineStr">
        <is>
          <t>8:00 AM - 11:30 AM Y DE 02:00 PM - 04:30 PM</t>
        </is>
      </c>
      <c r="G490" s="17" t="inlineStr">
        <is>
          <t>Carrera 7 No 15-31</t>
        </is>
      </c>
      <c r="H490" s="17" t="inlineStr">
        <is>
          <t>6013821400</t>
        </is>
      </c>
      <c r="I490" s="17" t="inlineStr">
        <is>
          <t>LUNES A VIERNES</t>
        </is>
      </c>
      <c r="J490" s="17" t="inlineStr">
        <is>
          <t>INSARED</t>
        </is>
      </c>
      <c r="K490" s="18" t="n">
        <v>46275</v>
      </c>
      <c r="L490" s="18" t="n">
        <v>46275</v>
      </c>
      <c r="M490" s="17" t="n">
        <v>52</v>
      </c>
    </row>
    <row r="491">
      <c r="A491" s="19" t="inlineStr">
        <is>
          <t>4808</t>
        </is>
      </c>
      <c r="B491" s="20" t="inlineStr">
        <is>
          <t>TUQUERRES</t>
        </is>
      </c>
      <c r="C491" s="20" t="inlineStr">
        <is>
          <t>Túquerres</t>
        </is>
      </c>
      <c r="D491" s="20" t="inlineStr">
        <is>
          <t>Nariño</t>
        </is>
      </c>
      <c r="E491" s="20" t="inlineStr">
        <is>
          <t>OCCIDENTE</t>
        </is>
      </c>
      <c r="F491" s="20" t="inlineStr">
        <is>
          <t>8:00 AM - 11:30 AM Y DE 02:00 PM - 04:30 PM</t>
        </is>
      </c>
      <c r="G491" s="20" t="inlineStr">
        <is>
          <t>Carrera 14 No. 20-25</t>
        </is>
      </c>
      <c r="H491" s="20" t="inlineStr">
        <is>
          <t>6013821400</t>
        </is>
      </c>
      <c r="I491" s="20" t="inlineStr">
        <is>
          <t>LUNES A VIERNES</t>
        </is>
      </c>
      <c r="J491" s="20" t="inlineStr">
        <is>
          <t>INSARED</t>
        </is>
      </c>
      <c r="K491" s="21" t="n">
        <v>46324</v>
      </c>
      <c r="L491" s="21" t="n">
        <v>46324</v>
      </c>
      <c r="M491" s="20" t="n">
        <v>32</v>
      </c>
    </row>
    <row r="492">
      <c r="A492" s="16" t="inlineStr">
        <is>
          <t>4810</t>
        </is>
      </c>
      <c r="B492" s="17" t="inlineStr">
        <is>
          <t>SANDONA</t>
        </is>
      </c>
      <c r="C492" s="17" t="inlineStr">
        <is>
          <t>Sandoná</t>
        </is>
      </c>
      <c r="D492" s="17" t="inlineStr">
        <is>
          <t>Nariño</t>
        </is>
      </c>
      <c r="E492" s="17" t="inlineStr">
        <is>
          <t>OCCIDENTE</t>
        </is>
      </c>
      <c r="F492" s="17" t="inlineStr">
        <is>
          <t>DE MARTES A VIERNES DE 8:00 AM A 11:30 AM Y DE 2:00 P.M. A 4:30 P.M.    SABADO DE 8:00 AM A 2:00 P.M.</t>
        </is>
      </c>
      <c r="G492" s="17" t="inlineStr">
        <is>
          <t>Calle 5 No. 4-28 Barrio San Carlos - Plaza Principal</t>
        </is>
      </c>
      <c r="H492" s="17" t="inlineStr">
        <is>
          <t>6013821400</t>
        </is>
      </c>
      <c r="I492" s="17" t="inlineStr">
        <is>
          <t>MARTES A VIERNES Y      SÁBADO</t>
        </is>
      </c>
      <c r="J492" s="17" t="inlineStr">
        <is>
          <t>INSARED</t>
        </is>
      </c>
      <c r="K492" s="18" t="n">
        <v>46294</v>
      </c>
      <c r="L492" s="18" t="n">
        <v>46294</v>
      </c>
      <c r="M492" s="17" t="n">
        <v>26</v>
      </c>
    </row>
    <row r="493">
      <c r="A493" s="19" t="inlineStr">
        <is>
          <t>4811</t>
        </is>
      </c>
      <c r="B493" s="20" t="inlineStr">
        <is>
          <t>ANCUYA</t>
        </is>
      </c>
      <c r="C493" s="20" t="inlineStr">
        <is>
          <t>Ancuyá</t>
        </is>
      </c>
      <c r="D493" s="20" t="inlineStr">
        <is>
          <t>Nariño</t>
        </is>
      </c>
      <c r="E493" s="20" t="inlineStr">
        <is>
          <t>OCCIDENTE</t>
        </is>
      </c>
      <c r="F493" s="20" t="inlineStr">
        <is>
          <t>DE MARTES A VIERNES DE 8:00 AM A 11:30 AM Y DE 2:00 P.M. A 4:30 P.M.    SABADO DE 8:00 AM A 2:00 P.M.</t>
        </is>
      </c>
      <c r="G493" s="20" t="inlineStr">
        <is>
          <t>Calle 2 No.3-59 Palacio Municipal</t>
        </is>
      </c>
      <c r="H493" s="20" t="inlineStr">
        <is>
          <t>6013821400</t>
        </is>
      </c>
      <c r="I493" s="20" t="inlineStr">
        <is>
          <t>MARTES A VIERNES Y      SÁBADO</t>
        </is>
      </c>
      <c r="J493" s="20" t="inlineStr">
        <is>
          <t>INSARED</t>
        </is>
      </c>
      <c r="K493" s="21" t="n">
        <v>46295</v>
      </c>
      <c r="L493" s="21" t="n">
        <v>46295</v>
      </c>
      <c r="M493" s="20" t="n">
        <v>13</v>
      </c>
    </row>
    <row r="494">
      <c r="A494" s="16" t="inlineStr">
        <is>
          <t>4812</t>
        </is>
      </c>
      <c r="B494" s="17" t="inlineStr">
        <is>
          <t>PUPIALES</t>
        </is>
      </c>
      <c r="C494" s="17" t="inlineStr">
        <is>
          <t>Pupiales</t>
        </is>
      </c>
      <c r="D494" s="17" t="inlineStr">
        <is>
          <t>Nariño</t>
        </is>
      </c>
      <c r="E494" s="17" t="inlineStr">
        <is>
          <t>OCCIDENTE</t>
        </is>
      </c>
      <c r="F494" s="17" t="inlineStr">
        <is>
          <t>8:00 AM - 11:30 AM Y DE 02:00 PM - 04:30 PM</t>
        </is>
      </c>
      <c r="G494" s="17" t="inlineStr">
        <is>
          <t>Carrera 2 No. 4-22</t>
        </is>
      </c>
      <c r="H494" s="17" t="inlineStr">
        <is>
          <t>6013821400</t>
        </is>
      </c>
      <c r="I494" s="17" t="inlineStr">
        <is>
          <t>LUNES A VIERNES</t>
        </is>
      </c>
      <c r="J494" s="17" t="inlineStr">
        <is>
          <t>INSARED</t>
        </is>
      </c>
      <c r="K494" s="18" t="n">
        <v>46274</v>
      </c>
      <c r="L494" s="18" t="n">
        <v>46274</v>
      </c>
      <c r="M494" s="17" t="n">
        <v>23</v>
      </c>
    </row>
    <row r="495">
      <c r="A495" s="19" t="inlineStr">
        <is>
          <t>4814</t>
        </is>
      </c>
      <c r="B495" s="20" t="inlineStr">
        <is>
          <t>CUMBAL</t>
        </is>
      </c>
      <c r="C495" s="20" t="inlineStr">
        <is>
          <t>Cumbal</t>
        </is>
      </c>
      <c r="D495" s="20" t="inlineStr">
        <is>
          <t>Nariño</t>
        </is>
      </c>
      <c r="E495" s="20" t="inlineStr">
        <is>
          <t>OCCIDENTE</t>
        </is>
      </c>
      <c r="F495" s="20" t="inlineStr">
        <is>
          <t>8:00 AM - 11:30 AM Y DE 02:00 PM - 04:30 PM</t>
        </is>
      </c>
      <c r="G495" s="20" t="inlineStr">
        <is>
          <t>Calle 18 No. 5-99</t>
        </is>
      </c>
      <c r="H495" s="20" t="inlineStr">
        <is>
          <t>6013821400</t>
        </is>
      </c>
      <c r="I495" s="20" t="inlineStr">
        <is>
          <t>LUNES A VIERNES</t>
        </is>
      </c>
      <c r="J495" s="20" t="inlineStr">
        <is>
          <t>INSARED</t>
        </is>
      </c>
      <c r="K495" s="21" t="n">
        <v>46279</v>
      </c>
      <c r="L495" s="21" t="n">
        <v>46279</v>
      </c>
      <c r="M495" s="20" t="n">
        <v>25</v>
      </c>
    </row>
    <row r="496">
      <c r="A496" s="16" t="inlineStr">
        <is>
          <t>4816</t>
        </is>
      </c>
      <c r="B496" s="17" t="inlineStr">
        <is>
          <t>GUACHUCAL</t>
        </is>
      </c>
      <c r="C496" s="17" t="inlineStr">
        <is>
          <t>Guachucal</t>
        </is>
      </c>
      <c r="D496" s="17" t="inlineStr">
        <is>
          <t>Nariño</t>
        </is>
      </c>
      <c r="E496" s="17" t="inlineStr">
        <is>
          <t>OCCIDENTE</t>
        </is>
      </c>
      <c r="F496" s="17" t="inlineStr">
        <is>
          <t>8:00 AM - 11:30 AM Y DE 02:00 PM - 04:30 PM</t>
        </is>
      </c>
      <c r="G496" s="17" t="inlineStr">
        <is>
          <t>Calle 8 No. 5-37 Barrio Libertad a una cuadra del Parque</t>
        </is>
      </c>
      <c r="H496" s="17" t="inlineStr">
        <is>
          <t>6013821400</t>
        </is>
      </c>
      <c r="I496" s="17" t="inlineStr">
        <is>
          <t>LUNES A VIERNES</t>
        </is>
      </c>
      <c r="J496" s="17" t="inlineStr">
        <is>
          <t>INSARED</t>
        </is>
      </c>
      <c r="K496" s="18" t="n">
        <v>46276</v>
      </c>
      <c r="L496" s="18" t="n">
        <v>46276</v>
      </c>
      <c r="M496" s="17" t="n">
        <v>22</v>
      </c>
    </row>
    <row r="497">
      <c r="A497" s="19" t="inlineStr">
        <is>
          <t>4818</t>
        </is>
      </c>
      <c r="B497" s="20" t="inlineStr">
        <is>
          <t>CONTADERO</t>
        </is>
      </c>
      <c r="C497" s="20" t="inlineStr">
        <is>
          <t>Contadero</t>
        </is>
      </c>
      <c r="D497" s="20" t="inlineStr">
        <is>
          <t>Nariño</t>
        </is>
      </c>
      <c r="E497" s="20" t="inlineStr">
        <is>
          <t>OCCIDENTE</t>
        </is>
      </c>
      <c r="F497" s="20" t="inlineStr">
        <is>
          <t>8:00 AM - 11:30 AM Y DE 02:00 PM - 04:30 PM</t>
        </is>
      </c>
      <c r="G497" s="20" t="inlineStr">
        <is>
          <t>Carrera 2 No. 5-02</t>
        </is>
      </c>
      <c r="H497" s="20" t="inlineStr">
        <is>
          <t>6013821400</t>
        </is>
      </c>
      <c r="I497" s="20" t="inlineStr">
        <is>
          <t>LUNES A VIERNES</t>
        </is>
      </c>
      <c r="J497" s="20" t="inlineStr">
        <is>
          <t>INSARED</t>
        </is>
      </c>
      <c r="K497" s="21" t="n">
        <v>46269</v>
      </c>
      <c r="L497" s="21" t="n">
        <v>46269</v>
      </c>
      <c r="M497" s="20" t="n">
        <v>14</v>
      </c>
    </row>
    <row r="498">
      <c r="A498" s="16" t="inlineStr">
        <is>
          <t>4820</t>
        </is>
      </c>
      <c r="B498" s="17" t="inlineStr">
        <is>
          <t>PUERRES</t>
        </is>
      </c>
      <c r="C498" s="17" t="inlineStr">
        <is>
          <t>Puerres</t>
        </is>
      </c>
      <c r="D498" s="17" t="inlineStr">
        <is>
          <t>Nariño</t>
        </is>
      </c>
      <c r="E498" s="17" t="inlineStr">
        <is>
          <t>OCCIDENTE</t>
        </is>
      </c>
      <c r="F498" s="17" t="inlineStr">
        <is>
          <t>8:00 AM - 11:30 AM Y DE 02:00 PM - 04:30 PM</t>
        </is>
      </c>
      <c r="G498" s="17" t="inlineStr">
        <is>
          <t>Cra.3 No.6-15/ 29 Barrio el Centro</t>
        </is>
      </c>
      <c r="H498" s="17" t="inlineStr">
        <is>
          <t>6013821400</t>
        </is>
      </c>
      <c r="I498" s="17" t="inlineStr">
        <is>
          <t>LUNES A VIERNES</t>
        </is>
      </c>
      <c r="J498" s="17" t="inlineStr">
        <is>
          <t>INSARED</t>
        </is>
      </c>
      <c r="K498" s="18" t="n">
        <v>46283</v>
      </c>
      <c r="L498" s="18" t="n">
        <v>46283</v>
      </c>
      <c r="M498" s="17" t="n">
        <v>19</v>
      </c>
    </row>
    <row r="499">
      <c r="A499" s="19" t="inlineStr">
        <is>
          <t>4822</t>
        </is>
      </c>
      <c r="B499" s="20" t="inlineStr">
        <is>
          <t>YACUANQUER</t>
        </is>
      </c>
      <c r="C499" s="20" t="inlineStr">
        <is>
          <t>Yacuanquer</t>
        </is>
      </c>
      <c r="D499" s="20" t="inlineStr">
        <is>
          <t>Nariño</t>
        </is>
      </c>
      <c r="E499" s="20" t="inlineStr">
        <is>
          <t>OCCIDENTE</t>
        </is>
      </c>
      <c r="F499" s="20" t="inlineStr">
        <is>
          <t>8:00 AM - 11:30 AM Y DE 02:00 PM - 04:30 PM</t>
        </is>
      </c>
      <c r="G499" s="20" t="inlineStr">
        <is>
          <t>Carrera 2 No. 9 - 35</t>
        </is>
      </c>
      <c r="H499" s="20" t="inlineStr">
        <is>
          <t>6013821400</t>
        </is>
      </c>
      <c r="I499" s="20" t="inlineStr">
        <is>
          <t>LUNES A VIERNES</t>
        </is>
      </c>
      <c r="J499" s="20" t="inlineStr">
        <is>
          <t>INSARED</t>
        </is>
      </c>
      <c r="K499" s="21" t="n">
        <v>46268</v>
      </c>
      <c r="L499" s="21" t="n">
        <v>46268</v>
      </c>
      <c r="M499" s="20" t="n">
        <v>15</v>
      </c>
    </row>
    <row r="500">
      <c r="A500" s="16" t="inlineStr">
        <is>
          <t>4824</t>
        </is>
      </c>
      <c r="B500" s="17" t="inlineStr">
        <is>
          <t>CUMBITARA</t>
        </is>
      </c>
      <c r="C500" s="17" t="inlineStr">
        <is>
          <t>Cumbitara</t>
        </is>
      </c>
      <c r="D500" s="17" t="inlineStr">
        <is>
          <t>Nariño</t>
        </is>
      </c>
      <c r="E500" s="17" t="inlineStr">
        <is>
          <t>OCCIDENTE</t>
        </is>
      </c>
      <c r="F500" s="17" t="inlineStr">
        <is>
          <t>8:00 AM - 11:30 AM Y DE 02:00 PM - 04:30 PM</t>
        </is>
      </c>
      <c r="G500" s="17" t="inlineStr">
        <is>
          <t>Carrera 4 No. 4 - 20</t>
        </is>
      </c>
      <c r="H500" s="17" t="inlineStr">
        <is>
          <t>6013821400</t>
        </is>
      </c>
      <c r="I500" s="17" t="inlineStr">
        <is>
          <t>LUNES A VIERNES</t>
        </is>
      </c>
      <c r="J500" s="17" t="inlineStr">
        <is>
          <t>INSARED</t>
        </is>
      </c>
      <c r="K500" s="18" t="n">
        <v>46323</v>
      </c>
      <c r="L500" s="18" t="n">
        <v>46323</v>
      </c>
      <c r="M500" s="17" t="n">
        <v>12</v>
      </c>
    </row>
    <row r="501">
      <c r="A501" s="19" t="inlineStr">
        <is>
          <t>4826</t>
        </is>
      </c>
      <c r="B501" s="20" t="inlineStr">
        <is>
          <t>EL CHARCO</t>
        </is>
      </c>
      <c r="C501" s="20" t="inlineStr">
        <is>
          <t>El Charco</t>
        </is>
      </c>
      <c r="D501" s="20" t="inlineStr">
        <is>
          <t>Nariño</t>
        </is>
      </c>
      <c r="E501" s="20" t="inlineStr">
        <is>
          <t>OCCIDENTE</t>
        </is>
      </c>
      <c r="F501" s="20" t="inlineStr">
        <is>
          <t>8:00 AM - 11:30 AM Y DE 02:00 PM - 04:30 PM</t>
        </is>
      </c>
      <c r="G501" s="20" t="inlineStr">
        <is>
          <t>Cra.2 No. 10 a -10 Barrio El Carmen</t>
        </is>
      </c>
      <c r="H501" s="20" t="inlineStr">
        <is>
          <t>6013821400</t>
        </is>
      </c>
      <c r="I501" s="20" t="inlineStr">
        <is>
          <t>LUNES A VIERNES</t>
        </is>
      </c>
      <c r="J501" s="20" t="inlineStr">
        <is>
          <t>INSARED</t>
        </is>
      </c>
      <c r="K501" s="21" t="n">
        <v>46343</v>
      </c>
      <c r="L501" s="21" t="n">
        <v>46346</v>
      </c>
      <c r="M501" s="20" t="n">
        <v>22</v>
      </c>
    </row>
    <row r="502">
      <c r="A502" s="16" t="inlineStr">
        <is>
          <t>4828</t>
        </is>
      </c>
      <c r="B502" s="17" t="inlineStr">
        <is>
          <t>EL ROSARIO</t>
        </is>
      </c>
      <c r="C502" s="17" t="inlineStr">
        <is>
          <t>El Rosario</t>
        </is>
      </c>
      <c r="D502" s="17" t="inlineStr">
        <is>
          <t>Nariño</t>
        </is>
      </c>
      <c r="E502" s="17" t="inlineStr">
        <is>
          <t>OCCIDENTE</t>
        </is>
      </c>
      <c r="F502" s="17" t="inlineStr">
        <is>
          <t>DE MARTES A VIERNES DE 8:00 AM A 11:30 AM Y DE 2:00 P.M. A 4:30 P.M.    SABADO DE 8:00 AM A 2:00 P.M.</t>
        </is>
      </c>
      <c r="G502" s="17" t="inlineStr">
        <is>
          <t>Centro el Rosario</t>
        </is>
      </c>
      <c r="H502" s="17" t="inlineStr">
        <is>
          <t>6013821400</t>
        </is>
      </c>
      <c r="I502" s="17" t="inlineStr">
        <is>
          <t>MARTES A VIERNES Y      SÁBADO</t>
        </is>
      </c>
      <c r="J502" s="17" t="inlineStr">
        <is>
          <t>INSARED</t>
        </is>
      </c>
      <c r="K502" s="18" t="n">
        <v>46317</v>
      </c>
      <c r="L502" s="18" t="n">
        <v>46317</v>
      </c>
      <c r="M502" s="17" t="n">
        <v>12</v>
      </c>
    </row>
    <row r="503">
      <c r="A503" s="19" t="inlineStr">
        <is>
          <t>4830</t>
        </is>
      </c>
      <c r="B503" s="20" t="inlineStr">
        <is>
          <t>EL TAMBO</t>
        </is>
      </c>
      <c r="C503" s="20" t="inlineStr">
        <is>
          <t>El Tambo</t>
        </is>
      </c>
      <c r="D503" s="20" t="inlineStr">
        <is>
          <t>Nariño</t>
        </is>
      </c>
      <c r="E503" s="20" t="inlineStr">
        <is>
          <t>OCCIDENTE</t>
        </is>
      </c>
      <c r="F503" s="20" t="inlineStr">
        <is>
          <t>DE MARTES A VIERNES DE 8:00 AM A 11:30 AM Y DE 2:00 P.M. A 4:30 P.M.    SABADO DE 8:00 AM A 2:00 P.M.</t>
        </is>
      </c>
      <c r="G503" s="20" t="inlineStr">
        <is>
          <t>Carrera 10 con Calle 5 - Barrio Colón</t>
        </is>
      </c>
      <c r="H503" s="20" t="inlineStr">
        <is>
          <t>6013821400</t>
        </is>
      </c>
      <c r="I503" s="20" t="inlineStr">
        <is>
          <t>MARTES A VIERNES Y      SÁBADO</t>
        </is>
      </c>
      <c r="J503" s="20" t="inlineStr">
        <is>
          <t>INSARED</t>
        </is>
      </c>
      <c r="K503" s="21" t="n">
        <v>46289</v>
      </c>
      <c r="L503" s="21" t="n">
        <v>46289</v>
      </c>
      <c r="M503" s="20" t="n">
        <v>19</v>
      </c>
    </row>
    <row r="504">
      <c r="A504" s="16" t="inlineStr">
        <is>
          <t>4832</t>
        </is>
      </c>
      <c r="B504" s="17" t="inlineStr">
        <is>
          <t>FUNES</t>
        </is>
      </c>
      <c r="C504" s="17" t="inlineStr">
        <is>
          <t>Funes</t>
        </is>
      </c>
      <c r="D504" s="17" t="inlineStr">
        <is>
          <t>Nariño</t>
        </is>
      </c>
      <c r="E504" s="17" t="inlineStr">
        <is>
          <t>OCCIDENTE</t>
        </is>
      </c>
      <c r="F504" s="17" t="inlineStr">
        <is>
          <t>8:00 AM - 11:30 AM Y DE 02:00 PM - 04:30 PM</t>
        </is>
      </c>
      <c r="G504" s="17" t="inlineStr">
        <is>
          <t>Carrera 4 No. 4 - 133 /137</t>
        </is>
      </c>
      <c r="H504" s="17" t="inlineStr">
        <is>
          <t>6013821400</t>
        </is>
      </c>
      <c r="I504" s="17" t="inlineStr">
        <is>
          <t>LUNES A VIERNES</t>
        </is>
      </c>
      <c r="J504" s="17" t="inlineStr">
        <is>
          <t>INSARED</t>
        </is>
      </c>
      <c r="K504" s="18" t="n">
        <v>46272</v>
      </c>
      <c r="L504" s="18" t="n">
        <v>46272</v>
      </c>
      <c r="M504" s="17" t="n">
        <v>12</v>
      </c>
    </row>
    <row r="505">
      <c r="A505" s="19" t="inlineStr">
        <is>
          <t>4834</t>
        </is>
      </c>
      <c r="B505" s="20" t="inlineStr">
        <is>
          <t>BELEN</t>
        </is>
      </c>
      <c r="C505" s="20" t="inlineStr">
        <is>
          <t>Belén</t>
        </is>
      </c>
      <c r="D505" s="20" t="inlineStr">
        <is>
          <t>Nariño</t>
        </is>
      </c>
      <c r="E505" s="20" t="inlineStr">
        <is>
          <t>OCCIDENTE</t>
        </is>
      </c>
      <c r="F505" s="20" t="inlineStr">
        <is>
          <t>DE MARTES A VIERNES DE 8:00 AM A 11:30 AM Y DE 2:00 P.M. A 4:30 P.M.    SABADO DE 8:00 AM A 2:00 P.M.</t>
        </is>
      </c>
      <c r="G505" s="20" t="inlineStr">
        <is>
          <t>Carrera 3 N° 3 -77</t>
        </is>
      </c>
      <c r="H505" s="20" t="inlineStr">
        <is>
          <t>6013821400</t>
        </is>
      </c>
      <c r="I505" s="20" t="inlineStr">
        <is>
          <t>MARTES A VIERNES Y      SÁBADO</t>
        </is>
      </c>
      <c r="J505" s="20" t="inlineStr">
        <is>
          <t>INSARED</t>
        </is>
      </c>
      <c r="K505" s="21" t="n">
        <v>46304</v>
      </c>
      <c r="L505" s="21" t="n">
        <v>46304</v>
      </c>
      <c r="M505" s="20" t="n">
        <v>12</v>
      </c>
    </row>
    <row r="506">
      <c r="A506" s="16" t="inlineStr">
        <is>
          <t>4836</t>
        </is>
      </c>
      <c r="B506" s="17" t="inlineStr">
        <is>
          <t>GUAITARILLA</t>
        </is>
      </c>
      <c r="C506" s="17" t="inlineStr">
        <is>
          <t>Guaitarilla</t>
        </is>
      </c>
      <c r="D506" s="17" t="inlineStr">
        <is>
          <t>Nariño</t>
        </is>
      </c>
      <c r="E506" s="17" t="inlineStr">
        <is>
          <t>OCCIDENTE</t>
        </is>
      </c>
      <c r="F506" s="17" t="inlineStr">
        <is>
          <t>8:00 AM - 11:30 AM Y DE 02:00 PM - 04:30 PM</t>
        </is>
      </c>
      <c r="G506" s="17" t="inlineStr">
        <is>
          <t>Calle Real 5 No. 2 – 28.</t>
        </is>
      </c>
      <c r="H506" s="17" t="inlineStr">
        <is>
          <t>6013821400</t>
        </is>
      </c>
      <c r="I506" s="17" t="inlineStr">
        <is>
          <t>LUNES A VIERNES</t>
        </is>
      </c>
      <c r="J506" s="17" t="inlineStr">
        <is>
          <t>INSARED</t>
        </is>
      </c>
      <c r="K506" s="18" t="n">
        <v>46281</v>
      </c>
      <c r="L506" s="18" t="n">
        <v>46281</v>
      </c>
      <c r="M506" s="17" t="n">
        <v>16</v>
      </c>
    </row>
    <row r="507">
      <c r="A507" s="19" t="inlineStr">
        <is>
          <t>4838</t>
        </is>
      </c>
      <c r="B507" s="20" t="inlineStr">
        <is>
          <t>ILES</t>
        </is>
      </c>
      <c r="C507" s="20" t="inlineStr">
        <is>
          <t>Iles</t>
        </is>
      </c>
      <c r="D507" s="20" t="inlineStr">
        <is>
          <t>Nariño</t>
        </is>
      </c>
      <c r="E507" s="20" t="inlineStr">
        <is>
          <t>OCCIDENTE</t>
        </is>
      </c>
      <c r="F507" s="20" t="inlineStr">
        <is>
          <t>8:00 AM - 11:30 AM Y DE 02:00 PM - 04:30 PM</t>
        </is>
      </c>
      <c r="G507" s="20" t="inlineStr">
        <is>
          <t>Avenida Ochoa - Calle 1a. No. 6-100</t>
        </is>
      </c>
      <c r="H507" s="20" t="inlineStr">
        <is>
          <t>6013821400</t>
        </is>
      </c>
      <c r="I507" s="20" t="inlineStr">
        <is>
          <t>LUNES A VIERNES</t>
        </is>
      </c>
      <c r="J507" s="20" t="inlineStr">
        <is>
          <t>INSARED</t>
        </is>
      </c>
      <c r="K507" s="21" t="n">
        <v>46273</v>
      </c>
      <c r="L507" s="21" t="n">
        <v>46273</v>
      </c>
      <c r="M507" s="20" t="n">
        <v>12</v>
      </c>
    </row>
    <row r="508">
      <c r="A508" s="16" t="inlineStr">
        <is>
          <t>4840</t>
        </is>
      </c>
      <c r="B508" s="17" t="inlineStr">
        <is>
          <t>LA CRUZ</t>
        </is>
      </c>
      <c r="C508" s="17" t="inlineStr">
        <is>
          <t>La Cruz</t>
        </is>
      </c>
      <c r="D508" s="17" t="inlineStr">
        <is>
          <t>Nariño</t>
        </is>
      </c>
      <c r="E508" s="17" t="inlineStr">
        <is>
          <t>OCCIDENTE</t>
        </is>
      </c>
      <c r="F508" s="17" t="inlineStr">
        <is>
          <t>8:00 AM - 11:30 AM Y DE 02:00 PM - 04:30 PM</t>
        </is>
      </c>
      <c r="G508" s="17" t="inlineStr">
        <is>
          <t>Calle 8 No. 10-70/78</t>
        </is>
      </c>
      <c r="H508" s="17" t="inlineStr">
        <is>
          <t>6013821400</t>
        </is>
      </c>
      <c r="I508" s="17" t="inlineStr">
        <is>
          <t>LUNES A VIERNES</t>
        </is>
      </c>
      <c r="J508" s="17" t="inlineStr">
        <is>
          <t>INSARED</t>
        </is>
      </c>
      <c r="K508" s="18" t="n">
        <v>46310</v>
      </c>
      <c r="L508" s="18" t="n">
        <v>46310</v>
      </c>
      <c r="M508" s="17" t="n">
        <v>18</v>
      </c>
    </row>
    <row r="509">
      <c r="A509" s="19" t="inlineStr">
        <is>
          <t>4842</t>
        </is>
      </c>
      <c r="B509" s="20" t="inlineStr">
        <is>
          <t>LA UNION</t>
        </is>
      </c>
      <c r="C509" s="20" t="inlineStr">
        <is>
          <t>La Unión</t>
        </is>
      </c>
      <c r="D509" s="20" t="inlineStr">
        <is>
          <t>Nariño</t>
        </is>
      </c>
      <c r="E509" s="20" t="inlineStr">
        <is>
          <t>OCCIDENTE</t>
        </is>
      </c>
      <c r="F509" s="20" t="inlineStr">
        <is>
          <t>DE MARTES A VIERNES DE 8:00 AM A 11:30 AM Y DE 2:00 P.M. A 4:30 P.M.    SABADO DE 8:00 AM A 2:00 P.M.</t>
        </is>
      </c>
      <c r="G509" s="20" t="inlineStr">
        <is>
          <t>Calle 18 No.1-28</t>
        </is>
      </c>
      <c r="H509" s="20" t="inlineStr">
        <is>
          <t>6013821400</t>
        </is>
      </c>
      <c r="I509" s="20" t="inlineStr">
        <is>
          <t>MARTES A VIERNES Y      SÁBADO</t>
        </is>
      </c>
      <c r="J509" s="20" t="inlineStr">
        <is>
          <t>INSARED</t>
        </is>
      </c>
      <c r="K509" s="21" t="n">
        <v>46316</v>
      </c>
      <c r="L509" s="21" t="n">
        <v>46316</v>
      </c>
      <c r="M509" s="20" t="n">
        <v>39</v>
      </c>
    </row>
    <row r="510">
      <c r="A510" s="16" t="inlineStr">
        <is>
          <t>4844</t>
        </is>
      </c>
      <c r="B510" s="17" t="inlineStr">
        <is>
          <t>LINARES</t>
        </is>
      </c>
      <c r="C510" s="17" t="inlineStr">
        <is>
          <t>Linares</t>
        </is>
      </c>
      <c r="D510" s="17" t="inlineStr">
        <is>
          <t>Nariño</t>
        </is>
      </c>
      <c r="E510" s="17" t="inlineStr">
        <is>
          <t>OCCIDENTE</t>
        </is>
      </c>
      <c r="F510" s="17" t="inlineStr">
        <is>
          <t>8:00 AM - 11:30 AM Y DE 02:00 PM - 04:30 PM</t>
        </is>
      </c>
      <c r="G510" s="17" t="inlineStr">
        <is>
          <t>Calle 4 No. 3-27 Calle Principal</t>
        </is>
      </c>
      <c r="H510" s="17" t="inlineStr">
        <is>
          <t>6013821400</t>
        </is>
      </c>
      <c r="I510" s="17" t="inlineStr">
        <is>
          <t>LUNES A VIERNES</t>
        </is>
      </c>
      <c r="J510" s="17" t="inlineStr">
        <is>
          <t>INSARED</t>
        </is>
      </c>
      <c r="K510" s="18" t="n">
        <v>46296</v>
      </c>
      <c r="L510" s="18" t="n">
        <v>46296</v>
      </c>
      <c r="M510" s="17" t="n">
        <v>13</v>
      </c>
    </row>
    <row r="511">
      <c r="A511" s="19" t="inlineStr">
        <is>
          <t>4845</t>
        </is>
      </c>
      <c r="B511" s="20" t="inlineStr">
        <is>
          <t>CHACHAGÜI</t>
        </is>
      </c>
      <c r="C511" s="20" t="inlineStr">
        <is>
          <t>Chachagüi</t>
        </is>
      </c>
      <c r="D511" s="20" t="inlineStr">
        <is>
          <t>Nariño</t>
        </is>
      </c>
      <c r="E511" s="20" t="inlineStr">
        <is>
          <t>OCCIDENTE</t>
        </is>
      </c>
      <c r="F511" s="20" t="inlineStr">
        <is>
          <t>DE MARTES A VIERNES DE 8:00 AM A 11:30 AM Y DE 2:00 P.M. A 4:30 P.M.    SABADO DE 8:00 AM A 2:00 P.M.</t>
        </is>
      </c>
      <c r="G511" s="20" t="inlineStr">
        <is>
          <t>Calle 3 N° 4 – 71</t>
        </is>
      </c>
      <c r="H511" s="20" t="inlineStr">
        <is>
          <t>6013821400</t>
        </is>
      </c>
      <c r="I511" s="20" t="inlineStr">
        <is>
          <t>MARTES A VIERNES Y      SÁBADO</t>
        </is>
      </c>
      <c r="J511" s="20" t="inlineStr">
        <is>
          <t>INSARED</t>
        </is>
      </c>
      <c r="K511" s="21" t="n">
        <v>46288</v>
      </c>
      <c r="L511" s="21" t="n">
        <v>46288</v>
      </c>
      <c r="M511" s="20" t="n">
        <v>16</v>
      </c>
    </row>
    <row r="512">
      <c r="A512" s="16" t="inlineStr">
        <is>
          <t>4860</t>
        </is>
      </c>
      <c r="B512" s="17" t="inlineStr">
        <is>
          <t>BARBACOAS</t>
        </is>
      </c>
      <c r="C512" s="17" t="inlineStr">
        <is>
          <t>Barbacoas</t>
        </is>
      </c>
      <c r="D512" s="17" t="inlineStr">
        <is>
          <t>Nariño</t>
        </is>
      </c>
      <c r="E512" s="17" t="inlineStr">
        <is>
          <t>OCCIDENTE</t>
        </is>
      </c>
      <c r="F512" s="17" t="inlineStr">
        <is>
          <t>8:00 AM - 11:30 AM Y DE 02:00 PM - 04:30 PM</t>
        </is>
      </c>
      <c r="G512" s="17" t="inlineStr">
        <is>
          <t>Cra. 8 No. 4-36/70 Paso Grande - Calle Tomas Cipriano de Mosquera</t>
        </is>
      </c>
      <c r="H512" s="17" t="inlineStr">
        <is>
          <t>6013821400</t>
        </is>
      </c>
      <c r="I512" s="17" t="inlineStr">
        <is>
          <t>LUNES A VIERNES</t>
        </is>
      </c>
      <c r="J512" s="17" t="inlineStr">
        <is>
          <t>INSARED</t>
        </is>
      </c>
      <c r="K512" s="18" t="n">
        <v>46329</v>
      </c>
      <c r="L512" s="18" t="n">
        <v>46329</v>
      </c>
      <c r="M512" s="17" t="n">
        <v>14</v>
      </c>
    </row>
    <row r="513">
      <c r="A513" s="19" t="inlineStr">
        <is>
          <t>4862</t>
        </is>
      </c>
      <c r="B513" s="20" t="inlineStr">
        <is>
          <t>SOTOMAYOR</t>
        </is>
      </c>
      <c r="C513" s="20" t="inlineStr">
        <is>
          <t>Los Andes</t>
        </is>
      </c>
      <c r="D513" s="20" t="inlineStr">
        <is>
          <t>Nariño</t>
        </is>
      </c>
      <c r="E513" s="20" t="inlineStr">
        <is>
          <t>OCCIDENTE</t>
        </is>
      </c>
      <c r="F513" s="20" t="inlineStr">
        <is>
          <t>DE MARTES A VIERNES DE 8:00 AM A 11:30 AM Y DE 2:00 P.M. A 4:30 P.M.    SABADO DE 8:00 AM A 2:00 P.M.</t>
        </is>
      </c>
      <c r="G513" s="20" t="inlineStr">
        <is>
          <t>Calle 5 Araujo con Carrera 5 Benavides Esquina - Parque Principal</t>
        </is>
      </c>
      <c r="H513" s="20" t="inlineStr">
        <is>
          <t>6013821400</t>
        </is>
      </c>
      <c r="I513" s="20" t="inlineStr">
        <is>
          <t>MARTES A VIERNES Y      SÁBADO</t>
        </is>
      </c>
      <c r="J513" s="20" t="inlineStr">
        <is>
          <t>INSARED</t>
        </is>
      </c>
      <c r="K513" s="21" t="n">
        <v>46318</v>
      </c>
      <c r="L513" s="21" t="n">
        <v>46318</v>
      </c>
      <c r="M513" s="20" t="n">
        <v>13</v>
      </c>
    </row>
    <row r="514">
      <c r="A514" s="16" t="inlineStr">
        <is>
          <t>4864</t>
        </is>
      </c>
      <c r="B514" s="17" t="inlineStr">
        <is>
          <t>BOCAS DE SATINGA</t>
        </is>
      </c>
      <c r="C514" s="17" t="inlineStr">
        <is>
          <t>Olaya Herrera</t>
        </is>
      </c>
      <c r="D514" s="17" t="inlineStr">
        <is>
          <t>Nariño</t>
        </is>
      </c>
      <c r="E514" s="17" t="inlineStr">
        <is>
          <t>OCCIDENTE</t>
        </is>
      </c>
      <c r="F514" s="17" t="inlineStr">
        <is>
          <t>8:00 AM - 11:30 AM Y DE 02:00 PM - 04:30 PM</t>
        </is>
      </c>
      <c r="G514" s="17" t="inlineStr">
        <is>
          <t>Calle las  Flores - Casco Urbano Olaya Herrera Bocas de Satinga - Nariño</t>
        </is>
      </c>
      <c r="H514" s="17" t="inlineStr">
        <is>
          <t>6013821400</t>
        </is>
      </c>
      <c r="I514" s="17" t="inlineStr">
        <is>
          <t>LUNES A VIERNES</t>
        </is>
      </c>
      <c r="J514" s="17" t="inlineStr">
        <is>
          <t>INSARED</t>
        </is>
      </c>
      <c r="K514" s="18" t="n">
        <v>46335</v>
      </c>
      <c r="L514" s="18" t="n">
        <v>46339</v>
      </c>
      <c r="M514" s="17" t="n">
        <v>14</v>
      </c>
    </row>
    <row r="515">
      <c r="A515" s="19" t="inlineStr">
        <is>
          <t>4866</t>
        </is>
      </c>
      <c r="B515" s="20" t="inlineStr">
        <is>
          <t>BUESACO</t>
        </is>
      </c>
      <c r="C515" s="20" t="inlineStr">
        <is>
          <t>Buesaco</t>
        </is>
      </c>
      <c r="D515" s="20" t="inlineStr">
        <is>
          <t>Nariño</t>
        </is>
      </c>
      <c r="E515" s="20" t="inlineStr">
        <is>
          <t>OCCIDENTE</t>
        </is>
      </c>
      <c r="F515" s="20" t="inlineStr">
        <is>
          <t>DE MARTES A VIERNES DE 8:00 AM A 11:30 AM Y DE 2:00 P.M. A 4:30 P.M.    SABADO DE 8:00 AM A 2:00 P.M.</t>
        </is>
      </c>
      <c r="G515" s="20" t="inlineStr">
        <is>
          <t>Carrera 3 No. 8 – 56 Centro - Parque Principal</t>
        </is>
      </c>
      <c r="H515" s="20" t="inlineStr">
        <is>
          <t>6013821400</t>
        </is>
      </c>
      <c r="I515" s="20" t="inlineStr">
        <is>
          <t>MARTES A VIERNES Y      SÁBADO</t>
        </is>
      </c>
      <c r="J515" s="20" t="inlineStr">
        <is>
          <t>INSARED</t>
        </is>
      </c>
      <c r="K515" s="21" t="n">
        <v>46287</v>
      </c>
      <c r="L515" s="21" t="n">
        <v>46287</v>
      </c>
      <c r="M515" s="20" t="n">
        <v>17</v>
      </c>
    </row>
    <row r="516">
      <c r="A516" s="16" t="inlineStr">
        <is>
          <t>4868</t>
        </is>
      </c>
      <c r="B516" s="17" t="inlineStr">
        <is>
          <t>RICAURTE</t>
        </is>
      </c>
      <c r="C516" s="17" t="inlineStr">
        <is>
          <t>Ricaurte</t>
        </is>
      </c>
      <c r="D516" s="17" t="inlineStr">
        <is>
          <t>Nariño</t>
        </is>
      </c>
      <c r="E516" s="17" t="inlineStr">
        <is>
          <t>OCCIDENTE</t>
        </is>
      </c>
      <c r="F516" s="17" t="inlineStr">
        <is>
          <t>DE MARTES A VIERNES DE 8:00 AM A 11:30 AM Y DE 2:00 P.M. A 4:30 P.M.    SABADO DE 8:00 AM A 2:00 P.M.</t>
        </is>
      </c>
      <c r="G516" s="17" t="inlineStr">
        <is>
          <t>Calle Principal Ricaurte</t>
        </is>
      </c>
      <c r="H516" s="17" t="inlineStr">
        <is>
          <t>6013821400</t>
        </is>
      </c>
      <c r="I516" s="17" t="inlineStr">
        <is>
          <t>MARTES A VIERNES Y      SÁBADO</t>
        </is>
      </c>
      <c r="J516" s="17" t="inlineStr">
        <is>
          <t>INSARED</t>
        </is>
      </c>
      <c r="K516" s="18" t="n">
        <v>46325</v>
      </c>
      <c r="L516" s="18" t="n">
        <v>46325</v>
      </c>
      <c r="M516" s="17" t="n">
        <v>16</v>
      </c>
    </row>
    <row r="517">
      <c r="A517" s="19" t="inlineStr">
        <is>
          <t>4870</t>
        </is>
      </c>
      <c r="B517" s="20" t="inlineStr">
        <is>
          <t>SAMANIEGO</t>
        </is>
      </c>
      <c r="C517" s="20" t="inlineStr">
        <is>
          <t>Samaniego</t>
        </is>
      </c>
      <c r="D517" s="20" t="inlineStr">
        <is>
          <t>Nariño</t>
        </is>
      </c>
      <c r="E517" s="20" t="inlineStr">
        <is>
          <t>OCCIDENTE</t>
        </is>
      </c>
      <c r="F517" s="20" t="inlineStr">
        <is>
          <t>DE MARTES A VIERNES DE 8:00 AM A 11:30 AM Y DE 2:00 P.M. A 4:30 P.M.    SABADO DE 8:00 AM A 2:00 P.M.</t>
        </is>
      </c>
      <c r="G517" s="20" t="inlineStr">
        <is>
          <t>Casa Pastoral Pedro Shumacher Calle 7 Cra. 8     Pasaje Peatonal Parque Solandino</t>
        </is>
      </c>
      <c r="H517" s="20" t="inlineStr">
        <is>
          <t>6013821400</t>
        </is>
      </c>
      <c r="I517" s="20" t="inlineStr">
        <is>
          <t>MARTES A VIERNES Y      SÁBADO</t>
        </is>
      </c>
      <c r="J517" s="20" t="inlineStr">
        <is>
          <t>INSARED</t>
        </is>
      </c>
      <c r="K517" s="21" t="n">
        <v>46280</v>
      </c>
      <c r="L517" s="21" t="n">
        <v>46280</v>
      </c>
      <c r="M517" s="20" t="n">
        <v>24</v>
      </c>
    </row>
    <row r="518">
      <c r="A518" s="16" t="inlineStr">
        <is>
          <t>4872</t>
        </is>
      </c>
      <c r="B518" s="17" t="inlineStr">
        <is>
          <t>SAN JOSE DE ALBAN</t>
        </is>
      </c>
      <c r="C518" s="17" t="inlineStr">
        <is>
          <t>Albán</t>
        </is>
      </c>
      <c r="D518" s="17" t="inlineStr">
        <is>
          <t>Nariño</t>
        </is>
      </c>
      <c r="E518" s="17" t="inlineStr">
        <is>
          <t>OCCIDENTE</t>
        </is>
      </c>
      <c r="F518" s="17" t="inlineStr">
        <is>
          <t>DE MARTES A VIERNES DE 8:00 AM A 11:30 AM Y DE 2:00 P.M. A 4:30 P.M.    SABADO DE 8:00 AM A 2:00 P.M.</t>
        </is>
      </c>
      <c r="G518" s="17" t="inlineStr">
        <is>
          <t>Carrera 3 No.4-20 Centro</t>
        </is>
      </c>
      <c r="H518" s="17" t="inlineStr">
        <is>
          <t>6013821400</t>
        </is>
      </c>
      <c r="I518" s="17" t="inlineStr">
        <is>
          <t>MARTES A VIERNES Y      SÁBADO</t>
        </is>
      </c>
      <c r="J518" s="17" t="inlineStr">
        <is>
          <t>INSARED</t>
        </is>
      </c>
      <c r="K518" s="18" t="n">
        <v>46303</v>
      </c>
      <c r="L518" s="18" t="n">
        <v>46303</v>
      </c>
      <c r="M518" s="17" t="n">
        <v>17</v>
      </c>
    </row>
    <row r="519">
      <c r="A519" s="19" t="inlineStr">
        <is>
          <t>4874</t>
        </is>
      </c>
      <c r="B519" s="20" t="inlineStr">
        <is>
          <t>SAN LORENZO</t>
        </is>
      </c>
      <c r="C519" s="20" t="inlineStr">
        <is>
          <t>San Lorenzo</t>
        </is>
      </c>
      <c r="D519" s="20" t="inlineStr">
        <is>
          <t>Nariño</t>
        </is>
      </c>
      <c r="E519" s="20" t="inlineStr">
        <is>
          <t>OCCIDENTE</t>
        </is>
      </c>
      <c r="F519" s="20" t="inlineStr">
        <is>
          <t>DE MARTES A VIERNES DE 8:00 AM A 11:30 AM Y DE 2:00 P.M. A 4:30 P.M.    SABADO DE 8:00 AM A 2:00 P.M.</t>
        </is>
      </c>
      <c r="G519" s="20" t="inlineStr">
        <is>
          <t>Carrera 3 con calle 3 Barrio Centro</t>
        </is>
      </c>
      <c r="H519" s="20" t="inlineStr">
        <is>
          <t>6013821400</t>
        </is>
      </c>
      <c r="I519" s="20" t="inlineStr">
        <is>
          <t>MARTES A VIERNES Y      SÁBADO</t>
        </is>
      </c>
      <c r="J519" s="20" t="inlineStr">
        <is>
          <t>INSARED</t>
        </is>
      </c>
      <c r="K519" s="21" t="n">
        <v>46301</v>
      </c>
      <c r="L519" s="21" t="n">
        <v>46301</v>
      </c>
      <c r="M519" s="20" t="n">
        <v>20</v>
      </c>
    </row>
    <row r="520">
      <c r="A520" s="16" t="inlineStr">
        <is>
          <t>4875</t>
        </is>
      </c>
      <c r="B520" s="17" t="inlineStr">
        <is>
          <t>EL TABLON DE GOMEZ</t>
        </is>
      </c>
      <c r="C520" s="17" t="inlineStr">
        <is>
          <t>El Tablón</t>
        </is>
      </c>
      <c r="D520" s="17" t="inlineStr">
        <is>
          <t>Nariño</t>
        </is>
      </c>
      <c r="E520" s="17" t="inlineStr">
        <is>
          <t>OCCIDENTE</t>
        </is>
      </c>
      <c r="F520" s="17" t="inlineStr">
        <is>
          <t>DE MARTES A VIERNES DE 8:00 AM A 11:30 AM Y DE 2:00 P.M. A 4:30 P.M.    SABADO DE 8:00 AM A 2:00 P.M.</t>
        </is>
      </c>
      <c r="G520" s="17" t="inlineStr">
        <is>
          <t>Calle 4 No.3-24 Casa 4 Alcaldía Municipal</t>
        </is>
      </c>
      <c r="H520" s="17" t="inlineStr">
        <is>
          <t>6013821400</t>
        </is>
      </c>
      <c r="I520" s="17" t="inlineStr">
        <is>
          <t>MARTES A VIERNES Y      SÁBADO</t>
        </is>
      </c>
      <c r="J520" s="17" t="inlineStr">
        <is>
          <t>INSARED</t>
        </is>
      </c>
      <c r="K520" s="18" t="n">
        <v>46309</v>
      </c>
      <c r="L520" s="18" t="n">
        <v>46309</v>
      </c>
      <c r="M520" s="17" t="n">
        <v>15</v>
      </c>
    </row>
    <row r="521">
      <c r="A521" s="19" t="inlineStr">
        <is>
          <t>4876</t>
        </is>
      </c>
      <c r="B521" s="20" t="inlineStr">
        <is>
          <t>SAN PABLO</t>
        </is>
      </c>
      <c r="C521" s="20" t="inlineStr">
        <is>
          <t>San Pablo</t>
        </is>
      </c>
      <c r="D521" s="20" t="inlineStr">
        <is>
          <t>Nariño</t>
        </is>
      </c>
      <c r="E521" s="20" t="inlineStr">
        <is>
          <t>OCCIDENTE</t>
        </is>
      </c>
      <c r="F521" s="20" t="inlineStr">
        <is>
          <t>DE MARTES A VIERNES DE 8:00 AM A 11:30 AM Y DE 2:00 P.M. A 4:30 P.M.    SABADO DE 8:00 AM A 2:00 P.M.</t>
        </is>
      </c>
      <c r="G521" s="20" t="inlineStr">
        <is>
          <t>Cra. 3 No. 5-14 Prque Bolívar</t>
        </is>
      </c>
      <c r="H521" s="20" t="inlineStr">
        <is>
          <t>6013821400</t>
        </is>
      </c>
      <c r="I521" s="20" t="inlineStr">
        <is>
          <t>MARTES A VIERNES Y      SÁBADO</t>
        </is>
      </c>
      <c r="J521" s="20" t="inlineStr">
        <is>
          <t>INSARED</t>
        </is>
      </c>
      <c r="K521" s="21" t="n">
        <v>46315</v>
      </c>
      <c r="L521" s="21" t="n">
        <v>46315</v>
      </c>
      <c r="M521" s="20" t="n">
        <v>19</v>
      </c>
    </row>
    <row r="522">
      <c r="A522" s="16" t="inlineStr">
        <is>
          <t>4878</t>
        </is>
      </c>
      <c r="B522" s="17" t="inlineStr">
        <is>
          <t>SANTA BARBARA DE ISCUANDE</t>
        </is>
      </c>
      <c r="C522" s="17" t="inlineStr">
        <is>
          <t>Santa Bárbara</t>
        </is>
      </c>
      <c r="D522" s="17" t="inlineStr">
        <is>
          <t>Nariño</t>
        </is>
      </c>
      <c r="E522" s="17" t="inlineStr">
        <is>
          <t>OCCIDENTE</t>
        </is>
      </c>
      <c r="F522" s="17" t="inlineStr">
        <is>
          <t>8:00 AM - 11:30 AM Y DE 02:00 PM - 04:30 PM</t>
        </is>
      </c>
      <c r="G522" s="17" t="inlineStr">
        <is>
          <t>Carrera 3 # 4-47 barrio Pueblo Nuevo</t>
        </is>
      </c>
      <c r="H522" s="17" t="inlineStr">
        <is>
          <t>6013821400</t>
        </is>
      </c>
      <c r="I522" s="17" t="inlineStr">
        <is>
          <t>LUNES A VIERNES</t>
        </is>
      </c>
      <c r="J522" s="17" t="inlineStr">
        <is>
          <t>INSARED</t>
        </is>
      </c>
      <c r="K522" s="18" t="n">
        <v>46349</v>
      </c>
      <c r="L522" s="18" t="n">
        <v>46353</v>
      </c>
      <c r="M522" s="17" t="n">
        <v>12</v>
      </c>
    </row>
    <row r="523">
      <c r="A523" s="19" t="inlineStr">
        <is>
          <t>4880</t>
        </is>
      </c>
      <c r="B523" s="20" t="inlineStr">
        <is>
          <t>TAMINANGO</t>
        </is>
      </c>
      <c r="C523" s="20" t="inlineStr">
        <is>
          <t>Taminango</t>
        </is>
      </c>
      <c r="D523" s="20" t="inlineStr">
        <is>
          <t>Nariño</t>
        </is>
      </c>
      <c r="E523" s="20" t="inlineStr">
        <is>
          <t>OCCIDENTE</t>
        </is>
      </c>
      <c r="F523" s="20" t="inlineStr">
        <is>
          <t>DE MARTES A VIERNES DE 8:00 AM A 11:30 AM Y DE 2:00 P.M. A 4:30 P.M.    SABADO DE 8:00 AM A 2:00 P.M.</t>
        </is>
      </c>
      <c r="G523" s="20" t="inlineStr">
        <is>
          <t>Calle 2 No. 2-32 Barrio Kennedy</t>
        </is>
      </c>
      <c r="H523" s="20" t="inlineStr">
        <is>
          <t>6013821400</t>
        </is>
      </c>
      <c r="I523" s="20" t="inlineStr">
        <is>
          <t>MARTES A VIERNES Y      SÁBADO</t>
        </is>
      </c>
      <c r="J523" s="20" t="inlineStr">
        <is>
          <t>INSARED</t>
        </is>
      </c>
      <c r="K523" s="21" t="n">
        <v>46297</v>
      </c>
      <c r="L523" s="21" t="n">
        <v>46297</v>
      </c>
      <c r="M523" s="20" t="n">
        <v>20</v>
      </c>
    </row>
    <row r="524">
      <c r="A524" s="16" t="inlineStr">
        <is>
          <t>4882</t>
        </is>
      </c>
      <c r="B524" s="17" t="inlineStr">
        <is>
          <t>TUMACO</t>
        </is>
      </c>
      <c r="C524" s="17" t="inlineStr">
        <is>
          <t>Tumaco</t>
        </is>
      </c>
      <c r="D524" s="17" t="inlineStr">
        <is>
          <t>Nariño</t>
        </is>
      </c>
      <c r="E524" s="17" t="inlineStr">
        <is>
          <t>OCCIDENTE</t>
        </is>
      </c>
      <c r="F524" s="17" t="inlineStr">
        <is>
          <t>8:00 AM - 11:30 AM Y DE 02:00 PM - 04:30 PM</t>
        </is>
      </c>
      <c r="G524" s="17" t="inlineStr">
        <is>
          <t>Calle 14 N° 9D-16</t>
        </is>
      </c>
      <c r="H524" s="17" t="inlineStr">
        <is>
          <t>6013821400</t>
        </is>
      </c>
      <c r="I524" s="17" t="inlineStr">
        <is>
          <t>LUNES A VIERNES</t>
        </is>
      </c>
      <c r="J524" s="17" t="inlineStr">
        <is>
          <t>INSARED</t>
        </is>
      </c>
      <c r="K524" s="18" t="n">
        <v>46329</v>
      </c>
      <c r="L524" s="18" t="n">
        <v>46329</v>
      </c>
      <c r="M524" s="17" t="n">
        <v>43</v>
      </c>
    </row>
    <row r="525">
      <c r="A525" s="19" t="inlineStr">
        <is>
          <t>4884</t>
        </is>
      </c>
      <c r="B525" s="20" t="inlineStr">
        <is>
          <t>CONSACA</t>
        </is>
      </c>
      <c r="C525" s="20" t="inlineStr">
        <is>
          <t>Consacá</t>
        </is>
      </c>
      <c r="D525" s="20" t="inlineStr">
        <is>
          <t>Nariño</t>
        </is>
      </c>
      <c r="E525" s="20" t="inlineStr">
        <is>
          <t>OCCIDENTE</t>
        </is>
      </c>
      <c r="F525" s="20" t="inlineStr">
        <is>
          <t>DE MARTES A VIERNES DE 8:00 AM A 11:30 AM Y DE 2:00 P.M. A 4:30 P.M.    SABADO DE 8:00 AM A 2:00 P.M.</t>
        </is>
      </c>
      <c r="G525" s="20" t="inlineStr">
        <is>
          <t>Calle 3 Carrera 5 - 144 DIV 1 Barrio Libertad</t>
        </is>
      </c>
      <c r="H525" s="20" t="inlineStr">
        <is>
          <t>6013821400</t>
        </is>
      </c>
      <c r="I525" s="20" t="inlineStr">
        <is>
          <t>MARTES A VIERNES Y      SÁBADO</t>
        </is>
      </c>
      <c r="J525" s="20" t="inlineStr">
        <is>
          <t>INSARED</t>
        </is>
      </c>
      <c r="K525" s="21" t="n">
        <v>46267</v>
      </c>
      <c r="L525" s="21" t="n">
        <v>46267</v>
      </c>
      <c r="M525" s="20" t="n">
        <v>14</v>
      </c>
    </row>
    <row r="526">
      <c r="A526" s="16" t="inlineStr">
        <is>
          <t>4890</t>
        </is>
      </c>
      <c r="B526" s="17" t="inlineStr">
        <is>
          <t>BERRUECOS</t>
        </is>
      </c>
      <c r="C526" s="17" t="inlineStr">
        <is>
          <t>Arboleda</t>
        </is>
      </c>
      <c r="D526" s="17" t="inlineStr">
        <is>
          <t>Nariño</t>
        </is>
      </c>
      <c r="E526" s="17" t="inlineStr">
        <is>
          <t>OCCIDENTE</t>
        </is>
      </c>
      <c r="F526" s="17" t="inlineStr">
        <is>
          <t>DE MARTES A VIERNES DE 8:00 AM A 11:30 AM Y DE 2:00 P.M. A 4:30 P.M.    SABADO DE 8:00 AM A 2:00 P.M.</t>
        </is>
      </c>
      <c r="G526" s="17" t="inlineStr">
        <is>
          <t>Manzana 10 Casa 6 Calle Principal Barrio Fatima</t>
        </is>
      </c>
      <c r="H526" s="17" t="inlineStr">
        <is>
          <t>6013821400</t>
        </is>
      </c>
      <c r="I526" s="17" t="inlineStr">
        <is>
          <t>MARTES A VIERNES Y      SÁBADO</t>
        </is>
      </c>
      <c r="J526" s="17" t="inlineStr">
        <is>
          <t>INSARED</t>
        </is>
      </c>
      <c r="K526" s="18" t="n">
        <v>46302</v>
      </c>
      <c r="L526" s="18" t="n">
        <v>46302</v>
      </c>
      <c r="M526" s="17" t="n">
        <v>12</v>
      </c>
    </row>
    <row r="527">
      <c r="A527" s="19" t="inlineStr">
        <is>
          <t>4891</t>
        </is>
      </c>
      <c r="B527" s="20" t="inlineStr">
        <is>
          <t>POLICARPA</t>
        </is>
      </c>
      <c r="C527" s="20" t="inlineStr">
        <is>
          <t>Policarpa</t>
        </is>
      </c>
      <c r="D527" s="20" t="inlineStr">
        <is>
          <t>Nariño</t>
        </is>
      </c>
      <c r="E527" s="20" t="inlineStr">
        <is>
          <t>OCCIDENTE</t>
        </is>
      </c>
      <c r="F527" s="20" t="inlineStr">
        <is>
          <t>DE MARTES A VIERNES DE 8:00 AM A 11:30 AM Y DE 2:00 P.M. A 4:30 P.M.    SABADO DE 8:00 AM A 2:00 P.M.</t>
        </is>
      </c>
      <c r="G527" s="20" t="inlineStr">
        <is>
          <t>Calle 4 No 2-46</t>
        </is>
      </c>
      <c r="H527" s="20" t="inlineStr">
        <is>
          <t>6013821400</t>
        </is>
      </c>
      <c r="I527" s="20" t="inlineStr">
        <is>
          <t>MARTES A VIERNES Y      SÁBADO</t>
        </is>
      </c>
      <c r="J527" s="20" t="inlineStr">
        <is>
          <t>INSARED</t>
        </is>
      </c>
      <c r="K527" s="21" t="n">
        <v>46322</v>
      </c>
      <c r="L527" s="21" t="n">
        <v>46322</v>
      </c>
      <c r="M527" s="20" t="n">
        <v>15</v>
      </c>
    </row>
    <row r="528">
      <c r="A528" s="16" t="inlineStr">
        <is>
          <t>5101</t>
        </is>
      </c>
      <c r="B528" s="17" t="inlineStr">
        <is>
          <t>CUCUTA</t>
        </is>
      </c>
      <c r="C528" s="17" t="inlineStr">
        <is>
          <t>Cúcuta</t>
        </is>
      </c>
      <c r="D528" s="17" t="inlineStr">
        <is>
          <t>Norte de Santander</t>
        </is>
      </c>
      <c r="E528" s="17" t="inlineStr">
        <is>
          <t>SANTANDERES</t>
        </is>
      </c>
      <c r="F528" s="17" t="inlineStr">
        <is>
          <t>8:00 AM - 11:30 AM Y DE 02:00 PM - 04:30 PM</t>
        </is>
      </c>
      <c r="G528" s="17" t="inlineStr">
        <is>
          <t>CALLE 10 No.5-50 Edificio Agrobancario</t>
        </is>
      </c>
      <c r="H528" s="17" t="inlineStr">
        <is>
          <t>6013821400</t>
        </is>
      </c>
      <c r="I528" s="17" t="inlineStr">
        <is>
          <t>LUNES A VIERNES</t>
        </is>
      </c>
      <c r="J528" s="17" t="inlineStr">
        <is>
          <t>REGIONAL</t>
        </is>
      </c>
      <c r="K528" s="18" t="n">
        <v>46301</v>
      </c>
      <c r="L528" s="18" t="n">
        <v>46311</v>
      </c>
      <c r="M528" s="17" t="n">
        <v>67</v>
      </c>
    </row>
    <row r="529">
      <c r="A529" s="19" t="inlineStr">
        <is>
          <t>5105</t>
        </is>
      </c>
      <c r="B529" s="20" t="inlineStr">
        <is>
          <t>PUERTO SANTANDER</t>
        </is>
      </c>
      <c r="C529" s="20" t="inlineStr">
        <is>
          <t>Puerto Santander</t>
        </is>
      </c>
      <c r="D529" s="20" t="inlineStr">
        <is>
          <t>Norte de Santander</t>
        </is>
      </c>
      <c r="E529" s="20" t="inlineStr">
        <is>
          <t>SANTANDERES</t>
        </is>
      </c>
      <c r="F529" s="20" t="inlineStr">
        <is>
          <t>8:00 AM - 11:30 AM Y DE 02:00 PM - 04:30 PM</t>
        </is>
      </c>
      <c r="G529" s="20" t="inlineStr">
        <is>
          <t>Carrera 3 N° 4 -70</t>
        </is>
      </c>
      <c r="H529" s="20" t="inlineStr">
        <is>
          <t>6013821400</t>
        </is>
      </c>
      <c r="I529" s="20" t="inlineStr">
        <is>
          <t>LUNES A VIERNES</t>
        </is>
      </c>
      <c r="J529" s="20" t="inlineStr">
        <is>
          <t>GESTIONATECH</t>
        </is>
      </c>
      <c r="K529" s="21" t="n">
        <v>46273</v>
      </c>
      <c r="L529" s="21" t="n">
        <v>46273</v>
      </c>
      <c r="M529" s="20" t="n">
        <v>13</v>
      </c>
    </row>
    <row r="530">
      <c r="A530" s="16" t="inlineStr">
        <is>
          <t>5108</t>
        </is>
      </c>
      <c r="B530" s="17" t="inlineStr">
        <is>
          <t>BOCHALEMA</t>
        </is>
      </c>
      <c r="C530" s="17" t="inlineStr">
        <is>
          <t>Bochalema</t>
        </is>
      </c>
      <c r="D530" s="17" t="inlineStr">
        <is>
          <t>Norte de Santander</t>
        </is>
      </c>
      <c r="E530" s="17" t="inlineStr">
        <is>
          <t>SANTANDERES</t>
        </is>
      </c>
      <c r="F530" s="17" t="inlineStr">
        <is>
          <t>DE MARTES A VIERNES DE 8:00 AM A 11:30 AM Y DE 2:00 P.M. A 4:30 P.M.    SABADO DE 8:00 AM A 2:00 P.M.</t>
        </is>
      </c>
      <c r="G530" s="17" t="inlineStr">
        <is>
          <t>Carrera 4 No 3 - 66 Barrio Centro</t>
        </is>
      </c>
      <c r="H530" s="17" t="inlineStr">
        <is>
          <t>6013821400</t>
        </is>
      </c>
      <c r="I530" s="17" t="inlineStr">
        <is>
          <t>MARTES A VIERNES Y      SÁBADO</t>
        </is>
      </c>
      <c r="J530" s="17" t="inlineStr">
        <is>
          <t>GESTIONATECH</t>
        </is>
      </c>
      <c r="K530" s="18" t="n">
        <v>46309</v>
      </c>
      <c r="L530" s="18" t="n">
        <v>46309</v>
      </c>
      <c r="M530" s="17" t="n">
        <v>12</v>
      </c>
    </row>
    <row r="531">
      <c r="A531" s="19" t="inlineStr">
        <is>
          <t>5110</t>
        </is>
      </c>
      <c r="B531" s="20" t="inlineStr">
        <is>
          <t>EL ZULIA</t>
        </is>
      </c>
      <c r="C531" s="20" t="inlineStr">
        <is>
          <t>El Zulia</t>
        </is>
      </c>
      <c r="D531" s="20" t="inlineStr">
        <is>
          <t>Norte de Santander</t>
        </is>
      </c>
      <c r="E531" s="20" t="inlineStr">
        <is>
          <t>SANTANDERES</t>
        </is>
      </c>
      <c r="F531" s="20" t="inlineStr">
        <is>
          <t>8:00 AM - 11:30 AM Y DE 02:00 PM - 04:30 PM</t>
        </is>
      </c>
      <c r="G531" s="20" t="inlineStr">
        <is>
          <t>AVENIDA 2 No. 7 - 10 Centro</t>
        </is>
      </c>
      <c r="H531" s="20" t="inlineStr">
        <is>
          <t>6013821400</t>
        </is>
      </c>
      <c r="I531" s="20" t="inlineStr">
        <is>
          <t>LUNES A VIERNES</t>
        </is>
      </c>
      <c r="J531" s="20" t="inlineStr">
        <is>
          <t>GESTIONATECH</t>
        </is>
      </c>
      <c r="K531" s="21" t="n">
        <v>46274</v>
      </c>
      <c r="L531" s="21" t="n">
        <v>46276</v>
      </c>
      <c r="M531" s="20" t="n">
        <v>26</v>
      </c>
    </row>
    <row r="532">
      <c r="A532" s="16" t="inlineStr">
        <is>
          <t>5111</t>
        </is>
      </c>
      <c r="B532" s="17" t="inlineStr">
        <is>
          <t>ABREGO</t>
        </is>
      </c>
      <c r="C532" s="17" t="inlineStr">
        <is>
          <t>Abrego</t>
        </is>
      </c>
      <c r="D532" s="17" t="inlineStr">
        <is>
          <t>Norte de Santander</t>
        </is>
      </c>
      <c r="E532" s="17" t="inlineStr">
        <is>
          <t>SANTANDERES</t>
        </is>
      </c>
      <c r="F532" s="17" t="inlineStr">
        <is>
          <t>8:00 AM - 11:30 AM Y DE 02:00 PM - 04:30 PM</t>
        </is>
      </c>
      <c r="G532" s="17" t="inlineStr">
        <is>
          <t>Carrera 6 No 15 - 04 / 10</t>
        </is>
      </c>
      <c r="H532" s="17" t="inlineStr">
        <is>
          <t>6013821400</t>
        </is>
      </c>
      <c r="I532" s="17" t="inlineStr">
        <is>
          <t>LUNES A VIERNES</t>
        </is>
      </c>
      <c r="J532" s="17" t="inlineStr">
        <is>
          <t>GESTIONATECH</t>
        </is>
      </c>
      <c r="K532" s="18" t="n">
        <v>46293</v>
      </c>
      <c r="L532" s="18" t="n">
        <v>46294</v>
      </c>
      <c r="M532" s="17" t="n">
        <v>19</v>
      </c>
    </row>
    <row r="533">
      <c r="A533" s="19" t="inlineStr">
        <is>
          <t>5112</t>
        </is>
      </c>
      <c r="B533" s="20" t="inlineStr">
        <is>
          <t>ARBOLEDAS</t>
        </is>
      </c>
      <c r="C533" s="20" t="inlineStr">
        <is>
          <t>Arboledas</t>
        </is>
      </c>
      <c r="D533" s="20" t="inlineStr">
        <is>
          <t>Norte de Santander</t>
        </is>
      </c>
      <c r="E533" s="20" t="inlineStr">
        <is>
          <t>SANTANDERES</t>
        </is>
      </c>
      <c r="F533" s="20" t="inlineStr">
        <is>
          <t>8:00 AM A 2:00 P.M.</t>
        </is>
      </c>
      <c r="G533" s="20" t="inlineStr">
        <is>
          <t>Calle 4 N° 5-50</t>
        </is>
      </c>
      <c r="H533" s="20" t="inlineStr">
        <is>
          <t>6013821400</t>
        </is>
      </c>
      <c r="I533" s="20" t="inlineStr">
        <is>
          <t>MARTES A SABADO</t>
        </is>
      </c>
      <c r="J533" s="20" t="inlineStr">
        <is>
          <t>GESTIONATECH</t>
        </is>
      </c>
      <c r="K533" s="21" t="n">
        <v>46288</v>
      </c>
      <c r="L533" s="21" t="n">
        <v>46288</v>
      </c>
      <c r="M533" s="20" t="n">
        <v>12</v>
      </c>
    </row>
    <row r="534">
      <c r="A534" s="16" t="inlineStr">
        <is>
          <t>5113</t>
        </is>
      </c>
      <c r="B534" s="17" t="inlineStr">
        <is>
          <t>CENTRAL DE ABASTOS CUCUTA</t>
        </is>
      </c>
      <c r="C534" s="17" t="inlineStr">
        <is>
          <t>Cúcuta</t>
        </is>
      </c>
      <c r="D534" s="17" t="inlineStr">
        <is>
          <t>Norte de Santander</t>
        </is>
      </c>
      <c r="E534" s="17" t="inlineStr">
        <is>
          <t>SANTANDERES</t>
        </is>
      </c>
      <c r="F534" s="17" t="inlineStr">
        <is>
          <t>8:00 AM A 2:00 P.M.</t>
        </is>
      </c>
      <c r="G534" s="17" t="inlineStr">
        <is>
          <t>CENABASTOS CUCUTA Galpón G local 7  y 18</t>
        </is>
      </c>
      <c r="H534" s="17" t="inlineStr">
        <is>
          <t>6013821400</t>
        </is>
      </c>
      <c r="I534" s="17" t="inlineStr">
        <is>
          <t>MARTES A SABADO</t>
        </is>
      </c>
      <c r="J534" s="17" t="inlineStr">
        <is>
          <t>REGIONAL</t>
        </is>
      </c>
      <c r="K534" s="18" t="n">
        <v>46315</v>
      </c>
      <c r="L534" s="18" t="n">
        <v>46318</v>
      </c>
      <c r="M534" s="17" t="n">
        <v>21</v>
      </c>
    </row>
    <row r="535">
      <c r="A535" s="19" t="inlineStr">
        <is>
          <t>5114</t>
        </is>
      </c>
      <c r="B535" s="20" t="inlineStr">
        <is>
          <t>DURANIA</t>
        </is>
      </c>
      <c r="C535" s="20" t="inlineStr">
        <is>
          <t>Durania</t>
        </is>
      </c>
      <c r="D535" s="20" t="inlineStr">
        <is>
          <t>Norte de Santander</t>
        </is>
      </c>
      <c r="E535" s="20" t="inlineStr">
        <is>
          <t>SANTANDERES</t>
        </is>
      </c>
      <c r="F535" s="20" t="inlineStr">
        <is>
          <t>8:00 AM A 2:00 P.M.</t>
        </is>
      </c>
      <c r="G535" s="20" t="inlineStr">
        <is>
          <t>EDIF. FUENTES BARRIO CENTRO</t>
        </is>
      </c>
      <c r="H535" s="20" t="inlineStr">
        <is>
          <t>6013821400</t>
        </is>
      </c>
      <c r="I535" s="20" t="inlineStr">
        <is>
          <t>MARTES A SABADO</t>
        </is>
      </c>
      <c r="J535" s="20" t="inlineStr">
        <is>
          <t>GESTIONATECH</t>
        </is>
      </c>
      <c r="K535" s="21" t="n">
        <v>46309</v>
      </c>
      <c r="L535" s="21" t="n">
        <v>46309</v>
      </c>
      <c r="M535" s="20" t="n">
        <v>12</v>
      </c>
    </row>
    <row r="536">
      <c r="A536" s="16" t="inlineStr">
        <is>
          <t>5115</t>
        </is>
      </c>
      <c r="B536" s="17" t="inlineStr">
        <is>
          <t>CHINACOTA</t>
        </is>
      </c>
      <c r="C536" s="17" t="inlineStr">
        <is>
          <t>Chinácota</t>
        </is>
      </c>
      <c r="D536" s="17" t="inlineStr">
        <is>
          <t>Norte de Santander</t>
        </is>
      </c>
      <c r="E536" s="17" t="inlineStr">
        <is>
          <t>SANTANDERES</t>
        </is>
      </c>
      <c r="F536" s="17" t="inlineStr">
        <is>
          <t>DE MARTES A VIERNES DE 8:00 AM A 11:30 AM Y DE 2:00 P.M. A 4:30 P.M.    SABADO DE 8:00 AM A 2:00 P.M.</t>
        </is>
      </c>
      <c r="G536" s="17" t="inlineStr">
        <is>
          <t>CALLE 3 No. 3-56 Esquina</t>
        </is>
      </c>
      <c r="H536" s="17" t="inlineStr">
        <is>
          <t>6013821400</t>
        </is>
      </c>
      <c r="I536" s="17" t="inlineStr">
        <is>
          <t>MARTES A VIERNES Y      SÁBADO</t>
        </is>
      </c>
      <c r="J536" s="17" t="inlineStr">
        <is>
          <t>GESTIONATECH</t>
        </is>
      </c>
      <c r="K536" s="18" t="n">
        <v>46336</v>
      </c>
      <c r="L536" s="18" t="n">
        <v>46337</v>
      </c>
      <c r="M536" s="17" t="n">
        <v>19</v>
      </c>
    </row>
    <row r="537">
      <c r="A537" s="19" t="inlineStr">
        <is>
          <t>5116</t>
        </is>
      </c>
      <c r="B537" s="20" t="inlineStr">
        <is>
          <t>CONVENCION</t>
        </is>
      </c>
      <c r="C537" s="20" t="inlineStr">
        <is>
          <t>Convención</t>
        </is>
      </c>
      <c r="D537" s="20" t="inlineStr">
        <is>
          <t>Norte de Santander</t>
        </is>
      </c>
      <c r="E537" s="20" t="inlineStr">
        <is>
          <t>SANTANDERES</t>
        </is>
      </c>
      <c r="F537" s="20" t="inlineStr">
        <is>
          <t>8:00 AM - 11:30 AM Y DE 02:00 PM - 04:30 PM</t>
        </is>
      </c>
      <c r="G537" s="20" t="inlineStr">
        <is>
          <t>CALLE 5 N° 6-42</t>
        </is>
      </c>
      <c r="H537" s="20" t="inlineStr">
        <is>
          <t>6013821400</t>
        </is>
      </c>
      <c r="I537" s="20" t="inlineStr">
        <is>
          <t>LUNES A VIERNES</t>
        </is>
      </c>
      <c r="J537" s="20" t="inlineStr">
        <is>
          <t>GESTIONATECH</t>
        </is>
      </c>
      <c r="K537" s="21" t="n">
        <v>46279</v>
      </c>
      <c r="L537" s="21" t="n">
        <v>46280</v>
      </c>
      <c r="M537" s="20" t="n">
        <v>21</v>
      </c>
    </row>
    <row r="538">
      <c r="A538" s="16" t="inlineStr">
        <is>
          <t>5117</t>
        </is>
      </c>
      <c r="B538" s="17" t="inlineStr">
        <is>
          <t>CUCUTILLA</t>
        </is>
      </c>
      <c r="C538" s="17" t="inlineStr">
        <is>
          <t>Cucutilla</t>
        </is>
      </c>
      <c r="D538" s="17" t="inlineStr">
        <is>
          <t>Norte de Santander</t>
        </is>
      </c>
      <c r="E538" s="17" t="inlineStr">
        <is>
          <t>SANTANDERES</t>
        </is>
      </c>
      <c r="F538" s="17" t="inlineStr">
        <is>
          <t>8:00 AM A 2:00 P.M.</t>
        </is>
      </c>
      <c r="G538" s="17" t="inlineStr">
        <is>
          <t>Carrera 3 No. 4-43/44 Barrio Sogamoso</t>
        </is>
      </c>
      <c r="H538" s="17" t="inlineStr">
        <is>
          <t>6013821400</t>
        </is>
      </c>
      <c r="I538" s="17" t="inlineStr">
        <is>
          <t>MARTES A SABADO</t>
        </is>
      </c>
      <c r="J538" s="17" t="inlineStr">
        <is>
          <t>GESTIONATECH</t>
        </is>
      </c>
      <c r="K538" s="18" t="n">
        <v>46289</v>
      </c>
      <c r="L538" s="18" t="n">
        <v>46290</v>
      </c>
      <c r="M538" s="17" t="n">
        <v>14</v>
      </c>
    </row>
    <row r="539">
      <c r="A539" s="19" t="inlineStr">
        <is>
          <t>5118</t>
        </is>
      </c>
      <c r="B539" s="20" t="inlineStr">
        <is>
          <t>LABATECA</t>
        </is>
      </c>
      <c r="C539" s="20" t="inlineStr">
        <is>
          <t>Labateca</t>
        </is>
      </c>
      <c r="D539" s="20" t="inlineStr">
        <is>
          <t>Norte de Santander</t>
        </is>
      </c>
      <c r="E539" s="20" t="inlineStr">
        <is>
          <t>SANTANDERES</t>
        </is>
      </c>
      <c r="F539" s="20" t="inlineStr">
        <is>
          <t>8:00 AM A 2:00 P.M.</t>
        </is>
      </c>
      <c r="G539" s="20" t="inlineStr">
        <is>
          <t>Palacio Municipal - piso 1</t>
        </is>
      </c>
      <c r="H539" s="20" t="inlineStr">
        <is>
          <t>6013821400</t>
        </is>
      </c>
      <c r="I539" s="20" t="inlineStr">
        <is>
          <t>MARTES A SABADO</t>
        </is>
      </c>
      <c r="J539" s="20" t="inlineStr">
        <is>
          <t>GESTIONATECH</t>
        </is>
      </c>
      <c r="K539" s="21" t="n">
        <v>46280</v>
      </c>
      <c r="L539" s="21" t="n">
        <v>46280</v>
      </c>
      <c r="M539" s="20" t="n">
        <v>12</v>
      </c>
    </row>
    <row r="540">
      <c r="A540" s="16" t="inlineStr">
        <is>
          <t>5119</t>
        </is>
      </c>
      <c r="B540" s="17" t="inlineStr">
        <is>
          <t>CACOTA</t>
        </is>
      </c>
      <c r="C540" s="17" t="inlineStr">
        <is>
          <t>Cácota</t>
        </is>
      </c>
      <c r="D540" s="17" t="inlineStr">
        <is>
          <t>Norte de Santander</t>
        </is>
      </c>
      <c r="E540" s="17" t="inlineStr">
        <is>
          <t>SANTANDERES</t>
        </is>
      </c>
      <c r="F540" s="17" t="inlineStr">
        <is>
          <t>8:00 AM A 2:00 P.M.</t>
        </is>
      </c>
      <c r="G540" s="17" t="inlineStr">
        <is>
          <t>CALLE 4 N° 2-76</t>
        </is>
      </c>
      <c r="H540" s="17" t="inlineStr">
        <is>
          <t>6013821400</t>
        </is>
      </c>
      <c r="I540" s="17" t="inlineStr">
        <is>
          <t>MARTES A SABADO</t>
        </is>
      </c>
      <c r="J540" s="17" t="inlineStr">
        <is>
          <t>GESTIONATECH</t>
        </is>
      </c>
      <c r="K540" s="18" t="n">
        <v>46315</v>
      </c>
      <c r="L540" s="18" t="n">
        <v>46315</v>
      </c>
      <c r="M540" s="17" t="n">
        <v>12</v>
      </c>
    </row>
    <row r="541">
      <c r="A541" s="19" t="inlineStr">
        <is>
          <t>5120</t>
        </is>
      </c>
      <c r="B541" s="20" t="inlineStr">
        <is>
          <t>OCAÑA</t>
        </is>
      </c>
      <c r="C541" s="20" t="inlineStr">
        <is>
          <t>Ocaña</t>
        </is>
      </c>
      <c r="D541" s="20" t="inlineStr">
        <is>
          <t>Norte de Santander</t>
        </is>
      </c>
      <c r="E541" s="20" t="inlineStr">
        <is>
          <t>SANTANDERES</t>
        </is>
      </c>
      <c r="F541" s="20" t="inlineStr">
        <is>
          <t>8:00 AM - 11:30 AM Y DE 02:00 PM - 04:30 PM</t>
        </is>
      </c>
      <c r="G541" s="20" t="inlineStr">
        <is>
          <t>CARRERA 12 No. 11-02</t>
        </is>
      </c>
      <c r="H541" s="20" t="inlineStr">
        <is>
          <t>6013821400</t>
        </is>
      </c>
      <c r="I541" s="20" t="inlineStr">
        <is>
          <t>LUNES A VIERNES</t>
        </is>
      </c>
      <c r="J541" s="20" t="inlineStr">
        <is>
          <t>GESTIONATECH</t>
        </is>
      </c>
      <c r="K541" s="21" t="n">
        <v>46273</v>
      </c>
      <c r="L541" s="21" t="n">
        <v>46276</v>
      </c>
      <c r="M541" s="20" t="n">
        <v>38</v>
      </c>
    </row>
    <row r="542">
      <c r="A542" s="16" t="inlineStr">
        <is>
          <t>5121</t>
        </is>
      </c>
      <c r="B542" s="17" t="inlineStr">
        <is>
          <t>CACHIRA</t>
        </is>
      </c>
      <c r="C542" s="17" t="inlineStr">
        <is>
          <t>Cachirá</t>
        </is>
      </c>
      <c r="D542" s="17" t="inlineStr">
        <is>
          <t>Norte de Santander</t>
        </is>
      </c>
      <c r="E542" s="17" t="inlineStr">
        <is>
          <t>SANTANDERES</t>
        </is>
      </c>
      <c r="F542" s="17" t="inlineStr">
        <is>
          <t>DE MARTES A VIERNES DE 8:00 AM A 11:30 AM Y DE 2:00 P.M. A 4:30 P.M.    SABADO DE 8:00 AM A 2:00 P.M.</t>
        </is>
      </c>
      <c r="G542" s="17" t="inlineStr">
        <is>
          <t>CRA. 7 N° 5-29 Parque Principal</t>
        </is>
      </c>
      <c r="H542" s="17" t="inlineStr">
        <is>
          <t>6013821400</t>
        </is>
      </c>
      <c r="I542" s="17" t="inlineStr">
        <is>
          <t>MARTES A VIERNES Y      SÁBADO</t>
        </is>
      </c>
      <c r="J542" s="17" t="inlineStr">
        <is>
          <t>GESTIONATECH</t>
        </is>
      </c>
      <c r="K542" s="18" t="n">
        <v>46336</v>
      </c>
      <c r="L542" s="18" t="n">
        <v>46336</v>
      </c>
      <c r="M542" s="17" t="n">
        <v>14</v>
      </c>
    </row>
    <row r="543">
      <c r="A543" s="19" t="inlineStr">
        <is>
          <t>5122</t>
        </is>
      </c>
      <c r="B543" s="20" t="inlineStr">
        <is>
          <t>CHITAGA</t>
        </is>
      </c>
      <c r="C543" s="20" t="inlineStr">
        <is>
          <t>Chitagá</t>
        </is>
      </c>
      <c r="D543" s="20" t="inlineStr">
        <is>
          <t>Norte de Santander</t>
        </is>
      </c>
      <c r="E543" s="20" t="inlineStr">
        <is>
          <t>SANTANDERES</t>
        </is>
      </c>
      <c r="F543" s="20" t="inlineStr">
        <is>
          <t>8:00 AM A 2:00 P.M.</t>
        </is>
      </c>
      <c r="G543" s="20" t="inlineStr">
        <is>
          <t>CRA. 6 N° 3-67</t>
        </is>
      </c>
      <c r="H543" s="20" t="inlineStr">
        <is>
          <t>6013821400</t>
        </is>
      </c>
      <c r="I543" s="20" t="inlineStr">
        <is>
          <t>MARTES A SABADO</t>
        </is>
      </c>
      <c r="J543" s="20" t="inlineStr">
        <is>
          <t>GESTIONATECH</t>
        </is>
      </c>
      <c r="K543" s="21" t="n">
        <v>46315</v>
      </c>
      <c r="L543" s="21" t="n">
        <v>46316</v>
      </c>
      <c r="M543" s="20" t="n">
        <v>16</v>
      </c>
    </row>
    <row r="544">
      <c r="A544" s="16" t="inlineStr">
        <is>
          <t>5123</t>
        </is>
      </c>
      <c r="B544" s="17" t="inlineStr">
        <is>
          <t>EL CARMEN</t>
        </is>
      </c>
      <c r="C544" s="17" t="inlineStr">
        <is>
          <t>El Carmen</t>
        </is>
      </c>
      <c r="D544" s="17" t="inlineStr">
        <is>
          <t>Norte de Santander</t>
        </is>
      </c>
      <c r="E544" s="17" t="inlineStr">
        <is>
          <t>SANTANDERES</t>
        </is>
      </c>
      <c r="F544" s="17" t="inlineStr">
        <is>
          <t>8:00 AM - 11:30 AM Y DE 02:00 PM - 04:30 PM</t>
        </is>
      </c>
      <c r="G544" s="17" t="inlineStr">
        <is>
          <t>Calle 8 N° 3-07</t>
        </is>
      </c>
      <c r="H544" s="17" t="inlineStr">
        <is>
          <t>6013821400</t>
        </is>
      </c>
      <c r="I544" s="17" t="inlineStr">
        <is>
          <t>LUNES A VIERNES</t>
        </is>
      </c>
      <c r="J544" s="17" t="inlineStr">
        <is>
          <t>GESTIONATECH</t>
        </is>
      </c>
      <c r="K544" s="18" t="n">
        <v>46282</v>
      </c>
      <c r="L544" s="18" t="n">
        <v>46283</v>
      </c>
      <c r="M544" s="17" t="n">
        <v>12</v>
      </c>
    </row>
    <row r="545">
      <c r="A545" s="19" t="inlineStr">
        <is>
          <t>5125</t>
        </is>
      </c>
      <c r="B545" s="20" t="inlineStr">
        <is>
          <t>GRAMALOTE</t>
        </is>
      </c>
      <c r="C545" s="20" t="inlineStr">
        <is>
          <t>Gramalote</t>
        </is>
      </c>
      <c r="D545" s="20" t="inlineStr">
        <is>
          <t>Norte de Santander</t>
        </is>
      </c>
      <c r="E545" s="20" t="inlineStr">
        <is>
          <t>SANTANDERES</t>
        </is>
      </c>
      <c r="F545" s="20" t="inlineStr">
        <is>
          <t>8:00 AM A 2:00 P.M.</t>
        </is>
      </c>
      <c r="G545" s="20" t="inlineStr">
        <is>
          <t>Manzana 3 Lote 6 Centro Calle Real</t>
        </is>
      </c>
      <c r="H545" s="20" t="inlineStr">
        <is>
          <t>6013821400</t>
        </is>
      </c>
      <c r="I545" s="20" t="inlineStr">
        <is>
          <t>MARTES A SABADO</t>
        </is>
      </c>
      <c r="J545" s="20" t="inlineStr">
        <is>
          <t>GESTIONATECH</t>
        </is>
      </c>
      <c r="K545" s="21" t="n">
        <v>46322</v>
      </c>
      <c r="L545" s="21" t="n">
        <v>46322</v>
      </c>
      <c r="M545" s="20" t="n">
        <v>12</v>
      </c>
    </row>
    <row r="546">
      <c r="A546" s="16" t="inlineStr">
        <is>
          <t>5126</t>
        </is>
      </c>
      <c r="B546" s="17" t="inlineStr">
        <is>
          <t>HACARI</t>
        </is>
      </c>
      <c r="C546" s="17" t="inlineStr">
        <is>
          <t>Hacarí</t>
        </is>
      </c>
      <c r="D546" s="17" t="inlineStr">
        <is>
          <t>Norte de Santander</t>
        </is>
      </c>
      <c r="E546" s="17" t="inlineStr">
        <is>
          <t>SANTANDERES</t>
        </is>
      </c>
      <c r="F546" s="17" t="inlineStr">
        <is>
          <t>8:00 AM - 11:30 AM Y DE 02:00 PM - 04:30 PM</t>
        </is>
      </c>
      <c r="G546" s="17" t="inlineStr">
        <is>
          <t>Calle 4 frente a las instalaciones del Palacio Municipal</t>
        </is>
      </c>
      <c r="H546" s="17" t="inlineStr">
        <is>
          <t>6013821400</t>
        </is>
      </c>
      <c r="I546" s="17" t="inlineStr">
        <is>
          <t>LUNES A VIERNES</t>
        </is>
      </c>
      <c r="J546" s="17" t="inlineStr">
        <is>
          <t>GESTIONATECH</t>
        </is>
      </c>
      <c r="K546" s="18" t="n">
        <v>46286</v>
      </c>
      <c r="L546" s="18" t="n">
        <v>46289</v>
      </c>
      <c r="M546" s="17" t="n">
        <v>17</v>
      </c>
    </row>
    <row r="547">
      <c r="A547" s="19" t="inlineStr">
        <is>
          <t>5127</t>
        </is>
      </c>
      <c r="B547" s="20" t="inlineStr">
        <is>
          <t>HERRAN</t>
        </is>
      </c>
      <c r="C547" s="20" t="inlineStr">
        <is>
          <t>Herrán</t>
        </is>
      </c>
      <c r="D547" s="20" t="inlineStr">
        <is>
          <t>Norte de Santander</t>
        </is>
      </c>
      <c r="E547" s="20" t="inlineStr">
        <is>
          <t>SANTANDERES</t>
        </is>
      </c>
      <c r="F547" s="20" t="inlineStr">
        <is>
          <t>8:00 AM A 2:00 P.M.</t>
        </is>
      </c>
      <c r="G547" s="20" t="inlineStr">
        <is>
          <t>AVENIDA 3 N° 3-14 Sector los Balcones</t>
        </is>
      </c>
      <c r="H547" s="20" t="inlineStr">
        <is>
          <t>6013821400</t>
        </is>
      </c>
      <c r="I547" s="20" t="inlineStr">
        <is>
          <t>MARTES A SABADO</t>
        </is>
      </c>
      <c r="J547" s="20" t="inlineStr">
        <is>
          <t>GESTIONATECH</t>
        </is>
      </c>
      <c r="K547" s="21" t="n">
        <v>46301</v>
      </c>
      <c r="L547" s="21" t="n">
        <v>46301</v>
      </c>
      <c r="M547" s="20" t="n">
        <v>12</v>
      </c>
    </row>
    <row r="548">
      <c r="A548" s="16" t="inlineStr">
        <is>
          <t>5130</t>
        </is>
      </c>
      <c r="B548" s="17" t="inlineStr">
        <is>
          <t>PAMPLONA</t>
        </is>
      </c>
      <c r="C548" s="17" t="inlineStr">
        <is>
          <t>Pamplona</t>
        </is>
      </c>
      <c r="D548" s="17" t="inlineStr">
        <is>
          <t>Norte de Santander</t>
        </is>
      </c>
      <c r="E548" s="17" t="inlineStr">
        <is>
          <t>SANTANDERES</t>
        </is>
      </c>
      <c r="F548" s="17" t="inlineStr">
        <is>
          <t>8:00 AM - 11:30 AM Y DE 02:00 PM - 04:30 PM</t>
        </is>
      </c>
      <c r="G548" s="17" t="inlineStr">
        <is>
          <t>CALLE 6 No.6-58</t>
        </is>
      </c>
      <c r="H548" s="17" t="inlineStr">
        <is>
          <t>6013821400</t>
        </is>
      </c>
      <c r="I548" s="17" t="inlineStr">
        <is>
          <t>LUNES A VIERNES</t>
        </is>
      </c>
      <c r="J548" s="17" t="inlineStr">
        <is>
          <t>GESTIONATECH</t>
        </is>
      </c>
      <c r="K548" s="18" t="n">
        <v>46329</v>
      </c>
      <c r="L548" s="18" t="n">
        <v>46332</v>
      </c>
      <c r="M548" s="17" t="n">
        <v>31</v>
      </c>
    </row>
    <row r="549">
      <c r="A549" s="19" t="inlineStr">
        <is>
          <t>5134</t>
        </is>
      </c>
      <c r="B549" s="20" t="inlineStr">
        <is>
          <t>LOURDES</t>
        </is>
      </c>
      <c r="C549" s="20" t="inlineStr">
        <is>
          <t>Lourdes</t>
        </is>
      </c>
      <c r="D549" s="20" t="inlineStr">
        <is>
          <t>Norte de Santander</t>
        </is>
      </c>
      <c r="E549" s="20" t="inlineStr">
        <is>
          <t>SANTANDERES</t>
        </is>
      </c>
      <c r="F549" s="20" t="inlineStr">
        <is>
          <t>8:00 AM A 2:00 P.M.</t>
        </is>
      </c>
      <c r="G549" s="20" t="inlineStr">
        <is>
          <t>Calle 4 No. 3-46</t>
        </is>
      </c>
      <c r="H549" s="20" t="inlineStr">
        <is>
          <t>6013821400</t>
        </is>
      </c>
      <c r="I549" s="20" t="inlineStr">
        <is>
          <t>MARTES A SABADO</t>
        </is>
      </c>
      <c r="J549" s="20" t="inlineStr">
        <is>
          <t>GESTIONATECH</t>
        </is>
      </c>
      <c r="K549" s="21" t="n">
        <v>46322</v>
      </c>
      <c r="L549" s="21" t="n">
        <v>46322</v>
      </c>
      <c r="M549" s="20" t="n">
        <v>13</v>
      </c>
    </row>
    <row r="550">
      <c r="A550" s="16" t="inlineStr">
        <is>
          <t>5136</t>
        </is>
      </c>
      <c r="B550" s="17" t="inlineStr">
        <is>
          <t>MUTISCUA</t>
        </is>
      </c>
      <c r="C550" s="17" t="inlineStr">
        <is>
          <t>Mutiscua</t>
        </is>
      </c>
      <c r="D550" s="17" t="inlineStr">
        <is>
          <t>Norte de Santander</t>
        </is>
      </c>
      <c r="E550" s="17" t="inlineStr">
        <is>
          <t>SANTANDERES</t>
        </is>
      </c>
      <c r="F550" s="17" t="inlineStr">
        <is>
          <t>8:00 AM - 11:30 AM Y DE 02:00 PM - 04:30 PM</t>
        </is>
      </c>
      <c r="G550" s="17" t="inlineStr">
        <is>
          <t>Calle 8 No.2-46/48 Barrio San José</t>
        </is>
      </c>
      <c r="H550" s="17" t="inlineStr">
        <is>
          <t>6013821400</t>
        </is>
      </c>
      <c r="I550" s="17" t="inlineStr">
        <is>
          <t>LUNES A VIERNES</t>
        </is>
      </c>
      <c r="J550" s="17" t="inlineStr">
        <is>
          <t>GESTIONATECH</t>
        </is>
      </c>
      <c r="K550" s="18" t="n">
        <v>46310</v>
      </c>
      <c r="L550" s="18" t="n">
        <v>46310</v>
      </c>
      <c r="M550" s="17" t="n">
        <v>12</v>
      </c>
    </row>
    <row r="551">
      <c r="A551" s="19" t="inlineStr">
        <is>
          <t>5145</t>
        </is>
      </c>
      <c r="B551" s="20" t="inlineStr">
        <is>
          <t>RAGONVALIA</t>
        </is>
      </c>
      <c r="C551" s="20" t="inlineStr">
        <is>
          <t>Ragonvalia</t>
        </is>
      </c>
      <c r="D551" s="20" t="inlineStr">
        <is>
          <t>Norte de Santander</t>
        </is>
      </c>
      <c r="E551" s="20" t="inlineStr">
        <is>
          <t>SANTANDERES</t>
        </is>
      </c>
      <c r="F551" s="20" t="inlineStr">
        <is>
          <t>8:00 AM A 2:00 P.M.</t>
        </is>
      </c>
      <c r="G551" s="20" t="inlineStr">
        <is>
          <t>Calle 5 No.2-44 Barrio Centro</t>
        </is>
      </c>
      <c r="H551" s="20" t="inlineStr">
        <is>
          <t>6013821400</t>
        </is>
      </c>
      <c r="I551" s="20" t="inlineStr">
        <is>
          <t>MARTES A SABADO</t>
        </is>
      </c>
      <c r="J551" s="20" t="inlineStr">
        <is>
          <t>GESTIONATECH</t>
        </is>
      </c>
      <c r="K551" s="21" t="n">
        <v>46302</v>
      </c>
      <c r="L551" s="21" t="n">
        <v>46303</v>
      </c>
      <c r="M551" s="20" t="n">
        <v>12</v>
      </c>
    </row>
    <row r="552">
      <c r="A552" s="16" t="inlineStr">
        <is>
          <t>5150</t>
        </is>
      </c>
      <c r="B552" s="17" t="inlineStr">
        <is>
          <t>SARDINATA</t>
        </is>
      </c>
      <c r="C552" s="17" t="inlineStr">
        <is>
          <t>Sardinata</t>
        </is>
      </c>
      <c r="D552" s="17" t="inlineStr">
        <is>
          <t>Norte de Santander</t>
        </is>
      </c>
      <c r="E552" s="17" t="inlineStr">
        <is>
          <t>SANTANDERES</t>
        </is>
      </c>
      <c r="F552" s="17" t="inlineStr">
        <is>
          <t>DE MARTES A VIERNES DE 8:00 AM A 11:30 AM Y DE 2:00 P.M. A 4:30 P.M.    SABADO DE 8:00 AM A 2:00 P.M.</t>
        </is>
      </c>
      <c r="G552" s="17" t="inlineStr">
        <is>
          <t>Carrera  6 N° 5-27 Centro</t>
        </is>
      </c>
      <c r="H552" s="17" t="inlineStr">
        <is>
          <t>6013821400</t>
        </is>
      </c>
      <c r="I552" s="17" t="inlineStr">
        <is>
          <t>MARTES A VIERNES Y      SÁBADO</t>
        </is>
      </c>
      <c r="J552" s="17" t="inlineStr">
        <is>
          <t>GESTIONATECH</t>
        </is>
      </c>
      <c r="K552" s="18" t="n">
        <v>46301</v>
      </c>
      <c r="L552" s="18" t="n">
        <v>46302</v>
      </c>
      <c r="M552" s="17" t="n">
        <v>21</v>
      </c>
    </row>
    <row r="553">
      <c r="A553" s="19" t="inlineStr">
        <is>
          <t>5152</t>
        </is>
      </c>
      <c r="B553" s="20" t="inlineStr">
        <is>
          <t>SALAZAR</t>
        </is>
      </c>
      <c r="C553" s="20" t="inlineStr">
        <is>
          <t>Salazar</t>
        </is>
      </c>
      <c r="D553" s="20" t="inlineStr">
        <is>
          <t>Norte de Santander</t>
        </is>
      </c>
      <c r="E553" s="20" t="inlineStr">
        <is>
          <t>SANTANDERES</t>
        </is>
      </c>
      <c r="F553" s="20" t="inlineStr">
        <is>
          <t>8:00 AM A 2:00 P.M.</t>
        </is>
      </c>
      <c r="G553" s="20" t="inlineStr">
        <is>
          <t>CALLE 3 N° 3-59</t>
        </is>
      </c>
      <c r="H553" s="20" t="inlineStr">
        <is>
          <t>6013821400</t>
        </is>
      </c>
      <c r="I553" s="20" t="inlineStr">
        <is>
          <t>MARTES A SABADO</t>
        </is>
      </c>
      <c r="J553" s="20" t="inlineStr">
        <is>
          <t>GESTIONATECH</t>
        </is>
      </c>
      <c r="K553" s="21" t="n">
        <v>46287</v>
      </c>
      <c r="L553" s="21" t="n">
        <v>46287</v>
      </c>
      <c r="M553" s="20" t="n">
        <v>12</v>
      </c>
    </row>
    <row r="554">
      <c r="A554" s="16" t="inlineStr">
        <is>
          <t>5160</t>
        </is>
      </c>
      <c r="B554" s="17" t="inlineStr">
        <is>
          <t>TOLEDO</t>
        </is>
      </c>
      <c r="C554" s="17" t="inlineStr">
        <is>
          <t>Toledo</t>
        </is>
      </c>
      <c r="D554" s="17" t="inlineStr">
        <is>
          <t>Norte de Santander</t>
        </is>
      </c>
      <c r="E554" s="17" t="inlineStr">
        <is>
          <t>SANTANDERES</t>
        </is>
      </c>
      <c r="F554" s="17" t="inlineStr">
        <is>
          <t>DE MARTES A VIERNES DE 8:00 AM A 11:30 AM Y DE 2:00 P.M. A 4:30 P.M.    SABADO DE 8:00 AM A 2:00 P.M.</t>
        </is>
      </c>
      <c r="G554" s="17" t="inlineStr">
        <is>
          <t>Carrera  5 N° 12-80 Calle Real</t>
        </is>
      </c>
      <c r="H554" s="17" t="inlineStr">
        <is>
          <t>6013821400</t>
        </is>
      </c>
      <c r="I554" s="17" t="inlineStr">
        <is>
          <t>MARTES A VIERNES Y      SÁBADO</t>
        </is>
      </c>
      <c r="J554" s="17" t="inlineStr">
        <is>
          <t>GESTIONATECH</t>
        </is>
      </c>
      <c r="K554" s="18" t="n">
        <v>46281</v>
      </c>
      <c r="L554" s="18" t="n">
        <v>46282</v>
      </c>
      <c r="M554" s="17" t="n">
        <v>18</v>
      </c>
    </row>
    <row r="555">
      <c r="A555" s="19" t="inlineStr">
        <is>
          <t>5164</t>
        </is>
      </c>
      <c r="B555" s="20" t="inlineStr">
        <is>
          <t>SILOS</t>
        </is>
      </c>
      <c r="C555" s="20" t="inlineStr">
        <is>
          <t>Silos</t>
        </is>
      </c>
      <c r="D555" s="20" t="inlineStr">
        <is>
          <t>Norte de Santander</t>
        </is>
      </c>
      <c r="E555" s="20" t="inlineStr">
        <is>
          <t>SANTANDERES</t>
        </is>
      </c>
      <c r="F555" s="20" t="inlineStr">
        <is>
          <t>8:00 AM - 11:30 AM Y DE 02:00 PM - 04:30 PM</t>
        </is>
      </c>
      <c r="G555" s="20" t="inlineStr">
        <is>
          <t>Cra.5 No.3-41</t>
        </is>
      </c>
      <c r="H555" s="20" t="inlineStr">
        <is>
          <t>6013821400</t>
        </is>
      </c>
      <c r="I555" s="20" t="inlineStr">
        <is>
          <t>LUNES A VIERNES</t>
        </is>
      </c>
      <c r="J555" s="20" t="inlineStr">
        <is>
          <t>GESTIONATECH</t>
        </is>
      </c>
      <c r="K555" s="21" t="n">
        <v>46310</v>
      </c>
      <c r="L555" s="21" t="n">
        <v>46310</v>
      </c>
      <c r="M555" s="20" t="n">
        <v>14</v>
      </c>
    </row>
    <row r="556">
      <c r="A556" s="16" t="inlineStr">
        <is>
          <t>5170</t>
        </is>
      </c>
      <c r="B556" s="17" t="inlineStr">
        <is>
          <t>TIBU</t>
        </is>
      </c>
      <c r="C556" s="17" t="inlineStr">
        <is>
          <t>Tibú</t>
        </is>
      </c>
      <c r="D556" s="17" t="inlineStr">
        <is>
          <t>Norte de Santander</t>
        </is>
      </c>
      <c r="E556" s="17" t="inlineStr">
        <is>
          <t>SANTANDERES</t>
        </is>
      </c>
      <c r="F556" s="17" t="inlineStr">
        <is>
          <t>8:00 AM - 11:30 AM Y DE 02:00 PM - 04:30 PM</t>
        </is>
      </c>
      <c r="G556" s="17" t="inlineStr">
        <is>
          <t>CALLE 5 N° 5-11 Barrio Miraflores</t>
        </is>
      </c>
      <c r="H556" s="17" t="inlineStr">
        <is>
          <t>6013821400</t>
        </is>
      </c>
      <c r="I556" s="17" t="inlineStr">
        <is>
          <t>LUNES A VIERNES</t>
        </is>
      </c>
      <c r="J556" s="17" t="inlineStr">
        <is>
          <t>GESTIONATECH</t>
        </is>
      </c>
      <c r="K556" s="18" t="n">
        <v>46266</v>
      </c>
      <c r="L556" s="18" t="n">
        <v>46269</v>
      </c>
      <c r="M556" s="17" t="n">
        <v>38</v>
      </c>
    </row>
    <row r="557">
      <c r="A557" s="19" t="inlineStr">
        <is>
          <t>5172</t>
        </is>
      </c>
      <c r="B557" s="20" t="inlineStr">
        <is>
          <t>TEORAMA</t>
        </is>
      </c>
      <c r="C557" s="20" t="inlineStr">
        <is>
          <t>Teorama</t>
        </is>
      </c>
      <c r="D557" s="20" t="inlineStr">
        <is>
          <t>Norte de Santander</t>
        </is>
      </c>
      <c r="E557" s="20" t="inlineStr">
        <is>
          <t>SANTANDERES</t>
        </is>
      </c>
      <c r="F557" s="20" t="inlineStr">
        <is>
          <t>8:00 AM - 11:30 AM Y DE 02:00 PM - 04:30 PM</t>
        </is>
      </c>
      <c r="G557" s="20" t="inlineStr">
        <is>
          <t>Carrera 4 No.3-35</t>
        </is>
      </c>
      <c r="H557" s="20" t="inlineStr">
        <is>
          <t>6013821400</t>
        </is>
      </c>
      <c r="I557" s="20" t="inlineStr">
        <is>
          <t>LUNES A VIERNES</t>
        </is>
      </c>
      <c r="J557" s="20" t="inlineStr">
        <is>
          <t>GESTIONATECH</t>
        </is>
      </c>
      <c r="K557" s="21" t="n">
        <v>46281</v>
      </c>
      <c r="L557" s="21" t="n">
        <v>46281</v>
      </c>
      <c r="M557" s="20" t="n">
        <v>12</v>
      </c>
    </row>
    <row r="558">
      <c r="A558" s="16" t="inlineStr">
        <is>
          <t>5180</t>
        </is>
      </c>
      <c r="B558" s="17" t="inlineStr">
        <is>
          <t>VILLACARO</t>
        </is>
      </c>
      <c r="C558" s="17" t="inlineStr">
        <is>
          <t>Villa Caro</t>
        </is>
      </c>
      <c r="D558" s="17" t="inlineStr">
        <is>
          <t>Norte de Santander</t>
        </is>
      </c>
      <c r="E558" s="17" t="inlineStr">
        <is>
          <t>SANTANDERES</t>
        </is>
      </c>
      <c r="F558" s="17" t="inlineStr">
        <is>
          <t>DE MARTES A VIERNES DE 8:00 AM A 11:30 AM Y DE 2:00 P.M. A 4:30 P.M.    SABADO DE 8:00 AM A 2:00 P.M.</t>
        </is>
      </c>
      <c r="G558" s="17" t="inlineStr">
        <is>
          <t>CALLE 2 N° 5-03 Barrio el centro</t>
        </is>
      </c>
      <c r="H558" s="17" t="inlineStr">
        <is>
          <t>6013821400</t>
        </is>
      </c>
      <c r="I558" s="17" t="inlineStr">
        <is>
          <t>MARTES A VIERNES Y      SÁBADO</t>
        </is>
      </c>
      <c r="J558" s="17" t="inlineStr">
        <is>
          <t>GESTIONATECH</t>
        </is>
      </c>
      <c r="K558" s="18" t="n">
        <v>46296</v>
      </c>
      <c r="L558" s="18" t="n">
        <v>46296</v>
      </c>
      <c r="M558" s="17" t="n">
        <v>12</v>
      </c>
    </row>
    <row r="559">
      <c r="A559" s="19" t="inlineStr">
        <is>
          <t>5401</t>
        </is>
      </c>
      <c r="B559" s="20" t="inlineStr">
        <is>
          <t>ARMENIA</t>
        </is>
      </c>
      <c r="C559" s="20" t="inlineStr">
        <is>
          <t>Armenia</t>
        </is>
      </c>
      <c r="D559" s="20" t="inlineStr">
        <is>
          <t>Quindio</t>
        </is>
      </c>
      <c r="E559" s="20" t="inlineStr">
        <is>
          <t>CAFETERA</t>
        </is>
      </c>
      <c r="F559" s="20" t="inlineStr">
        <is>
          <t>8:00 AM - 11:30 AM Y DE 02:00 PM - 04:30 PM</t>
        </is>
      </c>
      <c r="G559" s="20" t="inlineStr">
        <is>
          <t>CARRERA 13 No.17/47/59 Centro Comercial La 13</t>
        </is>
      </c>
      <c r="H559" s="20" t="inlineStr">
        <is>
          <t>6013821400</t>
        </is>
      </c>
      <c r="I559" s="20" t="inlineStr">
        <is>
          <t>LUNES A VIERNES</t>
        </is>
      </c>
      <c r="J559" s="20" t="inlineStr">
        <is>
          <t>INSARED</t>
        </is>
      </c>
      <c r="K559" s="21" t="n">
        <v>46296</v>
      </c>
      <c r="L559" s="21" t="n">
        <v>46302</v>
      </c>
      <c r="M559" s="20" t="n">
        <v>37</v>
      </c>
    </row>
    <row r="560">
      <c r="A560" s="16" t="inlineStr">
        <is>
          <t>5410</t>
        </is>
      </c>
      <c r="B560" s="17" t="inlineStr">
        <is>
          <t>CALARCA</t>
        </is>
      </c>
      <c r="C560" s="17" t="inlineStr">
        <is>
          <t>Calarca</t>
        </is>
      </c>
      <c r="D560" s="17" t="inlineStr">
        <is>
          <t>Quindio</t>
        </is>
      </c>
      <c r="E560" s="17" t="inlineStr">
        <is>
          <t>CAFETERA</t>
        </is>
      </c>
      <c r="F560" s="17" t="inlineStr">
        <is>
          <t>8:00 AM - 11:30 AM Y DE 02:00 PM - 04:30 PM</t>
        </is>
      </c>
      <c r="G560" s="17" t="inlineStr">
        <is>
          <t>CRA 24 No 39 -36</t>
        </is>
      </c>
      <c r="H560" s="17" t="inlineStr">
        <is>
          <t>6013821400</t>
        </is>
      </c>
      <c r="I560" s="17" t="inlineStr">
        <is>
          <t>LUNES A VIERNES</t>
        </is>
      </c>
      <c r="J560" s="17" t="inlineStr">
        <is>
          <t>INSARED</t>
        </is>
      </c>
      <c r="K560" s="18" t="n">
        <v>46311</v>
      </c>
      <c r="L560" s="18" t="n">
        <v>46311</v>
      </c>
      <c r="M560" s="17" t="n">
        <v>24</v>
      </c>
    </row>
    <row r="561">
      <c r="A561" s="19" t="inlineStr">
        <is>
          <t>5412</t>
        </is>
      </c>
      <c r="B561" s="20" t="inlineStr">
        <is>
          <t>CAICEDONIA</t>
        </is>
      </c>
      <c r="C561" s="20" t="inlineStr">
        <is>
          <t>Caicedonia</t>
        </is>
      </c>
      <c r="D561" s="20" t="inlineStr">
        <is>
          <t>Valle del Cauca</t>
        </is>
      </c>
      <c r="E561" s="20" t="inlineStr">
        <is>
          <t>CAFETERA</t>
        </is>
      </c>
      <c r="F561" s="20" t="inlineStr">
        <is>
          <t>DE MARTES A VIERNES DE 8:00 AM A 11:30 AM Y DE 2:00 P.M. A 4:30 P.M.    SABADO DE 8:00 AM A 2:00 P.M.</t>
        </is>
      </c>
      <c r="G561" s="20" t="inlineStr">
        <is>
          <t>Carrera 15 N° 8 - 20/26</t>
        </is>
      </c>
      <c r="H561" s="20" t="inlineStr">
        <is>
          <t>6013821400</t>
        </is>
      </c>
      <c r="I561" s="20" t="inlineStr">
        <is>
          <t>MARTES A VIERNES Y      SÁBADO</t>
        </is>
      </c>
      <c r="J561" s="20" t="inlineStr">
        <is>
          <t>INSARED</t>
        </is>
      </c>
      <c r="K561" s="21" t="n">
        <v>46358</v>
      </c>
      <c r="L561" s="21" t="n">
        <v>46359</v>
      </c>
      <c r="M561" s="20" t="n">
        <v>17</v>
      </c>
    </row>
    <row r="562">
      <c r="A562" s="16" t="inlineStr">
        <is>
          <t>5413</t>
        </is>
      </c>
      <c r="B562" s="17" t="inlineStr">
        <is>
          <t>LA DORADA</t>
        </is>
      </c>
      <c r="C562" s="17" t="inlineStr">
        <is>
          <t>La Dorada</t>
        </is>
      </c>
      <c r="D562" s="17" t="inlineStr">
        <is>
          <t>Caldas</t>
        </is>
      </c>
      <c r="E562" s="17" t="inlineStr">
        <is>
          <t>CAFETERA</t>
        </is>
      </c>
      <c r="F562" s="17" t="inlineStr">
        <is>
          <t>8:00 AM - 11:30 AM Y DE 02:00 PM - 04:30 PM</t>
        </is>
      </c>
      <c r="G562" s="17" t="inlineStr">
        <is>
          <t>Calle 13 N° 2-66</t>
        </is>
      </c>
      <c r="H562" s="17" t="inlineStr">
        <is>
          <t>6013821400</t>
        </is>
      </c>
      <c r="I562" s="17" t="inlineStr">
        <is>
          <t>LUNES A VIERNES</t>
        </is>
      </c>
      <c r="J562" s="17" t="inlineStr">
        <is>
          <t>GESTIONATECH</t>
        </is>
      </c>
      <c r="K562" s="18" t="n">
        <v>46310</v>
      </c>
      <c r="L562" s="18" t="n">
        <v>46311</v>
      </c>
      <c r="M562" s="17" t="n">
        <v>27</v>
      </c>
    </row>
    <row r="563">
      <c r="A563" s="19" t="inlineStr">
        <is>
          <t>5414</t>
        </is>
      </c>
      <c r="B563" s="20" t="inlineStr">
        <is>
          <t>LA UNION</t>
        </is>
      </c>
      <c r="C563" s="20" t="inlineStr">
        <is>
          <t>La Unión</t>
        </is>
      </c>
      <c r="D563" s="20" t="inlineStr">
        <is>
          <t>Valle del Cauca</t>
        </is>
      </c>
      <c r="E563" s="20" t="inlineStr">
        <is>
          <t>CAFETERA</t>
        </is>
      </c>
      <c r="F563" s="20" t="inlineStr">
        <is>
          <t>8:00 AM - 11:30 AM Y DE 02:00 PM - 04:30 PM</t>
        </is>
      </c>
      <c r="G563" s="20" t="inlineStr">
        <is>
          <t>calle 15 N° 15/ 22-26</t>
        </is>
      </c>
      <c r="H563" s="20" t="inlineStr">
        <is>
          <t>6013821400</t>
        </is>
      </c>
      <c r="I563" s="20" t="inlineStr">
        <is>
          <t>LUNES A VIERNES</t>
        </is>
      </c>
      <c r="J563" s="20" t="inlineStr">
        <is>
          <t>INSARED</t>
        </is>
      </c>
      <c r="K563" s="21" t="n">
        <v>46356</v>
      </c>
      <c r="L563" s="21" t="n">
        <v>46357</v>
      </c>
      <c r="M563" s="20" t="n">
        <v>20</v>
      </c>
    </row>
    <row r="564">
      <c r="A564" s="16" t="inlineStr">
        <is>
          <t>5415</t>
        </is>
      </c>
      <c r="B564" s="17" t="inlineStr">
        <is>
          <t>CIRCASIA</t>
        </is>
      </c>
      <c r="C564" s="17" t="inlineStr">
        <is>
          <t>Circasia</t>
        </is>
      </c>
      <c r="D564" s="17" t="inlineStr">
        <is>
          <t>Quindio</t>
        </is>
      </c>
      <c r="E564" s="17" t="inlineStr">
        <is>
          <t>CAFETERA</t>
        </is>
      </c>
      <c r="F564" s="17" t="inlineStr">
        <is>
          <t>8:00 AM - 11:30 AM Y DE 02:00 PM - 04:30 PM</t>
        </is>
      </c>
      <c r="G564" s="17" t="inlineStr">
        <is>
          <t>CALLE 6 No.13-60</t>
        </is>
      </c>
      <c r="H564" s="17" t="inlineStr">
        <is>
          <t>6013821400</t>
        </is>
      </c>
      <c r="I564" s="17" t="inlineStr">
        <is>
          <t>LUNES A VIERNES</t>
        </is>
      </c>
      <c r="J564" s="17" t="inlineStr">
        <is>
          <t>INSARED</t>
        </is>
      </c>
      <c r="K564" s="18" t="n">
        <v>46323</v>
      </c>
      <c r="L564" s="18" t="n">
        <v>46323</v>
      </c>
      <c r="M564" s="17" t="n">
        <v>20</v>
      </c>
    </row>
    <row r="565">
      <c r="A565" s="19" t="inlineStr">
        <is>
          <t>5420</t>
        </is>
      </c>
      <c r="B565" s="20" t="inlineStr">
        <is>
          <t>QUIMBAYA</t>
        </is>
      </c>
      <c r="C565" s="20" t="inlineStr">
        <is>
          <t>Quimbaya</t>
        </is>
      </c>
      <c r="D565" s="20" t="inlineStr">
        <is>
          <t>Quindio</t>
        </is>
      </c>
      <c r="E565" s="20" t="inlineStr">
        <is>
          <t>CAFETERA</t>
        </is>
      </c>
      <c r="F565" s="20" t="inlineStr">
        <is>
          <t>DE MARTES A VIERNES DE 8:00 AM A 11:30 AM Y DE 2:00 P.M. A 4:30 P.M.    SABADO DE 8:00 AM A 2:00 P.M.</t>
        </is>
      </c>
      <c r="G565" s="20" t="inlineStr">
        <is>
          <t>CALLE 15 No. 4 - 30</t>
        </is>
      </c>
      <c r="H565" s="20" t="inlineStr">
        <is>
          <t>6013821400</t>
        </is>
      </c>
      <c r="I565" s="20" t="inlineStr">
        <is>
          <t>MARTES A VIERNES Y      SÁBADO</t>
        </is>
      </c>
      <c r="J565" s="20" t="inlineStr">
        <is>
          <t>INSARED</t>
        </is>
      </c>
      <c r="K565" s="21" t="n">
        <v>46324</v>
      </c>
      <c r="L565" s="21" t="n">
        <v>46324</v>
      </c>
      <c r="M565" s="20" t="n">
        <v>16</v>
      </c>
    </row>
    <row r="566">
      <c r="A566" s="16" t="inlineStr">
        <is>
          <t>5425</t>
        </is>
      </c>
      <c r="B566" s="17" t="inlineStr">
        <is>
          <t>LA TEBAIDA</t>
        </is>
      </c>
      <c r="C566" s="17" t="inlineStr">
        <is>
          <t>La Tebaida</t>
        </is>
      </c>
      <c r="D566" s="17" t="inlineStr">
        <is>
          <t>Quindio</t>
        </is>
      </c>
      <c r="E566" s="17" t="inlineStr">
        <is>
          <t>CAFETERA</t>
        </is>
      </c>
      <c r="F566" s="17" t="inlineStr">
        <is>
          <t>8:00 AM - 11:30 AM Y DE 02:00 PM - 04:30 PM</t>
        </is>
      </c>
      <c r="G566" s="17" t="inlineStr">
        <is>
          <t>CALLE 12 No 5 - 71</t>
        </is>
      </c>
      <c r="H566" s="17" t="inlineStr">
        <is>
          <t>6013821400</t>
        </is>
      </c>
      <c r="I566" s="17" t="inlineStr">
        <is>
          <t>LUNES A VIERNES</t>
        </is>
      </c>
      <c r="J566" s="17" t="inlineStr">
        <is>
          <t>INSARED</t>
        </is>
      </c>
      <c r="K566" s="18" t="n">
        <v>46332</v>
      </c>
      <c r="L566" s="18" t="n">
        <v>46332</v>
      </c>
      <c r="M566" s="17" t="n">
        <v>17</v>
      </c>
    </row>
    <row r="567">
      <c r="A567" s="19" t="inlineStr">
        <is>
          <t>5430</t>
        </is>
      </c>
      <c r="B567" s="20" t="inlineStr">
        <is>
          <t>BARCELONA (Corregimiento del municipio de Calarcá - Quindio )</t>
        </is>
      </c>
      <c r="C567" s="20" t="inlineStr">
        <is>
          <t>Calarca</t>
        </is>
      </c>
      <c r="D567" s="20" t="inlineStr">
        <is>
          <t>Quindio</t>
        </is>
      </c>
      <c r="E567" s="20" t="inlineStr">
        <is>
          <t>CAFETERA</t>
        </is>
      </c>
      <c r="F567" s="20" t="inlineStr">
        <is>
          <t>8:00 AM A 2:00 P.M.</t>
        </is>
      </c>
      <c r="G567" s="20" t="inlineStr">
        <is>
          <t>CRA 11 CALLE 11  Esquina</t>
        </is>
      </c>
      <c r="H567" s="20" t="inlineStr">
        <is>
          <t>6013821400</t>
        </is>
      </c>
      <c r="I567" s="20" t="inlineStr">
        <is>
          <t>MARTES A SABADO</t>
        </is>
      </c>
      <c r="J567" s="20" t="inlineStr">
        <is>
          <t>INSARED</t>
        </is>
      </c>
      <c r="K567" s="21" t="n">
        <v>46339</v>
      </c>
      <c r="L567" s="21" t="n">
        <v>46339</v>
      </c>
      <c r="M567" s="20" t="n">
        <v>15</v>
      </c>
    </row>
    <row r="568">
      <c r="A568" s="16" t="inlineStr">
        <is>
          <t>5440</t>
        </is>
      </c>
      <c r="B568" s="17" t="inlineStr">
        <is>
          <t>CORDOBA</t>
        </is>
      </c>
      <c r="C568" s="17" t="inlineStr">
        <is>
          <t>Córdoba</t>
        </is>
      </c>
      <c r="D568" s="17" t="inlineStr">
        <is>
          <t>Quindio</t>
        </is>
      </c>
      <c r="E568" s="17" t="inlineStr">
        <is>
          <t>CAFETERA</t>
        </is>
      </c>
      <c r="F568" s="17" t="inlineStr">
        <is>
          <t>8:00 AM A 2:00 P.M.</t>
        </is>
      </c>
      <c r="G568" s="17" t="inlineStr">
        <is>
          <t>CRA 10  CON CALLE 12 ESQUINA EDIFICIO DEL CAFÉ - PLAZA PRPAL</t>
        </is>
      </c>
      <c r="H568" s="17" t="inlineStr">
        <is>
          <t>6013821400</t>
        </is>
      </c>
      <c r="I568" s="17" t="inlineStr">
        <is>
          <t>MARTES A SABADO</t>
        </is>
      </c>
      <c r="J568" s="17" t="inlineStr">
        <is>
          <t>INSARED</t>
        </is>
      </c>
      <c r="K568" s="18" t="n">
        <v>46345</v>
      </c>
      <c r="L568" s="18" t="n">
        <v>46345</v>
      </c>
      <c r="M568" s="17" t="n">
        <v>12</v>
      </c>
    </row>
    <row r="569">
      <c r="A569" s="19" t="inlineStr">
        <is>
          <t>5445</t>
        </is>
      </c>
      <c r="B569" s="20" t="inlineStr">
        <is>
          <t>FILANDIA</t>
        </is>
      </c>
      <c r="C569" s="20" t="inlineStr">
        <is>
          <t>Filandia</t>
        </is>
      </c>
      <c r="D569" s="20" t="inlineStr">
        <is>
          <t>Quindio</t>
        </is>
      </c>
      <c r="E569" s="20" t="inlineStr">
        <is>
          <t>CAFETERA</t>
        </is>
      </c>
      <c r="F569" s="20" t="inlineStr">
        <is>
          <t>8:00 AM A 2:00 P.M.</t>
        </is>
      </c>
      <c r="G569" s="20" t="inlineStr">
        <is>
          <t>CALLE 7 No 4 -52</t>
        </is>
      </c>
      <c r="H569" s="20" t="inlineStr">
        <is>
          <t>6013821400</t>
        </is>
      </c>
      <c r="I569" s="20" t="inlineStr">
        <is>
          <t>MARTES A SABADO</t>
        </is>
      </c>
      <c r="J569" s="20" t="inlineStr">
        <is>
          <t>INSARED</t>
        </is>
      </c>
      <c r="K569" s="21" t="n">
        <v>46304</v>
      </c>
      <c r="L569" s="21" t="n">
        <v>46304</v>
      </c>
      <c r="M569" s="20" t="n">
        <v>19</v>
      </c>
    </row>
    <row r="570">
      <c r="A570" s="16" t="inlineStr">
        <is>
          <t>5450</t>
        </is>
      </c>
      <c r="B570" s="17" t="inlineStr">
        <is>
          <t>SALENTO</t>
        </is>
      </c>
      <c r="C570" s="17" t="inlineStr">
        <is>
          <t>Salento</t>
        </is>
      </c>
      <c r="D570" s="17" t="inlineStr">
        <is>
          <t>Quindio</t>
        </is>
      </c>
      <c r="E570" s="17" t="inlineStr">
        <is>
          <t>CAFETERA</t>
        </is>
      </c>
      <c r="F570" s="17" t="inlineStr">
        <is>
          <t>8:00 AM A 2:00 P.M.</t>
        </is>
      </c>
      <c r="G570" s="17" t="inlineStr">
        <is>
          <t>CALLE 6 No 6 - 20    CARRERA 7 No. 5-21 PLAZA PRINCIPAL - CALLE 7 No. 7 -21</t>
        </is>
      </c>
      <c r="H570" s="17" t="inlineStr">
        <is>
          <t>6013821400</t>
        </is>
      </c>
      <c r="I570" s="17" t="inlineStr">
        <is>
          <t>MARTES A SABADO</t>
        </is>
      </c>
      <c r="J570" s="17" t="inlineStr">
        <is>
          <t>INSARED</t>
        </is>
      </c>
      <c r="K570" s="18" t="n">
        <v>46325</v>
      </c>
      <c r="L570" s="18" t="n">
        <v>46325</v>
      </c>
      <c r="M570" s="17" t="n">
        <v>14</v>
      </c>
    </row>
    <row r="571">
      <c r="A571" s="19" t="inlineStr">
        <is>
          <t>5455</t>
        </is>
      </c>
      <c r="B571" s="20" t="inlineStr">
        <is>
          <t>BUENAVISTA</t>
        </is>
      </c>
      <c r="C571" s="20" t="inlineStr">
        <is>
          <t>Buenavista</t>
        </is>
      </c>
      <c r="D571" s="20" t="inlineStr">
        <is>
          <t>Quindio</t>
        </is>
      </c>
      <c r="E571" s="20" t="inlineStr">
        <is>
          <t>CAFETERA</t>
        </is>
      </c>
      <c r="F571" s="20" t="inlineStr">
        <is>
          <t>8:00 AM A 2:00 P.M.</t>
        </is>
      </c>
      <c r="G571" s="20" t="inlineStr">
        <is>
          <t>CALLE 2 No 3 - 30</t>
        </is>
      </c>
      <c r="H571" s="20" t="inlineStr">
        <is>
          <t>6013821400</t>
        </is>
      </c>
      <c r="I571" s="20" t="inlineStr">
        <is>
          <t>MARTES A SABADO</t>
        </is>
      </c>
      <c r="J571" s="20" t="inlineStr">
        <is>
          <t>INSARED</t>
        </is>
      </c>
      <c r="K571" s="21" t="n">
        <v>46338</v>
      </c>
      <c r="L571" s="21" t="n">
        <v>46338</v>
      </c>
      <c r="M571" s="20" t="n">
        <v>12</v>
      </c>
    </row>
    <row r="572">
      <c r="A572" s="16" t="inlineStr">
        <is>
          <t>5462</t>
        </is>
      </c>
      <c r="B572" s="17" t="inlineStr">
        <is>
          <t>PIJAO</t>
        </is>
      </c>
      <c r="C572" s="17" t="inlineStr">
        <is>
          <t>Pijao</t>
        </is>
      </c>
      <c r="D572" s="17" t="inlineStr">
        <is>
          <t>Quindio</t>
        </is>
      </c>
      <c r="E572" s="17" t="inlineStr">
        <is>
          <t>CAFETERA</t>
        </is>
      </c>
      <c r="F572" s="17" t="inlineStr">
        <is>
          <t>8:00 AM A 2:00 P.M.</t>
        </is>
      </c>
      <c r="G572" s="17" t="inlineStr">
        <is>
          <t>Carrera 5 No. 11 - 48 Local 01</t>
        </is>
      </c>
      <c r="H572" s="17" t="inlineStr">
        <is>
          <t>6013821400</t>
        </is>
      </c>
      <c r="I572" s="17" t="inlineStr">
        <is>
          <t>MARTES A SABADO</t>
        </is>
      </c>
      <c r="J572" s="17" t="inlineStr">
        <is>
          <t>INSARED</t>
        </is>
      </c>
      <c r="K572" s="18" t="n">
        <v>46344</v>
      </c>
      <c r="L572" s="18" t="n">
        <v>46344</v>
      </c>
      <c r="M572" s="17" t="n">
        <v>12</v>
      </c>
    </row>
    <row r="573">
      <c r="A573" s="19" t="inlineStr">
        <is>
          <t>5703</t>
        </is>
      </c>
      <c r="B573" s="20" t="inlineStr">
        <is>
          <t>PEREIRA</t>
        </is>
      </c>
      <c r="C573" s="20" t="inlineStr">
        <is>
          <t>Pereira</t>
        </is>
      </c>
      <c r="D573" s="20" t="inlineStr">
        <is>
          <t>Risaralda</t>
        </is>
      </c>
      <c r="E573" s="20" t="inlineStr">
        <is>
          <t>CAFETERA</t>
        </is>
      </c>
      <c r="F573" s="20" t="inlineStr">
        <is>
          <t>8:00 AM - 11:30 AM Y DE 02:00 PM - 04:30 PM</t>
        </is>
      </c>
      <c r="G573" s="20" t="inlineStr">
        <is>
          <t>CALLE 19 No.8-58</t>
        </is>
      </c>
      <c r="H573" s="20" t="inlineStr">
        <is>
          <t>6013821400</t>
        </is>
      </c>
      <c r="I573" s="20" t="inlineStr">
        <is>
          <t>LUNES A VIERNES</t>
        </is>
      </c>
      <c r="J573" s="20" t="inlineStr">
        <is>
          <t>GESTIONATECH</t>
        </is>
      </c>
      <c r="K573" s="21" t="n">
        <v>46330</v>
      </c>
      <c r="L573" s="21" t="n">
        <v>46332</v>
      </c>
      <c r="M573" s="20" t="n">
        <v>49</v>
      </c>
    </row>
    <row r="574">
      <c r="A574" s="16" t="inlineStr">
        <is>
          <t>5704</t>
        </is>
      </c>
      <c r="B574" s="17" t="inlineStr">
        <is>
          <t>CENTRAL DE ABASTOS PEREIRA</t>
        </is>
      </c>
      <c r="C574" s="17" t="inlineStr">
        <is>
          <t>Pereira</t>
        </is>
      </c>
      <c r="D574" s="17" t="inlineStr">
        <is>
          <t>Risaralda</t>
        </is>
      </c>
      <c r="E574" s="17" t="inlineStr">
        <is>
          <t>CAFETERA</t>
        </is>
      </c>
      <c r="F574" s="17" t="inlineStr">
        <is>
          <t>7.00 A.M. A 2:00 PM</t>
        </is>
      </c>
      <c r="G574" s="17" t="inlineStr">
        <is>
          <t>CENTRAL MAYORISTA MERCASA Comuna Villa Olímpica – LOCAL B2</t>
        </is>
      </c>
      <c r="H574" s="17" t="inlineStr">
        <is>
          <t>6013821400</t>
        </is>
      </c>
      <c r="I574" s="17" t="inlineStr">
        <is>
          <t>LUNES A VIERNES</t>
        </is>
      </c>
      <c r="J574" s="17" t="inlineStr">
        <is>
          <t>GESTIONATECH</t>
        </is>
      </c>
      <c r="K574" s="18" t="n">
        <v>46310</v>
      </c>
      <c r="L574" s="18" t="n">
        <v>46311</v>
      </c>
      <c r="M574" s="17" t="n">
        <v>15</v>
      </c>
    </row>
    <row r="575">
      <c r="A575" s="19" t="inlineStr">
        <is>
          <t>5712</t>
        </is>
      </c>
      <c r="B575" s="20" t="inlineStr">
        <is>
          <t>DOSQUEBRADAS</t>
        </is>
      </c>
      <c r="C575" s="20" t="inlineStr">
        <is>
          <t>Dosquebradas</t>
        </is>
      </c>
      <c r="D575" s="20" t="inlineStr">
        <is>
          <t>Risaralda</t>
        </is>
      </c>
      <c r="E575" s="20" t="inlineStr">
        <is>
          <t>CAFETERA</t>
        </is>
      </c>
      <c r="F575" s="20" t="inlineStr">
        <is>
          <t>8:00 AM - 11:30 AM Y DE 02:00 PM - 04:30 PM</t>
        </is>
      </c>
      <c r="G575" s="20" t="inlineStr">
        <is>
          <t>CRA 16 No. 27 - 08 Local 01 Centro Comercial Yellow</t>
        </is>
      </c>
      <c r="H575" s="20" t="inlineStr">
        <is>
          <t>6013821400</t>
        </is>
      </c>
      <c r="I575" s="20" t="inlineStr">
        <is>
          <t>LUNES A VIERNES</t>
        </is>
      </c>
      <c r="J575" s="20" t="inlineStr">
        <is>
          <t>GESTIONATECH</t>
        </is>
      </c>
      <c r="K575" s="21" t="n">
        <v>46308</v>
      </c>
      <c r="L575" s="21" t="n">
        <v>46309</v>
      </c>
      <c r="M575" s="20" t="n">
        <v>22</v>
      </c>
    </row>
    <row r="576">
      <c r="A576" s="16" t="inlineStr">
        <is>
          <t>5715</t>
        </is>
      </c>
      <c r="B576" s="17" t="inlineStr">
        <is>
          <t>SANTA ROSA DE CABAL</t>
        </is>
      </c>
      <c r="C576" s="17" t="inlineStr">
        <is>
          <t>Santa Rosa De Cabal</t>
        </is>
      </c>
      <c r="D576" s="17" t="inlineStr">
        <is>
          <t>Risaralda</t>
        </is>
      </c>
      <c r="E576" s="17" t="inlineStr">
        <is>
          <t>CAFETERA</t>
        </is>
      </c>
      <c r="F576" s="17" t="inlineStr">
        <is>
          <t>8:00 AM - 11:30 AM Y DE 02:00 PM - 04:30 PM</t>
        </is>
      </c>
      <c r="G576" s="17" t="inlineStr">
        <is>
          <t>Carrera 15 No. 13-35 y 13-55</t>
        </is>
      </c>
      <c r="H576" s="17" t="inlineStr">
        <is>
          <t>6013821400</t>
        </is>
      </c>
      <c r="I576" s="17" t="inlineStr">
        <is>
          <t>LUNES A VIERNES</t>
        </is>
      </c>
      <c r="J576" s="17" t="inlineStr">
        <is>
          <t>GESTIONATECH</t>
        </is>
      </c>
      <c r="K576" s="18" t="n">
        <v>46324</v>
      </c>
      <c r="L576" s="18" t="n">
        <v>46325</v>
      </c>
      <c r="M576" s="17" t="n">
        <v>18</v>
      </c>
    </row>
    <row r="577">
      <c r="A577" s="19" t="inlineStr">
        <is>
          <t>5725</t>
        </is>
      </c>
      <c r="B577" s="20" t="inlineStr">
        <is>
          <t>BALBOA</t>
        </is>
      </c>
      <c r="C577" s="20" t="inlineStr">
        <is>
          <t>Balboa</t>
        </is>
      </c>
      <c r="D577" s="20" t="inlineStr">
        <is>
          <t>Risaralda</t>
        </is>
      </c>
      <c r="E577" s="20" t="inlineStr">
        <is>
          <t>CAFETERA</t>
        </is>
      </c>
      <c r="F577" s="20" t="inlineStr">
        <is>
          <t>8:00 AM A 2:00 P.M.</t>
        </is>
      </c>
      <c r="G577" s="20" t="inlineStr">
        <is>
          <t>CARRERA 8 No 7 - 45</t>
        </is>
      </c>
      <c r="H577" s="20" t="inlineStr">
        <is>
          <t>6013821400</t>
        </is>
      </c>
      <c r="I577" s="20" t="inlineStr">
        <is>
          <t>MARTES A SABADO</t>
        </is>
      </c>
      <c r="J577" s="20" t="inlineStr">
        <is>
          <t>GESTIONATECH</t>
        </is>
      </c>
      <c r="K577" s="21" t="n">
        <v>46287</v>
      </c>
      <c r="L577" s="21" t="n">
        <v>46288</v>
      </c>
      <c r="M577" s="20" t="n">
        <v>13</v>
      </c>
    </row>
    <row r="578">
      <c r="A578" s="16" t="inlineStr">
        <is>
          <t>5732</t>
        </is>
      </c>
      <c r="B578" s="17" t="inlineStr">
        <is>
          <t>LA CELIA</t>
        </is>
      </c>
      <c r="C578" s="17" t="inlineStr">
        <is>
          <t>La Celia</t>
        </is>
      </c>
      <c r="D578" s="17" t="inlineStr">
        <is>
          <t>Risaralda</t>
        </is>
      </c>
      <c r="E578" s="17" t="inlineStr">
        <is>
          <t>CAFETERA</t>
        </is>
      </c>
      <c r="F578" s="17" t="inlineStr">
        <is>
          <t>8:00 AM A 2:00 P.M.</t>
        </is>
      </c>
      <c r="G578" s="17" t="inlineStr">
        <is>
          <t>CRA. 2 No.2-182</t>
        </is>
      </c>
      <c r="H578" s="17" t="inlineStr">
        <is>
          <t>6013821400</t>
        </is>
      </c>
      <c r="I578" s="17" t="inlineStr">
        <is>
          <t>MARTES A SABADO</t>
        </is>
      </c>
      <c r="J578" s="17" t="inlineStr">
        <is>
          <t>GESTIONATECH</t>
        </is>
      </c>
      <c r="K578" s="18" t="n">
        <v>46315</v>
      </c>
      <c r="L578" s="18" t="n">
        <v>46316</v>
      </c>
      <c r="M578" s="17" t="n">
        <v>14</v>
      </c>
    </row>
    <row r="579">
      <c r="A579" s="19" t="inlineStr">
        <is>
          <t>5740</t>
        </is>
      </c>
      <c r="B579" s="20" t="inlineStr">
        <is>
          <t>APIA</t>
        </is>
      </c>
      <c r="C579" s="20" t="inlineStr">
        <is>
          <t>Apía</t>
        </is>
      </c>
      <c r="D579" s="20" t="inlineStr">
        <is>
          <t>Risaralda</t>
        </is>
      </c>
      <c r="E579" s="20" t="inlineStr">
        <is>
          <t>CAFETERA</t>
        </is>
      </c>
      <c r="F579" s="20" t="inlineStr">
        <is>
          <t>8:00 AM A 2:00 P.M.</t>
        </is>
      </c>
      <c r="G579" s="20" t="inlineStr">
        <is>
          <t>CRA 8 No 7 -44 / 66</t>
        </is>
      </c>
      <c r="H579" s="20" t="inlineStr">
        <is>
          <t>6013821400</t>
        </is>
      </c>
      <c r="I579" s="20" t="inlineStr">
        <is>
          <t>MARTES A SABADO</t>
        </is>
      </c>
      <c r="J579" s="20" t="inlineStr">
        <is>
          <t>GESTIONATECH</t>
        </is>
      </c>
      <c r="K579" s="21" t="n">
        <v>46280</v>
      </c>
      <c r="L579" s="21" t="n">
        <v>46281</v>
      </c>
      <c r="M579" s="20" t="n">
        <v>18</v>
      </c>
    </row>
    <row r="580">
      <c r="A580" s="16" t="inlineStr">
        <is>
          <t>5746</t>
        </is>
      </c>
      <c r="B580" s="17" t="inlineStr">
        <is>
          <t>BELEN DE UMBRIA</t>
        </is>
      </c>
      <c r="C580" s="17" t="inlineStr">
        <is>
          <t>Belén de Umbria</t>
        </is>
      </c>
      <c r="D580" s="17" t="inlineStr">
        <is>
          <t>Risaralda</t>
        </is>
      </c>
      <c r="E580" s="17" t="inlineStr">
        <is>
          <t>CAFETERA</t>
        </is>
      </c>
      <c r="F580" s="17" t="inlineStr">
        <is>
          <t>8:00 AM A 2:00 P.M.</t>
        </is>
      </c>
      <c r="G580" s="17" t="inlineStr">
        <is>
          <t>Carrera 9 No 7-57</t>
        </is>
      </c>
      <c r="H580" s="17" t="inlineStr">
        <is>
          <t>6013821400</t>
        </is>
      </c>
      <c r="I580" s="17" t="inlineStr">
        <is>
          <t>MARTES A SABADO</t>
        </is>
      </c>
      <c r="J580" s="17" t="inlineStr">
        <is>
          <t>GESTIONATECH</t>
        </is>
      </c>
      <c r="K580" s="18" t="n">
        <v>46282</v>
      </c>
      <c r="L580" s="18" t="n">
        <v>46283</v>
      </c>
      <c r="M580" s="17" t="n">
        <v>17</v>
      </c>
    </row>
    <row r="581">
      <c r="A581" s="19" t="inlineStr">
        <is>
          <t>5750</t>
        </is>
      </c>
      <c r="B581" s="20" t="inlineStr">
        <is>
          <t>MISTRATO</t>
        </is>
      </c>
      <c r="C581" s="20" t="inlineStr">
        <is>
          <t>Mistrató</t>
        </is>
      </c>
      <c r="D581" s="20" t="inlineStr">
        <is>
          <t>Risaralda</t>
        </is>
      </c>
      <c r="E581" s="20" t="inlineStr">
        <is>
          <t>CAFETERA</t>
        </is>
      </c>
      <c r="F581" s="20" t="inlineStr">
        <is>
          <t>8:00 AM A 2:00 P.M.</t>
        </is>
      </c>
      <c r="G581" s="20" t="inlineStr">
        <is>
          <t>CRA 6 No 5 - 74</t>
        </is>
      </c>
      <c r="H581" s="20" t="inlineStr">
        <is>
          <t>6013821400</t>
        </is>
      </c>
      <c r="I581" s="20" t="inlineStr">
        <is>
          <t>MARTES A SABADO</t>
        </is>
      </c>
      <c r="J581" s="20" t="inlineStr">
        <is>
          <t>GESTIONATECH</t>
        </is>
      </c>
      <c r="K581" s="21" t="n">
        <v>46289</v>
      </c>
      <c r="L581" s="21" t="n">
        <v>46290</v>
      </c>
      <c r="M581" s="20" t="n">
        <v>13</v>
      </c>
    </row>
    <row r="582">
      <c r="A582" s="16" t="inlineStr">
        <is>
          <t>5755</t>
        </is>
      </c>
      <c r="B582" s="17" t="inlineStr">
        <is>
          <t>PUEBLO RICO</t>
        </is>
      </c>
      <c r="C582" s="17" t="inlineStr">
        <is>
          <t>Pueblo Rico</t>
        </is>
      </c>
      <c r="D582" s="17" t="inlineStr">
        <is>
          <t>Risaralda</t>
        </is>
      </c>
      <c r="E582" s="17" t="inlineStr">
        <is>
          <t>CAFETERA</t>
        </is>
      </c>
      <c r="F582" s="17" t="inlineStr">
        <is>
          <t>8:00 AM A 2:00 P.M.</t>
        </is>
      </c>
      <c r="G582" s="17" t="inlineStr">
        <is>
          <t>CRA. 4 No.6-07/11</t>
        </is>
      </c>
      <c r="H582" s="17" t="inlineStr">
        <is>
          <t>6013821400</t>
        </is>
      </c>
      <c r="I582" s="17" t="inlineStr">
        <is>
          <t>MARTES A SABADO</t>
        </is>
      </c>
      <c r="J582" s="17" t="inlineStr">
        <is>
          <t>GESTIONATECH</t>
        </is>
      </c>
      <c r="K582" s="18" t="n">
        <v>46317</v>
      </c>
      <c r="L582" s="18" t="n">
        <v>46318</v>
      </c>
      <c r="M582" s="17" t="n">
        <v>13</v>
      </c>
    </row>
    <row r="583">
      <c r="A583" s="19" t="inlineStr">
        <is>
          <t>5765</t>
        </is>
      </c>
      <c r="B583" s="20" t="inlineStr">
        <is>
          <t>GUATICA</t>
        </is>
      </c>
      <c r="C583" s="20" t="inlineStr">
        <is>
          <t>Guática</t>
        </is>
      </c>
      <c r="D583" s="20" t="inlineStr">
        <is>
          <t>Risaralda</t>
        </is>
      </c>
      <c r="E583" s="20" t="inlineStr">
        <is>
          <t>CAFETERA</t>
        </is>
      </c>
      <c r="F583" s="20" t="inlineStr">
        <is>
          <t>8:00 AM - 11:30 AM Y DE 02:00 PM - 04:30 PM</t>
        </is>
      </c>
      <c r="G583" s="20" t="inlineStr">
        <is>
          <t>Carrera 6 No.9-15/17</t>
        </is>
      </c>
      <c r="H583" s="20" t="inlineStr">
        <is>
          <t>6013821400</t>
        </is>
      </c>
      <c r="I583" s="20" t="inlineStr">
        <is>
          <t>LUNES A VIERNES</t>
        </is>
      </c>
      <c r="J583" s="20" t="inlineStr">
        <is>
          <t>GESTIONATECH</t>
        </is>
      </c>
      <c r="K583" s="21" t="n">
        <v>46296</v>
      </c>
      <c r="L583" s="21" t="n">
        <v>46297</v>
      </c>
      <c r="M583" s="20" t="n">
        <v>16</v>
      </c>
    </row>
    <row r="584">
      <c r="A584" s="16" t="inlineStr">
        <is>
          <t>6001</t>
        </is>
      </c>
      <c r="B584" s="17" t="inlineStr">
        <is>
          <t>BUCARAMANGA</t>
        </is>
      </c>
      <c r="C584" s="17" t="inlineStr">
        <is>
          <t>Bucaramanga</t>
        </is>
      </c>
      <c r="D584" s="17" t="inlineStr">
        <is>
          <t>Santander</t>
        </is>
      </c>
      <c r="E584" s="17" t="inlineStr">
        <is>
          <t>SANTANDERES</t>
        </is>
      </c>
      <c r="F584" s="17" t="inlineStr">
        <is>
          <t>8:00 AM - 11:30 AM Y DE 02:00 PM - 04:30 PM</t>
        </is>
      </c>
      <c r="G584" s="17" t="inlineStr">
        <is>
          <t>CALLE 35 No.17-30/34</t>
        </is>
      </c>
      <c r="H584" s="17" t="inlineStr">
        <is>
          <t>6013821400</t>
        </is>
      </c>
      <c r="I584" s="17" t="inlineStr">
        <is>
          <t>LUNES A VIERNES</t>
        </is>
      </c>
      <c r="J584" s="17" t="inlineStr">
        <is>
          <t>REGIONAL</t>
        </is>
      </c>
      <c r="K584" s="18" t="n">
        <v>46301</v>
      </c>
      <c r="L584" s="18" t="n">
        <v>46311</v>
      </c>
      <c r="M584" s="17" t="n">
        <v>68</v>
      </c>
    </row>
    <row r="585">
      <c r="A585" s="19" t="inlineStr">
        <is>
          <t>6005</t>
        </is>
      </c>
      <c r="B585" s="20" t="inlineStr">
        <is>
          <t>RIONEGRO</t>
        </is>
      </c>
      <c r="C585" s="20" t="inlineStr">
        <is>
          <t>Rionegro</t>
        </is>
      </c>
      <c r="D585" s="20" t="inlineStr">
        <is>
          <t>Santander</t>
        </is>
      </c>
      <c r="E585" s="20" t="inlineStr">
        <is>
          <t>SANTANDERES</t>
        </is>
      </c>
      <c r="F585" s="20" t="inlineStr">
        <is>
          <t>8:00 AM - 11:30 AM Y DE 02:00 PM - 04:30 PM</t>
        </is>
      </c>
      <c r="G585" s="20" t="inlineStr">
        <is>
          <t>Carrera 13 No 10-26 Barrio la Gloria</t>
        </is>
      </c>
      <c r="H585" s="20" t="inlineStr">
        <is>
          <t>6013821400</t>
        </is>
      </c>
      <c r="I585" s="20" t="inlineStr">
        <is>
          <t>LUNES A VIERNES</t>
        </is>
      </c>
      <c r="J585" s="20" t="inlineStr">
        <is>
          <t>GESTIONATECH</t>
        </is>
      </c>
      <c r="K585" s="21" t="n">
        <v>46295</v>
      </c>
      <c r="L585" s="21" t="n">
        <v>46296</v>
      </c>
      <c r="M585" s="20" t="n">
        <v>20</v>
      </c>
    </row>
    <row r="586">
      <c r="A586" s="16" t="inlineStr">
        <is>
          <t>6010</t>
        </is>
      </c>
      <c r="B586" s="17" t="inlineStr">
        <is>
          <t>ARATOCA</t>
        </is>
      </c>
      <c r="C586" s="17" t="inlineStr">
        <is>
          <t>Aratoca</t>
        </is>
      </c>
      <c r="D586" s="17" t="inlineStr">
        <is>
          <t>Santander</t>
        </is>
      </c>
      <c r="E586" s="17" t="inlineStr">
        <is>
          <t>SANTANDERES</t>
        </is>
      </c>
      <c r="F586" s="17" t="inlineStr">
        <is>
          <t>8:00 AM - 11:30 AM Y DE 02:00 PM - 04:30 PM</t>
        </is>
      </c>
      <c r="G586" s="17" t="inlineStr">
        <is>
          <t>CRA. 4 N° 4-56</t>
        </is>
      </c>
      <c r="H586" s="17" t="inlineStr">
        <is>
          <t>6013821400</t>
        </is>
      </c>
      <c r="I586" s="17" t="inlineStr">
        <is>
          <t>LUNES A VIERNES</t>
        </is>
      </c>
      <c r="J586" s="17" t="inlineStr">
        <is>
          <t>GESTIONATECH</t>
        </is>
      </c>
      <c r="K586" s="18" t="n">
        <v>46304</v>
      </c>
      <c r="L586" s="18" t="n">
        <v>46308</v>
      </c>
      <c r="M586" s="17" t="n">
        <v>16</v>
      </c>
    </row>
    <row r="587">
      <c r="A587" s="19" t="inlineStr">
        <is>
          <t>6011</t>
        </is>
      </c>
      <c r="B587" s="20" t="inlineStr">
        <is>
          <t>GIRON</t>
        </is>
      </c>
      <c r="C587" s="20" t="inlineStr">
        <is>
          <t>Girón</t>
        </is>
      </c>
      <c r="D587" s="20" t="inlineStr">
        <is>
          <t>Santander</t>
        </is>
      </c>
      <c r="E587" s="20" t="inlineStr">
        <is>
          <t>SANTANDERES</t>
        </is>
      </c>
      <c r="F587" s="20" t="inlineStr">
        <is>
          <t>8:00 AM - 11:30 AM Y DE 02:00 PM - 04:30 PM</t>
        </is>
      </c>
      <c r="G587" s="20" t="inlineStr">
        <is>
          <t>Calle 30 # 25-13</t>
        </is>
      </c>
      <c r="H587" s="20" t="inlineStr">
        <is>
          <t>6013821400</t>
        </is>
      </c>
      <c r="I587" s="20" t="inlineStr">
        <is>
          <t>LUNES A VIERNES</t>
        </is>
      </c>
      <c r="J587" s="20" t="inlineStr">
        <is>
          <t>GESTIONATECH</t>
        </is>
      </c>
      <c r="K587" s="21" t="n">
        <v>46295</v>
      </c>
      <c r="L587" s="21" t="n">
        <v>46296</v>
      </c>
      <c r="M587" s="20" t="n">
        <v>31</v>
      </c>
    </row>
    <row r="588">
      <c r="A588" s="16" t="inlineStr">
        <is>
          <t>6012</t>
        </is>
      </c>
      <c r="B588" s="17" t="inlineStr">
        <is>
          <t>CENTRAL DE ABASTOS BUCARAMANGA</t>
        </is>
      </c>
      <c r="C588" s="17" t="inlineStr">
        <is>
          <t>Bucaramanga</t>
        </is>
      </c>
      <c r="D588" s="17" t="inlineStr">
        <is>
          <t>Santander</t>
        </is>
      </c>
      <c r="E588" s="17" t="inlineStr">
        <is>
          <t>SANTANDERES</t>
        </is>
      </c>
      <c r="F588" s="17" t="inlineStr">
        <is>
          <t>8:00 AM A 2:00 P.M.</t>
        </is>
      </c>
      <c r="G588" s="17" t="inlineStr">
        <is>
          <t>VIA PALENQUE CAFÉ MADRID  # 44-96 CENTRAL DE ABASTOS BUCARAMANGA LOCAL 1A BODEGA 13</t>
        </is>
      </c>
      <c r="H588" s="17" t="inlineStr">
        <is>
          <t>6013821400</t>
        </is>
      </c>
      <c r="I588" s="17" t="inlineStr">
        <is>
          <t>MARTES A SABADO</t>
        </is>
      </c>
      <c r="J588" s="17" t="inlineStr">
        <is>
          <t>REGIONAL</t>
        </is>
      </c>
      <c r="K588" s="18" t="n">
        <v>46315</v>
      </c>
      <c r="L588" s="18" t="n">
        <v>46318</v>
      </c>
      <c r="M588" s="17" t="n">
        <v>18</v>
      </c>
    </row>
    <row r="589">
      <c r="A589" s="19" t="inlineStr">
        <is>
          <t>6013</t>
        </is>
      </c>
      <c r="B589" s="20" t="inlineStr">
        <is>
          <t>LEBRIJA</t>
        </is>
      </c>
      <c r="C589" s="20" t="inlineStr">
        <is>
          <t>Lebrija</t>
        </is>
      </c>
      <c r="D589" s="20" t="inlineStr">
        <is>
          <t>Santander</t>
        </is>
      </c>
      <c r="E589" s="20" t="inlineStr">
        <is>
          <t>SANTANDERES</t>
        </is>
      </c>
      <c r="F589" s="20" t="inlineStr">
        <is>
          <t>8:00 AM - 11:30 AM Y DE 02:00 PM - 04:30 PM</t>
        </is>
      </c>
      <c r="G589" s="20" t="inlineStr">
        <is>
          <t>Carrera 7 No. 11 - 47</t>
        </is>
      </c>
      <c r="H589" s="20" t="inlineStr">
        <is>
          <t>6013821400</t>
        </is>
      </c>
      <c r="I589" s="20" t="inlineStr">
        <is>
          <t>LUNES A VIERNES</t>
        </is>
      </c>
      <c r="J589" s="20" t="inlineStr">
        <is>
          <t>GESTIONATECH</t>
        </is>
      </c>
      <c r="K589" s="21" t="n">
        <v>46295</v>
      </c>
      <c r="L589" s="21" t="n">
        <v>46296</v>
      </c>
      <c r="M589" s="20" t="n">
        <v>27</v>
      </c>
    </row>
    <row r="590">
      <c r="A590" s="16" t="inlineStr">
        <is>
          <t>6014</t>
        </is>
      </c>
      <c r="B590" s="17" t="inlineStr">
        <is>
          <t>CHARALÁ</t>
        </is>
      </c>
      <c r="C590" s="17" t="inlineStr">
        <is>
          <t>Charalá</t>
        </is>
      </c>
      <c r="D590" s="17" t="inlineStr">
        <is>
          <t>Santander</t>
        </is>
      </c>
      <c r="E590" s="17" t="inlineStr">
        <is>
          <t>SANTANDERES</t>
        </is>
      </c>
      <c r="F590" s="17" t="inlineStr">
        <is>
          <t>8:00 AM - 11:30 AM Y DE 02:00 PM - 04:30 PM</t>
        </is>
      </c>
      <c r="G590" s="17" t="inlineStr">
        <is>
          <t>Calle 24 No. 14 - 02</t>
        </is>
      </c>
      <c r="H590" s="17" t="inlineStr">
        <is>
          <t>6013821400</t>
        </is>
      </c>
      <c r="I590" s="17" t="inlineStr">
        <is>
          <t>LUNES A VIERNES</t>
        </is>
      </c>
      <c r="J590" s="17" t="inlineStr">
        <is>
          <t>GESTIONATECH</t>
        </is>
      </c>
      <c r="K590" s="18" t="n">
        <v>46303</v>
      </c>
      <c r="L590" s="18" t="n">
        <v>46304</v>
      </c>
      <c r="M590" s="17" t="n">
        <v>20</v>
      </c>
    </row>
    <row r="591">
      <c r="A591" s="19" t="inlineStr">
        <is>
          <t>6015</t>
        </is>
      </c>
      <c r="B591" s="20" t="inlineStr">
        <is>
          <t>FLORIDABLANCA</t>
        </is>
      </c>
      <c r="C591" s="20" t="inlineStr">
        <is>
          <t>Floridablanca</t>
        </is>
      </c>
      <c r="D591" s="20" t="inlineStr">
        <is>
          <t>Santander</t>
        </is>
      </c>
      <c r="E591" s="20" t="inlineStr">
        <is>
          <t>SANTANDERES</t>
        </is>
      </c>
      <c r="F591" s="20" t="inlineStr">
        <is>
          <t>8:00 AM - 11:30 AM Y DE 02:00 PM - 04:30 PM</t>
        </is>
      </c>
      <c r="G591" s="20" t="inlineStr">
        <is>
          <t>CRA. 8 N° 5-02</t>
        </is>
      </c>
      <c r="H591" s="20" t="inlineStr">
        <is>
          <t>6013821400</t>
        </is>
      </c>
      <c r="I591" s="20" t="inlineStr">
        <is>
          <t>LUNES A VIERNES</t>
        </is>
      </c>
      <c r="J591" s="20" t="inlineStr">
        <is>
          <t>GESTIONATECH</t>
        </is>
      </c>
      <c r="K591" s="21" t="n">
        <v>46295</v>
      </c>
      <c r="L591" s="21" t="n">
        <v>46296</v>
      </c>
      <c r="M591" s="20" t="n">
        <v>37</v>
      </c>
    </row>
    <row r="592">
      <c r="A592" s="16" t="inlineStr">
        <is>
          <t>6016</t>
        </is>
      </c>
      <c r="B592" s="17" t="inlineStr">
        <is>
          <t>OIBA</t>
        </is>
      </c>
      <c r="C592" s="17" t="inlineStr">
        <is>
          <t>Oiba</t>
        </is>
      </c>
      <c r="D592" s="17" t="inlineStr">
        <is>
          <t>Santander</t>
        </is>
      </c>
      <c r="E592" s="17" t="inlineStr">
        <is>
          <t>SANTANDERES</t>
        </is>
      </c>
      <c r="F592" s="17" t="inlineStr">
        <is>
          <t>8:00 AM - 11:30 AM Y DE 02:00 PM - 04:30 PM</t>
        </is>
      </c>
      <c r="G592" s="17" t="inlineStr">
        <is>
          <t>Calle 10 No. 7 - 18</t>
        </is>
      </c>
      <c r="H592" s="17" t="inlineStr">
        <is>
          <t>6013821400</t>
        </is>
      </c>
      <c r="I592" s="17" t="inlineStr">
        <is>
          <t>LUNES A VIERNES</t>
        </is>
      </c>
      <c r="J592" s="17" t="inlineStr">
        <is>
          <t>GESTIONATECH</t>
        </is>
      </c>
      <c r="K592" s="18" t="n">
        <v>46308</v>
      </c>
      <c r="L592" s="18" t="n">
        <v>46310</v>
      </c>
      <c r="M592" s="17" t="n">
        <v>22</v>
      </c>
    </row>
    <row r="593">
      <c r="A593" s="19" t="inlineStr">
        <is>
          <t>6017</t>
        </is>
      </c>
      <c r="B593" s="20" t="inlineStr">
        <is>
          <t>PIEDECUESTA</t>
        </is>
      </c>
      <c r="C593" s="20" t="inlineStr">
        <is>
          <t>Piedecuesta</t>
        </is>
      </c>
      <c r="D593" s="20" t="inlineStr">
        <is>
          <t>Santander</t>
        </is>
      </c>
      <c r="E593" s="20" t="inlineStr">
        <is>
          <t>SANTANDERES</t>
        </is>
      </c>
      <c r="F593" s="20" t="inlineStr">
        <is>
          <t>8:00 AM - 11:30 AM Y DE 02:00 PM - 04:30 PM</t>
        </is>
      </c>
      <c r="G593" s="20" t="inlineStr">
        <is>
          <t>Calle 6 No. 5-98/86</t>
        </is>
      </c>
      <c r="H593" s="20" t="inlineStr">
        <is>
          <t>6013821400</t>
        </is>
      </c>
      <c r="I593" s="20" t="inlineStr">
        <is>
          <t>LUNES A VIERNES</t>
        </is>
      </c>
      <c r="J593" s="20" t="inlineStr">
        <is>
          <t>GESTIONATECH</t>
        </is>
      </c>
      <c r="K593" s="21" t="n">
        <v>46296</v>
      </c>
      <c r="L593" s="21" t="n">
        <v>46297</v>
      </c>
      <c r="M593" s="20" t="n">
        <v>33</v>
      </c>
    </row>
    <row r="594">
      <c r="A594" s="16" t="inlineStr">
        <is>
          <t>6020</t>
        </is>
      </c>
      <c r="B594" s="17" t="inlineStr">
        <is>
          <t>BARRANCABERMEJA</t>
        </is>
      </c>
      <c r="C594" s="17" t="inlineStr">
        <is>
          <t>Barrancabermeja</t>
        </is>
      </c>
      <c r="D594" s="17" t="inlineStr">
        <is>
          <t>Santander</t>
        </is>
      </c>
      <c r="E594" s="17" t="inlineStr">
        <is>
          <t>SANTANDERES</t>
        </is>
      </c>
      <c r="F594" s="17" t="inlineStr">
        <is>
          <t>8:00 AM - 11:30 AM Y DE 02:00 PM - 04:30 PM</t>
        </is>
      </c>
      <c r="G594" s="17" t="inlineStr">
        <is>
          <t>Calle 49 No 11 a - 30</t>
        </is>
      </c>
      <c r="H594" s="17" t="inlineStr">
        <is>
          <t>6013821400</t>
        </is>
      </c>
      <c r="I594" s="17" t="inlineStr">
        <is>
          <t>LUNES A VIERNES</t>
        </is>
      </c>
      <c r="J594" s="17" t="inlineStr">
        <is>
          <t>GESTIONATECH</t>
        </is>
      </c>
      <c r="K594" s="18" t="n">
        <v>46316</v>
      </c>
      <c r="L594" s="18" t="n">
        <v>46316</v>
      </c>
      <c r="M594" s="17" t="n">
        <v>43</v>
      </c>
    </row>
    <row r="595">
      <c r="A595" s="19" t="inlineStr">
        <is>
          <t>6022</t>
        </is>
      </c>
      <c r="B595" s="20" t="inlineStr">
        <is>
          <t>SAN VICENTE DE CHUCURI</t>
        </is>
      </c>
      <c r="C595" s="20" t="inlineStr">
        <is>
          <t>San Vicente De Chucurí</t>
        </is>
      </c>
      <c r="D595" s="20" t="inlineStr">
        <is>
          <t>Santander</t>
        </is>
      </c>
      <c r="E595" s="20" t="inlineStr">
        <is>
          <t>SANTANDERES</t>
        </is>
      </c>
      <c r="F595" s="20" t="inlineStr">
        <is>
          <t>8:00 AM - 11:30 AM Y DE 02:00 PM - 04:30 PM</t>
        </is>
      </c>
      <c r="G595" s="20" t="inlineStr">
        <is>
          <t>CRA  10 N° 9-36</t>
        </is>
      </c>
      <c r="H595" s="20" t="inlineStr">
        <is>
          <t>6013821400</t>
        </is>
      </c>
      <c r="I595" s="20" t="inlineStr">
        <is>
          <t>LUNES A VIERNES</t>
        </is>
      </c>
      <c r="J595" s="20" t="inlineStr">
        <is>
          <t>GESTIONATECH</t>
        </is>
      </c>
      <c r="K595" s="21" t="n">
        <v>46316</v>
      </c>
      <c r="L595" s="21" t="n">
        <v>46316</v>
      </c>
      <c r="M595" s="20" t="n">
        <v>27</v>
      </c>
    </row>
    <row r="596">
      <c r="A596" s="16" t="inlineStr">
        <is>
          <t>6024</t>
        </is>
      </c>
      <c r="B596" s="17" t="inlineStr">
        <is>
          <t>BARBOSA</t>
        </is>
      </c>
      <c r="C596" s="17" t="inlineStr">
        <is>
          <t>Barbosa</t>
        </is>
      </c>
      <c r="D596" s="17" t="inlineStr">
        <is>
          <t>Santander</t>
        </is>
      </c>
      <c r="E596" s="17" t="inlineStr">
        <is>
          <t>ORIENTE</t>
        </is>
      </c>
      <c r="F596" s="17" t="inlineStr">
        <is>
          <t>8:00 AM - 11:30 AM Y DE 02:00 PM - 04:30 PM</t>
        </is>
      </c>
      <c r="G596" s="17" t="inlineStr">
        <is>
          <t>CALLE 8 N° 8 – 22</t>
        </is>
      </c>
      <c r="H596" s="17" t="inlineStr">
        <is>
          <t>6013821400</t>
        </is>
      </c>
      <c r="I596" s="17" t="inlineStr">
        <is>
          <t>LUNES A VIERNES</t>
        </is>
      </c>
      <c r="J596" s="17" t="inlineStr">
        <is>
          <t>GESTIONATECH</t>
        </is>
      </c>
      <c r="K596" s="18" t="n">
        <v>46310</v>
      </c>
      <c r="L596" s="18" t="n">
        <v>46311</v>
      </c>
      <c r="M596" s="17" t="n">
        <v>27</v>
      </c>
    </row>
    <row r="597">
      <c r="A597" s="19" t="inlineStr">
        <is>
          <t>6025</t>
        </is>
      </c>
      <c r="B597" s="20" t="inlineStr">
        <is>
          <t>BARICHARA</t>
        </is>
      </c>
      <c r="C597" s="20" t="inlineStr">
        <is>
          <t>Barichara</t>
        </is>
      </c>
      <c r="D597" s="20" t="inlineStr">
        <is>
          <t>Santander</t>
        </is>
      </c>
      <c r="E597" s="20" t="inlineStr">
        <is>
          <t>SANTANDERES</t>
        </is>
      </c>
      <c r="F597" s="20" t="inlineStr">
        <is>
          <t>8:00 AM - 11:30 AM Y DE 02:00 PM - 04:30 PM</t>
        </is>
      </c>
      <c r="G597" s="20" t="inlineStr">
        <is>
          <t>CALLE 5 N° 6 - 35</t>
        </is>
      </c>
      <c r="H597" s="20" t="inlineStr">
        <is>
          <t>6013821400</t>
        </is>
      </c>
      <c r="I597" s="20" t="inlineStr">
        <is>
          <t>LUNES A VIERNES</t>
        </is>
      </c>
      <c r="J597" s="20" t="inlineStr">
        <is>
          <t>GESTIONATECH</t>
        </is>
      </c>
      <c r="K597" s="21" t="n">
        <v>46303</v>
      </c>
      <c r="L597" s="21" t="n">
        <v>46304</v>
      </c>
      <c r="M597" s="20" t="n">
        <v>13</v>
      </c>
    </row>
    <row r="598">
      <c r="A598" s="16" t="inlineStr">
        <is>
          <t>6026</t>
        </is>
      </c>
      <c r="B598" s="17" t="inlineStr">
        <is>
          <t>CIMITARRA</t>
        </is>
      </c>
      <c r="C598" s="17" t="inlineStr">
        <is>
          <t>Cimitarra</t>
        </is>
      </c>
      <c r="D598" s="17" t="inlineStr">
        <is>
          <t>Santander</t>
        </is>
      </c>
      <c r="E598" s="17" t="inlineStr">
        <is>
          <t>SANTANDERES</t>
        </is>
      </c>
      <c r="F598" s="17" t="inlineStr">
        <is>
          <t>8:00 AM - 11:30 AM Y DE 02:00 PM - 04:30 PM</t>
        </is>
      </c>
      <c r="G598" s="17" t="inlineStr">
        <is>
          <t>Carrera 4 No 6-24</t>
        </is>
      </c>
      <c r="H598" s="17" t="inlineStr">
        <is>
          <t>6013821400</t>
        </is>
      </c>
      <c r="I598" s="17" t="inlineStr">
        <is>
          <t>LUNES A VIERNES</t>
        </is>
      </c>
      <c r="J598" s="17" t="inlineStr">
        <is>
          <t>GESTIONATECH</t>
        </is>
      </c>
      <c r="K598" s="18" t="n">
        <v>46314</v>
      </c>
      <c r="L598" s="18" t="n">
        <v>46318</v>
      </c>
      <c r="M598" s="17" t="n">
        <v>23</v>
      </c>
    </row>
    <row r="599">
      <c r="A599" s="19" t="inlineStr">
        <is>
          <t>6027</t>
        </is>
      </c>
      <c r="B599" s="20" t="inlineStr">
        <is>
          <t>BETULIA</t>
        </is>
      </c>
      <c r="C599" s="20" t="inlineStr">
        <is>
          <t>Betulia</t>
        </is>
      </c>
      <c r="D599" s="20" t="inlineStr">
        <is>
          <t>Santander</t>
        </is>
      </c>
      <c r="E599" s="20" t="inlineStr">
        <is>
          <t>SANTANDERES</t>
        </is>
      </c>
      <c r="F599" s="20" t="inlineStr">
        <is>
          <t>8:00 AM - 11:30 AM Y DE 02:00 PM - 04:30 PM</t>
        </is>
      </c>
      <c r="G599" s="20" t="inlineStr">
        <is>
          <t>Calle 6 N° 5-15</t>
        </is>
      </c>
      <c r="H599" s="20" t="inlineStr">
        <is>
          <t>6013821400</t>
        </is>
      </c>
      <c r="I599" s="20" t="inlineStr">
        <is>
          <t>LUNES A VIERNES</t>
        </is>
      </c>
      <c r="J599" s="20" t="inlineStr">
        <is>
          <t>GESTIONATECH</t>
        </is>
      </c>
      <c r="K599" s="21" t="n">
        <v>46301</v>
      </c>
      <c r="L599" s="21" t="n">
        <v>46302</v>
      </c>
      <c r="M599" s="20" t="n">
        <v>12</v>
      </c>
    </row>
    <row r="600">
      <c r="A600" s="16" t="inlineStr">
        <is>
          <t>6029</t>
        </is>
      </c>
      <c r="B600" s="17" t="inlineStr">
        <is>
          <t>BOLIVAR</t>
        </is>
      </c>
      <c r="C600" s="17" t="inlineStr">
        <is>
          <t>Bolívar</t>
        </is>
      </c>
      <c r="D600" s="17" t="inlineStr">
        <is>
          <t>Santander</t>
        </is>
      </c>
      <c r="E600" s="17" t="inlineStr">
        <is>
          <t>ORIENTE</t>
        </is>
      </c>
      <c r="F600" s="17" t="inlineStr">
        <is>
          <t>8:00 AM - 11:30 AM Y DE 02:00 PM - 04:30 PM</t>
        </is>
      </c>
      <c r="G600" s="17" t="inlineStr">
        <is>
          <t>CRA. 3 N° 9-64</t>
        </is>
      </c>
      <c r="H600" s="17" t="inlineStr">
        <is>
          <t>6013821400</t>
        </is>
      </c>
      <c r="I600" s="17" t="inlineStr">
        <is>
          <t>LUNES A VIERNES</t>
        </is>
      </c>
      <c r="J600" s="17" t="inlineStr">
        <is>
          <t>GESTIONATECH</t>
        </is>
      </c>
      <c r="K600" s="18" t="n">
        <v>46311</v>
      </c>
      <c r="L600" s="18" t="n">
        <v>46311</v>
      </c>
      <c r="M600" s="17" t="n">
        <v>22</v>
      </c>
    </row>
    <row r="601">
      <c r="A601" s="19" t="inlineStr">
        <is>
          <t>6030</t>
        </is>
      </c>
      <c r="B601" s="20" t="inlineStr">
        <is>
          <t>CURITI</t>
        </is>
      </c>
      <c r="C601" s="20" t="inlineStr">
        <is>
          <t>Curití</t>
        </is>
      </c>
      <c r="D601" s="20" t="inlineStr">
        <is>
          <t>Santander</t>
        </is>
      </c>
      <c r="E601" s="20" t="inlineStr">
        <is>
          <t>SANTANDERES</t>
        </is>
      </c>
      <c r="F601" s="20" t="inlineStr">
        <is>
          <t>8:00 AM - 11:30 AM Y DE 02:00 PM - 04:30 PM</t>
        </is>
      </c>
      <c r="G601" s="20" t="inlineStr">
        <is>
          <t>Calle 9 # 7-43/47</t>
        </is>
      </c>
      <c r="H601" s="20" t="inlineStr">
        <is>
          <t>6013821400</t>
        </is>
      </c>
      <c r="I601" s="20" t="inlineStr">
        <is>
          <t>LUNES A VIERNES</t>
        </is>
      </c>
      <c r="J601" s="20" t="inlineStr">
        <is>
          <t>GESTIONATECH</t>
        </is>
      </c>
      <c r="K601" s="21" t="n">
        <v>46303</v>
      </c>
      <c r="L601" s="21" t="n">
        <v>46304</v>
      </c>
      <c r="M601" s="20" t="n">
        <v>15</v>
      </c>
    </row>
    <row r="602">
      <c r="A602" s="16" t="inlineStr">
        <is>
          <t>6032</t>
        </is>
      </c>
      <c r="B602" s="17" t="inlineStr">
        <is>
          <t>MALAGA</t>
        </is>
      </c>
      <c r="C602" s="17" t="inlineStr">
        <is>
          <t>Málaga</t>
        </is>
      </c>
      <c r="D602" s="17" t="inlineStr">
        <is>
          <t>Santander</t>
        </is>
      </c>
      <c r="E602" s="17" t="inlineStr">
        <is>
          <t>SANTANDERES</t>
        </is>
      </c>
      <c r="F602" s="17" t="inlineStr">
        <is>
          <t>8:00 AM - 11:30 AM Y DE 02:00 PM - 04:30 PM</t>
        </is>
      </c>
      <c r="G602" s="17" t="inlineStr">
        <is>
          <t>CRA. 9 No.15-09/19/25</t>
        </is>
      </c>
      <c r="H602" s="17" t="inlineStr">
        <is>
          <t>6013821400</t>
        </is>
      </c>
      <c r="I602" s="17" t="inlineStr">
        <is>
          <t>LUNES A VIERNES</t>
        </is>
      </c>
      <c r="J602" s="17" t="inlineStr">
        <is>
          <t>GESTIONATECH</t>
        </is>
      </c>
      <c r="K602" s="18" t="n">
        <v>46293</v>
      </c>
      <c r="L602" s="18" t="n">
        <v>46294</v>
      </c>
      <c r="M602" s="17" t="n">
        <v>27</v>
      </c>
    </row>
    <row r="603">
      <c r="A603" s="19" t="inlineStr">
        <is>
          <t>6033</t>
        </is>
      </c>
      <c r="B603" s="20" t="inlineStr">
        <is>
          <t>CAPITANEJO</t>
        </is>
      </c>
      <c r="C603" s="20" t="inlineStr">
        <is>
          <t>Capitanejo</t>
        </is>
      </c>
      <c r="D603" s="20" t="inlineStr">
        <is>
          <t>Santander</t>
        </is>
      </c>
      <c r="E603" s="20" t="inlineStr">
        <is>
          <t>ORIENTE</t>
        </is>
      </c>
      <c r="F603" s="20" t="inlineStr">
        <is>
          <t>8:00 AM - 11:30 AM Y DE 02:00 PM - 04:30 PM</t>
        </is>
      </c>
      <c r="G603" s="20" t="inlineStr">
        <is>
          <t>CRA. 4 N° 5-39/43</t>
        </is>
      </c>
      <c r="H603" s="20" t="inlineStr">
        <is>
          <t>6013821400</t>
        </is>
      </c>
      <c r="I603" s="20" t="inlineStr">
        <is>
          <t>LUNES A VIERNES</t>
        </is>
      </c>
      <c r="J603" s="20" t="inlineStr">
        <is>
          <t>GESTIONATECH</t>
        </is>
      </c>
      <c r="K603" s="21" t="n">
        <v>46293</v>
      </c>
      <c r="L603" s="21" t="n">
        <v>46294</v>
      </c>
      <c r="M603" s="20" t="n">
        <v>14</v>
      </c>
    </row>
    <row r="604">
      <c r="A604" s="16" t="inlineStr">
        <is>
          <t>6035</t>
        </is>
      </c>
      <c r="B604" s="17" t="inlineStr">
        <is>
          <t>CARCASI</t>
        </is>
      </c>
      <c r="C604" s="17" t="inlineStr">
        <is>
          <t>Carcasí</t>
        </is>
      </c>
      <c r="D604" s="17" t="inlineStr">
        <is>
          <t>Santander</t>
        </is>
      </c>
      <c r="E604" s="17" t="inlineStr">
        <is>
          <t>ORIENTE</t>
        </is>
      </c>
      <c r="F604" s="17" t="inlineStr">
        <is>
          <t>8:00 AM - 11:30 AM Y DE 02:00 PM - 04:30 PM</t>
        </is>
      </c>
      <c r="G604" s="17" t="inlineStr">
        <is>
          <t>Carrera 2 N° 3-47</t>
        </is>
      </c>
      <c r="H604" s="17" t="inlineStr">
        <is>
          <t>6013821400</t>
        </is>
      </c>
      <c r="I604" s="17" t="inlineStr">
        <is>
          <t>LUNES A VIERNES</t>
        </is>
      </c>
      <c r="J604" s="17" t="inlineStr">
        <is>
          <t>GESTIONATECH</t>
        </is>
      </c>
      <c r="K604" s="18" t="n">
        <v>46294</v>
      </c>
      <c r="L604" s="18" t="n">
        <v>46295</v>
      </c>
      <c r="M604" s="17" t="n">
        <v>14</v>
      </c>
    </row>
    <row r="605">
      <c r="A605" s="19" t="inlineStr">
        <is>
          <t>6037</t>
        </is>
      </c>
      <c r="B605" s="20" t="inlineStr">
        <is>
          <t>CERRITO</t>
        </is>
      </c>
      <c r="C605" s="20" t="inlineStr">
        <is>
          <t>Cerrito</t>
        </is>
      </c>
      <c r="D605" s="20" t="inlineStr">
        <is>
          <t>Santander</t>
        </is>
      </c>
      <c r="E605" s="20" t="inlineStr">
        <is>
          <t>SANTANDERES</t>
        </is>
      </c>
      <c r="F605" s="20" t="inlineStr">
        <is>
          <t>8:00 AM - 11:30 AM Y DE 02:00 PM - 04:30 PM</t>
        </is>
      </c>
      <c r="G605" s="20" t="inlineStr">
        <is>
          <t>Carrera 6 No 2 - 32 / 36</t>
        </is>
      </c>
      <c r="H605" s="20" t="inlineStr">
        <is>
          <t>6013821400</t>
        </is>
      </c>
      <c r="I605" s="20" t="inlineStr">
        <is>
          <t>LUNES A VIERNES</t>
        </is>
      </c>
      <c r="J605" s="20" t="inlineStr">
        <is>
          <t>GESTIONATECH</t>
        </is>
      </c>
      <c r="K605" s="21" t="n">
        <v>46293</v>
      </c>
      <c r="L605" s="21" t="n">
        <v>46294</v>
      </c>
      <c r="M605" s="20" t="n">
        <v>16</v>
      </c>
    </row>
    <row r="606">
      <c r="A606" s="16" t="inlineStr">
        <is>
          <t>6038</t>
        </is>
      </c>
      <c r="B606" s="17" t="inlineStr">
        <is>
          <t>PUERTO WILCHES</t>
        </is>
      </c>
      <c r="C606" s="17" t="inlineStr">
        <is>
          <t>Puerto Wilches</t>
        </is>
      </c>
      <c r="D606" s="17" t="inlineStr">
        <is>
          <t>Santander</t>
        </is>
      </c>
      <c r="E606" s="17" t="inlineStr">
        <is>
          <t>SANTANDERES</t>
        </is>
      </c>
      <c r="F606" s="17" t="inlineStr">
        <is>
          <t>8:00 AM - 11:30 AM Y DE 02:00 PM - 04:30 PM</t>
        </is>
      </c>
      <c r="G606" s="17" t="inlineStr">
        <is>
          <t>CRA. 2 N° 2 - 100 Barrio El Centro</t>
        </is>
      </c>
      <c r="H606" s="17" t="inlineStr">
        <is>
          <t>6013821400</t>
        </is>
      </c>
      <c r="I606" s="17" t="inlineStr">
        <is>
          <t>LUNES A VIERNES</t>
        </is>
      </c>
      <c r="J606" s="17" t="inlineStr">
        <is>
          <t>GESTIONATECH</t>
        </is>
      </c>
      <c r="K606" s="18" t="n">
        <v>46316</v>
      </c>
      <c r="L606" s="18" t="n">
        <v>46316</v>
      </c>
      <c r="M606" s="17" t="n">
        <v>23</v>
      </c>
    </row>
    <row r="607">
      <c r="A607" s="19" t="inlineStr">
        <is>
          <t>6039</t>
        </is>
      </c>
      <c r="B607" s="20" t="inlineStr">
        <is>
          <t>CONCEPCION</t>
        </is>
      </c>
      <c r="C607" s="20" t="inlineStr">
        <is>
          <t>Concepción</t>
        </is>
      </c>
      <c r="D607" s="20" t="inlineStr">
        <is>
          <t>Santander</t>
        </is>
      </c>
      <c r="E607" s="20" t="inlineStr">
        <is>
          <t>SANTANDERES</t>
        </is>
      </c>
      <c r="F607" s="20" t="inlineStr">
        <is>
          <t>8:00 AM - 11:30 AM Y DE 02:00 PM - 04:30 PM</t>
        </is>
      </c>
      <c r="G607" s="20" t="inlineStr">
        <is>
          <t>CRA. 4 N° 6-67</t>
        </is>
      </c>
      <c r="H607" s="20" t="inlineStr">
        <is>
          <t>6013821400</t>
        </is>
      </c>
      <c r="I607" s="20" t="inlineStr">
        <is>
          <t>LUNES A VIERNES</t>
        </is>
      </c>
      <c r="J607" s="20" t="inlineStr">
        <is>
          <t>GESTIONATECH</t>
        </is>
      </c>
      <c r="K607" s="21" t="n">
        <v>46293</v>
      </c>
      <c r="L607" s="21" t="n">
        <v>46294</v>
      </c>
      <c r="M607" s="20" t="n">
        <v>14</v>
      </c>
    </row>
    <row r="608">
      <c r="A608" s="16" t="inlineStr">
        <is>
          <t>6040</t>
        </is>
      </c>
      <c r="B608" s="17" t="inlineStr">
        <is>
          <t>SABANA DE TORRES</t>
        </is>
      </c>
      <c r="C608" s="17" t="inlineStr">
        <is>
          <t>Sabana De Torres</t>
        </is>
      </c>
      <c r="D608" s="17" t="inlineStr">
        <is>
          <t>Santander</t>
        </is>
      </c>
      <c r="E608" s="17" t="inlineStr">
        <is>
          <t>SANTANDERES</t>
        </is>
      </c>
      <c r="F608" s="17" t="inlineStr">
        <is>
          <t>8:00 AM - 11:30 AM Y DE 02:00 PM - 04:30 PM</t>
        </is>
      </c>
      <c r="G608" s="17" t="inlineStr">
        <is>
          <t>CALLE 13 N° 10-44</t>
        </is>
      </c>
      <c r="H608" s="17" t="inlineStr">
        <is>
          <t>6013821400</t>
        </is>
      </c>
      <c r="I608" s="17" t="inlineStr">
        <is>
          <t>LUNES A VIERNES</t>
        </is>
      </c>
      <c r="J608" s="17" t="inlineStr">
        <is>
          <t>GESTIONATECH</t>
        </is>
      </c>
      <c r="K608" s="18" t="n">
        <v>46314</v>
      </c>
      <c r="L608" s="18" t="n">
        <v>46318</v>
      </c>
      <c r="M608" s="17" t="n">
        <v>20</v>
      </c>
    </row>
    <row r="609">
      <c r="A609" s="19" t="inlineStr">
        <is>
          <t>6041</t>
        </is>
      </c>
      <c r="B609" s="20" t="inlineStr">
        <is>
          <t>CONTRATACION</t>
        </is>
      </c>
      <c r="C609" s="20" t="inlineStr">
        <is>
          <t>Contratación</t>
        </is>
      </c>
      <c r="D609" s="20" t="inlineStr">
        <is>
          <t>Santander</t>
        </is>
      </c>
      <c r="E609" s="20" t="inlineStr">
        <is>
          <t>SANTANDERES</t>
        </is>
      </c>
      <c r="F609" s="20" t="inlineStr">
        <is>
          <t>8:00 AM - 11:30 AM Y DE 02:00 PM - 04:30 PM</t>
        </is>
      </c>
      <c r="G609" s="20" t="inlineStr">
        <is>
          <t>Calle 5 N° 3-20</t>
        </is>
      </c>
      <c r="H609" s="20" t="inlineStr">
        <is>
          <t>6013821400</t>
        </is>
      </c>
      <c r="I609" s="20" t="inlineStr">
        <is>
          <t>LUNES A VIERNES</t>
        </is>
      </c>
      <c r="J609" s="20" t="inlineStr">
        <is>
          <t>GESTIONATECH</t>
        </is>
      </c>
      <c r="K609" s="21" t="n">
        <v>46308</v>
      </c>
      <c r="L609" s="21" t="n">
        <v>46309</v>
      </c>
      <c r="M609" s="20" t="n">
        <v>12</v>
      </c>
    </row>
    <row r="610">
      <c r="A610" s="16" t="inlineStr">
        <is>
          <t>6042</t>
        </is>
      </c>
      <c r="B610" s="17" t="inlineStr">
        <is>
          <t>SAN GIL</t>
        </is>
      </c>
      <c r="C610" s="17" t="inlineStr">
        <is>
          <t>San Gil</t>
        </is>
      </c>
      <c r="D610" s="17" t="inlineStr">
        <is>
          <t>Santander</t>
        </is>
      </c>
      <c r="E610" s="17" t="inlineStr">
        <is>
          <t>SANTANDERES</t>
        </is>
      </c>
      <c r="F610" s="17" t="inlineStr">
        <is>
          <t>8:00 AM - 11:30 AM Y DE 02:00 PM - 04:30 PM</t>
        </is>
      </c>
      <c r="G610" s="17" t="inlineStr">
        <is>
          <t>Calle 12 No. 9-77 San Gil</t>
        </is>
      </c>
      <c r="H610" s="17" t="inlineStr">
        <is>
          <t>6013821400</t>
        </is>
      </c>
      <c r="I610" s="17" t="inlineStr">
        <is>
          <t>LUNES A VIERNES</t>
        </is>
      </c>
      <c r="J610" s="17" t="inlineStr">
        <is>
          <t>GESTIONATECH</t>
        </is>
      </c>
      <c r="K610" s="18" t="n">
        <v>46300</v>
      </c>
      <c r="L610" s="18" t="n">
        <v>46302</v>
      </c>
      <c r="M610" s="17" t="n">
        <v>43</v>
      </c>
    </row>
    <row r="611">
      <c r="A611" s="19" t="inlineStr">
        <is>
          <t>6043</t>
        </is>
      </c>
      <c r="B611" s="20" t="inlineStr">
        <is>
          <t>COROMORO</t>
        </is>
      </c>
      <c r="C611" s="20" t="inlineStr">
        <is>
          <t>Coromoro</t>
        </is>
      </c>
      <c r="D611" s="20" t="inlineStr">
        <is>
          <t>Santander</t>
        </is>
      </c>
      <c r="E611" s="20" t="inlineStr">
        <is>
          <t>SANTANDERES</t>
        </is>
      </c>
      <c r="F611" s="20" t="inlineStr">
        <is>
          <t>8:00 AM - 11:30 AM Y DE 02:00 PM - 04:30 PM</t>
        </is>
      </c>
      <c r="G611" s="20" t="inlineStr">
        <is>
          <t>CRA. 6 N° 4-07</t>
        </is>
      </c>
      <c r="H611" s="20" t="inlineStr">
        <is>
          <t>6013821400</t>
        </is>
      </c>
      <c r="I611" s="20" t="inlineStr">
        <is>
          <t>LUNES A VIERNES</t>
        </is>
      </c>
      <c r="J611" s="20" t="inlineStr">
        <is>
          <t>GESTIONATECH</t>
        </is>
      </c>
      <c r="K611" s="21" t="n">
        <v>46304</v>
      </c>
      <c r="L611" s="21" t="n">
        <v>46308</v>
      </c>
      <c r="M611" s="20" t="n">
        <v>12</v>
      </c>
    </row>
    <row r="612">
      <c r="A612" s="16" t="inlineStr">
        <is>
          <t>6044</t>
        </is>
      </c>
      <c r="B612" s="17" t="inlineStr">
        <is>
          <t>SOCORRO</t>
        </is>
      </c>
      <c r="C612" s="17" t="inlineStr">
        <is>
          <t>Socorro</t>
        </is>
      </c>
      <c r="D612" s="17" t="inlineStr">
        <is>
          <t>Santander</t>
        </is>
      </c>
      <c r="E612" s="17" t="inlineStr">
        <is>
          <t>SANTANDERES</t>
        </is>
      </c>
      <c r="F612" s="17" t="inlineStr">
        <is>
          <t>8:00 AM - 11:30 AM Y DE 02:00 PM - 04:30 PM</t>
        </is>
      </c>
      <c r="G612" s="17" t="inlineStr">
        <is>
          <t>CRA. 14 N° 15-16</t>
        </is>
      </c>
      <c r="H612" s="17" t="inlineStr">
        <is>
          <t>6013821400</t>
        </is>
      </c>
      <c r="I612" s="17" t="inlineStr">
        <is>
          <t>LUNES A VIERNES</t>
        </is>
      </c>
      <c r="J612" s="17" t="inlineStr">
        <is>
          <t>GESTIONATECH</t>
        </is>
      </c>
      <c r="K612" s="18" t="n">
        <v>46304</v>
      </c>
      <c r="L612" s="18" t="n">
        <v>46308</v>
      </c>
      <c r="M612" s="17" t="n">
        <v>40</v>
      </c>
    </row>
    <row r="613">
      <c r="A613" s="19" t="inlineStr">
        <is>
          <t>6045</t>
        </is>
      </c>
      <c r="B613" s="20" t="inlineStr">
        <is>
          <t>CHIMA</t>
        </is>
      </c>
      <c r="C613" s="20" t="inlineStr">
        <is>
          <t>Chima</t>
        </is>
      </c>
      <c r="D613" s="20" t="inlineStr">
        <is>
          <t>Santander</t>
        </is>
      </c>
      <c r="E613" s="20" t="inlineStr">
        <is>
          <t>SANTANDERES</t>
        </is>
      </c>
      <c r="F613" s="20" t="inlineStr">
        <is>
          <t>8:00 AM - 11:30 AM Y DE 02:00 PM - 04:30 PM</t>
        </is>
      </c>
      <c r="G613" s="20" t="inlineStr">
        <is>
          <t>Calle 5 No.6-01 Parque Central</t>
        </is>
      </c>
      <c r="H613" s="20" t="inlineStr">
        <is>
          <t>6013821400</t>
        </is>
      </c>
      <c r="I613" s="20" t="inlineStr">
        <is>
          <t>LUNES A VIERNES</t>
        </is>
      </c>
      <c r="J613" s="20" t="inlineStr">
        <is>
          <t>GESTIONATECH</t>
        </is>
      </c>
      <c r="K613" s="21" t="n">
        <v>46308</v>
      </c>
      <c r="L613" s="21" t="n">
        <v>46309</v>
      </c>
      <c r="M613" s="20" t="n">
        <v>13</v>
      </c>
    </row>
    <row r="614">
      <c r="A614" s="16" t="inlineStr">
        <is>
          <t>6046</t>
        </is>
      </c>
      <c r="B614" s="17" t="inlineStr">
        <is>
          <t>VELEZ</t>
        </is>
      </c>
      <c r="C614" s="17" t="inlineStr">
        <is>
          <t>Vélez</t>
        </is>
      </c>
      <c r="D614" s="17" t="inlineStr">
        <is>
          <t>Santander</t>
        </is>
      </c>
      <c r="E614" s="17" t="inlineStr">
        <is>
          <t>ORIENTE</t>
        </is>
      </c>
      <c r="F614" s="17" t="inlineStr">
        <is>
          <t>8:00 AM - 11:30 AM Y DE 02:00 PM - 04:30 PM</t>
        </is>
      </c>
      <c r="G614" s="17" t="inlineStr">
        <is>
          <t>CRA. 4 No.10-53</t>
        </is>
      </c>
      <c r="H614" s="17" t="inlineStr">
        <is>
          <t>6013821400</t>
        </is>
      </c>
      <c r="I614" s="17" t="inlineStr">
        <is>
          <t>LUNES A VIERNES</t>
        </is>
      </c>
      <c r="J614" s="17" t="inlineStr">
        <is>
          <t>GESTIONATECH</t>
        </is>
      </c>
      <c r="K614" s="18" t="n">
        <v>46309</v>
      </c>
      <c r="L614" s="18" t="n">
        <v>46310</v>
      </c>
      <c r="M614" s="17" t="n">
        <v>20</v>
      </c>
    </row>
    <row r="615">
      <c r="A615" s="19" t="inlineStr">
        <is>
          <t>6048</t>
        </is>
      </c>
      <c r="B615" s="20" t="inlineStr">
        <is>
          <t>ZAPATOCA</t>
        </is>
      </c>
      <c r="C615" s="20" t="inlineStr">
        <is>
          <t>Zapatoca</t>
        </is>
      </c>
      <c r="D615" s="20" t="inlineStr">
        <is>
          <t>Santander</t>
        </is>
      </c>
      <c r="E615" s="20" t="inlineStr">
        <is>
          <t>SANTANDERES</t>
        </is>
      </c>
      <c r="F615" s="20" t="inlineStr">
        <is>
          <t>8:00 AM - 11:30 AM Y DE 02:00 PM - 04:30 PM</t>
        </is>
      </c>
      <c r="G615" s="20" t="inlineStr">
        <is>
          <t>CALLE 21 N° 9-20/26/38</t>
        </is>
      </c>
      <c r="H615" s="20" t="inlineStr">
        <is>
          <t>6013821400</t>
        </is>
      </c>
      <c r="I615" s="20" t="inlineStr">
        <is>
          <t>LUNES A VIERNES</t>
        </is>
      </c>
      <c r="J615" s="20" t="inlineStr">
        <is>
          <t>GESTIONATECH</t>
        </is>
      </c>
      <c r="K615" s="21" t="n">
        <v>46300</v>
      </c>
      <c r="L615" s="21" t="n">
        <v>46301</v>
      </c>
      <c r="M615" s="20" t="n">
        <v>21</v>
      </c>
    </row>
    <row r="616">
      <c r="A616" s="16" t="inlineStr">
        <is>
          <t>6050</t>
        </is>
      </c>
      <c r="B616" s="17" t="inlineStr">
        <is>
          <t>FLORIAN</t>
        </is>
      </c>
      <c r="C616" s="17" t="inlineStr">
        <is>
          <t>Florián</t>
        </is>
      </c>
      <c r="D616" s="17" t="inlineStr">
        <is>
          <t>Santander</t>
        </is>
      </c>
      <c r="E616" s="17" t="inlineStr">
        <is>
          <t>ORIENTE</t>
        </is>
      </c>
      <c r="F616" s="17" t="inlineStr">
        <is>
          <t>8:00 AM - 11:30 AM Y DE 02:00 PM - 04:30 PM</t>
        </is>
      </c>
      <c r="G616" s="17" t="inlineStr">
        <is>
          <t>CALLE 4 N°1B-153</t>
        </is>
      </c>
      <c r="H616" s="17" t="inlineStr">
        <is>
          <t>6013821400</t>
        </is>
      </c>
      <c r="I616" s="17" t="inlineStr">
        <is>
          <t>LUNES A VIERNES</t>
        </is>
      </c>
      <c r="J616" s="17" t="inlineStr">
        <is>
          <t>GESTIONATECH</t>
        </is>
      </c>
      <c r="K616" s="18" t="n">
        <v>46311</v>
      </c>
      <c r="L616" s="18" t="n">
        <v>46311</v>
      </c>
      <c r="M616" s="17" t="n">
        <v>12</v>
      </c>
    </row>
    <row r="617">
      <c r="A617" s="19" t="inlineStr">
        <is>
          <t>6052</t>
        </is>
      </c>
      <c r="B617" s="20" t="inlineStr">
        <is>
          <t>GAMBITA</t>
        </is>
      </c>
      <c r="C617" s="20" t="inlineStr">
        <is>
          <t>Gambita</t>
        </is>
      </c>
      <c r="D617" s="20" t="inlineStr">
        <is>
          <t>Santander</t>
        </is>
      </c>
      <c r="E617" s="20" t="inlineStr">
        <is>
          <t>ORIENTE</t>
        </is>
      </c>
      <c r="F617" s="20" t="inlineStr">
        <is>
          <t>8:00 AM - 11:30 AM Y DE 02:00 PM - 04:30 PM</t>
        </is>
      </c>
      <c r="G617" s="20" t="inlineStr">
        <is>
          <t>Carrera 11  Parque Principal    Calle 4 No. 9-06</t>
        </is>
      </c>
      <c r="H617" s="20" t="inlineStr">
        <is>
          <t>6013821400</t>
        </is>
      </c>
      <c r="I617" s="20" t="inlineStr">
        <is>
          <t>LUNES A VIERNES</t>
        </is>
      </c>
      <c r="J617" s="20" t="inlineStr">
        <is>
          <t>GESTIONATECH</t>
        </is>
      </c>
      <c r="K617" s="21" t="n">
        <v>46311</v>
      </c>
      <c r="L617" s="21" t="n">
        <v>46311</v>
      </c>
      <c r="M617" s="20" t="n">
        <v>12</v>
      </c>
    </row>
    <row r="618">
      <c r="A618" s="16" t="inlineStr">
        <is>
          <t>6053</t>
        </is>
      </c>
      <c r="B618" s="17" t="inlineStr">
        <is>
          <t>GUACA</t>
        </is>
      </c>
      <c r="C618" s="17" t="inlineStr">
        <is>
          <t>Guaca</t>
        </is>
      </c>
      <c r="D618" s="17" t="inlineStr">
        <is>
          <t>Santander</t>
        </is>
      </c>
      <c r="E618" s="17" t="inlineStr">
        <is>
          <t>SANTANDERES</t>
        </is>
      </c>
      <c r="F618" s="17" t="inlineStr">
        <is>
          <t>8:00 AM - 11:30 AM Y DE 02:00 PM - 04:30 PM</t>
        </is>
      </c>
      <c r="G618" s="17" t="inlineStr">
        <is>
          <t>Calle 4 No 4- 02 /08</t>
        </is>
      </c>
      <c r="H618" s="17" t="inlineStr">
        <is>
          <t>6013821400</t>
        </is>
      </c>
      <c r="I618" s="17" t="inlineStr">
        <is>
          <t>LUNES A VIERNES</t>
        </is>
      </c>
      <c r="J618" s="17" t="inlineStr">
        <is>
          <t>GESTIONATECH</t>
        </is>
      </c>
      <c r="K618" s="18" t="n">
        <v>46294</v>
      </c>
      <c r="L618" s="18" t="n">
        <v>46295</v>
      </c>
      <c r="M618" s="17" t="n">
        <v>12</v>
      </c>
    </row>
    <row r="619">
      <c r="A619" s="19" t="inlineStr">
        <is>
          <t>6054</t>
        </is>
      </c>
      <c r="B619" s="20" t="inlineStr">
        <is>
          <t>GUADALUPE</t>
        </is>
      </c>
      <c r="C619" s="20" t="inlineStr">
        <is>
          <t>Guadalupe</t>
        </is>
      </c>
      <c r="D619" s="20" t="inlineStr">
        <is>
          <t>Santander</t>
        </is>
      </c>
      <c r="E619" s="20" t="inlineStr">
        <is>
          <t>SANTANDERES</t>
        </is>
      </c>
      <c r="F619" s="20" t="inlineStr">
        <is>
          <t>8:00 AM - 11:30 AM Y DE 02:00 PM - 04:30 PM</t>
        </is>
      </c>
      <c r="G619" s="20" t="inlineStr">
        <is>
          <t>CRA. 4 N° 5-09</t>
        </is>
      </c>
      <c r="H619" s="20" t="inlineStr">
        <is>
          <t>6013821400</t>
        </is>
      </c>
      <c r="I619" s="20" t="inlineStr">
        <is>
          <t>LUNES A VIERNES</t>
        </is>
      </c>
      <c r="J619" s="20" t="inlineStr">
        <is>
          <t>GESTIONATECH</t>
        </is>
      </c>
      <c r="K619" s="21" t="n">
        <v>46308</v>
      </c>
      <c r="L619" s="21" t="n">
        <v>46309</v>
      </c>
      <c r="M619" s="20" t="n">
        <v>13</v>
      </c>
    </row>
    <row r="620">
      <c r="A620" s="16" t="inlineStr">
        <is>
          <t>6055</t>
        </is>
      </c>
      <c r="B620" s="17" t="inlineStr">
        <is>
          <t>GUAVATA</t>
        </is>
      </c>
      <c r="C620" s="17" t="inlineStr">
        <is>
          <t>Guavatá</t>
        </is>
      </c>
      <c r="D620" s="17" t="inlineStr">
        <is>
          <t>Santander</t>
        </is>
      </c>
      <c r="E620" s="17" t="inlineStr">
        <is>
          <t>ORIENTE</t>
        </is>
      </c>
      <c r="F620" s="17" t="inlineStr">
        <is>
          <t>8:00 AM - 11:30 AM Y DE 02:00 PM - 04:30 PM</t>
        </is>
      </c>
      <c r="G620" s="17" t="inlineStr">
        <is>
          <t>Carrera 3 No. 4-30 BARRIO COLON</t>
        </is>
      </c>
      <c r="H620" s="17" t="inlineStr">
        <is>
          <t>6013821400</t>
        </is>
      </c>
      <c r="I620" s="17" t="inlineStr">
        <is>
          <t>LUNES A VIERNES</t>
        </is>
      </c>
      <c r="J620" s="17" t="inlineStr">
        <is>
          <t>GESTIONATECH</t>
        </is>
      </c>
      <c r="K620" s="18" t="n">
        <v>46311</v>
      </c>
      <c r="L620" s="18" t="n">
        <v>46311</v>
      </c>
      <c r="M620" s="17" t="n">
        <v>12</v>
      </c>
    </row>
    <row r="621">
      <c r="A621" s="19" t="inlineStr">
        <is>
          <t>6056</t>
        </is>
      </c>
      <c r="B621" s="20" t="inlineStr">
        <is>
          <t>GUEPSA</t>
        </is>
      </c>
      <c r="C621" s="20" t="inlineStr">
        <is>
          <t>Güepsa</t>
        </is>
      </c>
      <c r="D621" s="20" t="inlineStr">
        <is>
          <t>Santander</t>
        </is>
      </c>
      <c r="E621" s="20" t="inlineStr">
        <is>
          <t>ORIENTE</t>
        </is>
      </c>
      <c r="F621" s="20" t="inlineStr">
        <is>
          <t>8:00 AM - 11:30 AM Y DE 02:00 PM - 04:30 PM</t>
        </is>
      </c>
      <c r="G621" s="20" t="inlineStr">
        <is>
          <t>CRA. 5 N° 3-47</t>
        </is>
      </c>
      <c r="H621" s="20" t="inlineStr">
        <is>
          <t>6013821400</t>
        </is>
      </c>
      <c r="I621" s="20" t="inlineStr">
        <is>
          <t>LUNES A VIERNES</t>
        </is>
      </c>
      <c r="J621" s="20" t="inlineStr">
        <is>
          <t>GESTIONATECH</t>
        </is>
      </c>
      <c r="K621" s="21" t="n">
        <v>46309</v>
      </c>
      <c r="L621" s="21" t="n">
        <v>46310</v>
      </c>
      <c r="M621" s="20" t="n">
        <v>12</v>
      </c>
    </row>
    <row r="622">
      <c r="A622" s="16" t="inlineStr">
        <is>
          <t>6057</t>
        </is>
      </c>
      <c r="B622" s="17" t="inlineStr">
        <is>
          <t>JESUS MARIA</t>
        </is>
      </c>
      <c r="C622" s="17" t="inlineStr">
        <is>
          <t>Jesús María</t>
        </is>
      </c>
      <c r="D622" s="17" t="inlineStr">
        <is>
          <t>Santander</t>
        </is>
      </c>
      <c r="E622" s="17" t="inlineStr">
        <is>
          <t>ORIENTE</t>
        </is>
      </c>
      <c r="F622" s="17" t="inlineStr">
        <is>
          <t>8:00 AM - 11:30 AM Y DE 02:00 PM - 04:30 PM</t>
        </is>
      </c>
      <c r="G622" s="17" t="inlineStr">
        <is>
          <t>Carrera 5 # 5-41</t>
        </is>
      </c>
      <c r="H622" s="17" t="inlineStr">
        <is>
          <t>6013821400</t>
        </is>
      </c>
      <c r="I622" s="17" t="inlineStr">
        <is>
          <t>LUNES A VIERNES</t>
        </is>
      </c>
      <c r="J622" s="17" t="inlineStr">
        <is>
          <t>GESTIONATECH</t>
        </is>
      </c>
      <c r="K622" s="18" t="n">
        <v>46310</v>
      </c>
      <c r="L622" s="18" t="n">
        <v>46311</v>
      </c>
      <c r="M622" s="17" t="n">
        <v>12</v>
      </c>
    </row>
    <row r="623">
      <c r="A623" s="19" t="inlineStr">
        <is>
          <t>6058</t>
        </is>
      </c>
      <c r="B623" s="20" t="inlineStr">
        <is>
          <t>LA BELLEZA</t>
        </is>
      </c>
      <c r="C623" s="20" t="inlineStr">
        <is>
          <t>La Belleza</t>
        </is>
      </c>
      <c r="D623" s="20" t="inlineStr">
        <is>
          <t>Santander</t>
        </is>
      </c>
      <c r="E623" s="20" t="inlineStr">
        <is>
          <t>ORIENTE</t>
        </is>
      </c>
      <c r="F623" s="20" t="inlineStr">
        <is>
          <t>8:00 AM - 11:30 AM Y DE 02:00 PM - 04:30 PM</t>
        </is>
      </c>
      <c r="G623" s="20" t="inlineStr">
        <is>
          <t>Carrera 4 No 4-82/84</t>
        </is>
      </c>
      <c r="H623" s="20" t="inlineStr">
        <is>
          <t>6013821400</t>
        </is>
      </c>
      <c r="I623" s="20" t="inlineStr">
        <is>
          <t>LUNES A VIERNES</t>
        </is>
      </c>
      <c r="J623" s="20" t="inlineStr">
        <is>
          <t>GESTIONATECH</t>
        </is>
      </c>
      <c r="K623" s="21" t="n">
        <v>46310</v>
      </c>
      <c r="L623" s="21" t="n">
        <v>46311</v>
      </c>
      <c r="M623" s="20" t="n">
        <v>15</v>
      </c>
    </row>
    <row r="624">
      <c r="A624" s="16" t="inlineStr">
        <is>
          <t>6060</t>
        </is>
      </c>
      <c r="B624" s="17" t="inlineStr">
        <is>
          <t>LA PAZ</t>
        </is>
      </c>
      <c r="C624" s="17" t="inlineStr">
        <is>
          <t>La Paz</t>
        </is>
      </c>
      <c r="D624" s="17" t="inlineStr">
        <is>
          <t>Santander</t>
        </is>
      </c>
      <c r="E624" s="17" t="inlineStr">
        <is>
          <t>ORIENTE</t>
        </is>
      </c>
      <c r="F624" s="17" t="inlineStr">
        <is>
          <t>8:00 AM - 11:30 AM Y DE 02:00 PM - 04:30 PM</t>
        </is>
      </c>
      <c r="G624" s="17" t="inlineStr">
        <is>
          <t>CRA. 4 N° 3-01</t>
        </is>
      </c>
      <c r="H624" s="17" t="inlineStr">
        <is>
          <t>6013821400</t>
        </is>
      </c>
      <c r="I624" s="17" t="inlineStr">
        <is>
          <t>LUNES A VIERNES</t>
        </is>
      </c>
      <c r="J624" s="17" t="inlineStr">
        <is>
          <t>GESTIONATECH</t>
        </is>
      </c>
      <c r="K624" s="18" t="n">
        <v>46310</v>
      </c>
      <c r="L624" s="18" t="n">
        <v>46311</v>
      </c>
      <c r="M624" s="17" t="n">
        <v>13</v>
      </c>
    </row>
    <row r="625">
      <c r="A625" s="19" t="inlineStr">
        <is>
          <t>6062</t>
        </is>
      </c>
      <c r="B625" s="20" t="inlineStr">
        <is>
          <t>LANDAZURI</t>
        </is>
      </c>
      <c r="C625" s="20" t="inlineStr">
        <is>
          <t>Landázuri</t>
        </is>
      </c>
      <c r="D625" s="20" t="inlineStr">
        <is>
          <t>Santander</t>
        </is>
      </c>
      <c r="E625" s="20" t="inlineStr">
        <is>
          <t>SANTANDERES</t>
        </is>
      </c>
      <c r="F625" s="20" t="inlineStr">
        <is>
          <t>8:00 AM - 11:30 AM Y DE 02:00 PM - 04:30 PM</t>
        </is>
      </c>
      <c r="G625" s="20" t="inlineStr">
        <is>
          <t>Carrera 5A No 6-56</t>
        </is>
      </c>
      <c r="H625" s="20" t="inlineStr">
        <is>
          <t>6013821400</t>
        </is>
      </c>
      <c r="I625" s="20" t="inlineStr">
        <is>
          <t>LUNES A VIERNES</t>
        </is>
      </c>
      <c r="J625" s="20" t="inlineStr">
        <is>
          <t>GESTIONATECH</t>
        </is>
      </c>
      <c r="K625" s="21" t="n">
        <v>46314</v>
      </c>
      <c r="L625" s="21" t="n">
        <v>46318</v>
      </c>
      <c r="M625" s="20" t="n">
        <v>14</v>
      </c>
    </row>
    <row r="626">
      <c r="A626" s="16" t="inlineStr">
        <is>
          <t>6063</t>
        </is>
      </c>
      <c r="B626" s="17" t="inlineStr">
        <is>
          <t>LOS SANTOS</t>
        </is>
      </c>
      <c r="C626" s="17" t="inlineStr">
        <is>
          <t>Los Santos</t>
        </is>
      </c>
      <c r="D626" s="17" t="inlineStr">
        <is>
          <t>Santander</t>
        </is>
      </c>
      <c r="E626" s="17" t="inlineStr">
        <is>
          <t>SANTANDERES</t>
        </is>
      </c>
      <c r="F626" s="17" t="inlineStr">
        <is>
          <t>8:00 AM - 11:30 AM Y DE 02:00 PM - 04:30 PM</t>
        </is>
      </c>
      <c r="G626" s="17" t="inlineStr">
        <is>
          <t>CRA. 6 N° 2-03/05</t>
        </is>
      </c>
      <c r="H626" s="17" t="inlineStr">
        <is>
          <t>6013821400</t>
        </is>
      </c>
      <c r="I626" s="17" t="inlineStr">
        <is>
          <t>LUNES A VIERNES</t>
        </is>
      </c>
      <c r="J626" s="17" t="inlineStr">
        <is>
          <t>GESTIONATECH</t>
        </is>
      </c>
      <c r="K626" s="18" t="n">
        <v>46297</v>
      </c>
      <c r="L626" s="18" t="n">
        <v>46297</v>
      </c>
      <c r="M626" s="17" t="n">
        <v>16</v>
      </c>
    </row>
    <row r="627">
      <c r="A627" s="19" t="inlineStr">
        <is>
          <t>6064</t>
        </is>
      </c>
      <c r="B627" s="20" t="inlineStr">
        <is>
          <t>MATANZA</t>
        </is>
      </c>
      <c r="C627" s="20" t="inlineStr">
        <is>
          <t>Matanza</t>
        </is>
      </c>
      <c r="D627" s="20" t="inlineStr">
        <is>
          <t>Santander</t>
        </is>
      </c>
      <c r="E627" s="20" t="inlineStr">
        <is>
          <t>SANTANDERES</t>
        </is>
      </c>
      <c r="F627" s="20" t="inlineStr">
        <is>
          <t>8:00 AM - 11:30 AM Y DE 02:00 PM - 04:30 PM</t>
        </is>
      </c>
      <c r="G627" s="20" t="inlineStr">
        <is>
          <t>CRA. 4 N° 5-48/50</t>
        </is>
      </c>
      <c r="H627" s="20" t="inlineStr">
        <is>
          <t>6013821400</t>
        </is>
      </c>
      <c r="I627" s="20" t="inlineStr">
        <is>
          <t>LUNES A VIERNES</t>
        </is>
      </c>
      <c r="J627" s="20" t="inlineStr">
        <is>
          <t>GESTIONATECH</t>
        </is>
      </c>
      <c r="K627" s="21" t="n">
        <v>46300</v>
      </c>
      <c r="L627" s="21" t="n">
        <v>46301</v>
      </c>
      <c r="M627" s="20" t="n">
        <v>12</v>
      </c>
    </row>
    <row r="628">
      <c r="A628" s="16" t="inlineStr">
        <is>
          <t>6065</t>
        </is>
      </c>
      <c r="B628" s="17" t="inlineStr">
        <is>
          <t>MOGOTES</t>
        </is>
      </c>
      <c r="C628" s="17" t="inlineStr">
        <is>
          <t>Mogotes</t>
        </is>
      </c>
      <c r="D628" s="17" t="inlineStr">
        <is>
          <t>Santander</t>
        </is>
      </c>
      <c r="E628" s="17" t="inlineStr">
        <is>
          <t>SANTANDERES</t>
        </is>
      </c>
      <c r="F628" s="17" t="inlineStr">
        <is>
          <t>8:00 AM - 11:30 AM Y DE 02:00 PM - 04:30 PM</t>
        </is>
      </c>
      <c r="G628" s="17" t="inlineStr">
        <is>
          <t>Calle 5 N° 7-61</t>
        </is>
      </c>
      <c r="H628" s="17" t="inlineStr">
        <is>
          <t>6013821400</t>
        </is>
      </c>
      <c r="I628" s="17" t="inlineStr">
        <is>
          <t>LUNES A VIERNES</t>
        </is>
      </c>
      <c r="J628" s="17" t="inlineStr">
        <is>
          <t>GESTIONATECH</t>
        </is>
      </c>
      <c r="K628" s="18" t="n">
        <v>46303</v>
      </c>
      <c r="L628" s="18" t="n">
        <v>46304</v>
      </c>
      <c r="M628" s="17" t="n">
        <v>12</v>
      </c>
    </row>
    <row r="629">
      <c r="A629" s="19" t="inlineStr">
        <is>
          <t>6066</t>
        </is>
      </c>
      <c r="B629" s="20" t="inlineStr">
        <is>
          <t>MOLAGAVITA</t>
        </is>
      </c>
      <c r="C629" s="20" t="inlineStr">
        <is>
          <t>Molagavita</t>
        </is>
      </c>
      <c r="D629" s="20" t="inlineStr">
        <is>
          <t>Santander</t>
        </is>
      </c>
      <c r="E629" s="20" t="inlineStr">
        <is>
          <t>SANTANDERES</t>
        </is>
      </c>
      <c r="F629" s="20" t="inlineStr">
        <is>
          <t>8:00 AM - 11:30 AM Y DE 02:00 PM - 04:30 PM</t>
        </is>
      </c>
      <c r="G629" s="20" t="inlineStr">
        <is>
          <t>CRA. 4 N° 4-02</t>
        </is>
      </c>
      <c r="H629" s="20" t="inlineStr">
        <is>
          <t>6013821400</t>
        </is>
      </c>
      <c r="I629" s="20" t="inlineStr">
        <is>
          <t>LUNES A VIERNES</t>
        </is>
      </c>
      <c r="J629" s="20" t="inlineStr">
        <is>
          <t>GESTIONATECH</t>
        </is>
      </c>
      <c r="K629" s="21" t="n">
        <v>46294</v>
      </c>
      <c r="L629" s="21" t="n">
        <v>46295</v>
      </c>
      <c r="M629" s="20" t="n">
        <v>12</v>
      </c>
    </row>
    <row r="630">
      <c r="A630" s="16" t="inlineStr">
        <is>
          <t>6067</t>
        </is>
      </c>
      <c r="B630" s="17" t="inlineStr">
        <is>
          <t>ONZAGA</t>
        </is>
      </c>
      <c r="C630" s="17" t="inlineStr">
        <is>
          <t>Onzaga</t>
        </is>
      </c>
      <c r="D630" s="17" t="inlineStr">
        <is>
          <t>Santander</t>
        </is>
      </c>
      <c r="E630" s="17" t="inlineStr">
        <is>
          <t>SANTANDERES</t>
        </is>
      </c>
      <c r="F630" s="17" t="inlineStr">
        <is>
          <t>8:00 AM - 11:30 AM Y DE 02:00 PM - 04:30 PM</t>
        </is>
      </c>
      <c r="G630" s="17" t="inlineStr">
        <is>
          <t>Carrera 3 N° 3 - 10</t>
        </is>
      </c>
      <c r="H630" s="17" t="inlineStr">
        <is>
          <t>6013821400</t>
        </is>
      </c>
      <c r="I630" s="17" t="inlineStr">
        <is>
          <t>LUNES A VIERNES</t>
        </is>
      </c>
      <c r="J630" s="17" t="inlineStr">
        <is>
          <t>GESTIONATECH</t>
        </is>
      </c>
      <c r="K630" s="18" t="n">
        <v>46304</v>
      </c>
      <c r="L630" s="18" t="n">
        <v>46308</v>
      </c>
      <c r="M630" s="17" t="n">
        <v>12</v>
      </c>
    </row>
    <row r="631">
      <c r="A631" s="19" t="inlineStr">
        <is>
          <t>6068</t>
        </is>
      </c>
      <c r="B631" s="20" t="inlineStr">
        <is>
          <t>SAN ANDRES</t>
        </is>
      </c>
      <c r="C631" s="20" t="inlineStr">
        <is>
          <t>San Andrés</t>
        </is>
      </c>
      <c r="D631" s="20" t="inlineStr">
        <is>
          <t>Santander</t>
        </is>
      </c>
      <c r="E631" s="20" t="inlineStr">
        <is>
          <t>SANTANDERES</t>
        </is>
      </c>
      <c r="F631" s="20" t="inlineStr">
        <is>
          <t>DE MARTES A VIERNES DE 8:00 AM A 11:30 AM Y DE 2:00 P.M. A 4:30 P.M.    SABADO DE 8:00 AM A 2:00 P.M.</t>
        </is>
      </c>
      <c r="G631" s="20" t="inlineStr">
        <is>
          <t>Carrera 5 N° 8-10</t>
        </is>
      </c>
      <c r="H631" s="20" t="inlineStr">
        <is>
          <t>6013821400</t>
        </is>
      </c>
      <c r="I631" s="20" t="inlineStr">
        <is>
          <t>MARTES A VIERNES Y      SÁBADO</t>
        </is>
      </c>
      <c r="J631" s="20" t="inlineStr">
        <is>
          <t>GESTIONATECH</t>
        </is>
      </c>
      <c r="K631" s="21" t="n">
        <v>46294</v>
      </c>
      <c r="L631" s="21" t="n">
        <v>46295</v>
      </c>
      <c r="M631" s="20" t="n">
        <v>19</v>
      </c>
    </row>
    <row r="632">
      <c r="A632" s="16" t="inlineStr">
        <is>
          <t>6072</t>
        </is>
      </c>
      <c r="B632" s="17" t="inlineStr">
        <is>
          <t>SIMACOTA</t>
        </is>
      </c>
      <c r="C632" s="17" t="inlineStr">
        <is>
          <t>Simacota</t>
        </is>
      </c>
      <c r="D632" s="17" t="inlineStr">
        <is>
          <t>Santander</t>
        </is>
      </c>
      <c r="E632" s="17" t="inlineStr">
        <is>
          <t>SANTANDERES</t>
        </is>
      </c>
      <c r="F632" s="17" t="inlineStr">
        <is>
          <t>8:00 AM - 11:30 AM Y DE 02:00 PM - 04:30 PM</t>
        </is>
      </c>
      <c r="G632" s="17" t="inlineStr">
        <is>
          <t>Cra. 5 No.5-56 Barrio el Centro</t>
        </is>
      </c>
      <c r="H632" s="17" t="inlineStr">
        <is>
          <t>6013821400</t>
        </is>
      </c>
      <c r="I632" s="17" t="inlineStr">
        <is>
          <t>LUNES A VIERNES</t>
        </is>
      </c>
      <c r="J632" s="17" t="inlineStr">
        <is>
          <t>GESTIONATECH</t>
        </is>
      </c>
      <c r="K632" s="18" t="n">
        <v>46308</v>
      </c>
      <c r="L632" s="18" t="n">
        <v>46309</v>
      </c>
      <c r="M632" s="17" t="n">
        <v>12</v>
      </c>
    </row>
    <row r="633">
      <c r="A633" s="19" t="inlineStr">
        <is>
          <t>6074</t>
        </is>
      </c>
      <c r="B633" s="20" t="inlineStr">
        <is>
          <t>CHIPATA</t>
        </is>
      </c>
      <c r="C633" s="20" t="inlineStr">
        <is>
          <t>Chipatá</t>
        </is>
      </c>
      <c r="D633" s="20" t="inlineStr">
        <is>
          <t>Santander</t>
        </is>
      </c>
      <c r="E633" s="20" t="inlineStr">
        <is>
          <t>ORIENTE</t>
        </is>
      </c>
      <c r="F633" s="20" t="inlineStr">
        <is>
          <t>8:00 AM - 11:30 AM Y DE 02:00 PM - 04:30 PM</t>
        </is>
      </c>
      <c r="G633" s="20" t="inlineStr">
        <is>
          <t>Calle 3 No. 5 - 37</t>
        </is>
      </c>
      <c r="H633" s="20" t="inlineStr">
        <is>
          <t>6013821400</t>
        </is>
      </c>
      <c r="I633" s="20" t="inlineStr">
        <is>
          <t>LUNES A VIERNES</t>
        </is>
      </c>
      <c r="J633" s="20" t="inlineStr">
        <is>
          <t>GESTIONATECH</t>
        </is>
      </c>
      <c r="K633" s="21" t="n">
        <v>46309</v>
      </c>
      <c r="L633" s="21" t="n">
        <v>46310</v>
      </c>
      <c r="M633" s="20" t="n">
        <v>12</v>
      </c>
    </row>
    <row r="634">
      <c r="A634" s="16" t="inlineStr">
        <is>
          <t>6076</t>
        </is>
      </c>
      <c r="B634" s="17" t="inlineStr">
        <is>
          <t>SUCRE</t>
        </is>
      </c>
      <c r="C634" s="17" t="inlineStr">
        <is>
          <t>Sucre</t>
        </is>
      </c>
      <c r="D634" s="17" t="inlineStr">
        <is>
          <t>Santander</t>
        </is>
      </c>
      <c r="E634" s="17" t="inlineStr">
        <is>
          <t>ORIENTE</t>
        </is>
      </c>
      <c r="F634" s="17" t="inlineStr">
        <is>
          <t>8:00 AM - 11:30 AM Y DE 02:00 PM - 04:30 PM</t>
        </is>
      </c>
      <c r="G634" s="17" t="inlineStr">
        <is>
          <t>CENTRO</t>
        </is>
      </c>
      <c r="H634" s="17" t="inlineStr">
        <is>
          <t>6013821400</t>
        </is>
      </c>
      <c r="I634" s="17" t="inlineStr">
        <is>
          <t>LUNES A VIERNES</t>
        </is>
      </c>
      <c r="J634" s="17" t="inlineStr">
        <is>
          <t>GESTIONATECH</t>
        </is>
      </c>
      <c r="K634" s="18" t="n">
        <v>46311</v>
      </c>
      <c r="L634" s="18" t="n">
        <v>46311</v>
      </c>
      <c r="M634" s="17" t="n">
        <v>14</v>
      </c>
    </row>
    <row r="635">
      <c r="A635" s="19" t="inlineStr">
        <is>
          <t>6077</t>
        </is>
      </c>
      <c r="B635" s="20" t="inlineStr">
        <is>
          <t>SURATA</t>
        </is>
      </c>
      <c r="C635" s="20" t="inlineStr">
        <is>
          <t>Suratá</t>
        </is>
      </c>
      <c r="D635" s="20" t="inlineStr">
        <is>
          <t>Santander</t>
        </is>
      </c>
      <c r="E635" s="20" t="inlineStr">
        <is>
          <t>SANTANDERES</t>
        </is>
      </c>
      <c r="F635" s="20" t="inlineStr">
        <is>
          <t>8:00 AM - 11:30 AM Y DE 02:00 PM - 04:30 PM</t>
        </is>
      </c>
      <c r="G635" s="20" t="inlineStr">
        <is>
          <t>Carrera 4 No.3- 49</t>
        </is>
      </c>
      <c r="H635" s="20" t="inlineStr">
        <is>
          <t>6013821400</t>
        </is>
      </c>
      <c r="I635" s="20" t="inlineStr">
        <is>
          <t>LUNES A VIERNES</t>
        </is>
      </c>
      <c r="J635" s="20" t="inlineStr">
        <is>
          <t>GESTIONATECH</t>
        </is>
      </c>
      <c r="K635" s="21" t="n">
        <v>46301</v>
      </c>
      <c r="L635" s="21" t="n">
        <v>46302</v>
      </c>
      <c r="M635" s="20" t="n">
        <v>13</v>
      </c>
    </row>
    <row r="636">
      <c r="A636" s="16" t="inlineStr">
        <is>
          <t>6078</t>
        </is>
      </c>
      <c r="B636" s="17" t="inlineStr">
        <is>
          <t>TONA</t>
        </is>
      </c>
      <c r="C636" s="17" t="inlineStr">
        <is>
          <t>Tona</t>
        </is>
      </c>
      <c r="D636" s="17" t="inlineStr">
        <is>
          <t>Santander</t>
        </is>
      </c>
      <c r="E636" s="17" t="inlineStr">
        <is>
          <t>SANTANDERES</t>
        </is>
      </c>
      <c r="F636" s="17" t="inlineStr">
        <is>
          <t>8:00 AM - 11:30 AM Y DE 02:00 PM - 04:30 PM</t>
        </is>
      </c>
      <c r="G636" s="17" t="inlineStr">
        <is>
          <t>Calle 7 N° 3-25</t>
        </is>
      </c>
      <c r="H636" s="17" t="inlineStr">
        <is>
          <t>6013821400</t>
        </is>
      </c>
      <c r="I636" s="17" t="inlineStr">
        <is>
          <t>LUNES A VIERNES</t>
        </is>
      </c>
      <c r="J636" s="17" t="inlineStr">
        <is>
          <t>GESTIONATECH</t>
        </is>
      </c>
      <c r="K636" s="18" t="n">
        <v>46300</v>
      </c>
      <c r="L636" s="18" t="n">
        <v>46301</v>
      </c>
      <c r="M636" s="17" t="n">
        <v>13</v>
      </c>
    </row>
    <row r="637">
      <c r="A637" s="19" t="inlineStr">
        <is>
          <t>6079</t>
        </is>
      </c>
      <c r="B637" s="20" t="inlineStr">
        <is>
          <t>VETAS</t>
        </is>
      </c>
      <c r="C637" s="20" t="inlineStr">
        <is>
          <t>Vetas</t>
        </is>
      </c>
      <c r="D637" s="20" t="inlineStr">
        <is>
          <t>Santander</t>
        </is>
      </c>
      <c r="E637" s="20" t="inlineStr">
        <is>
          <t>SANTANDERES</t>
        </is>
      </c>
      <c r="F637" s="20" t="inlineStr">
        <is>
          <t>8:00 AM - 11:30 AM Y DE 02:00 PM - 04:30 PM</t>
        </is>
      </c>
      <c r="G637" s="20" t="inlineStr">
        <is>
          <t>Carrera 1 No. 4-50 PARQUE PRINCIPAL</t>
        </is>
      </c>
      <c r="H637" s="20" t="inlineStr">
        <is>
          <t>6013821400</t>
        </is>
      </c>
      <c r="I637" s="20" t="inlineStr">
        <is>
          <t>LUNES A VIERNES</t>
        </is>
      </c>
      <c r="J637" s="20" t="inlineStr">
        <is>
          <t>GESTIONATECH</t>
        </is>
      </c>
      <c r="K637" s="21" t="n">
        <v>46302</v>
      </c>
      <c r="L637" s="21" t="n">
        <v>46303</v>
      </c>
      <c r="M637" s="20" t="n">
        <v>12</v>
      </c>
    </row>
    <row r="638">
      <c r="A638" s="16" t="inlineStr">
        <is>
          <t>6080</t>
        </is>
      </c>
      <c r="B638" s="17" t="inlineStr">
        <is>
          <t>EL CARMEN DE CHUCURI</t>
        </is>
      </c>
      <c r="C638" s="17" t="inlineStr">
        <is>
          <t>El Carmen De Chucurí</t>
        </is>
      </c>
      <c r="D638" s="17" t="inlineStr">
        <is>
          <t>Santander</t>
        </is>
      </c>
      <c r="E638" s="17" t="inlineStr">
        <is>
          <t>SANTANDERES</t>
        </is>
      </c>
      <c r="F638" s="17" t="inlineStr">
        <is>
          <t>8:00 AM - 11:30 AM Y DE 02:00 PM - 04:30 PM</t>
        </is>
      </c>
      <c r="G638" s="17" t="inlineStr">
        <is>
          <t>Calle 5 No. 3 - 06</t>
        </is>
      </c>
      <c r="H638" s="17" t="inlineStr">
        <is>
          <t>6013821400</t>
        </is>
      </c>
      <c r="I638" s="17" t="inlineStr">
        <is>
          <t>LUNES A VIERNES</t>
        </is>
      </c>
      <c r="J638" s="17" t="inlineStr">
        <is>
          <t>GESTIONATECH</t>
        </is>
      </c>
      <c r="K638" s="18" t="n">
        <v>46316</v>
      </c>
      <c r="L638" s="18" t="n">
        <v>46316</v>
      </c>
      <c r="M638" s="17" t="n">
        <v>23</v>
      </c>
    </row>
    <row r="639">
      <c r="A639" s="19" t="inlineStr">
        <is>
          <t>6081</t>
        </is>
      </c>
      <c r="B639" s="20" t="inlineStr">
        <is>
          <t>VILLANUEVA</t>
        </is>
      </c>
      <c r="C639" s="20" t="inlineStr">
        <is>
          <t>Villanueva</t>
        </is>
      </c>
      <c r="D639" s="20" t="inlineStr">
        <is>
          <t>Santander</t>
        </is>
      </c>
      <c r="E639" s="20" t="inlineStr">
        <is>
          <t>SANTANDERES</t>
        </is>
      </c>
      <c r="F639" s="20" t="inlineStr">
        <is>
          <t>8:00 AM - 11:30 AM Y DE 02:00 PM - 04:30 PM</t>
        </is>
      </c>
      <c r="G639" s="20" t="inlineStr">
        <is>
          <t>Cra. 14 No.14-71</t>
        </is>
      </c>
      <c r="H639" s="20" t="inlineStr">
        <is>
          <t>6013821400</t>
        </is>
      </c>
      <c r="I639" s="20" t="inlineStr">
        <is>
          <t>LUNES A VIERNES</t>
        </is>
      </c>
      <c r="J639" s="20" t="inlineStr">
        <is>
          <t>GESTIONATECH</t>
        </is>
      </c>
      <c r="K639" s="21" t="n">
        <v>46303</v>
      </c>
      <c r="L639" s="21" t="n">
        <v>46304</v>
      </c>
      <c r="M639" s="20" t="n">
        <v>16</v>
      </c>
    </row>
    <row r="640">
      <c r="A640" s="16" t="inlineStr">
        <is>
          <t>6303</t>
        </is>
      </c>
      <c r="B640" s="17" t="inlineStr">
        <is>
          <t>SINCELEJO</t>
        </is>
      </c>
      <c r="C640" s="17" t="inlineStr">
        <is>
          <t>Sincelejo</t>
        </is>
      </c>
      <c r="D640" s="17" t="inlineStr">
        <is>
          <t>Sucre</t>
        </is>
      </c>
      <c r="E640" s="17" t="inlineStr">
        <is>
          <t>COSTA</t>
        </is>
      </c>
      <c r="F640" s="17" t="inlineStr">
        <is>
          <t>8:00 AM - 11:30 AM Y DE 02:00 PM - 04:30 PM</t>
        </is>
      </c>
      <c r="G640" s="17" t="inlineStr">
        <is>
          <t>Calle 23 Carrera 16 Esquina -  Torre GENTIUM LOCAL  101, 102 y 103</t>
        </is>
      </c>
      <c r="H640" s="17" t="inlineStr">
        <is>
          <t>6013821400</t>
        </is>
      </c>
      <c r="I640" s="17" t="inlineStr">
        <is>
          <t>LUNES A VIERNES</t>
        </is>
      </c>
      <c r="J640" s="17" t="inlineStr">
        <is>
          <t>GESTIONATECH</t>
        </is>
      </c>
      <c r="K640" s="18" t="n">
        <v>46300</v>
      </c>
      <c r="L640" s="18" t="n">
        <v>46302</v>
      </c>
      <c r="M640" s="17" t="n">
        <v>47</v>
      </c>
    </row>
    <row r="641">
      <c r="A641" s="19" t="inlineStr">
        <is>
          <t>6305</t>
        </is>
      </c>
      <c r="B641" s="20" t="inlineStr">
        <is>
          <t>BUENAVISTA</t>
        </is>
      </c>
      <c r="C641" s="20" t="inlineStr">
        <is>
          <t>Buenavista</t>
        </is>
      </c>
      <c r="D641" s="20" t="inlineStr">
        <is>
          <t>Sucre</t>
        </is>
      </c>
      <c r="E641" s="20" t="inlineStr">
        <is>
          <t>COSTA</t>
        </is>
      </c>
      <c r="F641" s="20" t="inlineStr">
        <is>
          <t>8:00 AM - 11:30 AM Y DE 02:00 PM - 04:30 PM</t>
        </is>
      </c>
      <c r="G641" s="20" t="inlineStr">
        <is>
          <t>CALLE  8  Nº.  8-27</t>
        </is>
      </c>
      <c r="H641" s="20" t="inlineStr">
        <is>
          <t>6013821400</t>
        </is>
      </c>
      <c r="I641" s="20" t="inlineStr">
        <is>
          <t>LUNES A VIERNES</t>
        </is>
      </c>
      <c r="J641" s="20" t="inlineStr">
        <is>
          <t>GESTIONATECH</t>
        </is>
      </c>
      <c r="K641" s="21" t="n">
        <v>46280</v>
      </c>
      <c r="L641" s="21" t="n">
        <v>46280</v>
      </c>
      <c r="M641" s="20" t="n">
        <v>12</v>
      </c>
    </row>
    <row r="642">
      <c r="A642" s="16" t="inlineStr">
        <is>
          <t>6310</t>
        </is>
      </c>
      <c r="B642" s="17" t="inlineStr">
        <is>
          <t>CAIMITO</t>
        </is>
      </c>
      <c r="C642" s="17" t="inlineStr">
        <is>
          <t>Caimito</t>
        </is>
      </c>
      <c r="D642" s="17" t="inlineStr">
        <is>
          <t>Sucre</t>
        </is>
      </c>
      <c r="E642" s="17" t="inlineStr">
        <is>
          <t>COSTA</t>
        </is>
      </c>
      <c r="F642" s="17" t="inlineStr">
        <is>
          <t>8:00 AM - 11:30 AM Y DE 02:00 PM - 04:30 PM</t>
        </is>
      </c>
      <c r="G642" s="17" t="inlineStr">
        <is>
          <t>PLAZA PRINCIPAL</t>
        </is>
      </c>
      <c r="H642" s="17" t="inlineStr">
        <is>
          <t>6013821400</t>
        </is>
      </c>
      <c r="I642" s="17" t="inlineStr">
        <is>
          <t>LUNES A VIERNES</t>
        </is>
      </c>
      <c r="J642" s="17" t="inlineStr">
        <is>
          <t>GESTIONATECH</t>
        </is>
      </c>
      <c r="K642" s="18" t="n">
        <v>46281</v>
      </c>
      <c r="L642" s="18" t="n">
        <v>46281</v>
      </c>
      <c r="M642" s="17" t="n">
        <v>14</v>
      </c>
    </row>
    <row r="643">
      <c r="A643" s="19" t="inlineStr">
        <is>
          <t>6314</t>
        </is>
      </c>
      <c r="B643" s="20" t="inlineStr">
        <is>
          <t>COROZAL</t>
        </is>
      </c>
      <c r="C643" s="20" t="inlineStr">
        <is>
          <t>Corozal</t>
        </is>
      </c>
      <c r="D643" s="20" t="inlineStr">
        <is>
          <t>Sucre</t>
        </is>
      </c>
      <c r="E643" s="20" t="inlineStr">
        <is>
          <t>COSTA</t>
        </is>
      </c>
      <c r="F643" s="20" t="inlineStr">
        <is>
          <t>8:00 AM - 11:30 AM Y DE 02:00 PM - 04:30 PM</t>
        </is>
      </c>
      <c r="G643" s="20" t="inlineStr">
        <is>
          <t>Cra.25  Nº. 27-29</t>
        </is>
      </c>
      <c r="H643" s="20" t="inlineStr">
        <is>
          <t>6013821400</t>
        </is>
      </c>
      <c r="I643" s="20" t="inlineStr">
        <is>
          <t>LUNES A VIERNES</t>
        </is>
      </c>
      <c r="J643" s="20" t="inlineStr">
        <is>
          <t>GESTIONATECH</t>
        </is>
      </c>
      <c r="K643" s="21" t="n">
        <v>46287</v>
      </c>
      <c r="L643" s="21" t="n">
        <v>46287</v>
      </c>
      <c r="M643" s="20" t="n">
        <v>26</v>
      </c>
    </row>
    <row r="644">
      <c r="A644" s="16" t="inlineStr">
        <is>
          <t>6315</t>
        </is>
      </c>
      <c r="B644" s="17" t="inlineStr">
        <is>
          <t>CENTRAL DE ABASTOS SINCELEJO</t>
        </is>
      </c>
      <c r="C644" s="17" t="inlineStr">
        <is>
          <t>Sincelejo</t>
        </is>
      </c>
      <c r="D644" s="17" t="inlineStr">
        <is>
          <t>Sucre</t>
        </is>
      </c>
      <c r="E644" s="17" t="inlineStr">
        <is>
          <t>COSTA</t>
        </is>
      </c>
      <c r="F644" s="17" t="inlineStr">
        <is>
          <t>8:00 A.M.  A 3:00 P.M.</t>
        </is>
      </c>
      <c r="G644" s="17" t="inlineStr">
        <is>
          <t>Calle 38 N°19-232 Local C11 Sector Ma-B1</t>
        </is>
      </c>
      <c r="H644" s="17" t="inlineStr">
        <is>
          <t>6013821400</t>
        </is>
      </c>
      <c r="I644" s="17" t="inlineStr">
        <is>
          <t>LUNES A VIERNES</t>
        </is>
      </c>
      <c r="J644" s="17" t="inlineStr">
        <is>
          <t>GESTIONATECH</t>
        </is>
      </c>
      <c r="K644" s="18" t="n">
        <v>46286</v>
      </c>
      <c r="L644" s="18" t="n">
        <v>46286</v>
      </c>
      <c r="M644" s="17" t="n">
        <v>18</v>
      </c>
    </row>
    <row r="645">
      <c r="A645" s="19" t="inlineStr">
        <is>
          <t>6320</t>
        </is>
      </c>
      <c r="B645" s="20" t="inlineStr">
        <is>
          <t>GALERAS</t>
        </is>
      </c>
      <c r="C645" s="20" t="inlineStr">
        <is>
          <t>Galeras</t>
        </is>
      </c>
      <c r="D645" s="20" t="inlineStr">
        <is>
          <t>Sucre</t>
        </is>
      </c>
      <c r="E645" s="20" t="inlineStr">
        <is>
          <t>COSTA</t>
        </is>
      </c>
      <c r="F645" s="20" t="inlineStr">
        <is>
          <t>8:00 AM - 11:30 AM Y DE 02:00 PM - 04:30 PM</t>
        </is>
      </c>
      <c r="G645" s="20" t="inlineStr">
        <is>
          <t>Cra.  5  Nº.  4-61</t>
        </is>
      </c>
      <c r="H645" s="20" t="inlineStr">
        <is>
          <t>6013821400</t>
        </is>
      </c>
      <c r="I645" s="20" t="inlineStr">
        <is>
          <t>LUNES A VIERNES</t>
        </is>
      </c>
      <c r="J645" s="20" t="inlineStr">
        <is>
          <t>GESTIONATECH</t>
        </is>
      </c>
      <c r="K645" s="21" t="n">
        <v>46289</v>
      </c>
      <c r="L645" s="21" t="n">
        <v>46289</v>
      </c>
      <c r="M645" s="20" t="n">
        <v>18</v>
      </c>
    </row>
    <row r="646">
      <c r="A646" s="16" t="inlineStr">
        <is>
          <t>6324</t>
        </is>
      </c>
      <c r="B646" s="17" t="inlineStr">
        <is>
          <t>GUARANDA</t>
        </is>
      </c>
      <c r="C646" s="17" t="inlineStr">
        <is>
          <t>Guaranda</t>
        </is>
      </c>
      <c r="D646" s="17" t="inlineStr">
        <is>
          <t>Sucre</t>
        </is>
      </c>
      <c r="E646" s="17" t="inlineStr">
        <is>
          <t>COSTA</t>
        </is>
      </c>
      <c r="F646" s="17" t="inlineStr">
        <is>
          <t>8:00 AM - 11:30 AM Y DE 02:00 PM - 04:30 PM</t>
        </is>
      </c>
      <c r="G646" s="17" t="inlineStr">
        <is>
          <t>Carrera 5 # 6-05</t>
        </is>
      </c>
      <c r="H646" s="17" t="inlineStr">
        <is>
          <t>6013821400</t>
        </is>
      </c>
      <c r="I646" s="17" t="inlineStr">
        <is>
          <t>LUNES A VIERNES</t>
        </is>
      </c>
      <c r="J646" s="17" t="inlineStr">
        <is>
          <t>GESTIONATECH</t>
        </is>
      </c>
      <c r="K646" s="18" t="n">
        <v>46286</v>
      </c>
      <c r="L646" s="18" t="n">
        <v>46286</v>
      </c>
      <c r="M646" s="17" t="n">
        <v>17</v>
      </c>
    </row>
    <row r="647">
      <c r="A647" s="19" t="inlineStr">
        <is>
          <t>6330</t>
        </is>
      </c>
      <c r="B647" s="20" t="inlineStr">
        <is>
          <t>LA UNION</t>
        </is>
      </c>
      <c r="C647" s="20" t="inlineStr">
        <is>
          <t>La Unión</t>
        </is>
      </c>
      <c r="D647" s="20" t="inlineStr">
        <is>
          <t>Sucre</t>
        </is>
      </c>
      <c r="E647" s="20" t="inlineStr">
        <is>
          <t>COSTA</t>
        </is>
      </c>
      <c r="F647" s="20" t="inlineStr">
        <is>
          <t>8:00 AM - 11:30 AM Y DE 02:00 PM - 04:30 PM</t>
        </is>
      </c>
      <c r="G647" s="20" t="inlineStr">
        <is>
          <t>Calle 14 No. 10 - 15 Avenida Nuñez - Barrio Santo Domingo</t>
        </is>
      </c>
      <c r="H647" s="20" t="inlineStr">
        <is>
          <t>6013821400</t>
        </is>
      </c>
      <c r="I647" s="20" t="inlineStr">
        <is>
          <t>LUNES A VIERNES</t>
        </is>
      </c>
      <c r="J647" s="20" t="inlineStr">
        <is>
          <t>GESTIONATECH</t>
        </is>
      </c>
      <c r="K647" s="21" t="n">
        <v>46280</v>
      </c>
      <c r="L647" s="21" t="n">
        <v>46280</v>
      </c>
      <c r="M647" s="20" t="n">
        <v>14</v>
      </c>
    </row>
    <row r="648">
      <c r="A648" s="16" t="inlineStr">
        <is>
          <t>6335</t>
        </is>
      </c>
      <c r="B648" s="17" t="inlineStr">
        <is>
          <t>LOS PALMITOS</t>
        </is>
      </c>
      <c r="C648" s="17" t="inlineStr">
        <is>
          <t>Los Palmitos</t>
        </is>
      </c>
      <c r="D648" s="17" t="inlineStr">
        <is>
          <t>Sucre</t>
        </is>
      </c>
      <c r="E648" s="17" t="inlineStr">
        <is>
          <t>COSTA</t>
        </is>
      </c>
      <c r="F648" s="17" t="inlineStr">
        <is>
          <t>8:00 AM - 11:30 AM Y DE 02:00 PM - 04:30 PM</t>
        </is>
      </c>
      <c r="G648" s="17" t="inlineStr">
        <is>
          <t>Calle 6 No.6-14</t>
        </is>
      </c>
      <c r="H648" s="17" t="inlineStr">
        <is>
          <t>6013821400</t>
        </is>
      </c>
      <c r="I648" s="17" t="inlineStr">
        <is>
          <t>LUNES A VIERNES</t>
        </is>
      </c>
      <c r="J648" s="17" t="inlineStr">
        <is>
          <t>GESTIONATECH</t>
        </is>
      </c>
      <c r="K648" s="18" t="n">
        <v>46295</v>
      </c>
      <c r="L648" s="18" t="n">
        <v>46295</v>
      </c>
      <c r="M648" s="17" t="n">
        <v>14</v>
      </c>
    </row>
    <row r="649">
      <c r="A649" s="19" t="inlineStr">
        <is>
          <t>6340</t>
        </is>
      </c>
      <c r="B649" s="20" t="inlineStr">
        <is>
          <t>MAJAGUAL</t>
        </is>
      </c>
      <c r="C649" s="20" t="inlineStr">
        <is>
          <t>Majagual</t>
        </is>
      </c>
      <c r="D649" s="20" t="inlineStr">
        <is>
          <t>Sucre</t>
        </is>
      </c>
      <c r="E649" s="20" t="inlineStr">
        <is>
          <t>COSTA</t>
        </is>
      </c>
      <c r="F649" s="20" t="inlineStr">
        <is>
          <t>8:00 AM - 11:30 AM Y DE 02:00 PM - 04:30 PM</t>
        </is>
      </c>
      <c r="G649" s="20" t="inlineStr">
        <is>
          <t>Calle 5 No.14-74 Calle Central</t>
        </is>
      </c>
      <c r="H649" s="20" t="inlineStr">
        <is>
          <t>6013821400</t>
        </is>
      </c>
      <c r="I649" s="20" t="inlineStr">
        <is>
          <t>LUNES A VIERNES</t>
        </is>
      </c>
      <c r="J649" s="20" t="inlineStr">
        <is>
          <t>GESTIONATECH</t>
        </is>
      </c>
      <c r="K649" s="21" t="n">
        <v>46288</v>
      </c>
      <c r="L649" s="21" t="n">
        <v>46288</v>
      </c>
      <c r="M649" s="20" t="n">
        <v>22</v>
      </c>
    </row>
    <row r="650">
      <c r="A650" s="16" t="inlineStr">
        <is>
          <t>6350</t>
        </is>
      </c>
      <c r="B650" s="17" t="inlineStr">
        <is>
          <t>OVEJAS</t>
        </is>
      </c>
      <c r="C650" s="17" t="inlineStr">
        <is>
          <t>Ovejas</t>
        </is>
      </c>
      <c r="D650" s="17" t="inlineStr">
        <is>
          <t>Sucre</t>
        </is>
      </c>
      <c r="E650" s="17" t="inlineStr">
        <is>
          <t>COSTA</t>
        </is>
      </c>
      <c r="F650" s="17" t="inlineStr">
        <is>
          <t>8:00 AM - 11:30 AM Y DE 02:00 PM - 04:30 PM</t>
        </is>
      </c>
      <c r="G650" s="17" t="inlineStr">
        <is>
          <t>CRA.  16  No.20-26</t>
        </is>
      </c>
      <c r="H650" s="17" t="inlineStr">
        <is>
          <t>6013821400</t>
        </is>
      </c>
      <c r="I650" s="17" t="inlineStr">
        <is>
          <t>LUNES A VIERNES</t>
        </is>
      </c>
      <c r="J650" s="17" t="inlineStr">
        <is>
          <t>GESTIONATECH</t>
        </is>
      </c>
      <c r="K650" s="18" t="n">
        <v>46280</v>
      </c>
      <c r="L650" s="18" t="n">
        <v>46280</v>
      </c>
      <c r="M650" s="17" t="n">
        <v>12</v>
      </c>
    </row>
    <row r="651">
      <c r="A651" s="19" t="inlineStr">
        <is>
          <t>6360</t>
        </is>
      </c>
      <c r="B651" s="20" t="inlineStr">
        <is>
          <t>SAMPUES</t>
        </is>
      </c>
      <c r="C651" s="20" t="inlineStr">
        <is>
          <t>Sampués</t>
        </is>
      </c>
      <c r="D651" s="20" t="inlineStr">
        <is>
          <t>Sucre</t>
        </is>
      </c>
      <c r="E651" s="20" t="inlineStr">
        <is>
          <t>COSTA</t>
        </is>
      </c>
      <c r="F651" s="20" t="inlineStr">
        <is>
          <t>8:00 AM - 11:30 AM Y DE 02:00 PM - 04:30 PM</t>
        </is>
      </c>
      <c r="G651" s="20" t="inlineStr">
        <is>
          <t>CRA. 20  No. 23-76 Calle Real</t>
        </is>
      </c>
      <c r="H651" s="20" t="inlineStr">
        <is>
          <t>6013821400</t>
        </is>
      </c>
      <c r="I651" s="20" t="inlineStr">
        <is>
          <t>LUNES A VIERNES</t>
        </is>
      </c>
      <c r="J651" s="20" t="inlineStr">
        <is>
          <t>GESTIONATECH</t>
        </is>
      </c>
      <c r="K651" s="21" t="n">
        <v>46294</v>
      </c>
      <c r="L651" s="21" t="n">
        <v>46294</v>
      </c>
      <c r="M651" s="20" t="n">
        <v>18</v>
      </c>
    </row>
    <row r="652">
      <c r="A652" s="16" t="inlineStr">
        <is>
          <t>6362</t>
        </is>
      </c>
      <c r="B652" s="17" t="inlineStr">
        <is>
          <t>SAN BENITO ABAD</t>
        </is>
      </c>
      <c r="C652" s="17" t="inlineStr">
        <is>
          <t>San Benito Abad</t>
        </is>
      </c>
      <c r="D652" s="17" t="inlineStr">
        <is>
          <t>Sucre</t>
        </is>
      </c>
      <c r="E652" s="17" t="inlineStr">
        <is>
          <t>COSTA</t>
        </is>
      </c>
      <c r="F652" s="17" t="inlineStr">
        <is>
          <t>8:00 AM - 11:30 AM Y DE 02:00 PM - 04:30 PM</t>
        </is>
      </c>
      <c r="G652" s="17" t="inlineStr">
        <is>
          <t>Calle 12 N°14-44 Plaza Principal</t>
        </is>
      </c>
      <c r="H652" s="17" t="inlineStr">
        <is>
          <t>6013821400</t>
        </is>
      </c>
      <c r="I652" s="17" t="inlineStr">
        <is>
          <t>LUNES A VIERNES</t>
        </is>
      </c>
      <c r="J652" s="17" t="inlineStr">
        <is>
          <t>GESTIONATECH</t>
        </is>
      </c>
      <c r="K652" s="18" t="n">
        <v>46282</v>
      </c>
      <c r="L652" s="18" t="n">
        <v>46282</v>
      </c>
      <c r="M652" s="17" t="n">
        <v>12</v>
      </c>
    </row>
    <row r="653">
      <c r="A653" s="19" t="inlineStr">
        <is>
          <t>6364</t>
        </is>
      </c>
      <c r="B653" s="20" t="inlineStr">
        <is>
          <t>SAN MARCOS</t>
        </is>
      </c>
      <c r="C653" s="20" t="inlineStr">
        <is>
          <t>San Marcos</t>
        </is>
      </c>
      <c r="D653" s="20" t="inlineStr">
        <is>
          <t>Sucre</t>
        </is>
      </c>
      <c r="E653" s="20" t="inlineStr">
        <is>
          <t>COSTA</t>
        </is>
      </c>
      <c r="F653" s="20" t="inlineStr">
        <is>
          <t>8:00 AM - 11:30 AM Y DE 02:00 PM - 04:30 PM</t>
        </is>
      </c>
      <c r="G653" s="20" t="inlineStr">
        <is>
          <t>Calle 19 No.22 – 34</t>
        </is>
      </c>
      <c r="H653" s="20" t="inlineStr">
        <is>
          <t>6013821400</t>
        </is>
      </c>
      <c r="I653" s="20" t="inlineStr">
        <is>
          <t>LUNES A VIERNES</t>
        </is>
      </c>
      <c r="J653" s="20" t="inlineStr">
        <is>
          <t>GESTIONATECH</t>
        </is>
      </c>
      <c r="K653" s="21" t="n">
        <v>46279</v>
      </c>
      <c r="L653" s="21" t="n">
        <v>46279</v>
      </c>
      <c r="M653" s="20" t="n">
        <v>18</v>
      </c>
    </row>
    <row r="654">
      <c r="A654" s="16" t="inlineStr">
        <is>
          <t>6366</t>
        </is>
      </c>
      <c r="B654" s="17" t="inlineStr">
        <is>
          <t>SAN ONOFRE</t>
        </is>
      </c>
      <c r="C654" s="17" t="inlineStr">
        <is>
          <t>San Onofre</t>
        </is>
      </c>
      <c r="D654" s="17" t="inlineStr">
        <is>
          <t>Sucre</t>
        </is>
      </c>
      <c r="E654" s="17" t="inlineStr">
        <is>
          <t>COSTA</t>
        </is>
      </c>
      <c r="F654" s="17" t="inlineStr">
        <is>
          <t>8:00 AM - 11:30 AM Y DE 02:00 PM - 04:30 PM</t>
        </is>
      </c>
      <c r="G654" s="17" t="inlineStr">
        <is>
          <t>Cra. 19 No.20-65 Plaza Principal</t>
        </is>
      </c>
      <c r="H654" s="17" t="inlineStr">
        <is>
          <t>6013821400</t>
        </is>
      </c>
      <c r="I654" s="17" t="inlineStr">
        <is>
          <t>LUNES A VIERNES</t>
        </is>
      </c>
      <c r="J654" s="17" t="inlineStr">
        <is>
          <t>GESTIONATECH</t>
        </is>
      </c>
      <c r="K654" s="18" t="n">
        <v>46296</v>
      </c>
      <c r="L654" s="18" t="n">
        <v>46296</v>
      </c>
      <c r="M654" s="17" t="n">
        <v>18</v>
      </c>
    </row>
    <row r="655">
      <c r="A655" s="19" t="inlineStr">
        <is>
          <t>6368</t>
        </is>
      </c>
      <c r="B655" s="20" t="inlineStr">
        <is>
          <t>SAN PEDRO</t>
        </is>
      </c>
      <c r="C655" s="20" t="inlineStr">
        <is>
          <t>San Pedro</t>
        </is>
      </c>
      <c r="D655" s="20" t="inlineStr">
        <is>
          <t>Sucre</t>
        </is>
      </c>
      <c r="E655" s="20" t="inlineStr">
        <is>
          <t>COSTA</t>
        </is>
      </c>
      <c r="F655" s="20" t="inlineStr">
        <is>
          <t>8:00 AM - 11:30 AM Y DE 02:00 PM - 04:30 PM</t>
        </is>
      </c>
      <c r="G655" s="20" t="inlineStr">
        <is>
          <t>Calle 13 No. 8-16 barrio los Cocos</t>
        </is>
      </c>
      <c r="H655" s="20" t="inlineStr">
        <is>
          <t>6013821400</t>
        </is>
      </c>
      <c r="I655" s="20" t="inlineStr">
        <is>
          <t>LUNES A VIERNES</t>
        </is>
      </c>
      <c r="J655" s="20" t="inlineStr">
        <is>
          <t>GESTIONATECH</t>
        </is>
      </c>
      <c r="K655" s="21" t="n">
        <v>46281</v>
      </c>
      <c r="L655" s="21" t="n">
        <v>46281</v>
      </c>
      <c r="M655" s="20" t="n">
        <v>12</v>
      </c>
    </row>
    <row r="656">
      <c r="A656" s="16" t="inlineStr">
        <is>
          <t>6370</t>
        </is>
      </c>
      <c r="B656" s="17" t="inlineStr">
        <is>
          <t>SINCE</t>
        </is>
      </c>
      <c r="C656" s="17" t="inlineStr">
        <is>
          <t>San Luis De Sincé</t>
        </is>
      </c>
      <c r="D656" s="17" t="inlineStr">
        <is>
          <t>Sucre</t>
        </is>
      </c>
      <c r="E656" s="17" t="inlineStr">
        <is>
          <t>COSTA</t>
        </is>
      </c>
      <c r="F656" s="17" t="inlineStr">
        <is>
          <t>8:00 AM - 11:30 AM Y DE 02:00 PM - 04:30 PM</t>
        </is>
      </c>
      <c r="G656" s="17" t="inlineStr">
        <is>
          <t>Cra. 11 Nº.  10 -05</t>
        </is>
      </c>
      <c r="H656" s="17" t="inlineStr">
        <is>
          <t>6013821400</t>
        </is>
      </c>
      <c r="I656" s="17" t="inlineStr">
        <is>
          <t>LUNES A VIERNES</t>
        </is>
      </c>
      <c r="J656" s="17" t="inlineStr">
        <is>
          <t>GESTIONATECH</t>
        </is>
      </c>
      <c r="K656" s="18" t="n">
        <v>46290</v>
      </c>
      <c r="L656" s="18" t="n">
        <v>46290</v>
      </c>
      <c r="M656" s="17" t="n">
        <v>15</v>
      </c>
    </row>
    <row r="657">
      <c r="A657" s="19" t="inlineStr">
        <is>
          <t>6372</t>
        </is>
      </c>
      <c r="B657" s="20" t="inlineStr">
        <is>
          <t>SUCRE</t>
        </is>
      </c>
      <c r="C657" s="20" t="inlineStr">
        <is>
          <t>Sucre</t>
        </is>
      </c>
      <c r="D657" s="20" t="inlineStr">
        <is>
          <t>Sucre</t>
        </is>
      </c>
      <c r="E657" s="20" t="inlineStr">
        <is>
          <t>COSTA</t>
        </is>
      </c>
      <c r="F657" s="20" t="inlineStr">
        <is>
          <t>8:00 AM - 11:30 AM Y DE 02:00 PM - 04:30 PM</t>
        </is>
      </c>
      <c r="G657" s="20" t="inlineStr">
        <is>
          <t>CALLE 9 No.2-04</t>
        </is>
      </c>
      <c r="H657" s="20" t="inlineStr">
        <is>
          <t>6013821400</t>
        </is>
      </c>
      <c r="I657" s="20" t="inlineStr">
        <is>
          <t>LUNES A VIERNES</t>
        </is>
      </c>
      <c r="J657" s="20" t="inlineStr">
        <is>
          <t>GESTIONATECH</t>
        </is>
      </c>
      <c r="K657" s="21" t="n">
        <v>46290</v>
      </c>
      <c r="L657" s="21" t="n">
        <v>46290</v>
      </c>
      <c r="M657" s="20" t="n">
        <v>14</v>
      </c>
    </row>
    <row r="658">
      <c r="A658" s="16" t="inlineStr">
        <is>
          <t>6380</t>
        </is>
      </c>
      <c r="B658" s="17" t="inlineStr">
        <is>
          <t>TOLU</t>
        </is>
      </c>
      <c r="C658" s="17" t="inlineStr">
        <is>
          <t>Santiago De Tolú</t>
        </is>
      </c>
      <c r="D658" s="17" t="inlineStr">
        <is>
          <t>Sucre</t>
        </is>
      </c>
      <c r="E658" s="17" t="inlineStr">
        <is>
          <t>COSTA</t>
        </is>
      </c>
      <c r="F658" s="17" t="inlineStr">
        <is>
          <t>8:00 AM - 11:30 AM Y DE 02:00 PM - 04:30 PM</t>
        </is>
      </c>
      <c r="G658" s="17" t="inlineStr">
        <is>
          <t>Calle 16 No.3-53</t>
        </is>
      </c>
      <c r="H658" s="17" t="inlineStr">
        <is>
          <t>6013821400</t>
        </is>
      </c>
      <c r="I658" s="17" t="inlineStr">
        <is>
          <t>LUNES A VIERNES</t>
        </is>
      </c>
      <c r="J658" s="17" t="inlineStr">
        <is>
          <t>GESTIONATECH</t>
        </is>
      </c>
      <c r="K658" s="18" t="n">
        <v>46272</v>
      </c>
      <c r="L658" s="18" t="n">
        <v>46272</v>
      </c>
      <c r="M658" s="17" t="n">
        <v>16</v>
      </c>
    </row>
    <row r="659">
      <c r="A659" s="19" t="inlineStr">
        <is>
          <t>6382</t>
        </is>
      </c>
      <c r="B659" s="20" t="inlineStr">
        <is>
          <t>TOLUVIEJO</t>
        </is>
      </c>
      <c r="C659" s="20" t="inlineStr">
        <is>
          <t>Tolú Viejo</t>
        </is>
      </c>
      <c r="D659" s="20" t="inlineStr">
        <is>
          <t>Sucre</t>
        </is>
      </c>
      <c r="E659" s="20" t="inlineStr">
        <is>
          <t>COSTA</t>
        </is>
      </c>
      <c r="F659" s="20" t="inlineStr">
        <is>
          <t>8:00 AM - 11:30 AM Y DE 02:00 PM - 04:30 PM</t>
        </is>
      </c>
      <c r="G659" s="20" t="inlineStr">
        <is>
          <t>Diagonal 3 No. 4-03/15 (Calle San José)</t>
        </is>
      </c>
      <c r="H659" s="20" t="inlineStr">
        <is>
          <t>6013821400</t>
        </is>
      </c>
      <c r="I659" s="20" t="inlineStr">
        <is>
          <t>LUNES A VIERNES</t>
        </is>
      </c>
      <c r="J659" s="20" t="inlineStr">
        <is>
          <t>GESTIONATECH</t>
        </is>
      </c>
      <c r="K659" s="21" t="n">
        <v>46288</v>
      </c>
      <c r="L659" s="21" t="n">
        <v>46288</v>
      </c>
      <c r="M659" s="20" t="n">
        <v>12</v>
      </c>
    </row>
    <row r="660">
      <c r="A660" s="16" t="inlineStr">
        <is>
          <t>6601</t>
        </is>
      </c>
      <c r="B660" s="17" t="inlineStr">
        <is>
          <t>IBAGUE</t>
        </is>
      </c>
      <c r="C660" s="17" t="inlineStr">
        <is>
          <t>Ibagué</t>
        </is>
      </c>
      <c r="D660" s="17" t="inlineStr">
        <is>
          <t>Tolima</t>
        </is>
      </c>
      <c r="E660" s="17" t="inlineStr">
        <is>
          <t>SUR</t>
        </is>
      </c>
      <c r="F660" s="17" t="inlineStr">
        <is>
          <t>8:00 AM - 11:30 AM Y DE 02:00 PM - 04:30 PM</t>
        </is>
      </c>
      <c r="G660" s="17" t="inlineStr">
        <is>
          <t>Calle 15 No.3-26</t>
        </is>
      </c>
      <c r="H660" s="17" t="inlineStr">
        <is>
          <t>6013821400</t>
        </is>
      </c>
      <c r="I660" s="17" t="inlineStr">
        <is>
          <t>LUNES A VIERNES</t>
        </is>
      </c>
      <c r="J660" s="17" t="inlineStr">
        <is>
          <t>REGIONAL</t>
        </is>
      </c>
      <c r="K660" s="18" t="n">
        <v>46301</v>
      </c>
      <c r="L660" s="18" t="n">
        <v>46311</v>
      </c>
      <c r="M660" s="17" t="n">
        <v>74</v>
      </c>
    </row>
    <row r="661">
      <c r="A661" s="19" t="inlineStr">
        <is>
          <t>6605</t>
        </is>
      </c>
      <c r="B661" s="20" t="inlineStr">
        <is>
          <t>ALVARADO</t>
        </is>
      </c>
      <c r="C661" s="20" t="inlineStr">
        <is>
          <t>Alvarado</t>
        </is>
      </c>
      <c r="D661" s="20" t="inlineStr">
        <is>
          <t>Tolima</t>
        </is>
      </c>
      <c r="E661" s="20" t="inlineStr">
        <is>
          <t>SUR</t>
        </is>
      </c>
      <c r="F661" s="20" t="inlineStr">
        <is>
          <t>DE MARTES A VIERNES DE 8:00 AM A 11:30 AM Y DE 2:00 P.M. A 4:30 P.M.    SABADO DE 8:00 AM A 2:00 P.M.</t>
        </is>
      </c>
      <c r="G661" s="20" t="inlineStr">
        <is>
          <t>Calle 3 No 3-18/22/24 Barrio Centro</t>
        </is>
      </c>
      <c r="H661" s="20" t="inlineStr">
        <is>
          <t>6013821400</t>
        </is>
      </c>
      <c r="I661" s="20" t="inlineStr">
        <is>
          <t>MARTES A VIERNES Y      SÁBADO</t>
        </is>
      </c>
      <c r="J661" s="20" t="inlineStr">
        <is>
          <t>GESTIONATECH</t>
        </is>
      </c>
      <c r="K661" s="21" t="n">
        <v>46269</v>
      </c>
      <c r="L661" s="21" t="n">
        <v>46269</v>
      </c>
      <c r="M661" s="20" t="n">
        <v>13</v>
      </c>
    </row>
    <row r="662">
      <c r="A662" s="16" t="inlineStr">
        <is>
          <t>6606</t>
        </is>
      </c>
      <c r="B662" s="17" t="inlineStr">
        <is>
          <t>LÉRIDA</t>
        </is>
      </c>
      <c r="C662" s="17" t="inlineStr">
        <is>
          <t>Lérida</t>
        </is>
      </c>
      <c r="D662" s="17" t="inlineStr">
        <is>
          <t>Tolima</t>
        </is>
      </c>
      <c r="E662" s="17" t="inlineStr">
        <is>
          <t>SUR</t>
        </is>
      </c>
      <c r="F662" s="17" t="inlineStr">
        <is>
          <t>8:00 AM - 11:30 AM Y DE 02:00 PM - 04:30 PM</t>
        </is>
      </c>
      <c r="G662" s="17" t="inlineStr">
        <is>
          <t>CARRERA  6 N° 8 - 14</t>
        </is>
      </c>
      <c r="H662" s="17" t="inlineStr">
        <is>
          <t>6013821400</t>
        </is>
      </c>
      <c r="I662" s="17" t="inlineStr">
        <is>
          <t>LUNES A VIERNES</t>
        </is>
      </c>
      <c r="J662" s="17" t="inlineStr">
        <is>
          <t>GESTIONATECH</t>
        </is>
      </c>
      <c r="K662" s="18" t="n">
        <v>46275</v>
      </c>
      <c r="L662" s="18" t="n">
        <v>46275</v>
      </c>
      <c r="M662" s="17" t="n">
        <v>17</v>
      </c>
    </row>
    <row r="663">
      <c r="A663" s="19" t="inlineStr">
        <is>
          <t>6607</t>
        </is>
      </c>
      <c r="B663" s="20" t="inlineStr">
        <is>
          <t>CAJAMARCA</t>
        </is>
      </c>
      <c r="C663" s="20" t="inlineStr">
        <is>
          <t>Cajamarca</t>
        </is>
      </c>
      <c r="D663" s="20" t="inlineStr">
        <is>
          <t>Tolima</t>
        </is>
      </c>
      <c r="E663" s="20" t="inlineStr">
        <is>
          <t>SUR</t>
        </is>
      </c>
      <c r="F663" s="20" t="inlineStr">
        <is>
          <t>8:00 AM - 11:30 AM Y DE 02:00 PM - 04:30 PM</t>
        </is>
      </c>
      <c r="G663" s="20" t="inlineStr">
        <is>
          <t>Carrera 8 No. 6-56 Parque Principal</t>
        </is>
      </c>
      <c r="H663" s="20" t="inlineStr">
        <is>
          <t>6013821400</t>
        </is>
      </c>
      <c r="I663" s="20" t="inlineStr">
        <is>
          <t>LUNES A VIERNES</t>
        </is>
      </c>
      <c r="J663" s="20" t="inlineStr">
        <is>
          <t>GESTIONATECH</t>
        </is>
      </c>
      <c r="K663" s="21" t="n">
        <v>46266</v>
      </c>
      <c r="L663" s="21" t="n">
        <v>46267</v>
      </c>
      <c r="M663" s="20" t="n">
        <v>19</v>
      </c>
    </row>
    <row r="664">
      <c r="A664" s="16" t="inlineStr">
        <is>
          <t>6608</t>
        </is>
      </c>
      <c r="B664" s="17" t="inlineStr">
        <is>
          <t>MARIQUITA</t>
        </is>
      </c>
      <c r="C664" s="17" t="inlineStr">
        <is>
          <t>Mariquita</t>
        </is>
      </c>
      <c r="D664" s="17" t="inlineStr">
        <is>
          <t>Tolima</t>
        </is>
      </c>
      <c r="E664" s="17" t="inlineStr">
        <is>
          <t>SUR</t>
        </is>
      </c>
      <c r="F664" s="17" t="inlineStr">
        <is>
          <t>8:00 AM - 11:30 AM Y DE 02:00 PM - 04:30 PM</t>
        </is>
      </c>
      <c r="G664" s="17" t="inlineStr">
        <is>
          <t>Calle 4 No. 2-120 Carrera 3 No. 4-18</t>
        </is>
      </c>
      <c r="H664" s="17" t="inlineStr">
        <is>
          <t>6013821400</t>
        </is>
      </c>
      <c r="I664" s="17" t="inlineStr">
        <is>
          <t>LUNES A VIERNES</t>
        </is>
      </c>
      <c r="J664" s="17" t="inlineStr">
        <is>
          <t>GESTIONATECH</t>
        </is>
      </c>
      <c r="K664" s="18" t="n">
        <v>46332</v>
      </c>
      <c r="L664" s="18" t="n">
        <v>46332</v>
      </c>
      <c r="M664" s="17" t="n">
        <v>21</v>
      </c>
    </row>
    <row r="665">
      <c r="A665" s="19" t="inlineStr">
        <is>
          <t>6609</t>
        </is>
      </c>
      <c r="B665" s="20" t="inlineStr">
        <is>
          <t>ICONONZO</t>
        </is>
      </c>
      <c r="C665" s="20" t="inlineStr">
        <is>
          <t>Icononzo</t>
        </is>
      </c>
      <c r="D665" s="20" t="inlineStr">
        <is>
          <t>Tolima</t>
        </is>
      </c>
      <c r="E665" s="20" t="inlineStr">
        <is>
          <t>SUR</t>
        </is>
      </c>
      <c r="F665" s="20" t="inlineStr">
        <is>
          <t>8:00 AM A 2:00 P.M.</t>
        </is>
      </c>
      <c r="G665" s="20" t="inlineStr">
        <is>
          <t>CRA. 6 # 7-01</t>
        </is>
      </c>
      <c r="H665" s="20" t="inlineStr">
        <is>
          <t>6013821400</t>
        </is>
      </c>
      <c r="I665" s="20" t="inlineStr">
        <is>
          <t>MARTES A SABADO</t>
        </is>
      </c>
      <c r="J665" s="20" t="inlineStr">
        <is>
          <t>GESTIONATECH</t>
        </is>
      </c>
      <c r="K665" s="21" t="n">
        <v>46269</v>
      </c>
      <c r="L665" s="21" t="n">
        <v>46269</v>
      </c>
      <c r="M665" s="20" t="n">
        <v>16</v>
      </c>
    </row>
    <row r="666">
      <c r="A666" s="16" t="inlineStr">
        <is>
          <t>6610</t>
        </is>
      </c>
      <c r="B666" s="17" t="inlineStr">
        <is>
          <t>HONDA</t>
        </is>
      </c>
      <c r="C666" s="17" t="inlineStr">
        <is>
          <t>Honda</t>
        </is>
      </c>
      <c r="D666" s="17" t="inlineStr">
        <is>
          <t>Tolima</t>
        </is>
      </c>
      <c r="E666" s="17" t="inlineStr">
        <is>
          <t>SUR</t>
        </is>
      </c>
      <c r="F666" s="17" t="inlineStr">
        <is>
          <t>8:00 AM - 11:30 AM Y DE 02:00 PM - 04:30 PM</t>
        </is>
      </c>
      <c r="G666" s="17" t="inlineStr">
        <is>
          <t>CARRERA 11 N° 14 -91/101</t>
        </is>
      </c>
      <c r="H666" s="17" t="inlineStr">
        <is>
          <t>6013821400</t>
        </is>
      </c>
      <c r="I666" s="17" t="inlineStr">
        <is>
          <t>LUNES A VIERNES</t>
        </is>
      </c>
      <c r="J666" s="17" t="inlineStr">
        <is>
          <t>GESTIONATECH</t>
        </is>
      </c>
      <c r="K666" s="18" t="n">
        <v>46330</v>
      </c>
      <c r="L666" s="18" t="n">
        <v>46330</v>
      </c>
      <c r="M666" s="17" t="n">
        <v>16</v>
      </c>
    </row>
    <row r="667">
      <c r="A667" s="19" t="inlineStr">
        <is>
          <t>6613</t>
        </is>
      </c>
      <c r="B667" s="20" t="inlineStr">
        <is>
          <t>CHAPARRAL</t>
        </is>
      </c>
      <c r="C667" s="20" t="inlineStr">
        <is>
          <t>Chaparral</t>
        </is>
      </c>
      <c r="D667" s="20" t="inlineStr">
        <is>
          <t>Tolima</t>
        </is>
      </c>
      <c r="E667" s="20" t="inlineStr">
        <is>
          <t>SUR</t>
        </is>
      </c>
      <c r="F667" s="20" t="inlineStr">
        <is>
          <t>8:00 AM - 11:30 AM Y DE 02:00 PM - 04:30 PM</t>
        </is>
      </c>
      <c r="G667" s="20" t="inlineStr">
        <is>
          <t>Carrera 9 No. 10 - 30  Barrio el Centro</t>
        </is>
      </c>
      <c r="H667" s="20" t="inlineStr">
        <is>
          <t>6013821400</t>
        </is>
      </c>
      <c r="I667" s="20" t="inlineStr">
        <is>
          <t>LUNES A VIERNES</t>
        </is>
      </c>
      <c r="J667" s="20" t="inlineStr">
        <is>
          <t>GESTIONATECH</t>
        </is>
      </c>
      <c r="K667" s="21" t="n">
        <v>46274</v>
      </c>
      <c r="L667" s="21" t="n">
        <v>46275</v>
      </c>
      <c r="M667" s="20" t="n">
        <v>23</v>
      </c>
    </row>
    <row r="668">
      <c r="A668" s="16" t="inlineStr">
        <is>
          <t>6614</t>
        </is>
      </c>
      <c r="B668" s="17" t="inlineStr">
        <is>
          <t>HERVEO</t>
        </is>
      </c>
      <c r="C668" s="17" t="inlineStr">
        <is>
          <t>Herveo</t>
        </is>
      </c>
      <c r="D668" s="17" t="inlineStr">
        <is>
          <t>Tolima</t>
        </is>
      </c>
      <c r="E668" s="17" t="inlineStr">
        <is>
          <t>CAFETERA</t>
        </is>
      </c>
      <c r="F668" s="17" t="inlineStr">
        <is>
          <t>8:00 AM A 2:00 P.M.</t>
        </is>
      </c>
      <c r="G668" s="17" t="inlineStr">
        <is>
          <t>CALLE 4 No. 6 - 38</t>
        </is>
      </c>
      <c r="H668" s="17" t="inlineStr">
        <is>
          <t>6013821400</t>
        </is>
      </c>
      <c r="I668" s="17" t="inlineStr">
        <is>
          <t>MARTES A SABADO</t>
        </is>
      </c>
      <c r="J668" s="17" t="inlineStr">
        <is>
          <t>GESTIONATECH</t>
        </is>
      </c>
      <c r="K668" s="18" t="n">
        <v>46315</v>
      </c>
      <c r="L668" s="18" t="n">
        <v>46317</v>
      </c>
      <c r="M668" s="17" t="n">
        <v>12</v>
      </c>
    </row>
    <row r="669">
      <c r="A669" s="19" t="inlineStr">
        <is>
          <t>6617</t>
        </is>
      </c>
      <c r="B669" s="20" t="inlineStr">
        <is>
          <t>GUAMO</t>
        </is>
      </c>
      <c r="C669" s="20" t="inlineStr">
        <is>
          <t>Guamo</t>
        </is>
      </c>
      <c r="D669" s="20" t="inlineStr">
        <is>
          <t>Tolima</t>
        </is>
      </c>
      <c r="E669" s="20" t="inlineStr">
        <is>
          <t>SUR</t>
        </is>
      </c>
      <c r="F669" s="20" t="inlineStr">
        <is>
          <t>8:00 AM - 11:30 AM Y DE 02:00 PM - 04:30 PM</t>
        </is>
      </c>
      <c r="G669" s="20" t="inlineStr">
        <is>
          <t>Calle 9 No. 10-14 Barrio el Centro</t>
        </is>
      </c>
      <c r="H669" s="20" t="inlineStr">
        <is>
          <t>6013821400</t>
        </is>
      </c>
      <c r="I669" s="20" t="inlineStr">
        <is>
          <t>LUNES A VIERNES</t>
        </is>
      </c>
      <c r="J669" s="20" t="inlineStr">
        <is>
          <t>GESTIONATECH</t>
        </is>
      </c>
      <c r="K669" s="21" t="n">
        <v>46272</v>
      </c>
      <c r="L669" s="21" t="n">
        <v>46272</v>
      </c>
      <c r="M669" s="20" t="n">
        <v>22</v>
      </c>
    </row>
    <row r="670">
      <c r="A670" s="16" t="inlineStr">
        <is>
          <t>6618</t>
        </is>
      </c>
      <c r="B670" s="17" t="inlineStr">
        <is>
          <t>MURILLO</t>
        </is>
      </c>
      <c r="C670" s="17" t="inlineStr">
        <is>
          <t>Murillo</t>
        </is>
      </c>
      <c r="D670" s="17" t="inlineStr">
        <is>
          <t>Tolima</t>
        </is>
      </c>
      <c r="E670" s="17" t="inlineStr">
        <is>
          <t>SUR</t>
        </is>
      </c>
      <c r="F670" s="17" t="inlineStr">
        <is>
          <t>DE MARTES A VIERNES DE 8:00 AM A 11:30 AM Y DE 2:00 P.M. A 4:30 P.M.    SABADO DE 8:00 AM A 2:00 P.M.</t>
        </is>
      </c>
      <c r="G670" s="17" t="inlineStr">
        <is>
          <t>Cra. 8 No.3-85</t>
        </is>
      </c>
      <c r="H670" s="17" t="inlineStr">
        <is>
          <t>6013821400</t>
        </is>
      </c>
      <c r="I670" s="17" t="inlineStr">
        <is>
          <t>MARTES A VIERNES Y      SÁBADO</t>
        </is>
      </c>
      <c r="J670" s="17" t="inlineStr">
        <is>
          <t>GESTIONATECH</t>
        </is>
      </c>
      <c r="K670" s="18" t="n">
        <v>46337</v>
      </c>
      <c r="L670" s="18" t="n">
        <v>46337</v>
      </c>
      <c r="M670" s="17" t="n">
        <v>12</v>
      </c>
    </row>
    <row r="671">
      <c r="A671" s="19" t="inlineStr">
        <is>
          <t>6619</t>
        </is>
      </c>
      <c r="B671" s="20" t="inlineStr">
        <is>
          <t>NATAGAIMA</t>
        </is>
      </c>
      <c r="C671" s="20" t="inlineStr">
        <is>
          <t>Natagaima</t>
        </is>
      </c>
      <c r="D671" s="20" t="inlineStr">
        <is>
          <t>Tolima</t>
        </is>
      </c>
      <c r="E671" s="20" t="inlineStr">
        <is>
          <t>SUR</t>
        </is>
      </c>
      <c r="F671" s="20" t="inlineStr">
        <is>
          <t>DE MARTES A VIERNES DE 8:00 AM A 11:30 AM Y DE 2:00 P.M. A 4:30 P.M.    SABADO DE 8:00 AM A 2:00 P.M.</t>
        </is>
      </c>
      <c r="G671" s="20" t="inlineStr">
        <is>
          <t>Calle 6 No. 3-08 Frente al Parque Principal</t>
        </is>
      </c>
      <c r="H671" s="20" t="inlineStr">
        <is>
          <t>6013821400</t>
        </is>
      </c>
      <c r="I671" s="20" t="inlineStr">
        <is>
          <t>MARTES A VIERNES Y      SÁBADO</t>
        </is>
      </c>
      <c r="J671" s="20" t="inlineStr">
        <is>
          <t>GESTIONATECH</t>
        </is>
      </c>
      <c r="K671" s="21" t="n">
        <v>46280</v>
      </c>
      <c r="L671" s="21" t="n">
        <v>46281</v>
      </c>
      <c r="M671" s="20" t="n">
        <v>16</v>
      </c>
    </row>
    <row r="672">
      <c r="A672" s="16" t="inlineStr">
        <is>
          <t>6621</t>
        </is>
      </c>
      <c r="B672" s="17" t="inlineStr">
        <is>
          <t>ORTEGA</t>
        </is>
      </c>
      <c r="C672" s="17" t="inlineStr">
        <is>
          <t>Ortega</t>
        </is>
      </c>
      <c r="D672" s="17" t="inlineStr">
        <is>
          <t>Tolima</t>
        </is>
      </c>
      <c r="E672" s="17" t="inlineStr">
        <is>
          <t>SUR</t>
        </is>
      </c>
      <c r="F672" s="17" t="inlineStr">
        <is>
          <t>DE MARTES A VIERNES DE 8:00 AM A 11:30 AM Y DE 2:00 P.M. A 4:30 P.M.    SABADO DE 8:00 AM A 2:00 P.M.</t>
        </is>
      </c>
      <c r="G672" s="17" t="inlineStr">
        <is>
          <t>CALLE 6 No 5 - 22</t>
        </is>
      </c>
      <c r="H672" s="17" t="inlineStr">
        <is>
          <t>6013821400</t>
        </is>
      </c>
      <c r="I672" s="17" t="inlineStr">
        <is>
          <t>MARTES A VIERNES Y      SÁBADO</t>
        </is>
      </c>
      <c r="J672" s="17" t="inlineStr">
        <is>
          <t>GESTIONATECH</t>
        </is>
      </c>
      <c r="K672" s="18" t="n">
        <v>46274</v>
      </c>
      <c r="L672" s="18" t="n">
        <v>46275</v>
      </c>
      <c r="M672" s="17" t="n">
        <v>19</v>
      </c>
    </row>
    <row r="673">
      <c r="A673" s="19" t="inlineStr">
        <is>
          <t>6622</t>
        </is>
      </c>
      <c r="B673" s="20" t="inlineStr">
        <is>
          <t>FALAN</t>
        </is>
      </c>
      <c r="C673" s="20" t="inlineStr">
        <is>
          <t>Falan</t>
        </is>
      </c>
      <c r="D673" s="20" t="inlineStr">
        <is>
          <t>Tolima</t>
        </is>
      </c>
      <c r="E673" s="20" t="inlineStr">
        <is>
          <t>SUR</t>
        </is>
      </c>
      <c r="F673" s="20" t="inlineStr">
        <is>
          <t>DE MARTES A VIERNES DE 8:00 AM A 11:30 AM Y DE 2:00 P.M. A 4:30 P.M.    SABADO DE 8:00 AM A 2:00 P.M.</t>
        </is>
      </c>
      <c r="G673" s="20" t="inlineStr">
        <is>
          <t>Calle 6 No.3-60</t>
        </is>
      </c>
      <c r="H673" s="20" t="inlineStr">
        <is>
          <t>6013821400</t>
        </is>
      </c>
      <c r="I673" s="20" t="inlineStr">
        <is>
          <t>MARTES A VIERNES Y      SÁBADO</t>
        </is>
      </c>
      <c r="J673" s="20" t="inlineStr">
        <is>
          <t>GESTIONATECH</t>
        </is>
      </c>
      <c r="K673" s="21" t="n">
        <v>46345</v>
      </c>
      <c r="L673" s="21" t="n">
        <v>46345</v>
      </c>
      <c r="M673" s="20" t="n">
        <v>14</v>
      </c>
    </row>
    <row r="674">
      <c r="A674" s="16" t="inlineStr">
        <is>
          <t>6623</t>
        </is>
      </c>
      <c r="B674" s="17" t="inlineStr">
        <is>
          <t>ALPUJARRA</t>
        </is>
      </c>
      <c r="C674" s="17" t="inlineStr">
        <is>
          <t>Alpujarra</t>
        </is>
      </c>
      <c r="D674" s="17" t="inlineStr">
        <is>
          <t>Tolima</t>
        </is>
      </c>
      <c r="E674" s="17" t="inlineStr">
        <is>
          <t>SUR</t>
        </is>
      </c>
      <c r="F674" s="17" t="inlineStr">
        <is>
          <t>DE MARTES A VIERNES DE 8:00 AM A 11:30 AM Y DE 2:00 P.M. A 4:30 P.M.    SABADO DE 8:00 AM A 2:00 P.M.</t>
        </is>
      </c>
      <c r="G674" s="17" t="inlineStr">
        <is>
          <t>Carrera 5 Calle 5 Esquina - fente al Parque Principal "Palacio Municipal"</t>
        </is>
      </c>
      <c r="H674" s="17" t="inlineStr">
        <is>
          <t>6013821400</t>
        </is>
      </c>
      <c r="I674" s="17" t="inlineStr">
        <is>
          <t>MARTES A VIERNES Y      SÁBADO</t>
        </is>
      </c>
      <c r="J674" s="17" t="inlineStr">
        <is>
          <t>GESTIONATECH</t>
        </is>
      </c>
      <c r="K674" s="18" t="n">
        <v>46287</v>
      </c>
      <c r="L674" s="18" t="n">
        <v>46287</v>
      </c>
      <c r="M674" s="17" t="n">
        <v>12</v>
      </c>
    </row>
    <row r="675">
      <c r="A675" s="19" t="inlineStr">
        <is>
          <t>6624</t>
        </is>
      </c>
      <c r="B675" s="20" t="inlineStr">
        <is>
          <t>PALOCABILDO</t>
        </is>
      </c>
      <c r="C675" s="20" t="inlineStr">
        <is>
          <t>Palocabildo</t>
        </is>
      </c>
      <c r="D675" s="20" t="inlineStr">
        <is>
          <t>Tolima</t>
        </is>
      </c>
      <c r="E675" s="20" t="inlineStr">
        <is>
          <t>SUR</t>
        </is>
      </c>
      <c r="F675" s="20" t="inlineStr">
        <is>
          <t>DE MARTES A VIERNES DE 8:00 AM A 11:30 AM Y DE 2:00 P.M. A 4:30 P.M.    SABADO DE 8:00 AM A 2:00 P.M.</t>
        </is>
      </c>
      <c r="G675" s="20" t="inlineStr">
        <is>
          <t>Carrera 8 No. 4 -03</t>
        </is>
      </c>
      <c r="H675" s="20" t="inlineStr">
        <is>
          <t>6013821400</t>
        </is>
      </c>
      <c r="I675" s="20" t="inlineStr">
        <is>
          <t>MARTES A VIERNES Y      SÁBADO</t>
        </is>
      </c>
      <c r="J675" s="20" t="inlineStr">
        <is>
          <t>GESTIONATECH</t>
        </is>
      </c>
      <c r="K675" s="21" t="n">
        <v>46339</v>
      </c>
      <c r="L675" s="21" t="n">
        <v>46339</v>
      </c>
      <c r="M675" s="20" t="n">
        <v>17</v>
      </c>
    </row>
    <row r="676">
      <c r="A676" s="16" t="inlineStr">
        <is>
          <t>6625</t>
        </is>
      </c>
      <c r="B676" s="17" t="inlineStr">
        <is>
          <t>PURIFICACION</t>
        </is>
      </c>
      <c r="C676" s="17" t="inlineStr">
        <is>
          <t>Purificación</t>
        </is>
      </c>
      <c r="D676" s="17" t="inlineStr">
        <is>
          <t>Tolima</t>
        </is>
      </c>
      <c r="E676" s="17" t="inlineStr">
        <is>
          <t>SUR</t>
        </is>
      </c>
      <c r="F676" s="17" t="inlineStr">
        <is>
          <t>DE MARTES A VIERNES DE 8:00 AM A 11:30 AM Y DE 2:00 P.M. A 4:30 P.M.    SABADO DE 8:00 AM A 2:00 P.M.</t>
        </is>
      </c>
      <c r="G676" s="17" t="inlineStr">
        <is>
          <t>CRA 4 No 7 - 13</t>
        </is>
      </c>
      <c r="H676" s="17" t="inlineStr">
        <is>
          <t>6013821400</t>
        </is>
      </c>
      <c r="I676" s="17" t="inlineStr">
        <is>
          <t>MARTES A VIERNES Y      SÁBADO</t>
        </is>
      </c>
      <c r="J676" s="17" t="inlineStr">
        <is>
          <t>GESTIONATECH</t>
        </is>
      </c>
      <c r="K676" s="18" t="n">
        <v>46288</v>
      </c>
      <c r="L676" s="18" t="n">
        <v>46288</v>
      </c>
      <c r="M676" s="17" t="n">
        <v>23</v>
      </c>
    </row>
    <row r="677">
      <c r="A677" s="19" t="inlineStr">
        <is>
          <t>6626</t>
        </is>
      </c>
      <c r="B677" s="20" t="inlineStr">
        <is>
          <t>CASABIANCA</t>
        </is>
      </c>
      <c r="C677" s="20" t="inlineStr">
        <is>
          <t>Casabianca</t>
        </is>
      </c>
      <c r="D677" s="20" t="inlineStr">
        <is>
          <t>Tolima</t>
        </is>
      </c>
      <c r="E677" s="20" t="inlineStr">
        <is>
          <t>SUR</t>
        </is>
      </c>
      <c r="F677" s="20" t="inlineStr">
        <is>
          <t>DE MARTES A VIERNES DE 8:00 AM A 11:30 AM Y DE 2:00 P.M. A 4:30 P.M.    SABADO DE 8:00 AM A 2:00 P.M.</t>
        </is>
      </c>
      <c r="G677" s="20" t="inlineStr">
        <is>
          <t>Calle 3 No.2-43 Costado  Norte Parque Principal</t>
        </is>
      </c>
      <c r="H677" s="20" t="inlineStr">
        <is>
          <t>6013821400</t>
        </is>
      </c>
      <c r="I677" s="20" t="inlineStr">
        <is>
          <t>MARTES A VIERNES Y      SÁBADO</t>
        </is>
      </c>
      <c r="J677" s="20" t="inlineStr">
        <is>
          <t>GESTIONATECH</t>
        </is>
      </c>
      <c r="K677" s="21" t="n">
        <v>46346</v>
      </c>
      <c r="L677" s="21" t="n">
        <v>46346</v>
      </c>
      <c r="M677" s="20" t="n">
        <v>15</v>
      </c>
    </row>
    <row r="678">
      <c r="A678" s="16" t="inlineStr">
        <is>
          <t>6627</t>
        </is>
      </c>
      <c r="B678" s="17" t="inlineStr">
        <is>
          <t>ANZOATEGUI</t>
        </is>
      </c>
      <c r="C678" s="17" t="inlineStr">
        <is>
          <t>Anzoátegui</t>
        </is>
      </c>
      <c r="D678" s="17" t="inlineStr">
        <is>
          <t>Tolima</t>
        </is>
      </c>
      <c r="E678" s="17" t="inlineStr">
        <is>
          <t>SUR</t>
        </is>
      </c>
      <c r="F678" s="17" t="inlineStr">
        <is>
          <t>DE MARTES A VIERNES DE 8:00 AM A 11:30 AM Y DE 2:00 P.M. A 4:30 P.M.    SABADO DE 8:00 AM A 2:00 P.M.</t>
        </is>
      </c>
      <c r="G678" s="17" t="inlineStr">
        <is>
          <t>Carrera 3 No. 11-60</t>
        </is>
      </c>
      <c r="H678" s="17" t="inlineStr">
        <is>
          <t>6013821400</t>
        </is>
      </c>
      <c r="I678" s="17" t="inlineStr">
        <is>
          <t>MARTES A VIERNES Y      SÁBADO</t>
        </is>
      </c>
      <c r="J678" s="17" t="inlineStr">
        <is>
          <t>GESTIONATECH</t>
        </is>
      </c>
      <c r="K678" s="18" t="n">
        <v>46266</v>
      </c>
      <c r="L678" s="18" t="n">
        <v>46266</v>
      </c>
      <c r="M678" s="17" t="n">
        <v>14</v>
      </c>
    </row>
    <row r="679">
      <c r="A679" s="19" t="inlineStr">
        <is>
          <t>6628</t>
        </is>
      </c>
      <c r="B679" s="20" t="inlineStr">
        <is>
          <t>VILLAHERMOSA</t>
        </is>
      </c>
      <c r="C679" s="20" t="inlineStr">
        <is>
          <t>Villahermosa</t>
        </is>
      </c>
      <c r="D679" s="20" t="inlineStr">
        <is>
          <t>Tolima</t>
        </is>
      </c>
      <c r="E679" s="20" t="inlineStr">
        <is>
          <t>SUR</t>
        </is>
      </c>
      <c r="F679" s="20" t="inlineStr">
        <is>
          <t>DE MARTES A VIERNES DE 8:00 AM A 11:30 AM Y DE 2:00 P.M. A 4:30 P.M.    SABADO DE 8:00 AM A 2:00 P.M.</t>
        </is>
      </c>
      <c r="G679" s="20" t="inlineStr">
        <is>
          <t>Carrera 5 No. 8-12</t>
        </is>
      </c>
      <c r="H679" s="20" t="inlineStr">
        <is>
          <t>6013821400</t>
        </is>
      </c>
      <c r="I679" s="20" t="inlineStr">
        <is>
          <t>MARTES A VIERNES Y      SÁBADO</t>
        </is>
      </c>
      <c r="J679" s="20" t="inlineStr">
        <is>
          <t>GESTIONATECH</t>
        </is>
      </c>
      <c r="K679" s="21" t="n">
        <v>46338</v>
      </c>
      <c r="L679" s="21" t="n">
        <v>46338</v>
      </c>
      <c r="M679" s="20" t="n">
        <v>14</v>
      </c>
    </row>
    <row r="680">
      <c r="A680" s="16" t="inlineStr">
        <is>
          <t>6630</t>
        </is>
      </c>
      <c r="B680" s="17" t="inlineStr">
        <is>
          <t>GUAYABAL</t>
        </is>
      </c>
      <c r="C680" s="17" t="inlineStr">
        <is>
          <t>Guayabal</t>
        </is>
      </c>
      <c r="D680" s="17" t="inlineStr">
        <is>
          <t>Tolima</t>
        </is>
      </c>
      <c r="E680" s="17" t="inlineStr">
        <is>
          <t>SUR</t>
        </is>
      </c>
      <c r="F680" s="17" t="inlineStr">
        <is>
          <t>8:00 AM - 11:30 AM Y DE 02:00 PM - 04:30 PM</t>
        </is>
      </c>
      <c r="G680" s="17" t="inlineStr">
        <is>
          <t>CARRERA 6 N° 5 - 39</t>
        </is>
      </c>
      <c r="H680" s="17" t="inlineStr">
        <is>
          <t>6013821400</t>
        </is>
      </c>
      <c r="I680" s="17" t="inlineStr">
        <is>
          <t>LUNES A VIERNES</t>
        </is>
      </c>
      <c r="J680" s="17" t="inlineStr">
        <is>
          <t>GESTIONATECH</t>
        </is>
      </c>
      <c r="K680" s="18" t="n">
        <v>46344</v>
      </c>
      <c r="L680" s="18" t="n">
        <v>46344</v>
      </c>
      <c r="M680" s="17" t="n">
        <v>17</v>
      </c>
    </row>
    <row r="681">
      <c r="A681" s="19" t="inlineStr">
        <is>
          <t>6631</t>
        </is>
      </c>
      <c r="B681" s="20" t="inlineStr">
        <is>
          <t>COELLO</t>
        </is>
      </c>
      <c r="C681" s="20" t="inlineStr">
        <is>
          <t>Coello</t>
        </is>
      </c>
      <c r="D681" s="20" t="inlineStr">
        <is>
          <t>Tolima</t>
        </is>
      </c>
      <c r="E681" s="20" t="inlineStr">
        <is>
          <t>SUR</t>
        </is>
      </c>
      <c r="F681" s="20" t="inlineStr">
        <is>
          <t>8:00 AM - 11:30 AM Y DE 02:00 PM - 04:30 PM</t>
        </is>
      </c>
      <c r="G681" s="20" t="inlineStr">
        <is>
          <t>Cra. 1 No 1 - 59 Esquina.</t>
        </is>
      </c>
      <c r="H681" s="20" t="inlineStr">
        <is>
          <t>6013821400</t>
        </is>
      </c>
      <c r="I681" s="20" t="inlineStr">
        <is>
          <t>LUNES A VIERNES</t>
        </is>
      </c>
      <c r="J681" s="20" t="inlineStr">
        <is>
          <t>GESTIONATECH</t>
        </is>
      </c>
      <c r="K681" s="21" t="n">
        <v>46267</v>
      </c>
      <c r="L681" s="21" t="n">
        <v>46267</v>
      </c>
      <c r="M681" s="20" t="n">
        <v>12</v>
      </c>
    </row>
    <row r="682">
      <c r="A682" s="16" t="inlineStr">
        <is>
          <t>6632</t>
        </is>
      </c>
      <c r="B682" s="17" t="inlineStr">
        <is>
          <t>VILLARRICA</t>
        </is>
      </c>
      <c r="C682" s="17" t="inlineStr">
        <is>
          <t>Villarrica</t>
        </is>
      </c>
      <c r="D682" s="17" t="inlineStr">
        <is>
          <t>Tolima</t>
        </is>
      </c>
      <c r="E682" s="17" t="inlineStr">
        <is>
          <t>SUR</t>
        </is>
      </c>
      <c r="F682" s="17" t="inlineStr">
        <is>
          <t>8:00 AM A 2:00 P.M.</t>
        </is>
      </c>
      <c r="G682" s="17" t="inlineStr">
        <is>
          <t>Calle 4 No.3-25 Palacio Municipal</t>
        </is>
      </c>
      <c r="H682" s="17" t="inlineStr">
        <is>
          <t>6013821400</t>
        </is>
      </c>
      <c r="I682" s="17" t="inlineStr">
        <is>
          <t>MARTES A SABADO</t>
        </is>
      </c>
      <c r="J682" s="17" t="inlineStr">
        <is>
          <t>GESTIONATECH</t>
        </is>
      </c>
      <c r="K682" s="18" t="n">
        <v>46350</v>
      </c>
      <c r="L682" s="18" t="n">
        <v>46350</v>
      </c>
      <c r="M682" s="17" t="n">
        <v>13</v>
      </c>
    </row>
    <row r="683">
      <c r="A683" s="19" t="inlineStr">
        <is>
          <t>6633</t>
        </is>
      </c>
      <c r="B683" s="20" t="inlineStr">
        <is>
          <t>COYAIMA</t>
        </is>
      </c>
      <c r="C683" s="20" t="inlineStr">
        <is>
          <t>Coyaima</t>
        </is>
      </c>
      <c r="D683" s="20" t="inlineStr">
        <is>
          <t>Tolima</t>
        </is>
      </c>
      <c r="E683" s="20" t="inlineStr">
        <is>
          <t>SUR</t>
        </is>
      </c>
      <c r="F683" s="20" t="inlineStr">
        <is>
          <t>DE MARTES A VIERNES DE 8:00 AM A 11:30 AM Y DE 2:00 P.M. A 4:30 P.M.    SABADO DE 8:00 AM A 2:00 P.M.</t>
        </is>
      </c>
      <c r="G683" s="20" t="inlineStr">
        <is>
          <t>Cra.3 No.2-36 Barrio Centro</t>
        </is>
      </c>
      <c r="H683" s="20" t="inlineStr">
        <is>
          <t>6013821400</t>
        </is>
      </c>
      <c r="I683" s="20" t="inlineStr">
        <is>
          <t>MARTES A VIERNES Y      SÁBADO</t>
        </is>
      </c>
      <c r="J683" s="20" t="inlineStr">
        <is>
          <t>GESTIONATECH</t>
        </is>
      </c>
      <c r="K683" s="21" t="n">
        <v>46282</v>
      </c>
      <c r="L683" s="21" t="n">
        <v>46283</v>
      </c>
      <c r="M683" s="20" t="n">
        <v>14</v>
      </c>
    </row>
    <row r="684">
      <c r="A684" s="16" t="inlineStr">
        <is>
          <t>6634</t>
        </is>
      </c>
      <c r="B684" s="17" t="inlineStr">
        <is>
          <t>CUNDAY</t>
        </is>
      </c>
      <c r="C684" s="17" t="inlineStr">
        <is>
          <t>Cunday</t>
        </is>
      </c>
      <c r="D684" s="17" t="inlineStr">
        <is>
          <t>Tolima</t>
        </is>
      </c>
      <c r="E684" s="17" t="inlineStr">
        <is>
          <t>SUR</t>
        </is>
      </c>
      <c r="F684" s="17" t="inlineStr">
        <is>
          <t>8:00 AM A 2:00 P.M.</t>
        </is>
      </c>
      <c r="G684" s="17" t="inlineStr">
        <is>
          <t>CALLE 6 No.4-50</t>
        </is>
      </c>
      <c r="H684" s="17" t="inlineStr">
        <is>
          <t>6013821400</t>
        </is>
      </c>
      <c r="I684" s="17" t="inlineStr">
        <is>
          <t>MARTES A SABADO</t>
        </is>
      </c>
      <c r="J684" s="17" t="inlineStr">
        <is>
          <t>GESTIONATECH</t>
        </is>
      </c>
      <c r="K684" s="18" t="n">
        <v>46350</v>
      </c>
      <c r="L684" s="18" t="n">
        <v>46350</v>
      </c>
      <c r="M684" s="17" t="n">
        <v>12</v>
      </c>
    </row>
    <row r="685">
      <c r="A685" s="19" t="inlineStr">
        <is>
          <t>6635</t>
        </is>
      </c>
      <c r="B685" s="20" t="inlineStr">
        <is>
          <t>ESPINAL</t>
        </is>
      </c>
      <c r="C685" s="20" t="inlineStr">
        <is>
          <t>Espinal</t>
        </is>
      </c>
      <c r="D685" s="20" t="inlineStr">
        <is>
          <t>Tolima</t>
        </is>
      </c>
      <c r="E685" s="20" t="inlineStr">
        <is>
          <t>SUR</t>
        </is>
      </c>
      <c r="F685" s="20" t="inlineStr">
        <is>
          <t>8:00 AM - 11:30 AM Y DE 02:00 PM - 04:30 PM</t>
        </is>
      </c>
      <c r="G685" s="20" t="inlineStr">
        <is>
          <t>Calle 9 No 4 - 49/51 Centro</t>
        </is>
      </c>
      <c r="H685" s="20" t="inlineStr">
        <is>
          <t>6013821400</t>
        </is>
      </c>
      <c r="I685" s="20" t="inlineStr">
        <is>
          <t>LUNES A VIERNES</t>
        </is>
      </c>
      <c r="J685" s="20" t="inlineStr">
        <is>
          <t>GESTIONATECH</t>
        </is>
      </c>
      <c r="K685" s="21" t="n">
        <v>46315</v>
      </c>
      <c r="L685" s="21" t="n">
        <v>46317</v>
      </c>
      <c r="M685" s="20" t="n">
        <v>38</v>
      </c>
    </row>
    <row r="686">
      <c r="A686" s="16" t="inlineStr">
        <is>
          <t>6638</t>
        </is>
      </c>
      <c r="B686" s="17" t="inlineStr">
        <is>
          <t>LIBANO</t>
        </is>
      </c>
      <c r="C686" s="17" t="inlineStr">
        <is>
          <t>Líbano</t>
        </is>
      </c>
      <c r="D686" s="17" t="inlineStr">
        <is>
          <t>Tolima</t>
        </is>
      </c>
      <c r="E686" s="17" t="inlineStr">
        <is>
          <t>SUR</t>
        </is>
      </c>
      <c r="F686" s="17" t="inlineStr">
        <is>
          <t>DE MARTES A VIERNES DE 8:00 AM A 11:30 AM Y DE 2:00 P.M. A 4:30 P.M.    SABADO DE 8:00 AM A 2:00 P.M.</t>
        </is>
      </c>
      <c r="G686" s="17" t="inlineStr">
        <is>
          <t>Calle 4 No. 9-77</t>
        </is>
      </c>
      <c r="H686" s="17" t="inlineStr">
        <is>
          <t>6013821400</t>
        </is>
      </c>
      <c r="I686" s="17" t="inlineStr">
        <is>
          <t>MARTES A VIERNES Y      SÁBADO</t>
        </is>
      </c>
      <c r="J686" s="17" t="inlineStr">
        <is>
          <t>GESTIONATECH</t>
        </is>
      </c>
      <c r="K686" s="18" t="n">
        <v>46336</v>
      </c>
      <c r="L686" s="18" t="n">
        <v>46336</v>
      </c>
      <c r="M686" s="17" t="n">
        <v>22</v>
      </c>
    </row>
    <row r="687">
      <c r="A687" s="19" t="inlineStr">
        <is>
          <t>6639</t>
        </is>
      </c>
      <c r="B687" s="20" t="inlineStr">
        <is>
          <t>HERRERA Corregimiento (Del Municipio de Rioblanco - Tolima)</t>
        </is>
      </c>
      <c r="C687" s="20" t="inlineStr">
        <is>
          <t>Rioblanco</t>
        </is>
      </c>
      <c r="D687" s="20" t="inlineStr">
        <is>
          <t>Tolima</t>
        </is>
      </c>
      <c r="E687" s="20" t="inlineStr">
        <is>
          <t>SUR</t>
        </is>
      </c>
      <c r="F687" s="20" t="inlineStr">
        <is>
          <t>8:00 AM A 2:00 P.M.</t>
        </is>
      </c>
      <c r="G687" s="20" t="inlineStr">
        <is>
          <t>Calle 3 No. 6 -11 Casa de la Justicia - Calle Principal</t>
        </is>
      </c>
      <c r="H687" s="20" t="inlineStr">
        <is>
          <t>6013821400</t>
        </is>
      </c>
      <c r="I687" s="20" t="inlineStr">
        <is>
          <t>MARTES A SABADO</t>
        </is>
      </c>
      <c r="J687" s="20" t="inlineStr">
        <is>
          <t>GESTIONATECH</t>
        </is>
      </c>
      <c r="K687" s="21" t="n">
        <v>46281</v>
      </c>
      <c r="L687" s="21" t="n">
        <v>46282</v>
      </c>
      <c r="M687" s="20" t="n">
        <v>13</v>
      </c>
    </row>
    <row r="688">
      <c r="A688" s="16" t="inlineStr">
        <is>
          <t>6640</t>
        </is>
      </c>
      <c r="B688" s="17" t="inlineStr">
        <is>
          <t>CARMEN DE APICALA</t>
        </is>
      </c>
      <c r="C688" s="17" t="inlineStr">
        <is>
          <t>Carmen De Apicalá</t>
        </is>
      </c>
      <c r="D688" s="17" t="inlineStr">
        <is>
          <t>Tolima</t>
        </is>
      </c>
      <c r="E688" s="17" t="inlineStr">
        <is>
          <t>SUR</t>
        </is>
      </c>
      <c r="F688" s="17" t="inlineStr">
        <is>
          <t>8:00 AM - 11:30 AM Y DE 02:00 PM - 04:30 PM</t>
        </is>
      </c>
      <c r="G688" s="17" t="inlineStr">
        <is>
          <t>Carrera 6 N° 2 – 65</t>
        </is>
      </c>
      <c r="H688" s="17" t="inlineStr">
        <is>
          <t>6013821400</t>
        </is>
      </c>
      <c r="I688" s="17" t="inlineStr">
        <is>
          <t>LUNES A VIERNES</t>
        </is>
      </c>
      <c r="J688" s="17" t="inlineStr">
        <is>
          <t>GESTIONATECH</t>
        </is>
      </c>
      <c r="K688" s="18" t="n">
        <v>46266</v>
      </c>
      <c r="L688" s="18" t="n">
        <v>46266</v>
      </c>
      <c r="M688" s="17" t="n">
        <v>18</v>
      </c>
    </row>
    <row r="689">
      <c r="A689" s="19" t="inlineStr">
        <is>
          <t>6641</t>
        </is>
      </c>
      <c r="B689" s="20" t="inlineStr">
        <is>
          <t>PIEDRAS</t>
        </is>
      </c>
      <c r="C689" s="20" t="inlineStr">
        <is>
          <t>Piedras</t>
        </is>
      </c>
      <c r="D689" s="20" t="inlineStr">
        <is>
          <t>Tolima</t>
        </is>
      </c>
      <c r="E689" s="20" t="inlineStr">
        <is>
          <t>SUR</t>
        </is>
      </c>
      <c r="F689" s="20" t="inlineStr">
        <is>
          <t>DE MARTES A VIERNES DE 8:00 AM A 11:30 AM Y DE 2:00 P.M. A 4:30 P.M.    SABADO DE 8:00 AM A 2:00 P.M.</t>
        </is>
      </c>
      <c r="G689" s="20" t="inlineStr">
        <is>
          <t>CALLE 2 No 2 - 24/26</t>
        </is>
      </c>
      <c r="H689" s="20" t="inlineStr">
        <is>
          <t>6013821400</t>
        </is>
      </c>
      <c r="I689" s="20" t="inlineStr">
        <is>
          <t>MARTES A VIERNES Y      SÁBADO</t>
        </is>
      </c>
      <c r="J689" s="20" t="inlineStr">
        <is>
          <t>GESTIONATECH</t>
        </is>
      </c>
      <c r="K689" s="21" t="n">
        <v>46268</v>
      </c>
      <c r="L689" s="21" t="n">
        <v>46268</v>
      </c>
      <c r="M689" s="20" t="n">
        <v>12</v>
      </c>
    </row>
    <row r="690">
      <c r="A690" s="16" t="inlineStr">
        <is>
          <t>6642</t>
        </is>
      </c>
      <c r="B690" s="17" t="inlineStr">
        <is>
          <t>PLANADAS</t>
        </is>
      </c>
      <c r="C690" s="17" t="inlineStr">
        <is>
          <t>Planadas</t>
        </is>
      </c>
      <c r="D690" s="17" t="inlineStr">
        <is>
          <t>Tolima</t>
        </is>
      </c>
      <c r="E690" s="17" t="inlineStr">
        <is>
          <t>SUR</t>
        </is>
      </c>
      <c r="F690" s="17" t="inlineStr">
        <is>
          <t>DE MARTES A VIERNES DE 8:00 AM A 11:30 AM Y DE 2:00 P.M. A 4:30 P.M.    SABADO DE 8:00 AM A 2:00 P.M.</t>
        </is>
      </c>
      <c r="G690" s="17" t="inlineStr">
        <is>
          <t>CRA 6 No 5 - 43        Cra. 6 No,. 8-40</t>
        </is>
      </c>
      <c r="H690" s="17" t="inlineStr">
        <is>
          <t>6013821400</t>
        </is>
      </c>
      <c r="I690" s="17" t="inlineStr">
        <is>
          <t>MARTES A VIERNES Y      SÁBADO</t>
        </is>
      </c>
      <c r="J690" s="17" t="inlineStr">
        <is>
          <t>GESTIONATECH</t>
        </is>
      </c>
      <c r="K690" s="18" t="n">
        <v>46266</v>
      </c>
      <c r="L690" s="18" t="n">
        <v>46267</v>
      </c>
      <c r="M690" s="17" t="n">
        <v>27</v>
      </c>
    </row>
    <row r="691">
      <c r="A691" s="19" t="inlineStr">
        <is>
          <t>6645</t>
        </is>
      </c>
      <c r="B691" s="20" t="inlineStr">
        <is>
          <t>PRADO</t>
        </is>
      </c>
      <c r="C691" s="20" t="inlineStr">
        <is>
          <t>Prado</t>
        </is>
      </c>
      <c r="D691" s="20" t="inlineStr">
        <is>
          <t>Tolima</t>
        </is>
      </c>
      <c r="E691" s="20" t="inlineStr">
        <is>
          <t>SUR</t>
        </is>
      </c>
      <c r="F691" s="20" t="inlineStr">
        <is>
          <t>DE MARTES A VIERNES DE 8:00 AM A 11:30 AM Y DE 2:00 P.M. A 4:30 P.M.    SABADO DE 8:00 AM A 2:00 P.M.</t>
        </is>
      </c>
      <c r="G691" s="20" t="inlineStr">
        <is>
          <t>Cra.6 No.10-17</t>
        </is>
      </c>
      <c r="H691" s="20" t="inlineStr">
        <is>
          <t>6013821400</t>
        </is>
      </c>
      <c r="I691" s="20" t="inlineStr">
        <is>
          <t>MARTES A VIERNES Y      SÁBADO</t>
        </is>
      </c>
      <c r="J691" s="20" t="inlineStr">
        <is>
          <t>GESTIONATECH</t>
        </is>
      </c>
      <c r="K691" s="21" t="n">
        <v>46287</v>
      </c>
      <c r="L691" s="21" t="n">
        <v>46287</v>
      </c>
      <c r="M691" s="20" t="n">
        <v>14</v>
      </c>
    </row>
    <row r="692">
      <c r="A692" s="16" t="inlineStr">
        <is>
          <t>6646</t>
        </is>
      </c>
      <c r="B692" s="17" t="inlineStr">
        <is>
          <t>RIOBLANCO</t>
        </is>
      </c>
      <c r="C692" s="17" t="inlineStr">
        <is>
          <t>Rioblanco</t>
        </is>
      </c>
      <c r="D692" s="17" t="inlineStr">
        <is>
          <t>Tolima</t>
        </is>
      </c>
      <c r="E692" s="17" t="inlineStr">
        <is>
          <t>SUR</t>
        </is>
      </c>
      <c r="F692" s="17" t="inlineStr">
        <is>
          <t>DE MARTES A VIERNES DE 8:00 AM A 11:30 AM Y DE 2:00 P.M. A 4:30 P.M.    SABADO DE 8:00 AM A 2:00 P.M.</t>
        </is>
      </c>
      <c r="G692" s="17" t="inlineStr">
        <is>
          <t>CALLE 3 No 5 - 29</t>
        </is>
      </c>
      <c r="H692" s="17" t="inlineStr">
        <is>
          <t>6013821400</t>
        </is>
      </c>
      <c r="I692" s="17" t="inlineStr">
        <is>
          <t>MARTES A VIERNES Y      SÁBADO</t>
        </is>
      </c>
      <c r="J692" s="17" t="inlineStr">
        <is>
          <t>GESTIONATECH</t>
        </is>
      </c>
      <c r="K692" s="18" t="n">
        <v>46280</v>
      </c>
      <c r="L692" s="18" t="n">
        <v>46281</v>
      </c>
      <c r="M692" s="17" t="n">
        <v>19</v>
      </c>
    </row>
    <row r="693">
      <c r="A693" s="19" t="inlineStr">
        <is>
          <t>6647</t>
        </is>
      </c>
      <c r="B693" s="20" t="inlineStr">
        <is>
          <t>RONCESVALLES</t>
        </is>
      </c>
      <c r="C693" s="20" t="inlineStr">
        <is>
          <t>Roncesvalles</t>
        </is>
      </c>
      <c r="D693" s="20" t="inlineStr">
        <is>
          <t>Tolima</t>
        </is>
      </c>
      <c r="E693" s="20" t="inlineStr">
        <is>
          <t>SUR</t>
        </is>
      </c>
      <c r="F693" s="20" t="inlineStr">
        <is>
          <t>DE MARTES A VIERNES DE 8:00 AM A 11:30 AM Y DE 2:00 P.M. A 4:30 P.M.    SABADO DE 8:00 AM A 2:00 P.M.</t>
        </is>
      </c>
      <c r="G693" s="20" t="inlineStr">
        <is>
          <t>Carrera 2 # 5-04</t>
        </is>
      </c>
      <c r="H693" s="20" t="inlineStr">
        <is>
          <t>6013821400</t>
        </is>
      </c>
      <c r="I693" s="20" t="inlineStr">
        <is>
          <t>MARTES A VIERNES Y      SÁBADO</t>
        </is>
      </c>
      <c r="J693" s="20" t="inlineStr">
        <is>
          <t>GESTIONATECH</t>
        </is>
      </c>
      <c r="K693" s="21" t="n">
        <v>46350</v>
      </c>
      <c r="L693" s="21" t="n">
        <v>46350</v>
      </c>
      <c r="M693" s="20" t="n">
        <v>14</v>
      </c>
    </row>
    <row r="694">
      <c r="A694" s="16" t="inlineStr">
        <is>
          <t>6648</t>
        </is>
      </c>
      <c r="B694" s="17" t="inlineStr">
        <is>
          <t>DOLORES</t>
        </is>
      </c>
      <c r="C694" s="17" t="inlineStr">
        <is>
          <t>Dolores</t>
        </is>
      </c>
      <c r="D694" s="17" t="inlineStr">
        <is>
          <t>Tolima</t>
        </is>
      </c>
      <c r="E694" s="17" t="inlineStr">
        <is>
          <t>SUR</t>
        </is>
      </c>
      <c r="F694" s="17" t="inlineStr">
        <is>
          <t>DE MARTES A VIERNES DE 8:00 AM A 11:30 AM Y DE 2:00 P.M. A 4:30 P.M.    SABADO DE 8:00 AM A 2:00 P.M.</t>
        </is>
      </c>
      <c r="G694" s="17" t="inlineStr">
        <is>
          <t>CRA. 7 No.2-09/17</t>
        </is>
      </c>
      <c r="H694" s="17" t="inlineStr">
        <is>
          <t>6013821400</t>
        </is>
      </c>
      <c r="I694" s="17" t="inlineStr">
        <is>
          <t>MARTES A VIERNES Y      SÁBADO</t>
        </is>
      </c>
      <c r="J694" s="17" t="inlineStr">
        <is>
          <t>GESTIONATECH</t>
        </is>
      </c>
      <c r="K694" s="18" t="n">
        <v>46288</v>
      </c>
      <c r="L694" s="18" t="n">
        <v>46288</v>
      </c>
      <c r="M694" s="17" t="n">
        <v>13</v>
      </c>
    </row>
    <row r="695">
      <c r="A695" s="19" t="inlineStr">
        <is>
          <t>6649</t>
        </is>
      </c>
      <c r="B695" s="20" t="inlineStr">
        <is>
          <t>ATACO</t>
        </is>
      </c>
      <c r="C695" s="20" t="inlineStr">
        <is>
          <t>Ataco</t>
        </is>
      </c>
      <c r="D695" s="20" t="inlineStr">
        <is>
          <t>Tolima</t>
        </is>
      </c>
      <c r="E695" s="20" t="inlineStr">
        <is>
          <t>SUR</t>
        </is>
      </c>
      <c r="F695" s="20" t="inlineStr">
        <is>
          <t>DE MARTES A VIERNES DE 8:00 AM A 11:30 AM Y DE 2:00 P.M. A 4:30 P.M.    SABADO DE 8:00 AM A 2:00 P.M.</t>
        </is>
      </c>
      <c r="G695" s="20" t="inlineStr">
        <is>
          <t>CRA.5 No.8-07      Cra. 5-7-17</t>
        </is>
      </c>
      <c r="H695" s="20" t="inlineStr">
        <is>
          <t>6013821400</t>
        </is>
      </c>
      <c r="I695" s="20" t="inlineStr">
        <is>
          <t>MARTES A VIERNES Y      SÁBADO</t>
        </is>
      </c>
      <c r="J695" s="20" t="inlineStr">
        <is>
          <t>GESTIONATECH</t>
        </is>
      </c>
      <c r="K695" s="21" t="n">
        <v>46289</v>
      </c>
      <c r="L695" s="21" t="n">
        <v>46289</v>
      </c>
      <c r="M695" s="20" t="n">
        <v>17</v>
      </c>
    </row>
    <row r="696">
      <c r="A696" s="16" t="inlineStr">
        <is>
          <t>6650</t>
        </is>
      </c>
      <c r="B696" s="17" t="inlineStr">
        <is>
          <t>SALDAÑA</t>
        </is>
      </c>
      <c r="C696" s="17" t="inlineStr">
        <is>
          <t>Saldaña</t>
        </is>
      </c>
      <c r="D696" s="17" t="inlineStr">
        <is>
          <t>Tolima</t>
        </is>
      </c>
      <c r="E696" s="17" t="inlineStr">
        <is>
          <t>SUR</t>
        </is>
      </c>
      <c r="F696" s="17" t="inlineStr">
        <is>
          <t>DE MARTES A VIERNES DE 8:00 AM A 11:30 AM Y DE 2:00 P.M. A 4:30 P.M.    SABADO DE 8:00 AM A 2:00 P.M.</t>
        </is>
      </c>
      <c r="G696" s="17" t="inlineStr">
        <is>
          <t>Calle 12 No.14A-15</t>
        </is>
      </c>
      <c r="H696" s="17" t="inlineStr">
        <is>
          <t>6013821400</t>
        </is>
      </c>
      <c r="I696" s="17" t="inlineStr">
        <is>
          <t>MARTES A VIERNES Y      SÁBADO</t>
        </is>
      </c>
      <c r="J696" s="17" t="inlineStr">
        <is>
          <t>GESTIONATECH</t>
        </is>
      </c>
      <c r="K696" s="18" t="n">
        <v>46294</v>
      </c>
      <c r="L696" s="18" t="n">
        <v>46295</v>
      </c>
      <c r="M696" s="17" t="n">
        <v>19</v>
      </c>
    </row>
    <row r="697">
      <c r="A697" s="19" t="inlineStr">
        <is>
          <t>6651</t>
        </is>
      </c>
      <c r="B697" s="20" t="inlineStr">
        <is>
          <t>FRESNO</t>
        </is>
      </c>
      <c r="C697" s="20" t="inlineStr">
        <is>
          <t>Fresno</t>
        </is>
      </c>
      <c r="D697" s="20" t="inlineStr">
        <is>
          <t>Tolima</t>
        </is>
      </c>
      <c r="E697" s="20" t="inlineStr">
        <is>
          <t>SUR</t>
        </is>
      </c>
      <c r="F697" s="20" t="inlineStr">
        <is>
          <t>DE MARTES A VIERNES DE 8:00 AM A 11:30 AM Y DE 2:00 P.M. A 4:30 P.M.    SABADO DE 8:00 AM A 2:00 P.M.</t>
        </is>
      </c>
      <c r="G697" s="20" t="inlineStr">
        <is>
          <t>Calle 3 No. 6 - 26</t>
        </is>
      </c>
      <c r="H697" s="20" t="inlineStr">
        <is>
          <t>6013821400</t>
        </is>
      </c>
      <c r="I697" s="20" t="inlineStr">
        <is>
          <t>MARTES A VIERNES Y      SÁBADO</t>
        </is>
      </c>
      <c r="J697" s="20" t="inlineStr">
        <is>
          <t>GESTIONATECH</t>
        </is>
      </c>
      <c r="K697" s="21" t="n">
        <v>46331</v>
      </c>
      <c r="L697" s="21" t="n">
        <v>46331</v>
      </c>
      <c r="M697" s="20" t="n">
        <v>21</v>
      </c>
    </row>
    <row r="698">
      <c r="A698" s="16" t="inlineStr">
        <is>
          <t>6652</t>
        </is>
      </c>
      <c r="B698" s="17" t="inlineStr">
        <is>
          <t>SAN ANTONIO</t>
        </is>
      </c>
      <c r="C698" s="17" t="inlineStr">
        <is>
          <t>San Antonio</t>
        </is>
      </c>
      <c r="D698" s="17" t="inlineStr">
        <is>
          <t>Tolima</t>
        </is>
      </c>
      <c r="E698" s="17" t="inlineStr">
        <is>
          <t>SUR</t>
        </is>
      </c>
      <c r="F698" s="17" t="inlineStr">
        <is>
          <t>DE MARTES A VIERNES DE 8:00 AM A 11:30 AM Y DE 2:00 P.M. A 4:30 P.M.    SABADO DE 8:00 AM A 2:00 P.M.</t>
        </is>
      </c>
      <c r="G698" s="17" t="inlineStr">
        <is>
          <t>CLL 5 KRA 6 ESQUINA BRR CENTRO</t>
        </is>
      </c>
      <c r="H698" s="17" t="inlineStr">
        <is>
          <t>6013821400</t>
        </is>
      </c>
      <c r="I698" s="17" t="inlineStr">
        <is>
          <t>MARTES A VIERNES Y      SÁBADO</t>
        </is>
      </c>
      <c r="J698" s="17" t="inlineStr">
        <is>
          <t>GESTIONATECH</t>
        </is>
      </c>
      <c r="K698" s="18" t="n">
        <v>46294</v>
      </c>
      <c r="L698" s="18" t="n">
        <v>46295</v>
      </c>
      <c r="M698" s="17" t="n">
        <v>15</v>
      </c>
    </row>
    <row r="699">
      <c r="A699" s="19" t="inlineStr">
        <is>
          <t>6653</t>
        </is>
      </c>
      <c r="B699" s="20" t="inlineStr">
        <is>
          <t>SAN LUIS</t>
        </is>
      </c>
      <c r="C699" s="20" t="inlineStr">
        <is>
          <t>San Luis</t>
        </is>
      </c>
      <c r="D699" s="20" t="inlineStr">
        <is>
          <t>Tolima</t>
        </is>
      </c>
      <c r="E699" s="20" t="inlineStr">
        <is>
          <t>SUR</t>
        </is>
      </c>
      <c r="F699" s="20" t="inlineStr">
        <is>
          <t>8:00 AM A 2:00 P.M.</t>
        </is>
      </c>
      <c r="G699" s="20" t="inlineStr">
        <is>
          <t>Calle 7 No. 6-02</t>
        </is>
      </c>
      <c r="H699" s="20" t="inlineStr">
        <is>
          <t>6013821400</t>
        </is>
      </c>
      <c r="I699" s="20" t="inlineStr">
        <is>
          <t>MARTES A SABADO</t>
        </is>
      </c>
      <c r="J699" s="20" t="inlineStr">
        <is>
          <t>GESTIONATECH</t>
        </is>
      </c>
      <c r="K699" s="21" t="n">
        <v>46269</v>
      </c>
      <c r="L699" s="21" t="n">
        <v>46269</v>
      </c>
      <c r="M699" s="20" t="n">
        <v>13</v>
      </c>
    </row>
    <row r="700">
      <c r="A700" s="16" t="inlineStr">
        <is>
          <t>6654</t>
        </is>
      </c>
      <c r="B700" s="17" t="inlineStr">
        <is>
          <t>SANTA ISABEL</t>
        </is>
      </c>
      <c r="C700" s="17" t="inlineStr">
        <is>
          <t>Santa Isabel</t>
        </is>
      </c>
      <c r="D700" s="17" t="inlineStr">
        <is>
          <t>Tolima</t>
        </is>
      </c>
      <c r="E700" s="17" t="inlineStr">
        <is>
          <t>SUR</t>
        </is>
      </c>
      <c r="F700" s="17" t="inlineStr">
        <is>
          <t>DE MARTES A VIERNES DE 8:00 AM A 11:30 AM Y DE 2:00 P.M. A 4:30 P.M.    SABADO DE 8:00 AM A 2:00 P.M.</t>
        </is>
      </c>
      <c r="G700" s="17" t="inlineStr">
        <is>
          <t>Carrera 2 No.7-49/53</t>
        </is>
      </c>
      <c r="H700" s="17" t="inlineStr">
        <is>
          <t>6013821400</t>
        </is>
      </c>
      <c r="I700" s="17" t="inlineStr">
        <is>
          <t>MARTES A VIERNES Y      SÁBADO</t>
        </is>
      </c>
      <c r="J700" s="17" t="inlineStr">
        <is>
          <t>GESTIONATECH</t>
        </is>
      </c>
      <c r="K700" s="18" t="n">
        <v>46267</v>
      </c>
      <c r="L700" s="18" t="n">
        <v>46267</v>
      </c>
      <c r="M700" s="17" t="n">
        <v>14</v>
      </c>
    </row>
    <row r="701">
      <c r="A701" s="19" t="inlineStr">
        <is>
          <t>6657</t>
        </is>
      </c>
      <c r="B701" s="20" t="inlineStr">
        <is>
          <t>SUAREZ</t>
        </is>
      </c>
      <c r="C701" s="20" t="inlineStr">
        <is>
          <t>Suárez</t>
        </is>
      </c>
      <c r="D701" s="20" t="inlineStr">
        <is>
          <t>Tolima</t>
        </is>
      </c>
      <c r="E701" s="20" t="inlineStr">
        <is>
          <t>SUR</t>
        </is>
      </c>
      <c r="F701" s="20" t="inlineStr">
        <is>
          <t>8:00 AM - 11:30 AM Y DE 02:00 PM - 04:30 PM</t>
        </is>
      </c>
      <c r="G701" s="20" t="inlineStr">
        <is>
          <t>Carrera 3 No. 7 - 70</t>
        </is>
      </c>
      <c r="H701" s="20" t="inlineStr">
        <is>
          <t>6013821400</t>
        </is>
      </c>
      <c r="I701" s="20" t="inlineStr">
        <is>
          <t>LUNES A VIERNES</t>
        </is>
      </c>
      <c r="J701" s="20" t="inlineStr">
        <is>
          <t>GESTIONATECH</t>
        </is>
      </c>
      <c r="K701" s="21" t="n">
        <v>46268</v>
      </c>
      <c r="L701" s="21" t="n">
        <v>46268</v>
      </c>
      <c r="M701" s="20" t="n">
        <v>14</v>
      </c>
    </row>
    <row r="702">
      <c r="A702" s="16" t="inlineStr">
        <is>
          <t>6660</t>
        </is>
      </c>
      <c r="B702" s="17" t="inlineStr">
        <is>
          <t>ROVIRA</t>
        </is>
      </c>
      <c r="C702" s="17" t="inlineStr">
        <is>
          <t>Rovira</t>
        </is>
      </c>
      <c r="D702" s="17" t="inlineStr">
        <is>
          <t>Tolima</t>
        </is>
      </c>
      <c r="E702" s="17" t="inlineStr">
        <is>
          <t>SUR</t>
        </is>
      </c>
      <c r="F702" s="17" t="inlineStr">
        <is>
          <t>DE MARTES A VIERNES DE 8:00 AM A 11:30 AM Y DE 2:00 P.M. A 4:30 P.M.    SABADO DE 8:00 AM A 2:00 P.M.</t>
        </is>
      </c>
      <c r="G702" s="17" t="inlineStr">
        <is>
          <t>Carrera 2a. No. 1 -78 a 1-99 Barrio Centro - Brisas de Luisa</t>
        </is>
      </c>
      <c r="H702" s="17" t="inlineStr">
        <is>
          <t>6013821400</t>
        </is>
      </c>
      <c r="I702" s="17" t="inlineStr">
        <is>
          <t>MARTES A VIERNES Y      SÁBADO</t>
        </is>
      </c>
      <c r="J702" s="17" t="inlineStr">
        <is>
          <t>GESTIONATECH</t>
        </is>
      </c>
      <c r="K702" s="18" t="n">
        <v>46301</v>
      </c>
      <c r="L702" s="18" t="n">
        <v>46302</v>
      </c>
      <c r="M702" s="17" t="n">
        <v>22</v>
      </c>
    </row>
    <row r="703">
      <c r="A703" s="19" t="inlineStr">
        <is>
          <t>6670</t>
        </is>
      </c>
      <c r="B703" s="20" t="inlineStr">
        <is>
          <t>VENADILLO</t>
        </is>
      </c>
      <c r="C703" s="20" t="inlineStr">
        <is>
          <t>Venadillo</t>
        </is>
      </c>
      <c r="D703" s="20" t="inlineStr">
        <is>
          <t>Tolima</t>
        </is>
      </c>
      <c r="E703" s="20" t="inlineStr">
        <is>
          <t>SUR</t>
        </is>
      </c>
      <c r="F703" s="20" t="inlineStr">
        <is>
          <t>DE MARTES A VIERNES DE 8:00 AM A 11:30 AM Y DE 2:00 P.M. A 4:30 P.M.    SABADO DE 8:00 AM A 2:00 P.M.</t>
        </is>
      </c>
      <c r="G703" s="20" t="inlineStr">
        <is>
          <t>Carrera.4 No 3 - 92</t>
        </is>
      </c>
      <c r="H703" s="20" t="inlineStr">
        <is>
          <t>6013821400</t>
        </is>
      </c>
      <c r="I703" s="20" t="inlineStr">
        <is>
          <t>MARTES A VIERNES Y      SÁBADO</t>
        </is>
      </c>
      <c r="J703" s="20" t="inlineStr">
        <is>
          <t>GESTIONATECH</t>
        </is>
      </c>
      <c r="K703" s="21" t="n">
        <v>46273</v>
      </c>
      <c r="L703" s="21" t="n">
        <v>46273</v>
      </c>
      <c r="M703" s="20" t="n">
        <v>21</v>
      </c>
    </row>
    <row r="704">
      <c r="A704" s="16" t="inlineStr">
        <is>
          <t>6680</t>
        </is>
      </c>
      <c r="B704" s="17" t="inlineStr">
        <is>
          <t>VALLE DE SAN JUAN</t>
        </is>
      </c>
      <c r="C704" s="17" t="inlineStr">
        <is>
          <t>Valle De San Juan</t>
        </is>
      </c>
      <c r="D704" s="17" t="inlineStr">
        <is>
          <t>Tolima</t>
        </is>
      </c>
      <c r="E704" s="17" t="inlineStr">
        <is>
          <t>SUR</t>
        </is>
      </c>
      <c r="F704" s="17" t="inlineStr">
        <is>
          <t>DE MARTES A VIERNES DE 8:00 AM A 11:30 AM Y DE 2:00 P.M. A 4:30 P.M.    SABADO DE 8:00 AM A 2:00 P.M.</t>
        </is>
      </c>
      <c r="G704" s="17" t="inlineStr">
        <is>
          <t>Cra.5 No.5-60</t>
        </is>
      </c>
      <c r="H704" s="17" t="inlineStr">
        <is>
          <t>6013821400</t>
        </is>
      </c>
      <c r="I704" s="17" t="inlineStr">
        <is>
          <t>MARTES A VIERNES Y      SÁBADO</t>
        </is>
      </c>
      <c r="J704" s="17" t="inlineStr">
        <is>
          <t>GESTIONATECH</t>
        </is>
      </c>
      <c r="K704" s="18" t="n">
        <v>46268</v>
      </c>
      <c r="L704" s="18" t="n">
        <v>46268</v>
      </c>
      <c r="M704" s="17" t="n">
        <v>14</v>
      </c>
    </row>
    <row r="705">
      <c r="A705" s="19" t="inlineStr">
        <is>
          <t>6901</t>
        </is>
      </c>
      <c r="B705" s="20" t="inlineStr">
        <is>
          <t>ALCALA</t>
        </is>
      </c>
      <c r="C705" s="20" t="inlineStr">
        <is>
          <t>Alcalá</t>
        </is>
      </c>
      <c r="D705" s="20" t="inlineStr">
        <is>
          <t>Valle del Cauca</t>
        </is>
      </c>
      <c r="E705" s="20" t="inlineStr">
        <is>
          <t>CAFETERA</t>
        </is>
      </c>
      <c r="F705" s="20" t="inlineStr">
        <is>
          <t>8:00 AM A 2:00 P.M.</t>
        </is>
      </c>
      <c r="G705" s="20" t="inlineStr">
        <is>
          <t>Calle 5 No.9-27</t>
        </is>
      </c>
      <c r="H705" s="20" t="inlineStr">
        <is>
          <t>6013821400</t>
        </is>
      </c>
      <c r="I705" s="20" t="inlineStr">
        <is>
          <t>MARTES A SABADO</t>
        </is>
      </c>
      <c r="J705" s="20" t="inlineStr">
        <is>
          <t>INSARED</t>
        </is>
      </c>
      <c r="K705" s="21" t="n">
        <v>46309</v>
      </c>
      <c r="L705" s="21" t="n">
        <v>46309</v>
      </c>
      <c r="M705" s="20" t="n">
        <v>13</v>
      </c>
    </row>
    <row r="706">
      <c r="A706" s="16" t="inlineStr">
        <is>
          <t>6903</t>
        </is>
      </c>
      <c r="B706" s="17" t="inlineStr">
        <is>
          <t>CALI SUCURSAL</t>
        </is>
      </c>
      <c r="C706" s="17" t="inlineStr">
        <is>
          <t>Cali</t>
        </is>
      </c>
      <c r="D706" s="17" t="inlineStr">
        <is>
          <t>Valle del Cauca</t>
        </is>
      </c>
      <c r="E706" s="17" t="inlineStr">
        <is>
          <t>OCCIDENTE</t>
        </is>
      </c>
      <c r="F706" s="17" t="inlineStr">
        <is>
          <t>8:00 AM - 11:30 AM Y DE 02:00 PM - 04:30 PM</t>
        </is>
      </c>
      <c r="G706" s="17" t="inlineStr">
        <is>
          <t>Calle 11 No.5-28</t>
        </is>
      </c>
      <c r="H706" s="17" t="inlineStr">
        <is>
          <t>6013821400</t>
        </is>
      </c>
      <c r="I706" s="17" t="inlineStr">
        <is>
          <t>LUNES A VIERNES</t>
        </is>
      </c>
      <c r="J706" s="17" t="inlineStr">
        <is>
          <t>INSARED</t>
        </is>
      </c>
      <c r="K706" s="18" t="n">
        <v>46336</v>
      </c>
      <c r="L706" s="18" t="n">
        <v>46337</v>
      </c>
      <c r="M706" s="17" t="n">
        <v>53</v>
      </c>
    </row>
    <row r="707">
      <c r="A707" s="19" t="inlineStr">
        <is>
          <t>6910</t>
        </is>
      </c>
      <c r="B707" s="20" t="inlineStr">
        <is>
          <t>VIJES</t>
        </is>
      </c>
      <c r="C707" s="20" t="inlineStr">
        <is>
          <t>Vijes</t>
        </is>
      </c>
      <c r="D707" s="20" t="inlineStr">
        <is>
          <t>Valle del Cauca</t>
        </is>
      </c>
      <c r="E707" s="20" t="inlineStr">
        <is>
          <t>OCCIDENTE</t>
        </is>
      </c>
      <c r="F707" s="20" t="inlineStr">
        <is>
          <t>8:00 AM - 11:30 AM Y DE 02:00 PM - 04:30 PM</t>
        </is>
      </c>
      <c r="G707" s="20" t="inlineStr">
        <is>
          <t>Calle 6 No. 5-04</t>
        </is>
      </c>
      <c r="H707" s="20" t="inlineStr">
        <is>
          <t>6013821400</t>
        </is>
      </c>
      <c r="I707" s="20" t="inlineStr">
        <is>
          <t>LUNES A VIERNES</t>
        </is>
      </c>
      <c r="J707" s="20" t="inlineStr">
        <is>
          <t>INSARED</t>
        </is>
      </c>
      <c r="K707" s="21" t="n">
        <v>46296</v>
      </c>
      <c r="L707" s="21" t="n">
        <v>46296</v>
      </c>
      <c r="M707" s="20" t="n">
        <v>13</v>
      </c>
    </row>
    <row r="708">
      <c r="A708" s="16" t="inlineStr">
        <is>
          <t>6913</t>
        </is>
      </c>
      <c r="B708" s="17" t="inlineStr">
        <is>
          <t>GINEBRA</t>
        </is>
      </c>
      <c r="C708" s="17" t="inlineStr">
        <is>
          <t>Ginebra</t>
        </is>
      </c>
      <c r="D708" s="17" t="inlineStr">
        <is>
          <t>Valle del Cauca</t>
        </is>
      </c>
      <c r="E708" s="17" t="inlineStr">
        <is>
          <t>OCCIDENTE</t>
        </is>
      </c>
      <c r="F708" s="17" t="inlineStr">
        <is>
          <t>8:00 AM - 11:30 AM Y DE 02:00 PM - 04:30 PM</t>
        </is>
      </c>
      <c r="G708" s="17" t="inlineStr">
        <is>
          <t>Calle 6 No 2-40 Centro</t>
        </is>
      </c>
      <c r="H708" s="17" t="inlineStr">
        <is>
          <t>6013821400</t>
        </is>
      </c>
      <c r="I708" s="17" t="inlineStr">
        <is>
          <t>LUNES A VIERNES</t>
        </is>
      </c>
      <c r="J708" s="17" t="inlineStr">
        <is>
          <t>INSARED</t>
        </is>
      </c>
      <c r="K708" s="18" t="n">
        <v>46309</v>
      </c>
      <c r="L708" s="18" t="n">
        <v>46309</v>
      </c>
      <c r="M708" s="17" t="n">
        <v>13</v>
      </c>
    </row>
    <row r="709">
      <c r="A709" s="19" t="inlineStr">
        <is>
          <t>6915</t>
        </is>
      </c>
      <c r="B709" s="20" t="inlineStr">
        <is>
          <t>CALI  AVENIDA TERCERA NORTE</t>
        </is>
      </c>
      <c r="C709" s="20" t="inlineStr">
        <is>
          <t>Cali</t>
        </is>
      </c>
      <c r="D709" s="20" t="inlineStr">
        <is>
          <t>Valle del Cauca</t>
        </is>
      </c>
      <c r="E709" s="20" t="inlineStr">
        <is>
          <t>OCCIDENTE</t>
        </is>
      </c>
      <c r="F709" s="20" t="inlineStr">
        <is>
          <t>8:00 AM - 11:30 AM Y DE 02:00 PM - 04:30 PM</t>
        </is>
      </c>
      <c r="G709" s="20" t="inlineStr">
        <is>
          <t>Avenida. 3a. Norte No.40 N -08 Barrio Vipasa</t>
        </is>
      </c>
      <c r="H709" s="20" t="inlineStr">
        <is>
          <t>6013821400</t>
        </is>
      </c>
      <c r="I709" s="20" t="inlineStr">
        <is>
          <t>LUNES A VIERNES</t>
        </is>
      </c>
      <c r="J709" s="20" t="inlineStr">
        <is>
          <t>INSARED</t>
        </is>
      </c>
      <c r="K709" s="21" t="n">
        <v>46339</v>
      </c>
      <c r="L709" s="21" t="n">
        <v>46339</v>
      </c>
      <c r="M709" s="20" t="n">
        <v>28</v>
      </c>
    </row>
    <row r="710">
      <c r="A710" s="16" t="inlineStr">
        <is>
          <t>6916</t>
        </is>
      </c>
      <c r="B710" s="17" t="inlineStr">
        <is>
          <t>SILVIA</t>
        </is>
      </c>
      <c r="C710" s="17" t="inlineStr">
        <is>
          <t>Silvia</t>
        </is>
      </c>
      <c r="D710" s="17" t="inlineStr">
        <is>
          <t>Cauca</t>
        </is>
      </c>
      <c r="E710" s="17" t="inlineStr">
        <is>
          <t>OCCIDENTE</t>
        </is>
      </c>
      <c r="F710" s="17" t="inlineStr">
        <is>
          <t>8:00 AM - 11:30 AM Y DE 02:00 PM - 04:30 PM</t>
        </is>
      </c>
      <c r="G710" s="17" t="inlineStr">
        <is>
          <t>Carrera 3 No.10-32</t>
        </is>
      </c>
      <c r="H710" s="17" t="inlineStr">
        <is>
          <t>6013821400</t>
        </is>
      </c>
      <c r="I710" s="17" t="inlineStr">
        <is>
          <t>LUNES A VIERNES</t>
        </is>
      </c>
      <c r="J710" s="17" t="inlineStr">
        <is>
          <t>INSARED</t>
        </is>
      </c>
      <c r="K710" s="18" t="n">
        <v>46286</v>
      </c>
      <c r="L710" s="18" t="n">
        <v>46286</v>
      </c>
      <c r="M710" s="17" t="n">
        <v>15</v>
      </c>
    </row>
    <row r="711">
      <c r="A711" s="19" t="inlineStr">
        <is>
          <t>6917</t>
        </is>
      </c>
      <c r="B711" s="20" t="inlineStr">
        <is>
          <t>TIMBIO</t>
        </is>
      </c>
      <c r="C711" s="20" t="inlineStr">
        <is>
          <t>Timbío</t>
        </is>
      </c>
      <c r="D711" s="20" t="inlineStr">
        <is>
          <t>Cauca</t>
        </is>
      </c>
      <c r="E711" s="20" t="inlineStr">
        <is>
          <t>OCCIDENTE</t>
        </is>
      </c>
      <c r="F711" s="20" t="inlineStr">
        <is>
          <t>DE MARTES A VIERNES DE 8:00 AM A 11:30 AM Y DE 2:00 P.M. A 4:30 P.M.    SABADO DE 8:00 AM A 2:00 P.M.</t>
        </is>
      </c>
      <c r="G711" s="20" t="inlineStr">
        <is>
          <t>Calle 18 No.21-00 Local 4 Barrio San Judas</t>
        </is>
      </c>
      <c r="H711" s="20" t="inlineStr">
        <is>
          <t>6013821400</t>
        </is>
      </c>
      <c r="I711" s="20" t="inlineStr">
        <is>
          <t>MARTES A VIERNES Y      SÁBADO</t>
        </is>
      </c>
      <c r="J711" s="20" t="inlineStr">
        <is>
          <t>INSARED</t>
        </is>
      </c>
      <c r="K711" s="21" t="n">
        <v>46273</v>
      </c>
      <c r="L711" s="21" t="n">
        <v>46274</v>
      </c>
      <c r="M711" s="20" t="n">
        <v>30</v>
      </c>
    </row>
    <row r="712">
      <c r="A712" s="16" t="inlineStr">
        <is>
          <t>6918</t>
        </is>
      </c>
      <c r="B712" s="17" t="inlineStr">
        <is>
          <t>POPAYAN</t>
        </is>
      </c>
      <c r="C712" s="17" t="inlineStr">
        <is>
          <t>Popayán</t>
        </is>
      </c>
      <c r="D712" s="17" t="inlineStr">
        <is>
          <t>Cauca</t>
        </is>
      </c>
      <c r="E712" s="17" t="inlineStr">
        <is>
          <t>OCCIDENTE</t>
        </is>
      </c>
      <c r="F712" s="17" t="inlineStr">
        <is>
          <t>8:00 AM - 11:30 AM Y DE 02:00 PM - 04:30 PM</t>
        </is>
      </c>
      <c r="G712" s="17" t="inlineStr">
        <is>
          <t>Calle 4 No.7-03</t>
        </is>
      </c>
      <c r="H712" s="17" t="inlineStr">
        <is>
          <t>6013821400</t>
        </is>
      </c>
      <c r="I712" s="17" t="inlineStr">
        <is>
          <t>LUNES A VIERNES</t>
        </is>
      </c>
      <c r="J712" s="17" t="inlineStr">
        <is>
          <t>REGIONAL</t>
        </is>
      </c>
      <c r="K712" s="18" t="n">
        <v>46301</v>
      </c>
      <c r="L712" s="18" t="n">
        <v>46311</v>
      </c>
      <c r="M712" s="17" t="n">
        <v>49</v>
      </c>
    </row>
    <row r="713">
      <c r="A713" s="19" t="inlineStr">
        <is>
          <t>6920</t>
        </is>
      </c>
      <c r="B713" s="20" t="inlineStr">
        <is>
          <t>SANTANDER DE QUILICHAO</t>
        </is>
      </c>
      <c r="C713" s="20" t="inlineStr">
        <is>
          <t>Santander De Quilichao</t>
        </is>
      </c>
      <c r="D713" s="20" t="inlineStr">
        <is>
          <t>Cauca</t>
        </is>
      </c>
      <c r="E713" s="20" t="inlineStr">
        <is>
          <t>OCCIDENTE</t>
        </is>
      </c>
      <c r="F713" s="20" t="inlineStr">
        <is>
          <t>DE MARTES A VIERNES DE 8:00 AM A 11:30 AM Y DE 2:00 P.M. A 4:30 P.M.    SABADO DE 8:00 AM A 2:00 P.M.</t>
        </is>
      </c>
      <c r="G713" s="20" t="inlineStr">
        <is>
          <t>Carrera 11 No. 03-64 C.C Santander Plaza</t>
        </is>
      </c>
      <c r="H713" s="20" t="inlineStr">
        <is>
          <t>6013821400</t>
        </is>
      </c>
      <c r="I713" s="20" t="inlineStr">
        <is>
          <t>MARTES A VIERNES Y      SÁBADO</t>
        </is>
      </c>
      <c r="J713" s="20" t="inlineStr">
        <is>
          <t>INSARED</t>
        </is>
      </c>
      <c r="K713" s="21" t="n">
        <v>46282</v>
      </c>
      <c r="L713" s="21" t="n">
        <v>46283</v>
      </c>
      <c r="M713" s="20" t="n">
        <v>35</v>
      </c>
    </row>
    <row r="714">
      <c r="A714" s="16" t="inlineStr">
        <is>
          <t>6921</t>
        </is>
      </c>
      <c r="B714" s="17" t="inlineStr">
        <is>
          <t>PUERTO TEJADA</t>
        </is>
      </c>
      <c r="C714" s="17" t="inlineStr">
        <is>
          <t>Puerto Tejada</t>
        </is>
      </c>
      <c r="D714" s="17" t="inlineStr">
        <is>
          <t>Cauca</t>
        </is>
      </c>
      <c r="E714" s="17" t="inlineStr">
        <is>
          <t>OCCIDENTE</t>
        </is>
      </c>
      <c r="F714" s="17" t="inlineStr">
        <is>
          <t>8:00 AM - 11:30 AM Y DE 02:00 PM - 04:30 PM</t>
        </is>
      </c>
      <c r="G714" s="17" t="inlineStr">
        <is>
          <t>Cra.20 Calle 15 y 14</t>
        </is>
      </c>
      <c r="H714" s="17" t="inlineStr">
        <is>
          <t>6013821400</t>
        </is>
      </c>
      <c r="I714" s="17" t="inlineStr">
        <is>
          <t>LUNES A VIERNES</t>
        </is>
      </c>
      <c r="J714" s="17" t="inlineStr">
        <is>
          <t>INSARED</t>
        </is>
      </c>
      <c r="K714" s="18" t="n">
        <v>46293</v>
      </c>
      <c r="L714" s="18" t="n">
        <v>46293</v>
      </c>
      <c r="M714" s="17" t="n">
        <v>25</v>
      </c>
    </row>
    <row r="715">
      <c r="A715" s="19" t="inlineStr">
        <is>
          <t>6922</t>
        </is>
      </c>
      <c r="B715" s="20" t="inlineStr">
        <is>
          <t>PIENDAMO</t>
        </is>
      </c>
      <c r="C715" s="20" t="inlineStr">
        <is>
          <t>Piendamó</t>
        </is>
      </c>
      <c r="D715" s="20" t="inlineStr">
        <is>
          <t>Cauca</t>
        </is>
      </c>
      <c r="E715" s="20" t="inlineStr">
        <is>
          <t>OCCIDENTE</t>
        </is>
      </c>
      <c r="F715" s="20" t="inlineStr">
        <is>
          <t>DE MARTES A VIERNES DE 8:00 AM A 11:30 AM Y DE 2:00 P.M. A 4:30 P.M.    SABADO DE 8:00 AM A 2:00 P.M.</t>
        </is>
      </c>
      <c r="G715" s="20" t="inlineStr">
        <is>
          <t>Cra. 3 Calle 8-00</t>
        </is>
      </c>
      <c r="H715" s="20" t="inlineStr">
        <is>
          <t>6013821400</t>
        </is>
      </c>
      <c r="I715" s="20" t="inlineStr">
        <is>
          <t>MARTES A VIERNES Y      SÁBADO</t>
        </is>
      </c>
      <c r="J715" s="20" t="inlineStr">
        <is>
          <t>INSARED</t>
        </is>
      </c>
      <c r="K715" s="21" t="n">
        <v>46289</v>
      </c>
      <c r="L715" s="21" t="n">
        <v>46289</v>
      </c>
      <c r="M715" s="20" t="n">
        <v>25</v>
      </c>
    </row>
    <row r="716">
      <c r="A716" s="16" t="inlineStr">
        <is>
          <t>6924</t>
        </is>
      </c>
      <c r="B716" s="17" t="inlineStr">
        <is>
          <t>BOLIVAR</t>
        </is>
      </c>
      <c r="C716" s="17" t="inlineStr">
        <is>
          <t>Bolívar</t>
        </is>
      </c>
      <c r="D716" s="17" t="inlineStr">
        <is>
          <t>Valle del Cauca</t>
        </is>
      </c>
      <c r="E716" s="17" t="inlineStr">
        <is>
          <t>CAFETERA</t>
        </is>
      </c>
      <c r="F716" s="17" t="inlineStr">
        <is>
          <t>8:00 AM - 11:30 AM Y DE 02:00 PM - 04:30 PM</t>
        </is>
      </c>
      <c r="G716" s="17" t="inlineStr">
        <is>
          <t>Calle 5 No.3 -61</t>
        </is>
      </c>
      <c r="H716" s="17" t="inlineStr">
        <is>
          <t>6013821400</t>
        </is>
      </c>
      <c r="I716" s="17" t="inlineStr">
        <is>
          <t>LUNES A VIERNES</t>
        </is>
      </c>
      <c r="J716" s="17" t="inlineStr">
        <is>
          <t>INSARED</t>
        </is>
      </c>
      <c r="K716" s="18" t="n">
        <v>46329</v>
      </c>
      <c r="L716" s="18" t="n">
        <v>46329</v>
      </c>
      <c r="M716" s="17" t="n">
        <v>16</v>
      </c>
    </row>
    <row r="717">
      <c r="A717" s="19" t="inlineStr">
        <is>
          <t>6925</t>
        </is>
      </c>
      <c r="B717" s="20" t="inlineStr">
        <is>
          <t>CALI  PASOANCHO</t>
        </is>
      </c>
      <c r="C717" s="20" t="inlineStr">
        <is>
          <t>Cali</t>
        </is>
      </c>
      <c r="D717" s="20" t="inlineStr">
        <is>
          <t>Valle del Cauca</t>
        </is>
      </c>
      <c r="E717" s="20" t="inlineStr">
        <is>
          <t>OCCIDENTE</t>
        </is>
      </c>
      <c r="F717" s="20" t="inlineStr">
        <is>
          <t>8:00 AM - 11:30 AM Y DE 02:00 PM - 04:30 PM</t>
        </is>
      </c>
      <c r="G717" s="20" t="inlineStr">
        <is>
          <t>Calle 13 (Av. Pasoancho) No. 73 / 104 - 108</t>
        </is>
      </c>
      <c r="H717" s="20" t="inlineStr">
        <is>
          <t>6013821400</t>
        </is>
      </c>
      <c r="I717" s="20" t="inlineStr">
        <is>
          <t>LUNES A VIERNES</t>
        </is>
      </c>
      <c r="J717" s="20" t="inlineStr">
        <is>
          <t>INSARED</t>
        </is>
      </c>
      <c r="K717" s="21" t="n">
        <v>46338</v>
      </c>
      <c r="L717" s="21" t="n">
        <v>46338</v>
      </c>
      <c r="M717" s="20" t="n">
        <v>25</v>
      </c>
    </row>
    <row r="718">
      <c r="A718" s="16" t="inlineStr">
        <is>
          <t>6926</t>
        </is>
      </c>
      <c r="B718" s="17" t="inlineStr">
        <is>
          <t>EL AGUILA</t>
        </is>
      </c>
      <c r="C718" s="17" t="inlineStr">
        <is>
          <t>El Águila</t>
        </is>
      </c>
      <c r="D718" s="17" t="inlineStr">
        <is>
          <t>Valle del Cauca</t>
        </is>
      </c>
      <c r="E718" s="17" t="inlineStr">
        <is>
          <t>CAFETERA</t>
        </is>
      </c>
      <c r="F718" s="17" t="inlineStr">
        <is>
          <t>8:00 AM A 2:00 P.M.</t>
        </is>
      </c>
      <c r="G718" s="17" t="inlineStr">
        <is>
          <t>CRA. 2 # 7-02/09 Plaza Principal Edificio del Café</t>
        </is>
      </c>
      <c r="H718" s="17" t="inlineStr">
        <is>
          <t>6013821400</t>
        </is>
      </c>
      <c r="I718" s="17" t="inlineStr">
        <is>
          <t>MARTES A SABADO</t>
        </is>
      </c>
      <c r="J718" s="17" t="inlineStr">
        <is>
          <t>INSARED</t>
        </is>
      </c>
      <c r="K718" s="18" t="n">
        <v>46318</v>
      </c>
      <c r="L718" s="18" t="n">
        <v>46318</v>
      </c>
      <c r="M718" s="17" t="n">
        <v>12</v>
      </c>
    </row>
    <row r="719">
      <c r="A719" s="19" t="inlineStr">
        <is>
          <t>6928</t>
        </is>
      </c>
      <c r="B719" s="20" t="inlineStr">
        <is>
          <t>JAMUNDÍ</t>
        </is>
      </c>
      <c r="C719" s="20" t="inlineStr">
        <is>
          <t>Jamundí</t>
        </is>
      </c>
      <c r="D719" s="20" t="inlineStr">
        <is>
          <t>Valle del Cauca</t>
        </is>
      </c>
      <c r="E719" s="20" t="inlineStr">
        <is>
          <t>OCCIDENTE</t>
        </is>
      </c>
      <c r="F719" s="20" t="inlineStr">
        <is>
          <t>8:00 AM - 11:30 AM Y DE 02:00 PM - 04:30 PM</t>
        </is>
      </c>
      <c r="G719" s="20" t="inlineStr">
        <is>
          <t>Carrera 12 No. 10-19</t>
        </is>
      </c>
      <c r="H719" s="20" t="inlineStr">
        <is>
          <t>6013821400</t>
        </is>
      </c>
      <c r="I719" s="20" t="inlineStr">
        <is>
          <t>LUNES A VIERNES</t>
        </is>
      </c>
      <c r="J719" s="20" t="inlineStr">
        <is>
          <t>INSARED</t>
        </is>
      </c>
      <c r="K719" s="21" t="n">
        <v>46300</v>
      </c>
      <c r="L719" s="21" t="n">
        <v>46300</v>
      </c>
      <c r="M719" s="20" t="n">
        <v>17</v>
      </c>
    </row>
    <row r="720">
      <c r="A720" s="16" t="inlineStr">
        <is>
          <t>6931</t>
        </is>
      </c>
      <c r="B720" s="17" t="inlineStr">
        <is>
          <t>LA CUMBRE</t>
        </is>
      </c>
      <c r="C720" s="17" t="inlineStr">
        <is>
          <t>La Cumbre</t>
        </is>
      </c>
      <c r="D720" s="17" t="inlineStr">
        <is>
          <t>Valle del Cauca</t>
        </is>
      </c>
      <c r="E720" s="17" t="inlineStr">
        <is>
          <t>OCCIDENTE</t>
        </is>
      </c>
      <c r="F720" s="17" t="inlineStr">
        <is>
          <t>8:00 AM - 11:30 AM Y DE 02:00 PM - 04:30 PM</t>
        </is>
      </c>
      <c r="G720" s="17" t="inlineStr">
        <is>
          <t>Calle 4 No.1B-135</t>
        </is>
      </c>
      <c r="H720" s="17" t="inlineStr">
        <is>
          <t>6013821400</t>
        </is>
      </c>
      <c r="I720" s="17" t="inlineStr">
        <is>
          <t>LUNES A VIERNES</t>
        </is>
      </c>
      <c r="J720" s="17" t="inlineStr">
        <is>
          <t>INSARED</t>
        </is>
      </c>
      <c r="K720" s="18" t="n">
        <v>46297</v>
      </c>
      <c r="L720" s="18" t="n">
        <v>46297</v>
      </c>
      <c r="M720" s="17" t="n">
        <v>14</v>
      </c>
    </row>
    <row r="721">
      <c r="A721" s="19" t="inlineStr">
        <is>
          <t>6932</t>
        </is>
      </c>
      <c r="B721" s="20" t="inlineStr">
        <is>
          <t>NARANJAL (Corregimiento del municipio de Bolivar - Valle del Cauca)</t>
        </is>
      </c>
      <c r="C721" s="20" t="inlineStr">
        <is>
          <t>Bolívar</t>
        </is>
      </c>
      <c r="D721" s="20" t="inlineStr">
        <is>
          <t>Valle del Cauca</t>
        </is>
      </c>
      <c r="E721" s="20" t="inlineStr">
        <is>
          <t>CAFETERA</t>
        </is>
      </c>
      <c r="F721" s="20" t="inlineStr">
        <is>
          <t>8:00 AM A 2:00 P.M.</t>
        </is>
      </c>
      <c r="G721" s="20" t="inlineStr">
        <is>
          <t>Calle 5 No. 5 - 25</t>
        </is>
      </c>
      <c r="H721" s="20" t="inlineStr">
        <is>
          <t>6013821400</t>
        </is>
      </c>
      <c r="I721" s="20" t="inlineStr">
        <is>
          <t>MARTES A SABADO</t>
        </is>
      </c>
      <c r="J721" s="20" t="inlineStr">
        <is>
          <t>INSARED</t>
        </is>
      </c>
      <c r="K721" s="21" t="n">
        <v>46330</v>
      </c>
      <c r="L721" s="21" t="n">
        <v>46330</v>
      </c>
      <c r="M721" s="20" t="n">
        <v>12</v>
      </c>
    </row>
    <row r="722">
      <c r="A722" s="16" t="inlineStr">
        <is>
          <t>6935</t>
        </is>
      </c>
      <c r="B722" s="17" t="inlineStr">
        <is>
          <t>ANSERMANUEVO</t>
        </is>
      </c>
      <c r="C722" s="17" t="inlineStr">
        <is>
          <t>Ansermanuevo</t>
        </is>
      </c>
      <c r="D722" s="17" t="inlineStr">
        <is>
          <t>Valle del Cauca</t>
        </is>
      </c>
      <c r="E722" s="17" t="inlineStr">
        <is>
          <t>CAFETERA</t>
        </is>
      </c>
      <c r="F722" s="17" t="inlineStr">
        <is>
          <t>8:00 AM A 2:00 P.M.</t>
        </is>
      </c>
      <c r="G722" s="17" t="inlineStr">
        <is>
          <t>CRA.4 BIS # 6-93</t>
        </is>
      </c>
      <c r="H722" s="17" t="inlineStr">
        <is>
          <t>6013821400</t>
        </is>
      </c>
      <c r="I722" s="17" t="inlineStr">
        <is>
          <t>MARTES A SABADO</t>
        </is>
      </c>
      <c r="J722" s="17" t="inlineStr">
        <is>
          <t>INSARED</t>
        </is>
      </c>
      <c r="K722" s="18" t="n">
        <v>46353</v>
      </c>
      <c r="L722" s="18" t="n">
        <v>46353</v>
      </c>
      <c r="M722" s="17" t="n">
        <v>19</v>
      </c>
    </row>
    <row r="723">
      <c r="A723" s="19" t="inlineStr">
        <is>
          <t>6940</t>
        </is>
      </c>
      <c r="B723" s="20" t="inlineStr">
        <is>
          <t>PALMIRA</t>
        </is>
      </c>
      <c r="C723" s="20" t="inlineStr">
        <is>
          <t>Palmira</t>
        </is>
      </c>
      <c r="D723" s="20" t="inlineStr">
        <is>
          <t>Valle del Cauca</t>
        </is>
      </c>
      <c r="E723" s="20" t="inlineStr">
        <is>
          <t>OCCIDENTE</t>
        </is>
      </c>
      <c r="F723" s="20" t="inlineStr">
        <is>
          <t>8:00 AM - 11:30 AM Y DE 02:00 PM - 04:30 PM</t>
        </is>
      </c>
      <c r="G723" s="20" t="inlineStr">
        <is>
          <t>CALLE 30 No.26-62</t>
        </is>
      </c>
      <c r="H723" s="20" t="inlineStr">
        <is>
          <t>6013821400</t>
        </is>
      </c>
      <c r="I723" s="20" t="inlineStr">
        <is>
          <t>LUNES A VIERNES</t>
        </is>
      </c>
      <c r="J723" s="20" t="inlineStr">
        <is>
          <t>INSARED</t>
        </is>
      </c>
      <c r="K723" s="21" t="n">
        <v>46331</v>
      </c>
      <c r="L723" s="21" t="n">
        <v>46331</v>
      </c>
      <c r="M723" s="20" t="n">
        <v>36</v>
      </c>
    </row>
    <row r="724">
      <c r="A724" s="16" t="inlineStr">
        <is>
          <t>6941</t>
        </is>
      </c>
      <c r="B724" s="17" t="inlineStr">
        <is>
          <t>PRADERA</t>
        </is>
      </c>
      <c r="C724" s="17" t="inlineStr">
        <is>
          <t>Pradera</t>
        </is>
      </c>
      <c r="D724" s="17" t="inlineStr">
        <is>
          <t>Valle del Cauca</t>
        </is>
      </c>
      <c r="E724" s="17" t="inlineStr">
        <is>
          <t>OCCIDENTE</t>
        </is>
      </c>
      <c r="F724" s="17" t="inlineStr">
        <is>
          <t>8:00 AM - 11:30 AM Y DE 02:00 PM - 04:30 PM</t>
        </is>
      </c>
      <c r="G724" s="17" t="inlineStr">
        <is>
          <t>Calle 7 No. 10-63</t>
        </is>
      </c>
      <c r="H724" s="17" t="inlineStr">
        <is>
          <t>6013821400</t>
        </is>
      </c>
      <c r="I724" s="17" t="inlineStr">
        <is>
          <t>LUNES A VIERNES</t>
        </is>
      </c>
      <c r="J724" s="17" t="inlineStr">
        <is>
          <t>INSARED</t>
        </is>
      </c>
      <c r="K724" s="18" t="n">
        <v>46332</v>
      </c>
      <c r="L724" s="18" t="n">
        <v>46332</v>
      </c>
      <c r="M724" s="17" t="n">
        <v>24</v>
      </c>
    </row>
    <row r="725">
      <c r="A725" s="19" t="inlineStr">
        <is>
          <t>6943</t>
        </is>
      </c>
      <c r="B725" s="20" t="inlineStr">
        <is>
          <t>FLORIDA</t>
        </is>
      </c>
      <c r="C725" s="20" t="inlineStr">
        <is>
          <t>Florida</t>
        </is>
      </c>
      <c r="D725" s="20" t="inlineStr">
        <is>
          <t>Valle del Cauca</t>
        </is>
      </c>
      <c r="E725" s="20" t="inlineStr">
        <is>
          <t>OCCIDENTE</t>
        </is>
      </c>
      <c r="F725" s="20" t="inlineStr">
        <is>
          <t>8:00 AM - 11:30 AM Y DE 02:00 PM - 04:30 PM</t>
        </is>
      </c>
      <c r="G725" s="20" t="inlineStr">
        <is>
          <t>Calle 9 No. 20-01</t>
        </is>
      </c>
      <c r="H725" s="20" t="inlineStr">
        <is>
          <t>6013821400</t>
        </is>
      </c>
      <c r="I725" s="20" t="inlineStr">
        <is>
          <t>LUNES A VIERNES</t>
        </is>
      </c>
      <c r="J725" s="20" t="inlineStr">
        <is>
          <t>INSARED</t>
        </is>
      </c>
      <c r="K725" s="21" t="n">
        <v>46330</v>
      </c>
      <c r="L725" s="21" t="n">
        <v>46330</v>
      </c>
      <c r="M725" s="20" t="n">
        <v>18</v>
      </c>
    </row>
    <row r="726">
      <c r="A726" s="16" t="inlineStr">
        <is>
          <t>6950</t>
        </is>
      </c>
      <c r="B726" s="17" t="inlineStr">
        <is>
          <t>SEVILLA</t>
        </is>
      </c>
      <c r="C726" s="17" t="inlineStr">
        <is>
          <t>Sevilla</t>
        </is>
      </c>
      <c r="D726" s="17" t="inlineStr">
        <is>
          <t>Valle del Cauca</t>
        </is>
      </c>
      <c r="E726" s="17" t="inlineStr">
        <is>
          <t>CAFETERA</t>
        </is>
      </c>
      <c r="F726" s="17" t="inlineStr">
        <is>
          <t>DE MARTES A VIERNES DE 8:00 AM A 11:30 AM Y DE 2:00 P.M. A 4:30 P.M.    SABADO DE 8:00 AM A 2:00 P.M.</t>
        </is>
      </c>
      <c r="G726" s="17" t="inlineStr">
        <is>
          <t>Cra. 49 No. 50 - 08</t>
        </is>
      </c>
      <c r="H726" s="17" t="inlineStr">
        <is>
          <t>6013821400</t>
        </is>
      </c>
      <c r="I726" s="17" t="inlineStr">
        <is>
          <t>MARTES A VIERNES Y      SÁBADO</t>
        </is>
      </c>
      <c r="J726" s="17" t="inlineStr">
        <is>
          <t>INSARED</t>
        </is>
      </c>
      <c r="K726" s="18" t="n">
        <v>46350</v>
      </c>
      <c r="L726" s="18" t="n">
        <v>46351</v>
      </c>
      <c r="M726" s="17" t="n">
        <v>23</v>
      </c>
    </row>
    <row r="727">
      <c r="A727" s="19" t="inlineStr">
        <is>
          <t>6952</t>
        </is>
      </c>
      <c r="B727" s="20" t="inlineStr">
        <is>
          <t>TRUJILLO</t>
        </is>
      </c>
      <c r="C727" s="20" t="inlineStr">
        <is>
          <t>Trujillo</t>
        </is>
      </c>
      <c r="D727" s="20" t="inlineStr">
        <is>
          <t>Valle del Cauca</t>
        </is>
      </c>
      <c r="E727" s="20" t="inlineStr">
        <is>
          <t>OCCIDENTE</t>
        </is>
      </c>
      <c r="F727" s="20" t="inlineStr">
        <is>
          <t>DE MARTES A VIERNES DE 8:00 AM A 11:30 AM Y DE 2:00 P.M. A 4:30 P.M.    SABADO DE 8:00 AM A 2:00 P.M.</t>
        </is>
      </c>
      <c r="G727" s="20" t="inlineStr">
        <is>
          <t>Cra.19 No.20-71/73</t>
        </is>
      </c>
      <c r="H727" s="20" t="inlineStr">
        <is>
          <t>6013821400</t>
        </is>
      </c>
      <c r="I727" s="20" t="inlineStr">
        <is>
          <t>MARTES A VIERNES Y      SÁBADO</t>
        </is>
      </c>
      <c r="J727" s="20" t="inlineStr">
        <is>
          <t>INSARED</t>
        </is>
      </c>
      <c r="K727" s="21" t="n">
        <v>46316</v>
      </c>
      <c r="L727" s="21" t="n">
        <v>46316</v>
      </c>
      <c r="M727" s="20" t="n">
        <v>18</v>
      </c>
    </row>
    <row r="728">
      <c r="A728" s="16" t="inlineStr">
        <is>
          <t>6954</t>
        </is>
      </c>
      <c r="B728" s="17" t="inlineStr">
        <is>
          <t>RIOFRIO</t>
        </is>
      </c>
      <c r="C728" s="17" t="inlineStr">
        <is>
          <t>Riofrío</t>
        </is>
      </c>
      <c r="D728" s="17" t="inlineStr">
        <is>
          <t>Valle del Cauca</t>
        </is>
      </c>
      <c r="E728" s="17" t="inlineStr">
        <is>
          <t>OCCIDENTE</t>
        </is>
      </c>
      <c r="F728" s="17" t="inlineStr">
        <is>
          <t>8:00 AM - 11:30 AM Y DE 02:00 PM - 04:30 PM</t>
        </is>
      </c>
      <c r="G728" s="17" t="inlineStr">
        <is>
          <t>Calle 6 No.9-50</t>
        </is>
      </c>
      <c r="H728" s="17" t="inlineStr">
        <is>
          <t>6013821400</t>
        </is>
      </c>
      <c r="I728" s="17" t="inlineStr">
        <is>
          <t>LUNES A VIERNES</t>
        </is>
      </c>
      <c r="J728" s="17" t="inlineStr">
        <is>
          <t>INSARED</t>
        </is>
      </c>
      <c r="K728" s="18" t="n">
        <v>46315</v>
      </c>
      <c r="L728" s="18" t="n">
        <v>46315</v>
      </c>
      <c r="M728" s="17" t="n">
        <v>16</v>
      </c>
    </row>
    <row r="729">
      <c r="A729" s="19" t="inlineStr">
        <is>
          <t>6955</t>
        </is>
      </c>
      <c r="B729" s="20" t="inlineStr">
        <is>
          <t>TULUA</t>
        </is>
      </c>
      <c r="C729" s="20" t="inlineStr">
        <is>
          <t>Tuluá</t>
        </is>
      </c>
      <c r="D729" s="20" t="inlineStr">
        <is>
          <t>Valle del Cauca</t>
        </is>
      </c>
      <c r="E729" s="20" t="inlineStr">
        <is>
          <t>OCCIDENTE</t>
        </is>
      </c>
      <c r="F729" s="20" t="inlineStr">
        <is>
          <t>8:00 AM - 11:30 AM Y DE 02:00 PM - 04:30 PM</t>
        </is>
      </c>
      <c r="G729" s="20" t="inlineStr">
        <is>
          <t>Carrera 26 No. 27 - 59 / 27 - 63</t>
        </is>
      </c>
      <c r="H729" s="20" t="inlineStr">
        <is>
          <t>6013821400</t>
        </is>
      </c>
      <c r="I729" s="20" t="inlineStr">
        <is>
          <t>LUNES A VIERNES</t>
        </is>
      </c>
      <c r="J729" s="20" t="inlineStr">
        <is>
          <t>INSARED</t>
        </is>
      </c>
      <c r="K729" s="21" t="n">
        <v>46314</v>
      </c>
      <c r="L729" s="21" t="n">
        <v>46314</v>
      </c>
      <c r="M729" s="20" t="n">
        <v>31</v>
      </c>
    </row>
    <row r="730">
      <c r="A730" s="16" t="inlineStr">
        <is>
          <t>6963</t>
        </is>
      </c>
      <c r="B730" s="17" t="inlineStr">
        <is>
          <t>BUENAVENTURA</t>
        </is>
      </c>
      <c r="C730" s="17" t="inlineStr">
        <is>
          <t>Buenaventura</t>
        </is>
      </c>
      <c r="D730" s="17" t="inlineStr">
        <is>
          <t>Valle del Cauca</t>
        </is>
      </c>
      <c r="E730" s="17" t="inlineStr">
        <is>
          <t>OCCIDENTE</t>
        </is>
      </c>
      <c r="F730" s="17" t="inlineStr">
        <is>
          <t>8:00 AM - 11:30 AM Y DE 02:00 PM - 04:30 PM</t>
        </is>
      </c>
      <c r="G730" s="17" t="inlineStr">
        <is>
          <t>Calle 1 Carrera 2 Esquina, Barrio Centro - Sector Isla (Calle 1 No. 2-51/2-59)</t>
        </is>
      </c>
      <c r="H730" s="17" t="inlineStr">
        <is>
          <t>6013821400</t>
        </is>
      </c>
      <c r="I730" s="17" t="inlineStr">
        <is>
          <t>LUNES A VIERNES</t>
        </is>
      </c>
      <c r="J730" s="17" t="inlineStr">
        <is>
          <t>INSARED</t>
        </is>
      </c>
      <c r="K730" s="18" t="n">
        <v>46343</v>
      </c>
      <c r="L730" s="18" t="n">
        <v>46346</v>
      </c>
      <c r="M730" s="17" t="n">
        <v>35</v>
      </c>
    </row>
    <row r="731">
      <c r="A731" s="19" t="inlineStr">
        <is>
          <t>6964</t>
        </is>
      </c>
      <c r="B731" s="20" t="inlineStr">
        <is>
          <t>DARIEN</t>
        </is>
      </c>
      <c r="C731" s="20" t="inlineStr">
        <is>
          <t>Calima</t>
        </is>
      </c>
      <c r="D731" s="20" t="inlineStr">
        <is>
          <t>Valle del Cauca</t>
        </is>
      </c>
      <c r="E731" s="20" t="inlineStr">
        <is>
          <t>OCCIDENTE</t>
        </is>
      </c>
      <c r="F731" s="20" t="inlineStr">
        <is>
          <t>8:00 AM - 11:30 AM Y DE 02:00 PM - 04:30 PM</t>
        </is>
      </c>
      <c r="G731" s="20" t="inlineStr">
        <is>
          <t>Calle 11 No.6-42</t>
        </is>
      </c>
      <c r="H731" s="20" t="inlineStr">
        <is>
          <t>6013821400</t>
        </is>
      </c>
      <c r="I731" s="20" t="inlineStr">
        <is>
          <t>LUNES A VIERNES</t>
        </is>
      </c>
      <c r="J731" s="20" t="inlineStr">
        <is>
          <t>INSARED</t>
        </is>
      </c>
      <c r="K731" s="21" t="n">
        <v>46322</v>
      </c>
      <c r="L731" s="21" t="n">
        <v>46322</v>
      </c>
      <c r="M731" s="20" t="n">
        <v>24</v>
      </c>
    </row>
    <row r="732">
      <c r="A732" s="16" t="inlineStr">
        <is>
          <t>6965</t>
        </is>
      </c>
      <c r="B732" s="17" t="inlineStr">
        <is>
          <t>EL CERRITO</t>
        </is>
      </c>
      <c r="C732" s="17" t="inlineStr">
        <is>
          <t>El Cerrito</t>
        </is>
      </c>
      <c r="D732" s="17" t="inlineStr">
        <is>
          <t>Valle del Cauca</t>
        </is>
      </c>
      <c r="E732" s="17" t="inlineStr">
        <is>
          <t>OCCIDENTE</t>
        </is>
      </c>
      <c r="F732" s="17" t="inlineStr">
        <is>
          <t>8:00 AM - 11:30 AM Y DE 02:00 PM - 04:30 PM</t>
        </is>
      </c>
      <c r="G732" s="17" t="inlineStr">
        <is>
          <t>Calle 7 No. 15 – 33</t>
        </is>
      </c>
      <c r="H732" s="17" t="inlineStr">
        <is>
          <t>6013821400</t>
        </is>
      </c>
      <c r="I732" s="17" t="inlineStr">
        <is>
          <t>LUNES A VIERNES</t>
        </is>
      </c>
      <c r="J732" s="17" t="inlineStr">
        <is>
          <t>INSARED</t>
        </is>
      </c>
      <c r="K732" s="18" t="n">
        <v>46308</v>
      </c>
      <c r="L732" s="18" t="n">
        <v>46308</v>
      </c>
      <c r="M732" s="17" t="n">
        <v>26</v>
      </c>
    </row>
    <row r="733">
      <c r="A733" s="19" t="inlineStr">
        <is>
          <t>6967</t>
        </is>
      </c>
      <c r="B733" s="20" t="inlineStr">
        <is>
          <t>GUACARI</t>
        </is>
      </c>
      <c r="C733" s="20" t="inlineStr">
        <is>
          <t>Guacarí</t>
        </is>
      </c>
      <c r="D733" s="20" t="inlineStr">
        <is>
          <t>Valle del Cauca</t>
        </is>
      </c>
      <c r="E733" s="20" t="inlineStr">
        <is>
          <t>OCCIDENTE</t>
        </is>
      </c>
      <c r="F733" s="20" t="inlineStr">
        <is>
          <t>8:00 AM - 11:30 AM Y DE 02:00 PM - 04:30 PM</t>
        </is>
      </c>
      <c r="G733" s="20" t="inlineStr">
        <is>
          <t>Calle 4 No. 8 - 42</t>
        </is>
      </c>
      <c r="H733" s="20" t="inlineStr">
        <is>
          <t>6013821400</t>
        </is>
      </c>
      <c r="I733" s="20" t="inlineStr">
        <is>
          <t>LUNES A VIERNES</t>
        </is>
      </c>
      <c r="J733" s="20" t="inlineStr">
        <is>
          <t>INSARED</t>
        </is>
      </c>
      <c r="K733" s="21" t="n">
        <v>46324</v>
      </c>
      <c r="L733" s="21" t="n">
        <v>46324</v>
      </c>
      <c r="M733" s="20" t="n">
        <v>23</v>
      </c>
    </row>
    <row r="734">
      <c r="A734" s="16" t="inlineStr">
        <is>
          <t>6970</t>
        </is>
      </c>
      <c r="B734" s="17" t="inlineStr">
        <is>
          <t>ROLDANILLO</t>
        </is>
      </c>
      <c r="C734" s="17" t="inlineStr">
        <is>
          <t>Roldanillo</t>
        </is>
      </c>
      <c r="D734" s="17" t="inlineStr">
        <is>
          <t>Valle del Cauca</t>
        </is>
      </c>
      <c r="E734" s="17" t="inlineStr">
        <is>
          <t>CAFETERA</t>
        </is>
      </c>
      <c r="F734" s="17" t="inlineStr">
        <is>
          <t>8:00 AM - 11:30 AM Y DE 02:00 PM - 04:30 PM</t>
        </is>
      </c>
      <c r="G734" s="17" t="inlineStr">
        <is>
          <t>Calle 8 No. 7 - 31 Plaza Principal</t>
        </is>
      </c>
      <c r="H734" s="17" t="inlineStr">
        <is>
          <t>6013821400</t>
        </is>
      </c>
      <c r="I734" s="17" t="inlineStr">
        <is>
          <t>LUNES A VIERNES</t>
        </is>
      </c>
      <c r="J734" s="17" t="inlineStr">
        <is>
          <t>INSARED</t>
        </is>
      </c>
      <c r="K734" s="18" t="n">
        <v>46335</v>
      </c>
      <c r="L734" s="18" t="n">
        <v>46336</v>
      </c>
      <c r="M734" s="17" t="n">
        <v>27</v>
      </c>
    </row>
    <row r="735">
      <c r="A735" s="19" t="inlineStr">
        <is>
          <t>6971</t>
        </is>
      </c>
      <c r="B735" s="20" t="inlineStr">
        <is>
          <t>CANDELARIA</t>
        </is>
      </c>
      <c r="C735" s="20" t="inlineStr">
        <is>
          <t>Candelaria</t>
        </is>
      </c>
      <c r="D735" s="20" t="inlineStr">
        <is>
          <t>Valle del Cauca</t>
        </is>
      </c>
      <c r="E735" s="20" t="inlineStr">
        <is>
          <t>OCCIDENTE</t>
        </is>
      </c>
      <c r="F735" s="20" t="inlineStr">
        <is>
          <t>8:00 AM - 11:30 AM Y DE 02:00 PM - 04:30 PM</t>
        </is>
      </c>
      <c r="G735" s="20" t="inlineStr">
        <is>
          <t>CARREA 8 N° 10-39</t>
        </is>
      </c>
      <c r="H735" s="20" t="inlineStr">
        <is>
          <t>6013821400</t>
        </is>
      </c>
      <c r="I735" s="20" t="inlineStr">
        <is>
          <t>LUNES A VIERNES</t>
        </is>
      </c>
      <c r="J735" s="20" t="inlineStr">
        <is>
          <t>INSARED</t>
        </is>
      </c>
      <c r="K735" s="21" t="n">
        <v>46317</v>
      </c>
      <c r="L735" s="21" t="n">
        <v>46317</v>
      </c>
      <c r="M735" s="20" t="n">
        <v>22</v>
      </c>
    </row>
    <row r="736">
      <c r="A736" s="16" t="inlineStr">
        <is>
          <t>6972</t>
        </is>
      </c>
      <c r="B736" s="17" t="inlineStr">
        <is>
          <t>ZARZAL</t>
        </is>
      </c>
      <c r="C736" s="17" t="inlineStr">
        <is>
          <t>Zarzal</t>
        </is>
      </c>
      <c r="D736" s="17" t="inlineStr">
        <is>
          <t>Valle del Cauca</t>
        </is>
      </c>
      <c r="E736" s="17" t="inlineStr">
        <is>
          <t>CAFETERA</t>
        </is>
      </c>
      <c r="F736" s="17" t="inlineStr">
        <is>
          <t>8:00 AM - 11:30 AM Y DE 02:00 PM - 04:30 PM</t>
        </is>
      </c>
      <c r="G736" s="17" t="inlineStr">
        <is>
          <t>Calle 9 No. 8 - 53</t>
        </is>
      </c>
      <c r="H736" s="17" t="inlineStr">
        <is>
          <t>6013821400</t>
        </is>
      </c>
      <c r="I736" s="17" t="inlineStr">
        <is>
          <t>LUNES A VIERNES</t>
        </is>
      </c>
      <c r="J736" s="17" t="inlineStr">
        <is>
          <t>INSARED</t>
        </is>
      </c>
      <c r="K736" s="18" t="n">
        <v>46321</v>
      </c>
      <c r="L736" s="18" t="n">
        <v>46321</v>
      </c>
      <c r="M736" s="17" t="n">
        <v>23</v>
      </c>
    </row>
    <row r="737">
      <c r="A737" s="19" t="inlineStr">
        <is>
          <t>6974</t>
        </is>
      </c>
      <c r="B737" s="20" t="inlineStr">
        <is>
          <t>TORO</t>
        </is>
      </c>
      <c r="C737" s="20" t="inlineStr">
        <is>
          <t>Toro</t>
        </is>
      </c>
      <c r="D737" s="20" t="inlineStr">
        <is>
          <t>Valle del Cauca</t>
        </is>
      </c>
      <c r="E737" s="20" t="inlineStr">
        <is>
          <t>CAFETERA</t>
        </is>
      </c>
      <c r="F737" s="20" t="inlineStr">
        <is>
          <t>8:00 AM A 2:00 P.M.</t>
        </is>
      </c>
      <c r="G737" s="20" t="inlineStr">
        <is>
          <t>Carrera 4 No.10-30</t>
        </is>
      </c>
      <c r="H737" s="20" t="inlineStr">
        <is>
          <t>6013821400</t>
        </is>
      </c>
      <c r="I737" s="20" t="inlineStr">
        <is>
          <t>MARTES A SABADO</t>
        </is>
      </c>
      <c r="J737" s="20" t="inlineStr">
        <is>
          <t>INSARED</t>
        </is>
      </c>
      <c r="K737" s="21" t="n">
        <v>46346</v>
      </c>
      <c r="L737" s="21" t="n">
        <v>46346</v>
      </c>
      <c r="M737" s="20" t="n">
        <v>20</v>
      </c>
    </row>
    <row r="738">
      <c r="A738" s="16" t="inlineStr">
        <is>
          <t>6975</t>
        </is>
      </c>
      <c r="B738" s="17" t="inlineStr">
        <is>
          <t>CANDELARIA - CAVASA</t>
        </is>
      </c>
      <c r="C738" s="17" t="inlineStr">
        <is>
          <t>Candelaria</t>
        </is>
      </c>
      <c r="D738" s="17" t="inlineStr">
        <is>
          <t>Valle del Cauca</t>
        </is>
      </c>
      <c r="E738" s="17" t="inlineStr">
        <is>
          <t>OCCIDENTE</t>
        </is>
      </c>
      <c r="F738" s="17" t="inlineStr">
        <is>
          <t>8:00 AM - 11:30 AM Y DE 02:00 PM - 04:30 PM</t>
        </is>
      </c>
      <c r="G738" s="17" t="inlineStr">
        <is>
          <t>Kilómetro 11 vía Cali - Candelaria / Central de Abastecimiento del Valle del Cauca S.A. - CAVASA</t>
        </is>
      </c>
      <c r="H738" s="17" t="inlineStr">
        <is>
          <t>6013821400</t>
        </is>
      </c>
      <c r="I738" s="17" t="inlineStr">
        <is>
          <t>LUNES A VIERNES</t>
        </is>
      </c>
      <c r="J738" s="17" t="inlineStr">
        <is>
          <t>INSARED</t>
        </is>
      </c>
      <c r="K738" s="18" t="n">
        <v>46304</v>
      </c>
      <c r="L738" s="18" t="n">
        <v>46304</v>
      </c>
      <c r="M738" s="17" t="n">
        <v>11</v>
      </c>
    </row>
    <row r="739">
      <c r="A739" s="19" t="inlineStr">
        <is>
          <t>6976</t>
        </is>
      </c>
      <c r="B739" s="20" t="inlineStr">
        <is>
          <t>DAGUA</t>
        </is>
      </c>
      <c r="C739" s="20" t="inlineStr">
        <is>
          <t>Dagua</t>
        </is>
      </c>
      <c r="D739" s="20" t="inlineStr">
        <is>
          <t>Valle del Cauca</t>
        </is>
      </c>
      <c r="E739" s="20" t="inlineStr">
        <is>
          <t>OCCIDENTE</t>
        </is>
      </c>
      <c r="F739" s="20" t="inlineStr">
        <is>
          <t>8:00 AM - 11:30 AM Y DE 02:00 PM - 04:30 PM</t>
        </is>
      </c>
      <c r="G739" s="20" t="inlineStr">
        <is>
          <t>Calle 10 N° 12 – 36</t>
        </is>
      </c>
      <c r="H739" s="20" t="inlineStr">
        <is>
          <t>6013821400</t>
        </is>
      </c>
      <c r="I739" s="20" t="inlineStr">
        <is>
          <t>LUNES A VIERNES</t>
        </is>
      </c>
      <c r="J739" s="20" t="inlineStr">
        <is>
          <t>INSARED</t>
        </is>
      </c>
      <c r="K739" s="21" t="n">
        <v>46301</v>
      </c>
      <c r="L739" s="21" t="n">
        <v>46301</v>
      </c>
      <c r="M739" s="20" t="n">
        <v>18</v>
      </c>
    </row>
    <row r="740">
      <c r="A740" s="16" t="inlineStr">
        <is>
          <t>6977</t>
        </is>
      </c>
      <c r="B740" s="17" t="inlineStr">
        <is>
          <t>GUADALAJARA DE BUGA</t>
        </is>
      </c>
      <c r="C740" s="17" t="inlineStr">
        <is>
          <t>Guadalajara de Buga</t>
        </is>
      </c>
      <c r="D740" s="17" t="inlineStr">
        <is>
          <t>Valle del Cauca</t>
        </is>
      </c>
      <c r="E740" s="17" t="inlineStr">
        <is>
          <t>OCCIDENTE</t>
        </is>
      </c>
      <c r="F740" s="17" t="inlineStr">
        <is>
          <t>8:00 AM - 11:30 AM Y DE 02:00 PM - 04:30 PM</t>
        </is>
      </c>
      <c r="G740" s="17" t="inlineStr">
        <is>
          <t>Carrera 14 No. 6-32</t>
        </is>
      </c>
      <c r="H740" s="17" t="inlineStr">
        <is>
          <t>6013821400</t>
        </is>
      </c>
      <c r="I740" s="17" t="inlineStr">
        <is>
          <t>LUNES A VIERNES</t>
        </is>
      </c>
      <c r="J740" s="17" t="inlineStr">
        <is>
          <t>INSARED</t>
        </is>
      </c>
      <c r="K740" s="18" t="n">
        <v>46323</v>
      </c>
      <c r="L740" s="18" t="n">
        <v>46323</v>
      </c>
      <c r="M740" s="17" t="n">
        <v>19</v>
      </c>
    </row>
    <row r="741">
      <c r="A741" s="19" t="inlineStr">
        <is>
          <t>6978</t>
        </is>
      </c>
      <c r="B741" s="20" t="inlineStr">
        <is>
          <t>CARTAGO</t>
        </is>
      </c>
      <c r="C741" s="20" t="inlineStr">
        <is>
          <t>Cartago</t>
        </is>
      </c>
      <c r="D741" s="20" t="inlineStr">
        <is>
          <t>Valle del Cauca</t>
        </is>
      </c>
      <c r="E741" s="20" t="inlineStr">
        <is>
          <t>CAFETERA</t>
        </is>
      </c>
      <c r="F741" s="20" t="inlineStr">
        <is>
          <t>8:00 AM - 11:30 AM Y DE 02:00 PM - 04:30 PM</t>
        </is>
      </c>
      <c r="G741" s="20" t="inlineStr">
        <is>
          <t>Calle 11 No. 4-71 / 4-79</t>
        </is>
      </c>
      <c r="H741" s="20" t="inlineStr">
        <is>
          <t>6013821400</t>
        </is>
      </c>
      <c r="I741" s="20" t="inlineStr">
        <is>
          <t>LUNES A VIERNES</t>
        </is>
      </c>
      <c r="J741" s="20" t="inlineStr">
        <is>
          <t>INSARED</t>
        </is>
      </c>
      <c r="K741" s="21" t="n">
        <v>46314</v>
      </c>
      <c r="L741" s="21" t="n">
        <v>46316</v>
      </c>
      <c r="M741" s="20" t="n">
        <v>32</v>
      </c>
    </row>
    <row r="742">
      <c r="A742" s="16" t="inlineStr">
        <is>
          <t>6982</t>
        </is>
      </c>
      <c r="B742" s="17" t="inlineStr">
        <is>
          <t>ULLOA</t>
        </is>
      </c>
      <c r="C742" s="17" t="inlineStr">
        <is>
          <t>Ulloa</t>
        </is>
      </c>
      <c r="D742" s="17" t="inlineStr">
        <is>
          <t>Valle del Cauca</t>
        </is>
      </c>
      <c r="E742" s="17" t="inlineStr">
        <is>
          <t>CAFETERA</t>
        </is>
      </c>
      <c r="F742" s="17" t="inlineStr">
        <is>
          <t>8:00 AM A 2:00 P.M.</t>
        </is>
      </c>
      <c r="G742" s="17" t="inlineStr">
        <is>
          <t>Carrera 2 No.4-69/71 Plaza Principal</t>
        </is>
      </c>
      <c r="H742" s="17" t="inlineStr">
        <is>
          <t>6013821400</t>
        </is>
      </c>
      <c r="I742" s="17" t="inlineStr">
        <is>
          <t>MARTES A SABADO</t>
        </is>
      </c>
      <c r="J742" s="17" t="inlineStr">
        <is>
          <t>INSARED</t>
        </is>
      </c>
      <c r="K742" s="18" t="n">
        <v>46310</v>
      </c>
      <c r="L742" s="18" t="n">
        <v>46310</v>
      </c>
      <c r="M742" s="17" t="n">
        <v>11</v>
      </c>
    </row>
    <row r="743">
      <c r="A743" s="19" t="inlineStr">
        <is>
          <t>3980</t>
        </is>
      </c>
      <c r="B743" s="20" t="inlineStr">
        <is>
          <t>VILLAVIEJA</t>
        </is>
      </c>
      <c r="C743" s="20" t="inlineStr">
        <is>
          <t>Villavieja</t>
        </is>
      </c>
      <c r="D743" s="20" t="inlineStr">
        <is>
          <t>Huila</t>
        </is>
      </c>
      <c r="E743" s="20" t="inlineStr">
        <is>
          <t>SUR</t>
        </is>
      </c>
      <c r="F743" s="20" t="inlineStr">
        <is>
          <t>8:00 AM - 11:30 AM Y DE 02:00 PM - 04:30 PM</t>
        </is>
      </c>
      <c r="G743" s="20" t="inlineStr">
        <is>
          <t>CALLE 4 No 4-30</t>
        </is>
      </c>
      <c r="H743" s="20" t="inlineStr">
        <is>
          <t>6013821400</t>
        </is>
      </c>
      <c r="I743" s="20" t="inlineStr">
        <is>
          <t>LUNES A VIERNES</t>
        </is>
      </c>
      <c r="J743" s="20" t="inlineStr">
        <is>
          <t>COBERTURA</t>
        </is>
      </c>
      <c r="K743" s="21" t="n">
        <v>46274</v>
      </c>
      <c r="L743" s="21" t="n">
        <v>46275</v>
      </c>
      <c r="M743" s="20" t="n">
        <v>12</v>
      </c>
    </row>
    <row r="744">
      <c r="A744" s="16" t="inlineStr">
        <is>
          <t>7935</t>
        </is>
      </c>
      <c r="B744" s="17" t="inlineStr">
        <is>
          <t>PUERTO LEGUIZAMO</t>
        </is>
      </c>
      <c r="C744" s="17" t="inlineStr">
        <is>
          <t>Puerto Leguízamo</t>
        </is>
      </c>
      <c r="D744" s="17" t="inlineStr">
        <is>
          <t>Putumayo</t>
        </is>
      </c>
      <c r="E744" s="17" t="inlineStr">
        <is>
          <t>SUR</t>
        </is>
      </c>
      <c r="F744" s="17" t="inlineStr">
        <is>
          <t>8:00 AM - 11:30 AM Y DE 02:00 PM - 04:30 PM</t>
        </is>
      </c>
      <c r="G744" s="17" t="inlineStr">
        <is>
          <t>Calle 6 No. 2 -106 Barrio el Centro</t>
        </is>
      </c>
      <c r="H744" s="17" t="inlineStr">
        <is>
          <t>6013821400</t>
        </is>
      </c>
      <c r="I744" s="17" t="inlineStr">
        <is>
          <t>LUNES A VIERNES</t>
        </is>
      </c>
      <c r="J744" s="17" t="inlineStr">
        <is>
          <t>COBERTURA</t>
        </is>
      </c>
      <c r="K744" s="18" t="n">
        <v>46273</v>
      </c>
      <c r="L744" s="18" t="n">
        <v>46273</v>
      </c>
      <c r="M744" s="17" t="n">
        <v>17</v>
      </c>
    </row>
    <row r="745">
      <c r="A745" s="19" t="inlineStr">
        <is>
          <t>7950</t>
        </is>
      </c>
      <c r="B745" s="20" t="inlineStr">
        <is>
          <t>VILLAGARZON</t>
        </is>
      </c>
      <c r="C745" s="20" t="inlineStr">
        <is>
          <t>Villagarzón</t>
        </is>
      </c>
      <c r="D745" s="20" t="inlineStr">
        <is>
          <t>Putumayo</t>
        </is>
      </c>
      <c r="E745" s="20" t="inlineStr">
        <is>
          <t>SUR</t>
        </is>
      </c>
      <c r="F745" s="20" t="inlineStr">
        <is>
          <t>8:00 AM - 11:30 AM Y DE 02:00 PM - 04:30 PM</t>
        </is>
      </c>
      <c r="G745" s="20" t="inlineStr">
        <is>
          <t>Carrera 6 No 3-21</t>
        </is>
      </c>
      <c r="H745" s="20" t="inlineStr">
        <is>
          <t>6013821400</t>
        </is>
      </c>
      <c r="I745" s="20" t="inlineStr">
        <is>
          <t>LUNES A VIERNES</t>
        </is>
      </c>
      <c r="J745" s="20" t="inlineStr">
        <is>
          <t>COBERTURA</t>
        </is>
      </c>
      <c r="K745" s="21" t="n">
        <v>46282</v>
      </c>
      <c r="L745" s="21" t="n">
        <v>46282</v>
      </c>
      <c r="M745" s="20" t="n">
        <v>27</v>
      </c>
    </row>
    <row r="746">
      <c r="A746" s="16" t="inlineStr">
        <is>
          <t>7960</t>
        </is>
      </c>
      <c r="B746" s="17" t="inlineStr">
        <is>
          <t>PUERTO GUZMAN</t>
        </is>
      </c>
      <c r="C746" s="17" t="inlineStr">
        <is>
          <t>Puerto Guzmán</t>
        </is>
      </c>
      <c r="D746" s="17" t="inlineStr">
        <is>
          <t>Putumayo</t>
        </is>
      </c>
      <c r="E746" s="17" t="inlineStr">
        <is>
          <t>SUR</t>
        </is>
      </c>
      <c r="F746" s="17" t="inlineStr">
        <is>
          <t>8:00 AM - 11:30 AM Y DE 02:00 PM - 04:30 PM</t>
        </is>
      </c>
      <c r="G746" s="17" t="inlineStr">
        <is>
          <t>Carrera 4 No.4-76 -  Barrio Los Prados - Puerto Guzmán</t>
        </is>
      </c>
      <c r="H746" s="17" t="inlineStr">
        <is>
          <t>6013821400</t>
        </is>
      </c>
      <c r="I746" s="17" t="inlineStr">
        <is>
          <t>LUNES A VIERNES</t>
        </is>
      </c>
      <c r="J746" s="17" t="inlineStr">
        <is>
          <t>COBERTURA</t>
        </is>
      </c>
      <c r="K746" s="18" t="n">
        <v>46283</v>
      </c>
      <c r="L746" s="18" t="n">
        <v>46283</v>
      </c>
      <c r="M746" s="17" t="n">
        <v>16</v>
      </c>
    </row>
    <row r="747">
      <c r="A747" s="19" t="inlineStr">
        <is>
          <t>7303</t>
        </is>
      </c>
      <c r="B747" s="20" t="inlineStr">
        <is>
          <t>ARAUCA</t>
        </is>
      </c>
      <c r="C747" s="20" t="inlineStr">
        <is>
          <t>Arauca</t>
        </is>
      </c>
      <c r="D747" s="20" t="inlineStr">
        <is>
          <t>Arauca</t>
        </is>
      </c>
      <c r="E747" s="20" t="inlineStr">
        <is>
          <t>BOGOTA</t>
        </is>
      </c>
      <c r="F747" s="20" t="inlineStr">
        <is>
          <t>8:00 AM - 11:30 AM Y DE 02:00 PM - 04:30 PM</t>
        </is>
      </c>
      <c r="G747" s="20" t="inlineStr">
        <is>
          <t>Calle 20 N. 20-05</t>
        </is>
      </c>
      <c r="H747" s="20" t="inlineStr">
        <is>
          <t>6013821400</t>
        </is>
      </c>
      <c r="I747" s="20" t="inlineStr">
        <is>
          <t>LUNES A VIERNES</t>
        </is>
      </c>
      <c r="J747" s="20" t="inlineStr">
        <is>
          <t>COBERTURA</t>
        </is>
      </c>
      <c r="K747" s="21" t="n">
        <v>46266</v>
      </c>
      <c r="L747" s="21" t="n">
        <v>46266</v>
      </c>
      <c r="M747" s="20" t="n">
        <v>29</v>
      </c>
    </row>
    <row r="748">
      <c r="A748" s="16" t="inlineStr">
        <is>
          <t>7305</t>
        </is>
      </c>
      <c r="B748" s="17" t="inlineStr">
        <is>
          <t>ARAUQUITA</t>
        </is>
      </c>
      <c r="C748" s="17" t="inlineStr">
        <is>
          <t>Arauquita</t>
        </is>
      </c>
      <c r="D748" s="17" t="inlineStr">
        <is>
          <t>Arauca</t>
        </is>
      </c>
      <c r="E748" s="17" t="inlineStr">
        <is>
          <t>BOGOTA</t>
        </is>
      </c>
      <c r="F748" s="17" t="inlineStr">
        <is>
          <t>8:00 AM - 11:30 AM Y DE 02:00 PM - 04:30 PM</t>
        </is>
      </c>
      <c r="G748" s="17" t="inlineStr">
        <is>
          <t>CALLE 3 No. 4-48</t>
        </is>
      </c>
      <c r="H748" s="17" t="inlineStr">
        <is>
          <t>6013821400</t>
        </is>
      </c>
      <c r="I748" s="17" t="inlineStr">
        <is>
          <t>LUNES A VIERNES</t>
        </is>
      </c>
      <c r="J748" s="17" t="inlineStr">
        <is>
          <t>COBERTURA</t>
        </is>
      </c>
      <c r="K748" s="18" t="n">
        <v>46267</v>
      </c>
      <c r="L748" s="18" t="n">
        <v>46268</v>
      </c>
      <c r="M748" s="17" t="n">
        <v>24</v>
      </c>
    </row>
    <row r="749">
      <c r="A749" s="19" t="inlineStr">
        <is>
          <t>7310</t>
        </is>
      </c>
      <c r="B749" s="20" t="inlineStr">
        <is>
          <t>CRAVO NORTE</t>
        </is>
      </c>
      <c r="C749" s="20" t="inlineStr">
        <is>
          <t>Cravo Norte</t>
        </is>
      </c>
      <c r="D749" s="20" t="inlineStr">
        <is>
          <t>Arauca</t>
        </is>
      </c>
      <c r="E749" s="20" t="inlineStr">
        <is>
          <t>BOGOTA</t>
        </is>
      </c>
      <c r="F749" s="20" t="inlineStr">
        <is>
          <t>8:00 AM - 11:30 AM Y DE 02:00 PM - 04:30 PM</t>
        </is>
      </c>
      <c r="G749" s="20" t="inlineStr">
        <is>
          <t>CALLE 3 No. 4-51</t>
        </is>
      </c>
      <c r="H749" s="20" t="inlineStr">
        <is>
          <t>6013821400</t>
        </is>
      </c>
      <c r="I749" s="20" t="inlineStr">
        <is>
          <t>LUNES A VIERNES</t>
        </is>
      </c>
      <c r="J749" s="20" t="inlineStr">
        <is>
          <t>COBERTURA</t>
        </is>
      </c>
      <c r="K749" s="21" t="n">
        <v>46293</v>
      </c>
      <c r="L749" s="21" t="n">
        <v>46294</v>
      </c>
      <c r="M749" s="20" t="n">
        <v>12</v>
      </c>
    </row>
    <row r="750">
      <c r="A750" s="16" t="inlineStr">
        <is>
          <t>7315</t>
        </is>
      </c>
      <c r="B750" s="17" t="inlineStr">
        <is>
          <t>FORTUL</t>
        </is>
      </c>
      <c r="C750" s="17" t="inlineStr">
        <is>
          <t>Fortul</t>
        </is>
      </c>
      <c r="D750" s="17" t="inlineStr">
        <is>
          <t>Arauca</t>
        </is>
      </c>
      <c r="E750" s="17" t="inlineStr">
        <is>
          <t>BOGOTA</t>
        </is>
      </c>
      <c r="F750" s="17" t="inlineStr">
        <is>
          <t>8:00 AM - 11:30 AM Y DE 02:00 PM - 04:30 PM</t>
        </is>
      </c>
      <c r="G750" s="17" t="inlineStr">
        <is>
          <t>CALLE 7 No. 23-17</t>
        </is>
      </c>
      <c r="H750" s="17" t="inlineStr">
        <is>
          <t>6013821400</t>
        </is>
      </c>
      <c r="I750" s="17" t="inlineStr">
        <is>
          <t>LUNES A VIERNES</t>
        </is>
      </c>
      <c r="J750" s="17" t="inlineStr">
        <is>
          <t>COBERTURA</t>
        </is>
      </c>
      <c r="K750" s="18" t="n">
        <v>46279</v>
      </c>
      <c r="L750" s="18" t="n">
        <v>46280</v>
      </c>
      <c r="M750" s="17" t="n">
        <v>23</v>
      </c>
    </row>
    <row r="751">
      <c r="A751" s="19" t="inlineStr">
        <is>
          <t>7501</t>
        </is>
      </c>
      <c r="B751" s="20" t="inlineStr">
        <is>
          <t>ALBANIA</t>
        </is>
      </c>
      <c r="C751" s="20" t="inlineStr">
        <is>
          <t>Albania</t>
        </is>
      </c>
      <c r="D751" s="20" t="inlineStr">
        <is>
          <t>Caquetá</t>
        </is>
      </c>
      <c r="E751" s="20" t="inlineStr">
        <is>
          <t>SUR</t>
        </is>
      </c>
      <c r="F751" s="20" t="inlineStr">
        <is>
          <t>8:00 AM - 11:30 AM Y DE 02:00 PM - 04:30 PM</t>
        </is>
      </c>
      <c r="G751" s="20" t="inlineStr">
        <is>
          <t>Carrera 4 No. 5 -56 parque Principal - Centro</t>
        </is>
      </c>
      <c r="H751" s="20" t="inlineStr">
        <is>
          <t>6013821400</t>
        </is>
      </c>
      <c r="I751" s="20" t="inlineStr">
        <is>
          <t>LUNES A VIERNES</t>
        </is>
      </c>
      <c r="J751" s="20" t="inlineStr">
        <is>
          <t>GESTIONATECH</t>
        </is>
      </c>
      <c r="K751" s="21" t="n">
        <v>46336</v>
      </c>
      <c r="L751" s="21" t="n">
        <v>46336</v>
      </c>
      <c r="M751" s="20" t="n">
        <v>20</v>
      </c>
    </row>
    <row r="752">
      <c r="A752" s="16" t="inlineStr">
        <is>
          <t>7503</t>
        </is>
      </c>
      <c r="B752" s="17" t="inlineStr">
        <is>
          <t>FLORENCIA</t>
        </is>
      </c>
      <c r="C752" s="17" t="inlineStr">
        <is>
          <t>Florencia</t>
        </is>
      </c>
      <c r="D752" s="17" t="inlineStr">
        <is>
          <t>Caquetá</t>
        </is>
      </c>
      <c r="E752" s="17" t="inlineStr">
        <is>
          <t>SUR</t>
        </is>
      </c>
      <c r="F752" s="17" t="inlineStr">
        <is>
          <t>8:00 AM - 11:30 AM Y DE 02:00 PM - 04:30 PM</t>
        </is>
      </c>
      <c r="G752" s="17" t="inlineStr">
        <is>
          <t>Carrera 13 A No. 11 - 15 y Calle 13 A No. 13 -14</t>
        </is>
      </c>
      <c r="H752" s="17" t="inlineStr">
        <is>
          <t>6013821400</t>
        </is>
      </c>
      <c r="I752" s="17" t="inlineStr">
        <is>
          <t>LUNES A VIERNES</t>
        </is>
      </c>
      <c r="J752" s="17" t="inlineStr">
        <is>
          <t>GESTIONATECH</t>
        </is>
      </c>
      <c r="K752" s="18" t="n">
        <v>46331</v>
      </c>
      <c r="L752" s="18" t="n">
        <v>46331</v>
      </c>
      <c r="M752" s="17" t="n">
        <v>49</v>
      </c>
    </row>
    <row r="753">
      <c r="A753" s="19" t="inlineStr">
        <is>
          <t>7510</t>
        </is>
      </c>
      <c r="B753" s="20" t="inlineStr">
        <is>
          <t>BELEN DE LOS ANDAQUIES</t>
        </is>
      </c>
      <c r="C753" s="20" t="inlineStr">
        <is>
          <t>Belén De Los Andaquíes</t>
        </is>
      </c>
      <c r="D753" s="20" t="inlineStr">
        <is>
          <t>Caquetá</t>
        </is>
      </c>
      <c r="E753" s="20" t="inlineStr">
        <is>
          <t>SUR</t>
        </is>
      </c>
      <c r="F753" s="20" t="inlineStr">
        <is>
          <t>8:00 AM - 11:30 AM Y DE 02:00 PM - 04:30 PM</t>
        </is>
      </c>
      <c r="G753" s="20" t="inlineStr">
        <is>
          <t>Carrera 4 No. 4-42</t>
        </is>
      </c>
      <c r="H753" s="20" t="inlineStr">
        <is>
          <t>6013821400</t>
        </is>
      </c>
      <c r="I753" s="20" t="inlineStr">
        <is>
          <t>LUNES A VIERNES</t>
        </is>
      </c>
      <c r="J753" s="20" t="inlineStr">
        <is>
          <t>GESTIONATECH</t>
        </is>
      </c>
      <c r="K753" s="21" t="n">
        <v>46317</v>
      </c>
      <c r="L753" s="21" t="n">
        <v>46317</v>
      </c>
      <c r="M753" s="20" t="n">
        <v>13</v>
      </c>
    </row>
    <row r="754">
      <c r="A754" s="16" t="inlineStr">
        <is>
          <t>7514</t>
        </is>
      </c>
      <c r="B754" s="17" t="inlineStr">
        <is>
          <t>CARTAGENA DEL CHAIRA</t>
        </is>
      </c>
      <c r="C754" s="17" t="inlineStr">
        <is>
          <t>Cartagena Del Chairá</t>
        </is>
      </c>
      <c r="D754" s="17" t="inlineStr">
        <is>
          <t>Caquetá</t>
        </is>
      </c>
      <c r="E754" s="17" t="inlineStr">
        <is>
          <t>SUR</t>
        </is>
      </c>
      <c r="F754" s="17" t="inlineStr">
        <is>
          <t>8:00 AM - 11:30 AM Y DE 02:00 PM - 04:30 PM</t>
        </is>
      </c>
      <c r="G754" s="17" t="inlineStr">
        <is>
          <t>Carrera 3 No 3-42 (barrio centro)</t>
        </is>
      </c>
      <c r="H754" s="17" t="inlineStr">
        <is>
          <t>6013821400</t>
        </is>
      </c>
      <c r="I754" s="17" t="inlineStr">
        <is>
          <t>LUNES A VIERNES</t>
        </is>
      </c>
      <c r="J754" s="17" t="inlineStr">
        <is>
          <t>GESTIONATECH</t>
        </is>
      </c>
      <c r="K754" s="18" t="n">
        <v>46329</v>
      </c>
      <c r="L754" s="18" t="n">
        <v>46329</v>
      </c>
      <c r="M754" s="17" t="n">
        <v>22</v>
      </c>
    </row>
    <row r="755">
      <c r="A755" s="19" t="inlineStr">
        <is>
          <t>7520</t>
        </is>
      </c>
      <c r="B755" s="20" t="inlineStr">
        <is>
          <t>EL DONCELLO</t>
        </is>
      </c>
      <c r="C755" s="20" t="inlineStr">
        <is>
          <t>El Doncello</t>
        </is>
      </c>
      <c r="D755" s="20" t="inlineStr">
        <is>
          <t>Caquetá</t>
        </is>
      </c>
      <c r="E755" s="20" t="inlineStr">
        <is>
          <t>SUR</t>
        </is>
      </c>
      <c r="F755" s="20" t="inlineStr">
        <is>
          <t>8:00 AM - 11:30 AM Y DE 02:00 PM - 04:30 PM</t>
        </is>
      </c>
      <c r="G755" s="20" t="inlineStr">
        <is>
          <t>CALLE 4 No 3 - 40 Barrio Centro</t>
        </is>
      </c>
      <c r="H755" s="20" t="inlineStr">
        <is>
          <t>6013821400</t>
        </is>
      </c>
      <c r="I755" s="20" t="inlineStr">
        <is>
          <t>LUNES A VIERNES</t>
        </is>
      </c>
      <c r="J755" s="20" t="inlineStr">
        <is>
          <t>GESTIONATECH</t>
        </is>
      </c>
      <c r="K755" s="21" t="n">
        <v>46324</v>
      </c>
      <c r="L755" s="21" t="n">
        <v>46324</v>
      </c>
      <c r="M755" s="20" t="n">
        <v>23</v>
      </c>
    </row>
    <row r="756">
      <c r="A756" s="16" t="inlineStr">
        <is>
          <t>7525</t>
        </is>
      </c>
      <c r="B756" s="17" t="inlineStr">
        <is>
          <t>EL PAUJIL</t>
        </is>
      </c>
      <c r="C756" s="17" t="inlineStr">
        <is>
          <t>El Paujil</t>
        </is>
      </c>
      <c r="D756" s="17" t="inlineStr">
        <is>
          <t>Caquetá</t>
        </is>
      </c>
      <c r="E756" s="17" t="inlineStr">
        <is>
          <t>SUR</t>
        </is>
      </c>
      <c r="F756" s="17" t="inlineStr">
        <is>
          <t>8:00 AM - 11:30 AM Y DE 02:00 PM - 04:30 PM</t>
        </is>
      </c>
      <c r="G756" s="17" t="inlineStr">
        <is>
          <t>CALLE 5 No 5 - 35 Barrio Centro</t>
        </is>
      </c>
      <c r="H756" s="17" t="inlineStr">
        <is>
          <t>6013821400</t>
        </is>
      </c>
      <c r="I756" s="17" t="inlineStr">
        <is>
          <t>LUNES A VIERNES</t>
        </is>
      </c>
      <c r="J756" s="17" t="inlineStr">
        <is>
          <t>GESTIONATECH</t>
        </is>
      </c>
      <c r="K756" s="18" t="n">
        <v>46330</v>
      </c>
      <c r="L756" s="18" t="n">
        <v>46330</v>
      </c>
      <c r="M756" s="17" t="n">
        <v>18</v>
      </c>
    </row>
    <row r="757">
      <c r="A757" s="19" t="inlineStr">
        <is>
          <t>7540</t>
        </is>
      </c>
      <c r="B757" s="20" t="inlineStr">
        <is>
          <t>LA MONTAÑITA</t>
        </is>
      </c>
      <c r="C757" s="20" t="inlineStr">
        <is>
          <t>La Montañita</t>
        </is>
      </c>
      <c r="D757" s="20" t="inlineStr">
        <is>
          <t>Caquetá</t>
        </is>
      </c>
      <c r="E757" s="20" t="inlineStr">
        <is>
          <t>SUR</t>
        </is>
      </c>
      <c r="F757" s="20" t="inlineStr">
        <is>
          <t>8:00 AM - 11:30 AM Y DE 02:00 PM - 04:30 PM</t>
        </is>
      </c>
      <c r="G757" s="20" t="inlineStr">
        <is>
          <t>Carrera Quinta- Frente al Parque Principal</t>
        </is>
      </c>
      <c r="H757" s="20" t="inlineStr">
        <is>
          <t>6013821400</t>
        </is>
      </c>
      <c r="I757" s="20" t="inlineStr">
        <is>
          <t>LUNES A VIERNES</t>
        </is>
      </c>
      <c r="J757" s="20" t="inlineStr">
        <is>
          <t>GESTIONATECH</t>
        </is>
      </c>
      <c r="K757" s="21" t="n">
        <v>46316</v>
      </c>
      <c r="L757" s="21" t="n">
        <v>46316</v>
      </c>
      <c r="M757" s="20" t="n">
        <v>13</v>
      </c>
    </row>
    <row r="758">
      <c r="A758" s="16" t="inlineStr">
        <is>
          <t>7545</t>
        </is>
      </c>
      <c r="B758" s="17" t="inlineStr">
        <is>
          <t>MILAN</t>
        </is>
      </c>
      <c r="C758" s="17" t="inlineStr">
        <is>
          <t>Milán</t>
        </is>
      </c>
      <c r="D758" s="17" t="inlineStr">
        <is>
          <t>Caquetá</t>
        </is>
      </c>
      <c r="E758" s="17" t="inlineStr">
        <is>
          <t>SUR</t>
        </is>
      </c>
      <c r="F758" s="17" t="inlineStr">
        <is>
          <t>8:00 AM - 11:30 AM Y DE 02:00 PM - 04:30 PM</t>
        </is>
      </c>
      <c r="G758" s="17" t="inlineStr">
        <is>
          <t>Carrera 2 No.6-02 Centro    Calle 6 No. 6-25</t>
        </is>
      </c>
      <c r="H758" s="17" t="inlineStr">
        <is>
          <t>6013821400</t>
        </is>
      </c>
      <c r="I758" s="17" t="inlineStr">
        <is>
          <t>LUNES A VIERNES</t>
        </is>
      </c>
      <c r="J758" s="17" t="inlineStr">
        <is>
          <t>GESTIONATECH</t>
        </is>
      </c>
      <c r="K758" s="18" t="n">
        <v>46315</v>
      </c>
      <c r="L758" s="18" t="n">
        <v>46315</v>
      </c>
      <c r="M758" s="17" t="n">
        <v>12</v>
      </c>
    </row>
    <row r="759">
      <c r="A759" s="19" t="inlineStr">
        <is>
          <t>7560</t>
        </is>
      </c>
      <c r="B759" s="20" t="inlineStr">
        <is>
          <t>PUERTO RICO</t>
        </is>
      </c>
      <c r="C759" s="20" t="inlineStr">
        <is>
          <t>Puerto Rico</t>
        </is>
      </c>
      <c r="D759" s="20" t="inlineStr">
        <is>
          <t>Caquetá</t>
        </is>
      </c>
      <c r="E759" s="20" t="inlineStr">
        <is>
          <t>SUR</t>
        </is>
      </c>
      <c r="F759" s="20" t="inlineStr">
        <is>
          <t>8:00 AM - 11:30 AM Y DE 02:00 PM - 04:30 PM</t>
        </is>
      </c>
      <c r="G759" s="20" t="inlineStr">
        <is>
          <t>Calle 5 No. 5-92-96 y Carrera 6 No. 5-00-02-06-10 Barrio Las Américas</t>
        </is>
      </c>
      <c r="H759" s="20" t="inlineStr">
        <is>
          <t>6013821400</t>
        </is>
      </c>
      <c r="I759" s="20" t="inlineStr">
        <is>
          <t>LUNES A VIERNES</t>
        </is>
      </c>
      <c r="J759" s="20" t="inlineStr">
        <is>
          <t>GESTIONATECH</t>
        </is>
      </c>
      <c r="K759" s="21" t="n">
        <v>46323</v>
      </c>
      <c r="L759" s="21" t="n">
        <v>46323</v>
      </c>
      <c r="M759" s="20" t="n">
        <v>21</v>
      </c>
    </row>
    <row r="760">
      <c r="A760" s="16" t="inlineStr">
        <is>
          <t>7565</t>
        </is>
      </c>
      <c r="B760" s="17" t="inlineStr">
        <is>
          <t>SAN VICENTE DEL CAGUAN</t>
        </is>
      </c>
      <c r="C760" s="17" t="inlineStr">
        <is>
          <t>San Vicente Del Caguán</t>
        </is>
      </c>
      <c r="D760" s="17" t="inlineStr">
        <is>
          <t>Caquetá</t>
        </is>
      </c>
      <c r="E760" s="17" t="inlineStr">
        <is>
          <t>SUR</t>
        </is>
      </c>
      <c r="F760" s="17" t="inlineStr">
        <is>
          <t>8:00 AM - 11:30 AM Y DE 02:00 PM - 04:30 PM</t>
        </is>
      </c>
      <c r="G760" s="17" t="inlineStr">
        <is>
          <t>CRA 5 No 4 - 01/03/04</t>
        </is>
      </c>
      <c r="H760" s="17" t="inlineStr">
        <is>
          <t>6013821400</t>
        </is>
      </c>
      <c r="I760" s="17" t="inlineStr">
        <is>
          <t>LUNES A VIERNES</t>
        </is>
      </c>
      <c r="J760" s="17" t="inlineStr">
        <is>
          <t>GESTIONATECH</t>
        </is>
      </c>
      <c r="K760" s="18" t="n">
        <v>46321</v>
      </c>
      <c r="L760" s="18" t="n">
        <v>46322</v>
      </c>
      <c r="M760" s="17" t="n">
        <v>42</v>
      </c>
    </row>
    <row r="761">
      <c r="A761" s="19" t="inlineStr">
        <is>
          <t>7567</t>
        </is>
      </c>
      <c r="B761" s="20" t="inlineStr">
        <is>
          <t>SOLANO</t>
        </is>
      </c>
      <c r="C761" s="20" t="inlineStr">
        <is>
          <t>Solano</t>
        </is>
      </c>
      <c r="D761" s="20" t="inlineStr">
        <is>
          <t>Caquetá</t>
        </is>
      </c>
      <c r="E761" s="20" t="inlineStr">
        <is>
          <t>SUR</t>
        </is>
      </c>
      <c r="F761" s="20" t="inlineStr">
        <is>
          <t>8:00 AM - 11:30 AM Y DE 02:00 PM - 04:30 PM</t>
        </is>
      </c>
      <c r="G761" s="20" t="inlineStr">
        <is>
          <t>Calle  5 No. 4-02 Esquina Parque Principal</t>
        </is>
      </c>
      <c r="H761" s="20" t="inlineStr">
        <is>
          <t>6013821400</t>
        </is>
      </c>
      <c r="I761" s="20" t="inlineStr">
        <is>
          <t>LUNES A VIERNES</t>
        </is>
      </c>
      <c r="J761" s="20" t="inlineStr">
        <is>
          <t>GESTIONATECH</t>
        </is>
      </c>
      <c r="K761" s="21" t="n">
        <v>46314</v>
      </c>
      <c r="L761" s="21" t="n">
        <v>46314</v>
      </c>
      <c r="M761" s="20" t="n">
        <v>13</v>
      </c>
    </row>
    <row r="762">
      <c r="A762" s="16" t="inlineStr">
        <is>
          <t>7580</t>
        </is>
      </c>
      <c r="B762" s="17" t="inlineStr">
        <is>
          <t>VALPARAISO</t>
        </is>
      </c>
      <c r="C762" s="17" t="inlineStr">
        <is>
          <t>Valparaíso</t>
        </is>
      </c>
      <c r="D762" s="17" t="inlineStr">
        <is>
          <t>Caquetá</t>
        </is>
      </c>
      <c r="E762" s="17" t="inlineStr">
        <is>
          <t>SUR</t>
        </is>
      </c>
      <c r="F762" s="17" t="inlineStr">
        <is>
          <t>8:00 AM - 11:30 AM Y DE 02:00 PM - 04:30 PM</t>
        </is>
      </c>
      <c r="G762" s="17" t="inlineStr">
        <is>
          <t>CALLE 11 No 3B 23 -25 Barrio el Centro.</t>
        </is>
      </c>
      <c r="H762" s="17" t="inlineStr">
        <is>
          <t>6013821400</t>
        </is>
      </c>
      <c r="I762" s="17" t="inlineStr">
        <is>
          <t>LUNES A VIERNES</t>
        </is>
      </c>
      <c r="J762" s="17" t="inlineStr">
        <is>
          <t>GESTIONATECH</t>
        </is>
      </c>
      <c r="K762" s="18" t="n">
        <v>46344</v>
      </c>
      <c r="L762" s="18" t="n">
        <v>46344</v>
      </c>
      <c r="M762" s="17" t="n">
        <v>14</v>
      </c>
    </row>
    <row r="763">
      <c r="A763" s="19" t="inlineStr">
        <is>
          <t>7703</t>
        </is>
      </c>
      <c r="B763" s="20" t="inlineStr">
        <is>
          <t>PUERTO INIRIDA</t>
        </is>
      </c>
      <c r="C763" s="20" t="inlineStr">
        <is>
          <t>Inírida</t>
        </is>
      </c>
      <c r="D763" s="20" t="inlineStr">
        <is>
          <t>Guainía</t>
        </is>
      </c>
      <c r="E763" s="20" t="inlineStr">
        <is>
          <t>BOGOTA</t>
        </is>
      </c>
      <c r="F763" s="20" t="inlineStr">
        <is>
          <t>8:00 A.M.  A 3:00 P.M.</t>
        </is>
      </c>
      <c r="G763" s="20" t="inlineStr">
        <is>
          <t>Carrera. 2a. Av. Fundadores - Frente al Palacio Gubernamental</t>
        </is>
      </c>
      <c r="H763" s="20" t="inlineStr">
        <is>
          <t>6013821400</t>
        </is>
      </c>
      <c r="I763" s="20" t="inlineStr">
        <is>
          <t>LUNES A VIERNES</t>
        </is>
      </c>
      <c r="J763" s="20" t="inlineStr">
        <is>
          <t>GESTIONATECH</t>
        </is>
      </c>
      <c r="K763" s="21" t="n">
        <v>46268</v>
      </c>
      <c r="L763" s="21" t="n">
        <v>46274</v>
      </c>
      <c r="M763" s="20" t="n">
        <v>19</v>
      </c>
    </row>
    <row r="764">
      <c r="A764" s="16" t="inlineStr">
        <is>
          <t>7350</t>
        </is>
      </c>
      <c r="B764" s="17" t="inlineStr">
        <is>
          <t>PUERTO RONDON</t>
        </is>
      </c>
      <c r="C764" s="17" t="inlineStr">
        <is>
          <t>Puerto Rondón</t>
        </is>
      </c>
      <c r="D764" s="17" t="inlineStr">
        <is>
          <t>Arauca</t>
        </is>
      </c>
      <c r="E764" s="17" t="inlineStr">
        <is>
          <t>BOGOTA</t>
        </is>
      </c>
      <c r="F764" s="17" t="inlineStr">
        <is>
          <t>8:00 AM - 11:30 AM Y DE 02:00 PM - 04:30 PM</t>
        </is>
      </c>
      <c r="G764" s="17" t="inlineStr">
        <is>
          <t>CALLE 1 No. 3-56</t>
        </is>
      </c>
      <c r="H764" s="17" t="inlineStr">
        <is>
          <t>6013821400</t>
        </is>
      </c>
      <c r="I764" s="17" t="inlineStr">
        <is>
          <t>LUNES A VIERNES</t>
        </is>
      </c>
      <c r="J764" s="17" t="inlineStr">
        <is>
          <t>COBERTURA</t>
        </is>
      </c>
      <c r="K764" s="18" t="n">
        <v>46281</v>
      </c>
      <c r="L764" s="18" t="n">
        <v>46282</v>
      </c>
      <c r="M764" s="17" t="n">
        <v>14</v>
      </c>
    </row>
    <row r="765">
      <c r="A765" s="19" t="inlineStr">
        <is>
          <t>7360</t>
        </is>
      </c>
      <c r="B765" s="20" t="inlineStr">
        <is>
          <t>SARAVENA</t>
        </is>
      </c>
      <c r="C765" s="20" t="inlineStr">
        <is>
          <t>Saravena</t>
        </is>
      </c>
      <c r="D765" s="20" t="inlineStr">
        <is>
          <t>Arauca</t>
        </is>
      </c>
      <c r="E765" s="20" t="inlineStr">
        <is>
          <t>BOGOTA</t>
        </is>
      </c>
      <c r="F765" s="20" t="inlineStr">
        <is>
          <t>8:00 AM - 11:30 AM Y DE 02:00 PM - 04:30 PM</t>
        </is>
      </c>
      <c r="G765" s="20" t="inlineStr">
        <is>
          <t>Carrera 15 No.26-53/55/57</t>
        </is>
      </c>
      <c r="H765" s="20" t="inlineStr">
        <is>
          <t>6013821400</t>
        </is>
      </c>
      <c r="I765" s="20" t="inlineStr">
        <is>
          <t>LUNES A VIERNES</t>
        </is>
      </c>
      <c r="J765" s="20" t="inlineStr">
        <is>
          <t>COBERTURA</t>
        </is>
      </c>
      <c r="K765" s="21" t="n">
        <v>46272</v>
      </c>
      <c r="L765" s="21" t="n">
        <v>46273</v>
      </c>
      <c r="M765" s="20" t="n">
        <v>33</v>
      </c>
    </row>
    <row r="766">
      <c r="A766" s="16" t="inlineStr">
        <is>
          <t>7370</t>
        </is>
      </c>
      <c r="B766" s="17" t="inlineStr">
        <is>
          <t>TAME</t>
        </is>
      </c>
      <c r="C766" s="17" t="inlineStr">
        <is>
          <t>Tame</t>
        </is>
      </c>
      <c r="D766" s="17" t="inlineStr">
        <is>
          <t>Arauca</t>
        </is>
      </c>
      <c r="E766" s="17" t="inlineStr">
        <is>
          <t>BOGOTA</t>
        </is>
      </c>
      <c r="F766" s="17" t="inlineStr">
        <is>
          <t>8:00 AM - 11:30 AM Y DE 02:00 PM - 04:30 PM</t>
        </is>
      </c>
      <c r="G766" s="17" t="inlineStr">
        <is>
          <t>Carrera 15 No. 15-52/64</t>
        </is>
      </c>
      <c r="H766" s="17" t="inlineStr">
        <is>
          <t>6013821400</t>
        </is>
      </c>
      <c r="I766" s="17" t="inlineStr">
        <is>
          <t>LUNES A VIERNES</t>
        </is>
      </c>
      <c r="J766" s="17" t="inlineStr">
        <is>
          <t>COBERTURA</t>
        </is>
      </c>
      <c r="K766" s="18" t="n">
        <v>46286</v>
      </c>
      <c r="L766" s="18" t="n">
        <v>46287</v>
      </c>
      <c r="M766" s="17" t="n">
        <v>36</v>
      </c>
    </row>
    <row r="767">
      <c r="A767" s="19" t="inlineStr">
        <is>
          <t>7910</t>
        </is>
      </c>
      <c r="B767" s="20" t="inlineStr">
        <is>
          <t>LA HORMIGA</t>
        </is>
      </c>
      <c r="C767" s="20" t="inlineStr">
        <is>
          <t>La Hormiga</t>
        </is>
      </c>
      <c r="D767" s="20" t="inlineStr">
        <is>
          <t>Putumayo</t>
        </is>
      </c>
      <c r="E767" s="20" t="inlineStr">
        <is>
          <t>SUR</t>
        </is>
      </c>
      <c r="F767" s="20" t="inlineStr">
        <is>
          <t>8:00 AM - 11:30 AM Y DE 02:00 PM - 04:30 PM</t>
        </is>
      </c>
      <c r="G767" s="20" t="inlineStr">
        <is>
          <t>Carrera 6A No 9-47</t>
        </is>
      </c>
      <c r="H767" s="20" t="inlineStr">
        <is>
          <t>6013821400</t>
        </is>
      </c>
      <c r="I767" s="20" t="inlineStr">
        <is>
          <t>LUNES A VIERNES</t>
        </is>
      </c>
      <c r="J767" s="20" t="inlineStr">
        <is>
          <t>COBERTURA</t>
        </is>
      </c>
      <c r="K767" s="21" t="n">
        <v>46276</v>
      </c>
      <c r="L767" s="21" t="n">
        <v>46276</v>
      </c>
      <c r="M767" s="20" t="n">
        <v>25</v>
      </c>
    </row>
    <row r="768">
      <c r="A768" s="16" t="inlineStr">
        <is>
          <t>7920</t>
        </is>
      </c>
      <c r="B768" s="17" t="inlineStr">
        <is>
          <t>ORITO</t>
        </is>
      </c>
      <c r="C768" s="17" t="inlineStr">
        <is>
          <t>Orito</t>
        </is>
      </c>
      <c r="D768" s="17" t="inlineStr">
        <is>
          <t>Putumayo</t>
        </is>
      </c>
      <c r="E768" s="17" t="inlineStr">
        <is>
          <t>SUR</t>
        </is>
      </c>
      <c r="F768" s="17" t="inlineStr">
        <is>
          <t>8:00 AM - 11:30 AM Y DE 02:00 PM - 04:30 PM</t>
        </is>
      </c>
      <c r="G768" s="17" t="inlineStr">
        <is>
          <t>Barrio Marco Fidel Suarez Calle 8</t>
        </is>
      </c>
      <c r="H768" s="17" t="inlineStr">
        <is>
          <t>6013821400</t>
        </is>
      </c>
      <c r="I768" s="17" t="inlineStr">
        <is>
          <t>LUNES A VIERNES</t>
        </is>
      </c>
      <c r="J768" s="17" t="inlineStr">
        <is>
          <t>COBERTURA</t>
        </is>
      </c>
      <c r="K768" s="18" t="n">
        <v>46281</v>
      </c>
      <c r="L768" s="18" t="n">
        <v>46281</v>
      </c>
      <c r="M768" s="17" t="n">
        <v>24</v>
      </c>
    </row>
    <row r="769">
      <c r="A769" s="19" t="inlineStr">
        <is>
          <t>7930</t>
        </is>
      </c>
      <c r="B769" s="20" t="inlineStr">
        <is>
          <t>PUERTO ASIS</t>
        </is>
      </c>
      <c r="C769" s="20" t="inlineStr">
        <is>
          <t>Puerto Asís</t>
        </is>
      </c>
      <c r="D769" s="20" t="inlineStr">
        <is>
          <t>Putumayo</t>
        </is>
      </c>
      <c r="E769" s="20" t="inlineStr">
        <is>
          <t>SUR</t>
        </is>
      </c>
      <c r="F769" s="20" t="inlineStr">
        <is>
          <t>8:00 AM - 11:30 AM Y DE 02:00 PM - 04:30 PM</t>
        </is>
      </c>
      <c r="G769" s="20" t="inlineStr">
        <is>
          <t>Calle 11 No.19-33</t>
        </is>
      </c>
      <c r="H769" s="20" t="inlineStr">
        <is>
          <t>6013821400</t>
        </is>
      </c>
      <c r="I769" s="20" t="inlineStr">
        <is>
          <t>LUNES A VIERNES</t>
        </is>
      </c>
      <c r="J769" s="20" t="inlineStr">
        <is>
          <t>COBERTURA</t>
        </is>
      </c>
      <c r="K769" s="21" t="n">
        <v>46283</v>
      </c>
      <c r="L769" s="21" t="n">
        <v>46283</v>
      </c>
      <c r="M769" s="20" t="n">
        <v>37</v>
      </c>
    </row>
    <row r="770">
      <c r="A770" s="16" t="inlineStr">
        <is>
          <t>7940</t>
        </is>
      </c>
      <c r="B770" s="17" t="inlineStr">
        <is>
          <t>SAN MIGUEL</t>
        </is>
      </c>
      <c r="C770" s="17" t="inlineStr">
        <is>
          <t>San Miguel</t>
        </is>
      </c>
      <c r="D770" s="17" t="inlineStr">
        <is>
          <t>Putumayo</t>
        </is>
      </c>
      <c r="E770" s="17" t="inlineStr">
        <is>
          <t>SUR</t>
        </is>
      </c>
      <c r="F770" s="17" t="inlineStr">
        <is>
          <t>8:00 AM - 11:30 AM Y DE 02:00 PM - 04:30 PM</t>
        </is>
      </c>
      <c r="G770" s="17" t="inlineStr">
        <is>
          <t>Calle 6 No. 4 - 46 - 56 Sector Urbano</t>
        </is>
      </c>
      <c r="H770" s="17" t="inlineStr">
        <is>
          <t>6013821400</t>
        </is>
      </c>
      <c r="I770" s="17" t="inlineStr">
        <is>
          <t>LUNES A VIERNES</t>
        </is>
      </c>
      <c r="J770" s="17" t="inlineStr">
        <is>
          <t>COBERTURA</t>
        </is>
      </c>
      <c r="K770" s="18" t="n">
        <v>46274</v>
      </c>
      <c r="L770" s="18" t="n">
        <v>46274</v>
      </c>
      <c r="M770" s="17" t="n">
        <v>17</v>
      </c>
    </row>
    <row r="771">
      <c r="A771" s="19" t="inlineStr">
        <is>
          <t>7901</t>
        </is>
      </c>
      <c r="B771" s="20" t="inlineStr">
        <is>
          <t>SIBUNDOY</t>
        </is>
      </c>
      <c r="C771" s="20" t="inlineStr">
        <is>
          <t>Sibundoy</t>
        </is>
      </c>
      <c r="D771" s="20" t="inlineStr">
        <is>
          <t>Putumayo</t>
        </is>
      </c>
      <c r="E771" s="20" t="inlineStr">
        <is>
          <t>SUR</t>
        </is>
      </c>
      <c r="F771" s="20" t="inlineStr">
        <is>
          <t>8:00 AM - 11:30 AM Y DE 02:00 PM - 04:30 PM</t>
        </is>
      </c>
      <c r="G771" s="20" t="inlineStr">
        <is>
          <t>CALLE 18 No.15-59</t>
        </is>
      </c>
      <c r="H771" s="20" t="inlineStr">
        <is>
          <t>6013821400</t>
        </is>
      </c>
      <c r="I771" s="20" t="inlineStr">
        <is>
          <t>LUNES A VIERNES</t>
        </is>
      </c>
      <c r="J771" s="20" t="inlineStr">
        <is>
          <t>COBERTURA</t>
        </is>
      </c>
      <c r="K771" s="21" t="n">
        <v>46266</v>
      </c>
      <c r="L771" s="21" t="n">
        <v>46267</v>
      </c>
      <c r="M771" s="20" t="n">
        <v>26</v>
      </c>
    </row>
    <row r="772">
      <c r="A772" s="16" t="inlineStr">
        <is>
          <t>8103</t>
        </is>
      </c>
      <c r="B772" s="17" t="inlineStr">
        <is>
          <t>SAN ANDRES</t>
        </is>
      </c>
      <c r="C772" s="17" t="inlineStr">
        <is>
          <t>San Andrés</t>
        </is>
      </c>
      <c r="D772" s="17" t="inlineStr">
        <is>
          <t>Archipiélago de San Andrés, Providencia y Santa Catalina</t>
        </is>
      </c>
      <c r="E772" s="17" t="inlineStr">
        <is>
          <t>COSTA</t>
        </is>
      </c>
      <c r="F772" s="17" t="inlineStr">
        <is>
          <t>8:00 AM - 11:30 AM Y DE 02:00 PM - 04:30 PM</t>
        </is>
      </c>
      <c r="G772" s="17" t="inlineStr">
        <is>
          <t>Avenida Libertadores No. 2 A - 21</t>
        </is>
      </c>
      <c r="H772" s="17" t="inlineStr">
        <is>
          <t>6013821400</t>
        </is>
      </c>
      <c r="I772" s="17" t="inlineStr">
        <is>
          <t>LUNES A VIERNES</t>
        </is>
      </c>
      <c r="J772" s="17" t="inlineStr">
        <is>
          <t>COBERTURA</t>
        </is>
      </c>
      <c r="K772" s="18" t="n">
        <v>46274</v>
      </c>
      <c r="L772" s="18" t="n">
        <v>46275</v>
      </c>
      <c r="M772" s="17" t="n">
        <v>25</v>
      </c>
    </row>
    <row r="773">
      <c r="A773" s="19" t="inlineStr">
        <is>
          <t>7903</t>
        </is>
      </c>
      <c r="B773" s="20" t="inlineStr">
        <is>
          <t>MOCOA</t>
        </is>
      </c>
      <c r="C773" s="20" t="inlineStr">
        <is>
          <t>Mocoa</t>
        </is>
      </c>
      <c r="D773" s="20" t="inlineStr">
        <is>
          <t>Putumayo</t>
        </is>
      </c>
      <c r="E773" s="20" t="inlineStr">
        <is>
          <t>SUR</t>
        </is>
      </c>
      <c r="F773" s="20" t="inlineStr">
        <is>
          <t>8:00 AM - 11:30 AM Y DE 02:00 PM - 04:30 PM</t>
        </is>
      </c>
      <c r="G773" s="20" t="inlineStr">
        <is>
          <t>Calle 7 No. 6 - 21 Barrio Centro  - Esquina</t>
        </is>
      </c>
      <c r="H773" s="20" t="inlineStr">
        <is>
          <t>6013821400</t>
        </is>
      </c>
      <c r="I773" s="20" t="inlineStr">
        <is>
          <t>LUNES A VIERNES</t>
        </is>
      </c>
      <c r="J773" s="20" t="inlineStr">
        <is>
          <t>COBERTURA</t>
        </is>
      </c>
      <c r="K773" s="21" t="n">
        <v>46280</v>
      </c>
      <c r="L773" s="21" t="n">
        <v>46280</v>
      </c>
      <c r="M773" s="20" t="n">
        <v>32</v>
      </c>
    </row>
    <row r="774">
      <c r="A774" s="16" t="inlineStr">
        <is>
          <t>8110</t>
        </is>
      </c>
      <c r="B774" s="17" t="inlineStr">
        <is>
          <t>PROVIDENCIA</t>
        </is>
      </c>
      <c r="C774" s="17" t="inlineStr">
        <is>
          <t>Providencia</t>
        </is>
      </c>
      <c r="D774" s="17" t="inlineStr">
        <is>
          <t>Archipiélago de San Andrés, Providencia y Santa Catalina</t>
        </is>
      </c>
      <c r="E774" s="17" t="inlineStr">
        <is>
          <t>COSTA</t>
        </is>
      </c>
      <c r="F774" s="17" t="inlineStr">
        <is>
          <t>8:00 AM - 11:30 AM Y DE 02:00 PM - 04:30 PM</t>
        </is>
      </c>
      <c r="G774" s="17" t="inlineStr">
        <is>
          <t>Carrera 9 No. 23-33 Sector de Pueblo Viejo.</t>
        </is>
      </c>
      <c r="H774" s="17" t="inlineStr">
        <is>
          <t>6013821400</t>
        </is>
      </c>
      <c r="I774" s="17" t="inlineStr">
        <is>
          <t>LUNES A VIERNES</t>
        </is>
      </c>
      <c r="J774" s="17" t="inlineStr">
        <is>
          <t>COBERTURA</t>
        </is>
      </c>
      <c r="K774" s="18" t="n">
        <v>46274</v>
      </c>
      <c r="L774" s="18" t="n">
        <v>46275</v>
      </c>
      <c r="M774" s="17" t="n">
        <v>12</v>
      </c>
    </row>
    <row r="775">
      <c r="A775" s="19" t="inlineStr">
        <is>
          <t>8303</t>
        </is>
      </c>
      <c r="B775" s="20" t="inlineStr">
        <is>
          <t>SAN JOSE DEL GUAVIARE</t>
        </is>
      </c>
      <c r="C775" s="20" t="inlineStr">
        <is>
          <t>San José Del Guaviare</t>
        </is>
      </c>
      <c r="D775" s="20" t="inlineStr">
        <is>
          <t>Guaviare</t>
        </is>
      </c>
      <c r="E775" s="20" t="inlineStr">
        <is>
          <t>BOGOTA</t>
        </is>
      </c>
      <c r="F775" s="20" t="inlineStr">
        <is>
          <t>8:00 AM - 11:30 AM Y DE 02:00 PM - 04:30 PM</t>
        </is>
      </c>
      <c r="G775" s="20" t="inlineStr">
        <is>
          <t>Carrera 24 No. 7 - 50</t>
        </is>
      </c>
      <c r="H775" s="20" t="inlineStr">
        <is>
          <t>6013821400</t>
        </is>
      </c>
      <c r="I775" s="20" t="inlineStr">
        <is>
          <t>LUNES A VIERNES</t>
        </is>
      </c>
      <c r="J775" s="20" t="inlineStr">
        <is>
          <t>GESTIONATECH</t>
        </is>
      </c>
      <c r="K775" s="21" t="n">
        <v>46268</v>
      </c>
      <c r="L775" s="21" t="n">
        <v>46269</v>
      </c>
      <c r="M775" s="20" t="n">
        <v>40</v>
      </c>
    </row>
    <row r="776">
      <c r="A776" s="16" t="inlineStr">
        <is>
          <t>8315</t>
        </is>
      </c>
      <c r="B776" s="17" t="inlineStr">
        <is>
          <t>MIRAFLORES</t>
        </is>
      </c>
      <c r="C776" s="17" t="inlineStr">
        <is>
          <t>Miraflores</t>
        </is>
      </c>
      <c r="D776" s="17" t="inlineStr">
        <is>
          <t>Guaviare</t>
        </is>
      </c>
      <c r="E776" s="17" t="inlineStr">
        <is>
          <t>BOGOTA</t>
        </is>
      </c>
      <c r="F776" s="17" t="inlineStr">
        <is>
          <t>8:00 A.M.  A 3:00 P.M.</t>
        </is>
      </c>
      <c r="G776" s="17" t="inlineStr">
        <is>
          <t>Calle Principal del Municipio de Miraflores</t>
        </is>
      </c>
      <c r="H776" s="17" t="inlineStr">
        <is>
          <t>6013821400</t>
        </is>
      </c>
      <c r="I776" s="17" t="inlineStr">
        <is>
          <t>LUNES A VIERNES</t>
        </is>
      </c>
      <c r="J776" s="17" t="inlineStr">
        <is>
          <t>GESTIONATECH</t>
        </is>
      </c>
      <c r="K776" s="18" t="n">
        <v>46301</v>
      </c>
      <c r="L776" s="18" t="n">
        <v>46302</v>
      </c>
      <c r="M776" s="17" t="n">
        <v>12</v>
      </c>
    </row>
    <row r="777">
      <c r="A777" s="19" t="inlineStr">
        <is>
          <t>8420</t>
        </is>
      </c>
      <c r="B777" s="20" t="inlineStr">
        <is>
          <t>MITU</t>
        </is>
      </c>
      <c r="C777" s="20" t="inlineStr">
        <is>
          <t>Mitú</t>
        </is>
      </c>
      <c r="D777" s="20" t="inlineStr">
        <is>
          <t>Vaupés</t>
        </is>
      </c>
      <c r="E777" s="20" t="inlineStr">
        <is>
          <t>BOGOTA</t>
        </is>
      </c>
      <c r="F777" s="20" t="inlineStr">
        <is>
          <t>8:00 A.M.  A 3:00 P.M.</t>
        </is>
      </c>
      <c r="G777" s="20" t="inlineStr">
        <is>
          <t>Calle 16 No. 3-78 Barrio Centro</t>
        </is>
      </c>
      <c r="H777" s="20" t="inlineStr">
        <is>
          <t>6013821400</t>
        </is>
      </c>
      <c r="I777" s="20" t="inlineStr">
        <is>
          <t>LUNES A VIERNES</t>
        </is>
      </c>
      <c r="J777" s="20" t="inlineStr">
        <is>
          <t>GESTIONATECH</t>
        </is>
      </c>
      <c r="K777" s="21" t="n">
        <v>46293</v>
      </c>
      <c r="L777" s="21" t="n">
        <v>46295</v>
      </c>
      <c r="M777" s="20" t="n">
        <v>17</v>
      </c>
    </row>
    <row r="778">
      <c r="A778" s="16" t="inlineStr">
        <is>
          <t>8503</t>
        </is>
      </c>
      <c r="B778" s="17" t="inlineStr">
        <is>
          <t>PUERTO CARREÑO</t>
        </is>
      </c>
      <c r="C778" s="17" t="inlineStr">
        <is>
          <t>Puerto Carreño</t>
        </is>
      </c>
      <c r="D778" s="17" t="inlineStr">
        <is>
          <t>Vichada</t>
        </is>
      </c>
      <c r="E778" s="17" t="inlineStr">
        <is>
          <t>BOGOTA</t>
        </is>
      </c>
      <c r="F778" s="17" t="inlineStr">
        <is>
          <t>8:00 AM - 11:30 AM Y DE 02:00 PM - 04:30 PM</t>
        </is>
      </c>
      <c r="G778" s="17" t="inlineStr">
        <is>
          <t>Calle 18 No. 6 - 77 Barrio Centro - Sector Bancario</t>
        </is>
      </c>
      <c r="H778" s="17" t="inlineStr">
        <is>
          <t>6013821400</t>
        </is>
      </c>
      <c r="I778" s="17" t="inlineStr">
        <is>
          <t>LUNES A VIERNES</t>
        </is>
      </c>
      <c r="J778" s="17" t="inlineStr">
        <is>
          <t>GESTIONATECH</t>
        </is>
      </c>
      <c r="K778" s="18" t="n">
        <v>46268</v>
      </c>
      <c r="L778" s="18" t="n">
        <v>46269</v>
      </c>
      <c r="M778" s="17" t="n">
        <v>13</v>
      </c>
    </row>
    <row r="779">
      <c r="A779" s="19" t="inlineStr">
        <is>
          <t>8505</t>
        </is>
      </c>
      <c r="B779" s="20" t="inlineStr">
        <is>
          <t>CUMARIBO</t>
        </is>
      </c>
      <c r="C779" s="20" t="inlineStr">
        <is>
          <t>Cumaribo</t>
        </is>
      </c>
      <c r="D779" s="20" t="inlineStr">
        <is>
          <t>Vichada</t>
        </is>
      </c>
      <c r="E779" s="20" t="inlineStr">
        <is>
          <t>BOGOTA</t>
        </is>
      </c>
      <c r="F779" s="20" t="inlineStr">
        <is>
          <t>8:00 AM - 11:30 AM Y DE 02:00 PM - 04:30 PM</t>
        </is>
      </c>
      <c r="G779" s="20" t="inlineStr">
        <is>
          <t>Carrera 12 No.6-32</t>
        </is>
      </c>
      <c r="H779" s="20" t="inlineStr">
        <is>
          <t>6013821400</t>
        </is>
      </c>
      <c r="I779" s="20" t="inlineStr">
        <is>
          <t>LUNES A VIERNES</t>
        </is>
      </c>
      <c r="J779" s="20" t="inlineStr">
        <is>
          <t>GESTIONATECH</t>
        </is>
      </c>
      <c r="K779" s="21" t="n">
        <v>46267</v>
      </c>
      <c r="L779" s="21" t="n">
        <v>46274</v>
      </c>
      <c r="M779" s="20" t="n">
        <v>12</v>
      </c>
    </row>
    <row r="780">
      <c r="A780" s="16" t="inlineStr">
        <is>
          <t>8510</t>
        </is>
      </c>
      <c r="B780" s="17" t="inlineStr">
        <is>
          <t>LA PRIMAVERA</t>
        </is>
      </c>
      <c r="C780" s="17" t="inlineStr">
        <is>
          <t>La Primavera</t>
        </is>
      </c>
      <c r="D780" s="17" t="inlineStr">
        <is>
          <t>Vichada</t>
        </is>
      </c>
      <c r="E780" s="17" t="inlineStr">
        <is>
          <t>BOGOTA</t>
        </is>
      </c>
      <c r="F780" s="17" t="inlineStr">
        <is>
          <t>8:00 AM - 11:30 AM Y DE 02:00 PM - 04:30 PM</t>
        </is>
      </c>
      <c r="G780" s="17" t="inlineStr">
        <is>
          <t>Carrera 9 No. 4-87 Centro</t>
        </is>
      </c>
      <c r="H780" s="17" t="inlineStr">
        <is>
          <t>6013821400</t>
        </is>
      </c>
      <c r="I780" s="17" t="inlineStr">
        <is>
          <t>LUNES A VIERNES</t>
        </is>
      </c>
      <c r="J780" s="17" t="inlineStr">
        <is>
          <t>GESTIONATECH</t>
        </is>
      </c>
      <c r="K780" s="18" t="n">
        <v>46266</v>
      </c>
      <c r="L780" s="18" t="n">
        <v>46272</v>
      </c>
      <c r="M780" s="17" t="n">
        <v>15</v>
      </c>
    </row>
    <row r="781">
      <c r="A781" s="19" t="inlineStr">
        <is>
          <t>8520</t>
        </is>
      </c>
      <c r="B781" s="20" t="inlineStr">
        <is>
          <t>SANTA ROSALIA</t>
        </is>
      </c>
      <c r="C781" s="20" t="inlineStr">
        <is>
          <t>Santa Rosalía</t>
        </is>
      </c>
      <c r="D781" s="20" t="inlineStr">
        <is>
          <t>Vichada</t>
        </is>
      </c>
      <c r="E781" s="20" t="inlineStr">
        <is>
          <t>BOGOTA</t>
        </is>
      </c>
      <c r="F781" s="20" t="inlineStr">
        <is>
          <t>8:00 AM - 11:30 AM Y DE 02:00 PM - 04:30 PM</t>
        </is>
      </c>
      <c r="G781" s="20" t="inlineStr">
        <is>
          <t>Carrera. 1 Centro</t>
        </is>
      </c>
      <c r="H781" s="20" t="inlineStr">
        <is>
          <t>6013821400</t>
        </is>
      </c>
      <c r="I781" s="20" t="inlineStr">
        <is>
          <t>LUNES A VIERNES</t>
        </is>
      </c>
      <c r="J781" s="20" t="inlineStr">
        <is>
          <t>GESTIONATECH</t>
        </is>
      </c>
      <c r="K781" s="21" t="n">
        <v>46280</v>
      </c>
      <c r="L781" s="21" t="n">
        <v>46283</v>
      </c>
      <c r="M781" s="20" t="n">
        <v>12</v>
      </c>
    </row>
    <row r="782">
      <c r="A782" s="16" t="inlineStr">
        <is>
          <t>8601</t>
        </is>
      </c>
      <c r="B782" s="17" t="inlineStr">
        <is>
          <t>AGUAZUL</t>
        </is>
      </c>
      <c r="C782" s="17" t="inlineStr">
        <is>
          <t>Aguazul</t>
        </is>
      </c>
      <c r="D782" s="17" t="inlineStr">
        <is>
          <t>Casanare</t>
        </is>
      </c>
      <c r="E782" s="17" t="inlineStr">
        <is>
          <t>ORIENTE</t>
        </is>
      </c>
      <c r="F782" s="17" t="inlineStr">
        <is>
          <t>8:00 AM - 11:30 AM Y DE 02:00 PM - 04:30 PM</t>
        </is>
      </c>
      <c r="G782" s="17" t="inlineStr">
        <is>
          <t>Carrera 18 No 9-31</t>
        </is>
      </c>
      <c r="H782" s="17" t="inlineStr">
        <is>
          <t>6013821400</t>
        </is>
      </c>
      <c r="I782" s="17" t="inlineStr">
        <is>
          <t>LUNES A VIERNES</t>
        </is>
      </c>
      <c r="J782" s="17" t="inlineStr">
        <is>
          <t>GESTIONATECH</t>
        </is>
      </c>
      <c r="K782" s="18" t="n">
        <v>46272</v>
      </c>
      <c r="L782" s="18" t="n">
        <v>46273</v>
      </c>
      <c r="M782" s="17" t="n">
        <v>20</v>
      </c>
    </row>
    <row r="783">
      <c r="A783" s="19" t="inlineStr">
        <is>
          <t>8603</t>
        </is>
      </c>
      <c r="B783" s="20" t="inlineStr">
        <is>
          <t>YOPAL</t>
        </is>
      </c>
      <c r="C783" s="20" t="inlineStr">
        <is>
          <t>Yopal</t>
        </is>
      </c>
      <c r="D783" s="20" t="inlineStr">
        <is>
          <t>Casanare</t>
        </is>
      </c>
      <c r="E783" s="20" t="inlineStr">
        <is>
          <t>ORIENTE</t>
        </is>
      </c>
      <c r="F783" s="20" t="inlineStr">
        <is>
          <t>8:00 AM - 11:30 AM Y DE 02:00 PM - 04:30 PM</t>
        </is>
      </c>
      <c r="G783" s="20" t="inlineStr">
        <is>
          <t>Carrera 22 No. 8-64</t>
        </is>
      </c>
      <c r="H783" s="20" t="inlineStr">
        <is>
          <t>6013821400</t>
        </is>
      </c>
      <c r="I783" s="20" t="inlineStr">
        <is>
          <t>LUNES A VIERNES</t>
        </is>
      </c>
      <c r="J783" s="20" t="inlineStr">
        <is>
          <t>GESTIONATECH</t>
        </is>
      </c>
      <c r="K783" s="21" t="n">
        <v>46267</v>
      </c>
      <c r="L783" s="21" t="n">
        <v>46269</v>
      </c>
      <c r="M783" s="20" t="n">
        <v>49</v>
      </c>
    </row>
    <row r="784">
      <c r="A784" s="16" t="inlineStr">
        <is>
          <t>8610</t>
        </is>
      </c>
      <c r="B784" s="17" t="inlineStr">
        <is>
          <t>HATO COROZAL</t>
        </is>
      </c>
      <c r="C784" s="17" t="inlineStr">
        <is>
          <t>Hato Corozal</t>
        </is>
      </c>
      <c r="D784" s="17" t="inlineStr">
        <is>
          <t>Casanare</t>
        </is>
      </c>
      <c r="E784" s="17" t="inlineStr">
        <is>
          <t>ORIENTE</t>
        </is>
      </c>
      <c r="F784" s="17" t="inlineStr">
        <is>
          <t>8:00 AM - 11:30 AM Y DE 02:00 PM - 04:30 PM</t>
        </is>
      </c>
      <c r="G784" s="17" t="inlineStr">
        <is>
          <t>Calle 12 No. 8-13</t>
        </is>
      </c>
      <c r="H784" s="17" t="inlineStr">
        <is>
          <t>6013821400</t>
        </is>
      </c>
      <c r="I784" s="17" t="inlineStr">
        <is>
          <t>LUNES A VIERNES</t>
        </is>
      </c>
      <c r="J784" s="17" t="inlineStr">
        <is>
          <t>GESTIONATECH</t>
        </is>
      </c>
      <c r="K784" s="18" t="n">
        <v>46300</v>
      </c>
      <c r="L784" s="18" t="n">
        <v>46301</v>
      </c>
      <c r="M784" s="17" t="n">
        <v>16</v>
      </c>
    </row>
    <row r="785">
      <c r="A785" s="19" t="inlineStr">
        <is>
          <t>8615</t>
        </is>
      </c>
      <c r="B785" s="20" t="inlineStr">
        <is>
          <t>MANI</t>
        </is>
      </c>
      <c r="C785" s="20" t="inlineStr">
        <is>
          <t>Maní</t>
        </is>
      </c>
      <c r="D785" s="20" t="inlineStr">
        <is>
          <t>Casanare</t>
        </is>
      </c>
      <c r="E785" s="20" t="inlineStr">
        <is>
          <t>ORIENTE</t>
        </is>
      </c>
      <c r="F785" s="20" t="inlineStr">
        <is>
          <t>8:00 AM - 11:30 AM Y DE 02:00 PM - 04:30 PM</t>
        </is>
      </c>
      <c r="G785" s="20" t="inlineStr">
        <is>
          <t>Calle 17 N° 4 -04</t>
        </is>
      </c>
      <c r="H785" s="20" t="inlineStr">
        <is>
          <t>6013821400</t>
        </is>
      </c>
      <c r="I785" s="20" t="inlineStr">
        <is>
          <t>LUNES A VIERNES</t>
        </is>
      </c>
      <c r="J785" s="20" t="inlineStr">
        <is>
          <t>GESTIONATECH</t>
        </is>
      </c>
      <c r="K785" s="21" t="n">
        <v>46280</v>
      </c>
      <c r="L785" s="21" t="n">
        <v>46281</v>
      </c>
      <c r="M785" s="20" t="n">
        <v>17</v>
      </c>
    </row>
    <row r="786">
      <c r="A786" s="16" t="inlineStr">
        <is>
          <t>8620</t>
        </is>
      </c>
      <c r="B786" s="17" t="inlineStr">
        <is>
          <t>MONTERREY</t>
        </is>
      </c>
      <c r="C786" s="17" t="inlineStr">
        <is>
          <t>Monterrey</t>
        </is>
      </c>
      <c r="D786" s="17" t="inlineStr">
        <is>
          <t>Casanare</t>
        </is>
      </c>
      <c r="E786" s="17" t="inlineStr">
        <is>
          <t>ORIENTE</t>
        </is>
      </c>
      <c r="F786" s="17" t="inlineStr">
        <is>
          <t>8:00 AM - 11:30 AM Y DE 02:00 PM - 04:30 PM</t>
        </is>
      </c>
      <c r="G786" s="17" t="inlineStr">
        <is>
          <t>CARRERA 7 No. 15-48   15-69</t>
        </is>
      </c>
      <c r="H786" s="17" t="inlineStr">
        <is>
          <t>6013821400</t>
        </is>
      </c>
      <c r="I786" s="17" t="inlineStr">
        <is>
          <t>LUNES A VIERNES</t>
        </is>
      </c>
      <c r="J786" s="17" t="inlineStr">
        <is>
          <t>GESTIONATECH</t>
        </is>
      </c>
      <c r="K786" s="18" t="n">
        <v>46302</v>
      </c>
      <c r="L786" s="18" t="n">
        <v>46303</v>
      </c>
      <c r="M786" s="17" t="n">
        <v>18</v>
      </c>
    </row>
    <row r="787">
      <c r="A787" s="19" t="inlineStr">
        <is>
          <t>8623</t>
        </is>
      </c>
      <c r="B787" s="20" t="inlineStr">
        <is>
          <t>NUNCHIA</t>
        </is>
      </c>
      <c r="C787" s="20" t="inlineStr">
        <is>
          <t>Nunchía</t>
        </is>
      </c>
      <c r="D787" s="20" t="inlineStr">
        <is>
          <t>Casanare</t>
        </is>
      </c>
      <c r="E787" s="20" t="inlineStr">
        <is>
          <t>ORIENTE</t>
        </is>
      </c>
      <c r="F787" s="20" t="inlineStr">
        <is>
          <t>8:00 AM - 11:30 AM Y DE 02:00 PM - 04:30 PM</t>
        </is>
      </c>
      <c r="G787" s="20" t="inlineStr">
        <is>
          <t>Calle 7 No. 5 – 91</t>
        </is>
      </c>
      <c r="H787" s="20" t="inlineStr">
        <is>
          <t>6013821400</t>
        </is>
      </c>
      <c r="I787" s="20" t="inlineStr">
        <is>
          <t>LUNES A VIERNES</t>
        </is>
      </c>
      <c r="J787" s="20" t="inlineStr">
        <is>
          <t>GESTIONATECH</t>
        </is>
      </c>
      <c r="K787" s="21" t="n">
        <v>46274</v>
      </c>
      <c r="L787" s="21" t="n">
        <v>46275</v>
      </c>
      <c r="M787" s="20" t="n">
        <v>14</v>
      </c>
    </row>
    <row r="788">
      <c r="A788" s="16" t="inlineStr">
        <is>
          <t>8630</t>
        </is>
      </c>
      <c r="B788" s="17" t="inlineStr">
        <is>
          <t>OROCUE</t>
        </is>
      </c>
      <c r="C788" s="17" t="inlineStr">
        <is>
          <t>Orocué</t>
        </is>
      </c>
      <c r="D788" s="17" t="inlineStr">
        <is>
          <t>Casanare</t>
        </is>
      </c>
      <c r="E788" s="17" t="inlineStr">
        <is>
          <t>BOGOTA</t>
        </is>
      </c>
      <c r="F788" s="17" t="inlineStr">
        <is>
          <t>8:00 AM - 11:30 AM Y DE 02:00 PM - 04:30 PM</t>
        </is>
      </c>
      <c r="G788" s="17" t="inlineStr">
        <is>
          <t>CALLE 4 No. 9 - 19 B LA CANDELARIA</t>
        </is>
      </c>
      <c r="H788" s="17" t="inlineStr">
        <is>
          <t>6013821400</t>
        </is>
      </c>
      <c r="I788" s="17" t="inlineStr">
        <is>
          <t>LUNES A VIERNES</t>
        </is>
      </c>
      <c r="J788" s="17" t="inlineStr">
        <is>
          <t>GESTIONATECH</t>
        </is>
      </c>
      <c r="K788" s="18" t="n">
        <v>46294</v>
      </c>
      <c r="L788" s="18" t="n">
        <v>46295</v>
      </c>
      <c r="M788" s="17" t="n">
        <v>14</v>
      </c>
    </row>
    <row r="789">
      <c r="A789" s="19" t="inlineStr">
        <is>
          <t>8635</t>
        </is>
      </c>
      <c r="B789" s="20" t="inlineStr">
        <is>
          <t>PARATEBUENO</t>
        </is>
      </c>
      <c r="C789" s="20" t="inlineStr">
        <is>
          <t>Paratebueno</t>
        </is>
      </c>
      <c r="D789" s="20" t="inlineStr">
        <is>
          <t>Cundinamarca</t>
        </is>
      </c>
      <c r="E789" s="20" t="inlineStr">
        <is>
          <t>BOGOTA</t>
        </is>
      </c>
      <c r="F789" s="20" t="inlineStr">
        <is>
          <t>8:00 AM - 11:30 AM Y DE 02:00 PM - 04:30 PM</t>
        </is>
      </c>
      <c r="G789" s="20" t="inlineStr">
        <is>
          <t>Calle 2 N° 9 - 15</t>
        </is>
      </c>
      <c r="H789" s="20" t="inlineStr">
        <is>
          <t>6013821400</t>
        </is>
      </c>
      <c r="I789" s="20" t="inlineStr">
        <is>
          <t>LUNES A VIERNES</t>
        </is>
      </c>
      <c r="J789" s="20" t="inlineStr">
        <is>
          <t>GESTIONATECH</t>
        </is>
      </c>
      <c r="K789" s="21" t="n">
        <v>46280</v>
      </c>
      <c r="L789" s="21" t="n">
        <v>46280</v>
      </c>
      <c r="M789" s="20" t="n">
        <v>14</v>
      </c>
    </row>
    <row r="790">
      <c r="A790" s="16" t="inlineStr">
        <is>
          <t>8640</t>
        </is>
      </c>
      <c r="B790" s="17" t="inlineStr">
        <is>
          <t>VILLANUEVA</t>
        </is>
      </c>
      <c r="C790" s="17" t="inlineStr">
        <is>
          <t>Villanueva</t>
        </is>
      </c>
      <c r="D790" s="17" t="inlineStr">
        <is>
          <t>Casanare</t>
        </is>
      </c>
      <c r="E790" s="17" t="inlineStr">
        <is>
          <t>ORIENTE</t>
        </is>
      </c>
      <c r="F790" s="17" t="inlineStr">
        <is>
          <t>8:00 AM - 11:30 AM Y DE 02:00 PM - 04:30 PM</t>
        </is>
      </c>
      <c r="G790" s="17" t="inlineStr">
        <is>
          <t>CALLE 11 No. 8-31/39 CENTRO AVENIDA PRINCIPAL/ HOTEL PANAMERICANO</t>
        </is>
      </c>
      <c r="H790" s="17" t="inlineStr">
        <is>
          <t>6013821400</t>
        </is>
      </c>
      <c r="I790" s="17" t="inlineStr">
        <is>
          <t>LUNES A VIERNES</t>
        </is>
      </c>
      <c r="J790" s="17" t="inlineStr">
        <is>
          <t>GESTIONATECH</t>
        </is>
      </c>
      <c r="K790" s="18" t="n">
        <v>46304</v>
      </c>
      <c r="L790" s="18" t="n">
        <v>46308</v>
      </c>
      <c r="M790" s="17" t="n">
        <v>26</v>
      </c>
    </row>
    <row r="791">
      <c r="A791" s="19" t="inlineStr">
        <is>
          <t>8645</t>
        </is>
      </c>
      <c r="B791" s="20" t="inlineStr">
        <is>
          <t>PAZ DE ARIPORO</t>
        </is>
      </c>
      <c r="C791" s="20" t="inlineStr">
        <is>
          <t>Paz De Ariporo</t>
        </is>
      </c>
      <c r="D791" s="20" t="inlineStr">
        <is>
          <t>Casanare</t>
        </is>
      </c>
      <c r="E791" s="20" t="inlineStr">
        <is>
          <t>ORIENTE</t>
        </is>
      </c>
      <c r="F791" s="20" t="inlineStr">
        <is>
          <t>8:00 AM - 11:30 AM Y DE 02:00 PM - 04:30 PM</t>
        </is>
      </c>
      <c r="G791" s="20" t="inlineStr">
        <is>
          <t>CARRERA 8 No. 10-10 - CALLE 4 No. 10-62</t>
        </is>
      </c>
      <c r="H791" s="20" t="inlineStr">
        <is>
          <t>6013821400</t>
        </is>
      </c>
      <c r="I791" s="20" t="inlineStr">
        <is>
          <t>LUNES A VIERNES</t>
        </is>
      </c>
      <c r="J791" s="20" t="inlineStr">
        <is>
          <t>GESTIONATECH</t>
        </is>
      </c>
      <c r="K791" s="21" t="n">
        <v>46286</v>
      </c>
      <c r="L791" s="21" t="n">
        <v>46287</v>
      </c>
      <c r="M791" s="20" t="n">
        <v>26</v>
      </c>
    </row>
    <row r="792">
      <c r="A792" s="16" t="inlineStr">
        <is>
          <t>8646</t>
        </is>
      </c>
      <c r="B792" s="17" t="inlineStr">
        <is>
          <t>PORE</t>
        </is>
      </c>
      <c r="C792" s="17" t="inlineStr">
        <is>
          <t>Pore</t>
        </is>
      </c>
      <c r="D792" s="17" t="inlineStr">
        <is>
          <t>Casanare</t>
        </is>
      </c>
      <c r="E792" s="17" t="inlineStr">
        <is>
          <t>ORIENTE</t>
        </is>
      </c>
      <c r="F792" s="17" t="inlineStr">
        <is>
          <t>8:00 AM - 11:30 AM Y DE 02:00 PM - 04:30 PM</t>
        </is>
      </c>
      <c r="G792" s="17" t="inlineStr">
        <is>
          <t>Calle 3 No. 16-82/16/88</t>
        </is>
      </c>
      <c r="H792" s="17" t="inlineStr">
        <is>
          <t>6013821400</t>
        </is>
      </c>
      <c r="I792" s="17" t="inlineStr">
        <is>
          <t>LUNES A VIERNES</t>
        </is>
      </c>
      <c r="J792" s="17" t="inlineStr">
        <is>
          <t>GESTIONATECH</t>
        </is>
      </c>
      <c r="K792" s="18" t="n">
        <v>46282</v>
      </c>
      <c r="L792" s="18" t="n">
        <v>46283</v>
      </c>
      <c r="M792" s="17" t="n">
        <v>16</v>
      </c>
    </row>
    <row r="793">
      <c r="A793" s="19" t="inlineStr">
        <is>
          <t>8648</t>
        </is>
      </c>
      <c r="B793" s="20" t="inlineStr">
        <is>
          <t>SABANALARGA</t>
        </is>
      </c>
      <c r="C793" s="20" t="inlineStr">
        <is>
          <t>Sabanalarga</t>
        </is>
      </c>
      <c r="D793" s="20" t="inlineStr">
        <is>
          <t>Casanare</t>
        </is>
      </c>
      <c r="E793" s="20" t="inlineStr">
        <is>
          <t>ORIENTE</t>
        </is>
      </c>
      <c r="F793" s="20" t="inlineStr">
        <is>
          <t>8:00 AM - 11:30 AM Y DE 02:00 PM - 04:30 PM</t>
        </is>
      </c>
      <c r="G793" s="20" t="inlineStr">
        <is>
          <t>Calle 5 No.7-10</t>
        </is>
      </c>
      <c r="H793" s="20" t="inlineStr">
        <is>
          <t>6013821400</t>
        </is>
      </c>
      <c r="I793" s="20" t="inlineStr">
        <is>
          <t>LUNES A VIERNES</t>
        </is>
      </c>
      <c r="J793" s="20" t="inlineStr">
        <is>
          <t>GESTIONATECH</t>
        </is>
      </c>
      <c r="K793" s="21" t="n">
        <v>46309</v>
      </c>
      <c r="L793" s="21" t="n">
        <v>46310</v>
      </c>
      <c r="M793" s="20" t="n">
        <v>12</v>
      </c>
    </row>
    <row r="794">
      <c r="A794" s="16" t="inlineStr">
        <is>
          <t>8650</t>
        </is>
      </c>
      <c r="B794" s="17" t="inlineStr">
        <is>
          <t>SAN LUIS DE PALENQUE</t>
        </is>
      </c>
      <c r="C794" s="17" t="inlineStr">
        <is>
          <t>San Luis De Palenque</t>
        </is>
      </c>
      <c r="D794" s="17" t="inlineStr">
        <is>
          <t>Casanare</t>
        </is>
      </c>
      <c r="E794" s="17" t="inlineStr">
        <is>
          <t>ORIENTE</t>
        </is>
      </c>
      <c r="F794" s="17" t="inlineStr">
        <is>
          <t>8:00 AM - 11:30 AM Y DE 02:00 PM - 04:30 PM</t>
        </is>
      </c>
      <c r="G794" s="17" t="inlineStr">
        <is>
          <t>CARRERA 7 No. 2-55 Parque Principal - Calle 4 No. 4-06</t>
        </is>
      </c>
      <c r="H794" s="17" t="inlineStr">
        <is>
          <t>6013821400</t>
        </is>
      </c>
      <c r="I794" s="17" t="inlineStr">
        <is>
          <t>LUNES A VIERNES</t>
        </is>
      </c>
      <c r="J794" s="17" t="inlineStr">
        <is>
          <t>GESTIONATECH</t>
        </is>
      </c>
      <c r="K794" s="18" t="n">
        <v>46288</v>
      </c>
      <c r="L794" s="18" t="n">
        <v>46289</v>
      </c>
      <c r="M794" s="17" t="n">
        <v>14</v>
      </c>
    </row>
    <row r="795">
      <c r="A795" s="19" t="inlineStr">
        <is>
          <t>8660</t>
        </is>
      </c>
      <c r="B795" s="20" t="inlineStr">
        <is>
          <t>TAMARA</t>
        </is>
      </c>
      <c r="C795" s="20" t="inlineStr">
        <is>
          <t>Támara</t>
        </is>
      </c>
      <c r="D795" s="20" t="inlineStr">
        <is>
          <t>Casanare</t>
        </is>
      </c>
      <c r="E795" s="20" t="inlineStr">
        <is>
          <t>ORIENTE</t>
        </is>
      </c>
      <c r="F795" s="20" t="inlineStr">
        <is>
          <t>8:00 AM - 11:30 AM Y DE 02:00 PM - 04:30 PM</t>
        </is>
      </c>
      <c r="G795" s="20" t="inlineStr">
        <is>
          <t>CARRERA 6 No. 5-13 -  Calle 25 No. 28-40 Inf.7</t>
        </is>
      </c>
      <c r="H795" s="20" t="inlineStr">
        <is>
          <t>6013821400</t>
        </is>
      </c>
      <c r="I795" s="20" t="inlineStr">
        <is>
          <t>LUNES A VIERNES</t>
        </is>
      </c>
      <c r="J795" s="20" t="inlineStr">
        <is>
          <t>GESTIONATECH</t>
        </is>
      </c>
      <c r="K795" s="21" t="n">
        <v>46296</v>
      </c>
      <c r="L795" s="21" t="n">
        <v>46297</v>
      </c>
      <c r="M795" s="20" t="n">
        <v>13</v>
      </c>
    </row>
    <row r="796">
      <c r="A796" s="16" t="inlineStr">
        <is>
          <t>8663</t>
        </is>
      </c>
      <c r="B796" s="17" t="inlineStr">
        <is>
          <t>TAURAMENA</t>
        </is>
      </c>
      <c r="C796" s="17" t="inlineStr">
        <is>
          <t>Tauramena</t>
        </is>
      </c>
      <c r="D796" s="17" t="inlineStr">
        <is>
          <t>Casanare</t>
        </is>
      </c>
      <c r="E796" s="17" t="inlineStr">
        <is>
          <t>ORIENTE</t>
        </is>
      </c>
      <c r="F796" s="17" t="inlineStr">
        <is>
          <t>8:00 AM - 11:30 AM Y DE 02:00 PM - 04:30 PM</t>
        </is>
      </c>
      <c r="G796" s="17" t="inlineStr">
        <is>
          <t>CARRERA 14 No. 5-34 Carrera 9a No. 1A-39</t>
        </is>
      </c>
      <c r="H796" s="17" t="inlineStr">
        <is>
          <t>6013821400</t>
        </is>
      </c>
      <c r="I796" s="17" t="inlineStr">
        <is>
          <t>LUNES A VIERNES</t>
        </is>
      </c>
      <c r="J796" s="17" t="inlineStr">
        <is>
          <t>GESTIONATECH</t>
        </is>
      </c>
      <c r="K796" s="18" t="n">
        <v>46276</v>
      </c>
      <c r="L796" s="18" t="n">
        <v>46279</v>
      </c>
      <c r="M796" s="17" t="n">
        <v>17</v>
      </c>
    </row>
    <row r="797">
      <c r="A797" s="19" t="inlineStr">
        <is>
          <t>8665</t>
        </is>
      </c>
      <c r="B797" s="20" t="inlineStr">
        <is>
          <t>TRINIDAD</t>
        </is>
      </c>
      <c r="C797" s="20" t="inlineStr">
        <is>
          <t>Trinidad</t>
        </is>
      </c>
      <c r="D797" s="20" t="inlineStr">
        <is>
          <t>Casanare</t>
        </is>
      </c>
      <c r="E797" s="20" t="inlineStr">
        <is>
          <t>ORIENTE</t>
        </is>
      </c>
      <c r="F797" s="20" t="inlineStr">
        <is>
          <t>8:00 AM - 11:30 AM Y DE 02:00 PM - 04:30 PM</t>
        </is>
      </c>
      <c r="G797" s="20" t="inlineStr">
        <is>
          <t>CARRERA 4 No 6 -28</t>
        </is>
      </c>
      <c r="H797" s="20" t="inlineStr">
        <is>
          <t>6013821400</t>
        </is>
      </c>
      <c r="I797" s="20" t="inlineStr">
        <is>
          <t>LUNES A VIERNES</t>
        </is>
      </c>
      <c r="J797" s="20" t="inlineStr">
        <is>
          <t>GESTIONATECH</t>
        </is>
      </c>
      <c r="K797" s="21" t="n">
        <v>46290</v>
      </c>
      <c r="L797" s="21" t="n">
        <v>46293</v>
      </c>
      <c r="M797" s="20" t="n">
        <v>20</v>
      </c>
    </row>
    <row r="798">
      <c r="A798" s="16" t="inlineStr">
        <is>
          <t>1300</t>
        </is>
      </c>
      <c r="B798" s="17" t="inlineStr">
        <is>
          <t>GERENCIA REGIONAL ANTIOQUIA</t>
        </is>
      </c>
      <c r="C798" s="17" t="inlineStr">
        <is>
          <t>Medellin</t>
        </is>
      </c>
      <c r="D798" s="17" t="inlineStr">
        <is>
          <t>Antioquia</t>
        </is>
      </c>
      <c r="E798" s="17" t="inlineStr">
        <is>
          <t>ANTIOQUIA</t>
        </is>
      </c>
      <c r="F798" s="17" t="inlineStr">
        <is>
          <t>8:00 AM - 12:00 M Y DE 02:00 PM - 04:30 PM</t>
        </is>
      </c>
      <c r="G798" s="17" t="n"/>
      <c r="H798" s="17" t="n"/>
      <c r="I798" s="17" t="inlineStr">
        <is>
          <t>LUNES A VIERNES</t>
        </is>
      </c>
      <c r="J798" s="17" t="inlineStr">
        <is>
          <t>REGIONAL</t>
        </is>
      </c>
      <c r="K798" s="18" t="n">
        <v>46272</v>
      </c>
      <c r="L798" s="18" t="n">
        <v>46367</v>
      </c>
      <c r="M798" s="17" t="n">
        <v>154</v>
      </c>
    </row>
    <row r="799">
      <c r="A799" s="19" t="inlineStr">
        <is>
          <t>3000</t>
        </is>
      </c>
      <c r="B799" s="20" t="inlineStr">
        <is>
          <t>GERENCIA REGIONAL BOGOTA</t>
        </is>
      </c>
      <c r="C799" s="20" t="inlineStr">
        <is>
          <t>Bogotá, D.C.</t>
        </is>
      </c>
      <c r="D799" s="20" t="inlineStr">
        <is>
          <t>Cundinamarca</t>
        </is>
      </c>
      <c r="E799" s="20" t="inlineStr">
        <is>
          <t>BOGOTA</t>
        </is>
      </c>
      <c r="F799" s="20" t="inlineStr">
        <is>
          <t>8:00 AM - 12:00 M Y DE 02:00 PM - 04:30 PM</t>
        </is>
      </c>
      <c r="G799" s="20" t="n"/>
      <c r="H799" s="20" t="n"/>
      <c r="I799" s="20" t="inlineStr">
        <is>
          <t>LUNES A VIERNES</t>
        </is>
      </c>
      <c r="J799" s="20" t="inlineStr">
        <is>
          <t>REGIONAL</t>
        </is>
      </c>
      <c r="K799" s="21" t="n">
        <v>46272</v>
      </c>
      <c r="L799" s="21" t="n">
        <v>46367</v>
      </c>
      <c r="M799" s="20" t="n">
        <v>122</v>
      </c>
    </row>
    <row r="800">
      <c r="A800" s="16" t="inlineStr">
        <is>
          <t>1800</t>
        </is>
      </c>
      <c r="B800" s="17" t="inlineStr">
        <is>
          <t>REGIONAL REGIONAL CAFETERA</t>
        </is>
      </c>
      <c r="C800" s="17" t="inlineStr">
        <is>
          <t>Manizales</t>
        </is>
      </c>
      <c r="D800" s="17" t="inlineStr">
        <is>
          <t>Caldas</t>
        </is>
      </c>
      <c r="E800" s="17" t="inlineStr">
        <is>
          <t>CAFETERA</t>
        </is>
      </c>
      <c r="F800" s="17" t="inlineStr">
        <is>
          <t>8:00 AM - 12:00 M Y DE 02:00 PM - 04:30 PM</t>
        </is>
      </c>
      <c r="G800" s="17" t="n"/>
      <c r="H800" s="17" t="n"/>
      <c r="I800" s="17" t="inlineStr">
        <is>
          <t>LUNES A VIERNES</t>
        </is>
      </c>
      <c r="J800" s="17" t="inlineStr">
        <is>
          <t>REGIONAL</t>
        </is>
      </c>
      <c r="K800" s="18" t="n">
        <v>46272</v>
      </c>
      <c r="L800" s="18" t="n">
        <v>46367</v>
      </c>
      <c r="M800" s="17" t="n">
        <v>112</v>
      </c>
    </row>
    <row r="801">
      <c r="A801" s="19" t="inlineStr">
        <is>
          <t>1600</t>
        </is>
      </c>
      <c r="B801" s="20" t="inlineStr">
        <is>
          <t>REGIONAL REGIONAL COSTA</t>
        </is>
      </c>
      <c r="C801" s="20" t="inlineStr">
        <is>
          <t>Barranquilla</t>
        </is>
      </c>
      <c r="D801" s="20" t="inlineStr">
        <is>
          <t>Atlantico</t>
        </is>
      </c>
      <c r="E801" s="20" t="inlineStr">
        <is>
          <t>COSTA</t>
        </is>
      </c>
      <c r="F801" s="20" t="inlineStr">
        <is>
          <t>8:00 AM - 12:00 M Y DE 02:00 PM - 04:30 PM</t>
        </is>
      </c>
      <c r="G801" s="20" t="n"/>
      <c r="H801" s="20" t="n"/>
      <c r="I801" s="20" t="inlineStr">
        <is>
          <t>LUNES A VIERNES</t>
        </is>
      </c>
      <c r="J801" s="20" t="inlineStr">
        <is>
          <t>REGIONAL</t>
        </is>
      </c>
      <c r="K801" s="21" t="n">
        <v>46272</v>
      </c>
      <c r="L801" s="21" t="n">
        <v>46367</v>
      </c>
      <c r="M801" s="20" t="n">
        <v>71</v>
      </c>
    </row>
    <row r="802">
      <c r="A802" s="16" t="inlineStr">
        <is>
          <t>6900</t>
        </is>
      </c>
      <c r="B802" s="17" t="inlineStr">
        <is>
          <t>REGIONAL REGIONAL OCCIDENTE</t>
        </is>
      </c>
      <c r="C802" s="17" t="inlineStr">
        <is>
          <t>Cali</t>
        </is>
      </c>
      <c r="D802" s="17" t="inlineStr">
        <is>
          <t>Valle del Cauca</t>
        </is>
      </c>
      <c r="E802" s="17" t="inlineStr">
        <is>
          <t>OCCIDENTE</t>
        </is>
      </c>
      <c r="F802" s="17" t="inlineStr">
        <is>
          <t>8:00 AM - 12:00 M Y DE 02:00 PM - 04:30 PM</t>
        </is>
      </c>
      <c r="G802" s="17" t="n"/>
      <c r="H802" s="17" t="n"/>
      <c r="I802" s="17" t="inlineStr">
        <is>
          <t>LUNES A VIERNES</t>
        </is>
      </c>
      <c r="J802" s="17" t="inlineStr">
        <is>
          <t>REGIONAL</t>
        </is>
      </c>
      <c r="K802" s="18" t="n">
        <v>46272</v>
      </c>
      <c r="L802" s="18" t="n">
        <v>46367</v>
      </c>
      <c r="M802" s="17" t="n">
        <v>87</v>
      </c>
    </row>
    <row r="803">
      <c r="A803" s="19" t="inlineStr">
        <is>
          <t>1500</t>
        </is>
      </c>
      <c r="B803" s="20" t="inlineStr">
        <is>
          <t>REGIONAL REGIONAL ORIENTE</t>
        </is>
      </c>
      <c r="C803" s="20" t="inlineStr">
        <is>
          <t>Tunja</t>
        </is>
      </c>
      <c r="D803" s="20" t="inlineStr">
        <is>
          <t>Boyaca</t>
        </is>
      </c>
      <c r="E803" s="20" t="inlineStr">
        <is>
          <t>ORIENTE</t>
        </is>
      </c>
      <c r="F803" s="20" t="inlineStr">
        <is>
          <t>8:00 AM - 12:00 M Y DE 02:00 PM - 04:30 PM</t>
        </is>
      </c>
      <c r="G803" s="20" t="n"/>
      <c r="H803" s="20" t="n"/>
      <c r="I803" s="20" t="inlineStr">
        <is>
          <t>LUNES A VIERNES</t>
        </is>
      </c>
      <c r="J803" s="20" t="inlineStr">
        <is>
          <t>REGIONAL</t>
        </is>
      </c>
      <c r="K803" s="21" t="n">
        <v>46272</v>
      </c>
      <c r="L803" s="21" t="n">
        <v>46367</v>
      </c>
      <c r="M803" s="20" t="n">
        <v>108</v>
      </c>
    </row>
    <row r="804">
      <c r="A804" s="16" t="inlineStr">
        <is>
          <t>6000</t>
        </is>
      </c>
      <c r="B804" s="17" t="inlineStr">
        <is>
          <t>REGIONAL REGIONAL SANTANDERES</t>
        </is>
      </c>
      <c r="C804" s="17" t="inlineStr">
        <is>
          <t>Bucaramanga</t>
        </is>
      </c>
      <c r="D804" s="17" t="inlineStr">
        <is>
          <t>Santander</t>
        </is>
      </c>
      <c r="E804" s="17" t="inlineStr">
        <is>
          <t>SANTANDERES</t>
        </is>
      </c>
      <c r="F804" s="17" t="inlineStr">
        <is>
          <t>8:00 AM - 12:00 M Y DE 02:00 PM - 04:30 PM</t>
        </is>
      </c>
      <c r="G804" s="17" t="n"/>
      <c r="H804" s="17" t="n"/>
      <c r="I804" s="17" t="inlineStr">
        <is>
          <t>LUNES A VIERNES</t>
        </is>
      </c>
      <c r="J804" s="17" t="inlineStr">
        <is>
          <t>REGIONAL</t>
        </is>
      </c>
      <c r="K804" s="18" t="n">
        <v>46272</v>
      </c>
      <c r="L804" s="18" t="n">
        <v>46367</v>
      </c>
      <c r="M804" s="17" t="n">
        <v>83</v>
      </c>
    </row>
    <row r="805">
      <c r="A805" s="19" t="inlineStr">
        <is>
          <t>3900</t>
        </is>
      </c>
      <c r="B805" s="20" t="inlineStr">
        <is>
          <t>REGIONAL REGIONAL SUR</t>
        </is>
      </c>
      <c r="C805" s="20" t="inlineStr">
        <is>
          <t>Neiva</t>
        </is>
      </c>
      <c r="D805" s="20" t="inlineStr">
        <is>
          <t>Huila</t>
        </is>
      </c>
      <c r="E805" s="20" t="inlineStr">
        <is>
          <t>SUR</t>
        </is>
      </c>
      <c r="F805" s="20" t="inlineStr">
        <is>
          <t>8:00 AM - 12:00 M Y DE 02:00 PM - 04:30 PM</t>
        </is>
      </c>
      <c r="G805" s="20" t="n"/>
      <c r="H805" s="20" t="n"/>
      <c r="I805" s="20" t="inlineStr">
        <is>
          <t>LUNES A VIERNES</t>
        </is>
      </c>
      <c r="J805" s="20" t="inlineStr">
        <is>
          <t>REGIONAL</t>
        </is>
      </c>
      <c r="K805" s="21" t="n">
        <v>46272</v>
      </c>
      <c r="L805" s="21" t="n">
        <v>46367</v>
      </c>
      <c r="M805" s="20" t="n">
        <v>106</v>
      </c>
    </row>
    <row r="806">
      <c r="A806" s="16" t="inlineStr">
        <is>
          <t>9000</t>
        </is>
      </c>
      <c r="B806" s="17" t="inlineStr">
        <is>
          <t>AVIANCA</t>
        </is>
      </c>
      <c r="C806" s="17" t="inlineStr">
        <is>
          <t>Bogotá, D.C.</t>
        </is>
      </c>
      <c r="D806" s="17" t="inlineStr">
        <is>
          <t>Cundinamarca</t>
        </is>
      </c>
      <c r="E806" s="17" t="inlineStr">
        <is>
          <t>DIRECCION GENERAL</t>
        </is>
      </c>
      <c r="F806" s="17" t="inlineStr">
        <is>
          <t>8:00 AM - 12:00 M Y DE 02:00 PM - 04:30 PM</t>
        </is>
      </c>
      <c r="G806" s="17" t="n"/>
      <c r="H806" s="17" t="n"/>
      <c r="I806" s="17" t="inlineStr">
        <is>
          <t>LUNES A VIERNES</t>
        </is>
      </c>
      <c r="J806" s="17" t="inlineStr">
        <is>
          <t>GESTIONATECH</t>
        </is>
      </c>
      <c r="K806" s="18" t="n">
        <v>46266</v>
      </c>
      <c r="L806" s="18" t="n">
        <v>46367</v>
      </c>
      <c r="M806" s="17" t="n">
        <v>1525</v>
      </c>
    </row>
    <row r="807">
      <c r="A807" s="19" t="inlineStr">
        <is>
          <t>1411</t>
        </is>
      </c>
      <c r="B807" s="20" t="inlineStr">
        <is>
          <t>COA TOCANCIPA</t>
        </is>
      </c>
      <c r="C807" s="20" t="inlineStr">
        <is>
          <t>Tocancipa</t>
        </is>
      </c>
      <c r="D807" s="20" t="inlineStr">
        <is>
          <t>Cundinamarca</t>
        </is>
      </c>
      <c r="E807" s="20" t="inlineStr">
        <is>
          <t>COA</t>
        </is>
      </c>
      <c r="F807" s="20" t="inlineStr">
        <is>
          <t>8:00 AM - 12:00 M Y DE 02:00 PM - 04:30 PM</t>
        </is>
      </c>
      <c r="G807" s="20" t="n"/>
      <c r="H807" s="20" t="n"/>
      <c r="I807" s="20" t="inlineStr">
        <is>
          <t>LUNES A VIERNES</t>
        </is>
      </c>
      <c r="J807" s="20" t="inlineStr">
        <is>
          <t>GESTIONATECH</t>
        </is>
      </c>
      <c r="K807" s="21" t="n">
        <v>46280</v>
      </c>
      <c r="L807" s="21" t="n">
        <v>46282</v>
      </c>
      <c r="M807" s="20" t="n">
        <v>66</v>
      </c>
    </row>
    <row r="808">
      <c r="A808" s="16" t="inlineStr">
        <is>
          <t>9000</t>
        </is>
      </c>
      <c r="B808" s="17" t="inlineStr">
        <is>
          <t>DIRECCION GENERAL</t>
        </is>
      </c>
      <c r="C808" s="17" t="inlineStr">
        <is>
          <t>Bogotá, D.C.</t>
        </is>
      </c>
      <c r="D808" s="17" t="inlineStr">
        <is>
          <t>Cundinamarca</t>
        </is>
      </c>
      <c r="E808" s="17" t="inlineStr">
        <is>
          <t>DIRECCION GENERAL</t>
        </is>
      </c>
      <c r="F808" s="17" t="inlineStr">
        <is>
          <t>8:00 AM - 12:00 M Y DE 02:00 PM - 04:30 PM</t>
        </is>
      </c>
      <c r="G808" s="17" t="n"/>
      <c r="H808" s="17" t="n"/>
      <c r="I808" s="17" t="inlineStr">
        <is>
          <t>LUNES A VIERNES</t>
        </is>
      </c>
      <c r="J808" s="17" t="inlineStr">
        <is>
          <t>GESTIONATECH</t>
        </is>
      </c>
      <c r="K808" s="18" t="n">
        <v>46266</v>
      </c>
      <c r="L808" s="18" t="n">
        <v>46367</v>
      </c>
      <c r="M808" s="17" t="n">
        <v>1360</v>
      </c>
    </row>
    <row r="809">
      <c r="A809" s="19" t="inlineStr">
        <is>
          <t>9000</t>
        </is>
      </c>
      <c r="B809" s="20" t="inlineStr">
        <is>
          <t>SUDAMERIS</t>
        </is>
      </c>
      <c r="C809" s="20" t="inlineStr">
        <is>
          <t>Bogotá, D.C.</t>
        </is>
      </c>
      <c r="D809" s="20" t="inlineStr">
        <is>
          <t>Cundinamarca</t>
        </is>
      </c>
      <c r="E809" s="20" t="inlineStr">
        <is>
          <t>DIRECCION GENERAL</t>
        </is>
      </c>
      <c r="F809" s="20" t="inlineStr">
        <is>
          <t>8:00 AM - 12:00 M Y DE 02:00 PM - 04:30 PM</t>
        </is>
      </c>
      <c r="G809" s="20" t="n"/>
      <c r="H809" s="20" t="n"/>
      <c r="I809" s="20" t="inlineStr">
        <is>
          <t>LUNES A VIERNES</t>
        </is>
      </c>
      <c r="J809" s="20" t="inlineStr">
        <is>
          <t>GESTIONATECH</t>
        </is>
      </c>
      <c r="K809" s="21" t="n">
        <v>46266</v>
      </c>
      <c r="L809" s="21" t="n">
        <v>46367</v>
      </c>
      <c r="M809" s="20" t="n">
        <v>46</v>
      </c>
    </row>
    <row r="810">
      <c r="A810" s="16" t="inlineStr">
        <is>
          <t>1600</t>
        </is>
      </c>
      <c r="B810" s="17" t="inlineStr">
        <is>
          <t>Jefatura de Operaciones Barranquilla</t>
        </is>
      </c>
      <c r="C810" s="17" t="inlineStr">
        <is>
          <t>Barranquilla</t>
        </is>
      </c>
      <c r="D810" s="17" t="inlineStr">
        <is>
          <t>Atlántico</t>
        </is>
      </c>
      <c r="E810" s="17" t="inlineStr">
        <is>
          <t>COSTA</t>
        </is>
      </c>
      <c r="F810" s="17" t="n"/>
      <c r="G810" s="17" t="n"/>
      <c r="H810" s="17" t="n"/>
      <c r="I810" s="17" t="n"/>
      <c r="J810" s="17" t="inlineStr">
        <is>
          <t>REGIONAL</t>
        </is>
      </c>
      <c r="K810" s="18" t="n">
        <v>46272</v>
      </c>
      <c r="L810" s="18" t="n">
        <v>46367</v>
      </c>
      <c r="M810" s="17" t="n"/>
    </row>
    <row r="811">
      <c r="A811" s="19" t="inlineStr">
        <is>
          <t>3000</t>
        </is>
      </c>
      <c r="B811" s="20" t="inlineStr">
        <is>
          <t>Jefatura de Operaciones Bogotá COB</t>
        </is>
      </c>
      <c r="C811" s="20" t="inlineStr">
        <is>
          <t>Bogota</t>
        </is>
      </c>
      <c r="D811" s="20" t="inlineStr">
        <is>
          <t>Cundinamarca</t>
        </is>
      </c>
      <c r="E811" s="20" t="inlineStr">
        <is>
          <t>BOGOTA</t>
        </is>
      </c>
      <c r="F811" s="20" t="n"/>
      <c r="G811" s="20" t="n"/>
      <c r="H811" s="20" t="n"/>
      <c r="I811" s="20" t="n"/>
      <c r="J811" s="20" t="inlineStr">
        <is>
          <t>REGIONAL</t>
        </is>
      </c>
      <c r="K811" s="21" t="n">
        <v>46272</v>
      </c>
      <c r="L811" s="21" t="n">
        <v>46367</v>
      </c>
      <c r="M811" s="20" t="n"/>
    </row>
    <row r="812">
      <c r="A812" s="16" t="inlineStr">
        <is>
          <t>3000</t>
        </is>
      </c>
      <c r="B812" s="17" t="inlineStr">
        <is>
          <t>Jefatura de Operaciones Villavicencio</t>
        </is>
      </c>
      <c r="C812" s="17" t="inlineStr">
        <is>
          <t>Villavicencio</t>
        </is>
      </c>
      <c r="D812" s="17" t="inlineStr">
        <is>
          <t>Meta</t>
        </is>
      </c>
      <c r="E812" s="17" t="inlineStr">
        <is>
          <t>BOGOTA</t>
        </is>
      </c>
      <c r="F812" s="17" t="n"/>
      <c r="G812" s="17" t="n"/>
      <c r="H812" s="17" t="n"/>
      <c r="I812" s="17" t="n"/>
      <c r="J812" s="17" t="inlineStr">
        <is>
          <t>REGIONAL</t>
        </is>
      </c>
      <c r="K812" s="18" t="n">
        <v>46272</v>
      </c>
      <c r="L812" s="18" t="n">
        <v>46367</v>
      </c>
      <c r="M812" s="17" t="n"/>
    </row>
    <row r="813">
      <c r="A813" s="19" t="inlineStr">
        <is>
          <t>1300</t>
        </is>
      </c>
      <c r="B813" s="20" t="inlineStr">
        <is>
          <t>Jefatura de Operaciones Medellin COB</t>
        </is>
      </c>
      <c r="C813" s="20" t="inlineStr">
        <is>
          <t>Medellín</t>
        </is>
      </c>
      <c r="D813" s="20" t="inlineStr">
        <is>
          <t>Antioquia</t>
        </is>
      </c>
      <c r="E813" s="20" t="inlineStr">
        <is>
          <t>ANTIOQUIA</t>
        </is>
      </c>
      <c r="F813" s="20" t="n"/>
      <c r="G813" s="20" t="n"/>
      <c r="H813" s="20" t="n"/>
      <c r="I813" s="20" t="n"/>
      <c r="J813" s="20" t="inlineStr">
        <is>
          <t>REGIONAL</t>
        </is>
      </c>
      <c r="K813" s="21" t="n">
        <v>46272</v>
      </c>
      <c r="L813" s="21" t="n">
        <v>46367</v>
      </c>
      <c r="M813" s="20" t="n"/>
    </row>
    <row r="814">
      <c r="A814" s="16" t="inlineStr">
        <is>
          <t>1300</t>
        </is>
      </c>
      <c r="B814" s="17" t="inlineStr">
        <is>
          <t>Jefatura de Operaciones Monteria</t>
        </is>
      </c>
      <c r="C814" s="17" t="inlineStr">
        <is>
          <t>Montería</t>
        </is>
      </c>
      <c r="D814" s="17" t="inlineStr">
        <is>
          <t>Córdoba</t>
        </is>
      </c>
      <c r="E814" s="17" t="inlineStr">
        <is>
          <t>ANTIOQUIA</t>
        </is>
      </c>
      <c r="F814" s="17" t="n"/>
      <c r="G814" s="17" t="n"/>
      <c r="H814" s="17" t="n"/>
      <c r="I814" s="17" t="n"/>
      <c r="J814" s="17" t="inlineStr">
        <is>
          <t>REGIONAL</t>
        </is>
      </c>
      <c r="K814" s="18" t="n">
        <v>46272</v>
      </c>
      <c r="L814" s="18" t="n">
        <v>46367</v>
      </c>
      <c r="M814" s="17" t="n"/>
    </row>
    <row r="815">
      <c r="A815" s="19" t="inlineStr">
        <is>
          <t>6900</t>
        </is>
      </c>
      <c r="B815" s="20" t="inlineStr">
        <is>
          <t>Jefatura de Operaciones Cali COB</t>
        </is>
      </c>
      <c r="C815" s="20" t="inlineStr">
        <is>
          <t>Cali</t>
        </is>
      </c>
      <c r="D815" s="20" t="inlineStr">
        <is>
          <t>Valle del Cauca</t>
        </is>
      </c>
      <c r="E815" s="20" t="inlineStr">
        <is>
          <t>OCCIDENTE</t>
        </is>
      </c>
      <c r="F815" s="20" t="n"/>
      <c r="G815" s="20" t="n"/>
      <c r="H815" s="20" t="n"/>
      <c r="I815" s="20" t="n"/>
      <c r="J815" s="20" t="inlineStr">
        <is>
          <t>REGIONAL</t>
        </is>
      </c>
      <c r="K815" s="21" t="n">
        <v>46272</v>
      </c>
      <c r="L815" s="21" t="n">
        <v>46367</v>
      </c>
      <c r="M815" s="20" t="n"/>
    </row>
    <row r="816">
      <c r="A816" s="16" t="inlineStr">
        <is>
          <t>6900</t>
        </is>
      </c>
      <c r="B816" s="17" t="inlineStr">
        <is>
          <t>Jefatura de Operaciones Pasto</t>
        </is>
      </c>
      <c r="C816" s="17" t="inlineStr">
        <is>
          <t>Pasto</t>
        </is>
      </c>
      <c r="D816" s="17" t="inlineStr">
        <is>
          <t>Nariño</t>
        </is>
      </c>
      <c r="E816" s="17" t="inlineStr">
        <is>
          <t>OCCIDENTE</t>
        </is>
      </c>
      <c r="F816" s="17" t="n"/>
      <c r="G816" s="17" t="n"/>
      <c r="H816" s="17" t="n"/>
      <c r="I816" s="17" t="n"/>
      <c r="J816" s="17" t="inlineStr">
        <is>
          <t>REGIONAL</t>
        </is>
      </c>
      <c r="K816" s="18" t="n">
        <v>46272</v>
      </c>
      <c r="L816" s="18" t="n">
        <v>46367</v>
      </c>
      <c r="M816" s="17" t="n"/>
    </row>
    <row r="817">
      <c r="A817" s="19" t="inlineStr">
        <is>
          <t>6900</t>
        </is>
      </c>
      <c r="B817" s="20" t="inlineStr">
        <is>
          <t>Jefatura de Operaciones POPAYAN</t>
        </is>
      </c>
      <c r="C817" s="20" t="inlineStr">
        <is>
          <t>Popayán</t>
        </is>
      </c>
      <c r="D817" s="20" t="inlineStr">
        <is>
          <t>Cauca</t>
        </is>
      </c>
      <c r="E817" s="20" t="inlineStr">
        <is>
          <t>OCCIDENTE</t>
        </is>
      </c>
      <c r="F817" s="20" t="n"/>
      <c r="G817" s="20" t="n"/>
      <c r="H817" s="20" t="n"/>
      <c r="I817" s="20" t="n"/>
      <c r="J817" s="20" t="inlineStr">
        <is>
          <t>REGIONAL</t>
        </is>
      </c>
      <c r="K817" s="21" t="n">
        <v>46272</v>
      </c>
      <c r="L817" s="21" t="n">
        <v>46367</v>
      </c>
      <c r="M817" s="20" t="n"/>
    </row>
    <row r="818">
      <c r="A818" s="16" t="inlineStr">
        <is>
          <t>1600</t>
        </is>
      </c>
      <c r="B818" s="17" t="inlineStr">
        <is>
          <t>Jefatura de Operaciones SINCELEJO</t>
        </is>
      </c>
      <c r="C818" s="17" t="inlineStr">
        <is>
          <t>Sincelejo</t>
        </is>
      </c>
      <c r="D818" s="17" t="inlineStr">
        <is>
          <t>Sucre</t>
        </is>
      </c>
      <c r="E818" s="17" t="inlineStr">
        <is>
          <t>COSTA</t>
        </is>
      </c>
      <c r="F818" s="17" t="n"/>
      <c r="G818" s="17" t="n"/>
      <c r="H818" s="17" t="n"/>
      <c r="I818" s="17" t="n"/>
      <c r="J818" s="17" t="inlineStr">
        <is>
          <t>REGIONAL</t>
        </is>
      </c>
      <c r="K818" s="18" t="n">
        <v>46272</v>
      </c>
      <c r="L818" s="18" t="n">
        <v>46367</v>
      </c>
      <c r="M818" s="17" t="n"/>
    </row>
    <row r="819">
      <c r="A819" s="19" t="inlineStr">
        <is>
          <t>1600</t>
        </is>
      </c>
      <c r="B819" s="20" t="inlineStr">
        <is>
          <t>Jefatura de Operaciones Valledupar</t>
        </is>
      </c>
      <c r="C819" s="20" t="inlineStr">
        <is>
          <t>Valledupar</t>
        </is>
      </c>
      <c r="D819" s="20" t="inlineStr">
        <is>
          <t>Cesar</t>
        </is>
      </c>
      <c r="E819" s="20" t="inlineStr">
        <is>
          <t>COSTA</t>
        </is>
      </c>
      <c r="F819" s="20" t="n"/>
      <c r="G819" s="20" t="n"/>
      <c r="H819" s="20" t="n"/>
      <c r="I819" s="20" t="n"/>
      <c r="J819" s="20" t="inlineStr">
        <is>
          <t>REGIONAL</t>
        </is>
      </c>
      <c r="K819" s="21" t="n">
        <v>46272</v>
      </c>
      <c r="L819" s="21" t="n">
        <v>46367</v>
      </c>
      <c r="M819" s="20" t="n"/>
    </row>
    <row r="820">
      <c r="A820" s="16" t="inlineStr">
        <is>
          <t>1800</t>
        </is>
      </c>
      <c r="B820" s="17" t="inlineStr">
        <is>
          <t>Jefatura de Operaciones Manizales COB</t>
        </is>
      </c>
      <c r="C820" s="17" t="inlineStr">
        <is>
          <t>Manizales</t>
        </is>
      </c>
      <c r="D820" s="17" t="inlineStr">
        <is>
          <t>Caldas</t>
        </is>
      </c>
      <c r="E820" s="17" t="inlineStr">
        <is>
          <t>CAFETERA</t>
        </is>
      </c>
      <c r="F820" s="17" t="n"/>
      <c r="G820" s="17" t="n"/>
      <c r="H820" s="17" t="n"/>
      <c r="I820" s="17" t="n"/>
      <c r="J820" s="17" t="inlineStr">
        <is>
          <t>REGIONAL</t>
        </is>
      </c>
      <c r="K820" s="18" t="n">
        <v>46272</v>
      </c>
      <c r="L820" s="18" t="n">
        <v>46367</v>
      </c>
      <c r="M820" s="17" t="n"/>
    </row>
    <row r="821">
      <c r="A821" s="19" t="inlineStr">
        <is>
          <t>1500</t>
        </is>
      </c>
      <c r="B821" s="20" t="inlineStr">
        <is>
          <t>Jefatura de Operaciones Tunja COB</t>
        </is>
      </c>
      <c r="C821" s="20" t="inlineStr">
        <is>
          <t>Tunja</t>
        </is>
      </c>
      <c r="D821" s="20" t="inlineStr">
        <is>
          <t>Boyacá</t>
        </is>
      </c>
      <c r="E821" s="20" t="inlineStr">
        <is>
          <t>ORIENTE</t>
        </is>
      </c>
      <c r="F821" s="20" t="n"/>
      <c r="G821" s="20" t="n"/>
      <c r="H821" s="20" t="n"/>
      <c r="I821" s="20" t="n"/>
      <c r="J821" s="20" t="inlineStr">
        <is>
          <t>REGIONAL</t>
        </is>
      </c>
      <c r="K821" s="21" t="n">
        <v>46272</v>
      </c>
      <c r="L821" s="21" t="n">
        <v>46367</v>
      </c>
      <c r="M821" s="20" t="n"/>
    </row>
    <row r="822">
      <c r="A822" s="16" t="inlineStr">
        <is>
          <t>6000</t>
        </is>
      </c>
      <c r="B822" s="17" t="inlineStr">
        <is>
          <t>Jefatura de Operaciones Bucaramanga COB</t>
        </is>
      </c>
      <c r="C822" s="17" t="inlineStr">
        <is>
          <t>Bucaramanga</t>
        </is>
      </c>
      <c r="D822" s="17" t="inlineStr">
        <is>
          <t>Santander</t>
        </is>
      </c>
      <c r="E822" s="17" t="inlineStr">
        <is>
          <t>SANTANDERES</t>
        </is>
      </c>
      <c r="F822" s="17" t="n"/>
      <c r="G822" s="17" t="n"/>
      <c r="H822" s="17" t="n"/>
      <c r="I822" s="17" t="n"/>
      <c r="J822" s="17" t="inlineStr">
        <is>
          <t>REGIONAL</t>
        </is>
      </c>
      <c r="K822" s="18" t="n">
        <v>46272</v>
      </c>
      <c r="L822" s="18" t="n">
        <v>46367</v>
      </c>
      <c r="M822" s="17" t="n"/>
    </row>
    <row r="823">
      <c r="A823" s="19" t="inlineStr">
        <is>
          <t>6000</t>
        </is>
      </c>
      <c r="B823" s="20" t="inlineStr">
        <is>
          <t>Jefatura de Operaciones Cúcuta COB</t>
        </is>
      </c>
      <c r="C823" s="20" t="inlineStr">
        <is>
          <t>Cúcuta</t>
        </is>
      </c>
      <c r="D823" s="20" t="inlineStr">
        <is>
          <t>Norte de Santander</t>
        </is>
      </c>
      <c r="E823" s="20" t="inlineStr">
        <is>
          <t>SANTANDERES</t>
        </is>
      </c>
      <c r="F823" s="20" t="n"/>
      <c r="G823" s="20" t="n"/>
      <c r="H823" s="20" t="n"/>
      <c r="I823" s="20" t="n"/>
      <c r="J823" s="20" t="inlineStr">
        <is>
          <t>REGIONAL</t>
        </is>
      </c>
      <c r="K823" s="21" t="n">
        <v>46272</v>
      </c>
      <c r="L823" s="21" t="n">
        <v>46367</v>
      </c>
      <c r="M823" s="20" t="n"/>
    </row>
    <row r="824">
      <c r="A824" s="16" t="inlineStr">
        <is>
          <t>3900</t>
        </is>
      </c>
      <c r="B824" s="17" t="inlineStr">
        <is>
          <t>Jefatura de Operaciones Neiva COB</t>
        </is>
      </c>
      <c r="C824" s="17" t="inlineStr">
        <is>
          <t>Neiva</t>
        </is>
      </c>
      <c r="D824" s="17" t="inlineStr">
        <is>
          <t>Huila</t>
        </is>
      </c>
      <c r="E824" s="17" t="inlineStr">
        <is>
          <t>SUR</t>
        </is>
      </c>
      <c r="F824" s="17" t="n"/>
      <c r="G824" s="17" t="n"/>
      <c r="H824" s="17" t="n"/>
      <c r="I824" s="17" t="n"/>
      <c r="J824" s="17" t="inlineStr">
        <is>
          <t>REGIONAL</t>
        </is>
      </c>
      <c r="K824" s="18" t="n">
        <v>46272</v>
      </c>
      <c r="L824" s="18" t="n">
        <v>46367</v>
      </c>
      <c r="M824" s="17" t="n"/>
    </row>
    <row r="825">
      <c r="A825" s="19" t="inlineStr">
        <is>
          <t>3900</t>
        </is>
      </c>
      <c r="B825" s="20" t="inlineStr">
        <is>
          <t>Jefatura de Operaciones IBAGUE</t>
        </is>
      </c>
      <c r="C825" s="20" t="inlineStr">
        <is>
          <t>Ibagué</t>
        </is>
      </c>
      <c r="D825" s="20" t="inlineStr">
        <is>
          <t>Tolima</t>
        </is>
      </c>
      <c r="E825" s="20" t="inlineStr">
        <is>
          <t>SUR</t>
        </is>
      </c>
      <c r="F825" s="20" t="n"/>
      <c r="G825" s="20" t="n"/>
      <c r="H825" s="20" t="n"/>
      <c r="I825" s="20" t="n"/>
      <c r="J825" s="20" t="inlineStr">
        <is>
          <t>REGIONAL</t>
        </is>
      </c>
      <c r="K825" s="21" t="n">
        <v>46272</v>
      </c>
      <c r="L825" s="21" t="n">
        <v>46367</v>
      </c>
      <c r="M825" s="20" t="n"/>
    </row>
  </sheetData>
  <autoFilter ref="A1:M8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" customWidth="1" min="2" max="2"/>
    <col width="14" customWidth="1" min="3" max="3"/>
    <col width="2" customWidth="1" min="4" max="4"/>
    <col width="30" customWidth="1" min="5" max="5"/>
    <col width="2" customWidth="1" min="6" max="6"/>
    <col width="18" customWidth="1" min="7" max="7"/>
    <col width="2" customWidth="1" min="8" max="8"/>
    <col width="16" customWidth="1" min="9" max="9"/>
    <col width="2" customWidth="1" min="10" max="10"/>
  </cols>
  <sheetData>
    <row r="1">
      <c r="A1" s="22" t="inlineStr">
        <is>
          <t>LISTAS PARA VALIDACIÓN (no mover esta pestaña)</t>
        </is>
      </c>
    </row>
    <row r="2">
      <c r="A2" s="23" t="inlineStr">
        <is>
          <t>REGIONES</t>
        </is>
      </c>
      <c r="C2" s="23" t="inlineStr">
        <is>
          <t>ESTADOS</t>
        </is>
      </c>
      <c r="E2" s="23" t="inlineStr">
        <is>
          <t>CAUSALES</t>
        </is>
      </c>
      <c r="G2" s="23" t="inlineStr">
        <is>
          <t>ESTATUS_ACTA</t>
        </is>
      </c>
      <c r="I2" s="23" t="inlineStr">
        <is>
          <t>TECNICO_CALIDAD</t>
        </is>
      </c>
    </row>
    <row r="3">
      <c r="A3" t="inlineStr">
        <is>
          <t>ANTIOQUIA</t>
        </is>
      </c>
      <c r="C3" t="inlineStr">
        <is>
          <t>Programada</t>
        </is>
      </c>
      <c r="E3" t="inlineStr">
        <is>
          <t>N/A - A Tiempo</t>
        </is>
      </c>
      <c r="G3" t="inlineStr">
        <is>
          <t>Pendiente Firma</t>
        </is>
      </c>
      <c r="I3" t="inlineStr">
        <is>
          <t>PMU COLSOF</t>
        </is>
      </c>
    </row>
    <row r="4">
      <c r="A4" t="inlineStr">
        <is>
          <t>ORIENTE</t>
        </is>
      </c>
      <c r="C4" t="inlineStr">
        <is>
          <t>En Proceso</t>
        </is>
      </c>
      <c r="E4" t="inlineStr">
        <is>
          <t>Repuesto Faltante</t>
        </is>
      </c>
      <c r="G4" t="inlineStr">
        <is>
          <t>Firmada</t>
        </is>
      </c>
    </row>
    <row r="5">
      <c r="A5" t="inlineStr">
        <is>
          <t>COSTA</t>
        </is>
      </c>
      <c r="C5" t="inlineStr">
        <is>
          <t>Finalizada</t>
        </is>
      </c>
      <c r="E5" t="inlineStr">
        <is>
          <t>Director Oficina No Disponible</t>
        </is>
      </c>
    </row>
    <row r="6">
      <c r="A6" t="inlineStr">
        <is>
          <t>SUR</t>
        </is>
      </c>
      <c r="C6" t="inlineStr">
        <is>
          <t>Reprogramada</t>
        </is>
      </c>
      <c r="E6" t="inlineStr">
        <is>
          <t>Clima</t>
        </is>
      </c>
    </row>
    <row r="7">
      <c r="A7" t="inlineStr">
        <is>
          <t>OCCIDENTE</t>
        </is>
      </c>
      <c r="C7" t="inlineStr">
        <is>
          <t>Sede_Cerrada</t>
        </is>
      </c>
      <c r="E7" t="inlineStr">
        <is>
          <t>Falla Técnica</t>
        </is>
      </c>
    </row>
    <row r="8">
      <c r="A8" t="inlineStr">
        <is>
          <t>SANTANDERES</t>
        </is>
      </c>
      <c r="C8" t="inlineStr">
        <is>
          <t>Cancelada</t>
        </is>
      </c>
      <c r="E8" t="inlineStr">
        <is>
          <t>Reprogramación Cliente</t>
        </is>
      </c>
    </row>
    <row r="9">
      <c r="A9" t="inlineStr">
        <is>
          <t>CAFETERA</t>
        </is>
      </c>
      <c r="E9" t="inlineStr">
        <is>
          <t>Logística/Acceso</t>
        </is>
      </c>
    </row>
    <row r="10">
      <c r="A10" t="inlineStr">
        <is>
          <t>BOGOTA</t>
        </is>
      </c>
    </row>
    <row r="11">
      <c r="A11" t="inlineStr">
        <is>
          <t>DIRECCION GENERAL</t>
        </is>
      </c>
    </row>
    <row r="12">
      <c r="A12" t="inlineStr">
        <is>
          <t>COA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2026-08-28T22:20:42Z</dcterms:created>
  <dcterms:modified xmlns:dcterms="http://purl.org/dc/terms/" xmlns:xsi="http://www.w3.org/2001/XMLSchema-instance" xsi:type="dcterms:W3CDTF">2026-08-28T22:20:44Z</dcterms:modified>
</cp:coreProperties>
</file>